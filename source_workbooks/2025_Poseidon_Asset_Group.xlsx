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00. Staff Desktops\00. Mike Desktop\10. Full Banking Analysis\Chase Bank\Poseidon Asset Group\"/>
    </mc:Choice>
  </mc:AlternateContent>
  <xr:revisionPtr revIDLastSave="0" documentId="8_{3CC0681F-EC5F-4B0C-A0F4-D27127B8F352}" xr6:coauthVersionLast="47" xr6:coauthVersionMax="47" xr10:uidLastSave="{00000000-0000-0000-0000-000000000000}"/>
  <bookViews>
    <workbookView xWindow="28680" yWindow="-1065" windowWidth="29040" windowHeight="15720" xr2:uid="{7D1E66C2-E1C4-4900-AD66-30311E68E1DD}"/>
  </bookViews>
  <sheets>
    <sheet name="Category Summary" sheetId="12" r:id="rId1"/>
    <sheet name="Commission" sheetId="9" r:id="rId2"/>
    <sheet name="Monthly Breakdown" sheetId="13" r:id="rId3"/>
    <sheet name="Monthly Detail" sheetId="14" r:id="rId4"/>
    <sheet name="Transfer In" sheetId="15" r:id="rId5"/>
    <sheet name="Transfer Out" sheetId="16" r:id="rId6"/>
    <sheet name="Wire In" sheetId="10" r:id="rId7"/>
    <sheet name="Wire Out" sheetId="17" r:id="rId8"/>
    <sheet name="Transaction Overview" sheetId="3" r:id="rId9"/>
    <sheet name="Mapping" sheetId="2" r:id="rId10"/>
    <sheet name="2025_Chase9335_Activity_2026062" sheetId="1" r:id="rId11"/>
  </sheets>
  <calcPr calcId="191029" iterate="1"/>
</workbook>
</file>

<file path=xl/calcChain.xml><?xml version="1.0" encoding="utf-8"?>
<calcChain xmlns="http://schemas.openxmlformats.org/spreadsheetml/2006/main">
  <c r="C26" i="17" l="1" a="1"/>
  <c r="C26" i="17" s="1"/>
  <c r="B26" i="17" a="1"/>
  <c r="B26" i="17" s="1"/>
  <c r="A26" i="17" a="1"/>
  <c r="A26" i="17" s="1"/>
  <c r="C23" i="17"/>
  <c r="B23" i="17"/>
  <c r="C22" i="17"/>
  <c r="B22" i="17"/>
  <c r="C21" i="17"/>
  <c r="B21" i="17"/>
  <c r="C20" i="17"/>
  <c r="B20" i="17"/>
  <c r="C19" i="17"/>
  <c r="B19" i="17"/>
  <c r="C18" i="17"/>
  <c r="B18" i="17"/>
  <c r="C17" i="17"/>
  <c r="B17" i="17"/>
  <c r="C16" i="17"/>
  <c r="B16" i="17"/>
  <c r="C15" i="17"/>
  <c r="B15" i="17"/>
  <c r="C14" i="17"/>
  <c r="B14" i="17"/>
  <c r="C13" i="17"/>
  <c r="B13" i="17"/>
  <c r="C12" i="17"/>
  <c r="B12" i="17"/>
  <c r="C11" i="17"/>
  <c r="B11" i="17"/>
  <c r="C10" i="17"/>
  <c r="B10" i="17"/>
  <c r="C6" i="17"/>
  <c r="C5" i="17"/>
  <c r="C31" i="16" a="1"/>
  <c r="C31" i="16" s="1"/>
  <c r="B31" i="16" a="1"/>
  <c r="B31" i="16" s="1"/>
  <c r="A31" i="16" a="1"/>
  <c r="A31" i="16" s="1"/>
  <c r="C28" i="16"/>
  <c r="B28" i="16"/>
  <c r="C27" i="16"/>
  <c r="B27" i="16"/>
  <c r="C26" i="16"/>
  <c r="B26" i="16"/>
  <c r="C25" i="16"/>
  <c r="B25" i="16"/>
  <c r="C24" i="16"/>
  <c r="B24" i="16"/>
  <c r="C23" i="16"/>
  <c r="B23" i="16"/>
  <c r="C22" i="16"/>
  <c r="B22" i="16"/>
  <c r="C21" i="16"/>
  <c r="B21" i="16"/>
  <c r="C20" i="16"/>
  <c r="B20" i="16"/>
  <c r="C19" i="16"/>
  <c r="B19" i="16"/>
  <c r="C18" i="16"/>
  <c r="B18" i="16"/>
  <c r="C17" i="16"/>
  <c r="B17" i="16"/>
  <c r="C16" i="16"/>
  <c r="B16" i="16"/>
  <c r="C15" i="16"/>
  <c r="B15" i="16"/>
  <c r="C14" i="16"/>
  <c r="B14" i="16"/>
  <c r="C13" i="16"/>
  <c r="B13" i="16"/>
  <c r="C12" i="16"/>
  <c r="B12" i="16"/>
  <c r="C11" i="16"/>
  <c r="B11" i="16"/>
  <c r="C10" i="16"/>
  <c r="B10" i="16"/>
  <c r="C6" i="16"/>
  <c r="C5" i="16"/>
  <c r="C18" i="15" a="1"/>
  <c r="C18" i="15" s="1"/>
  <c r="B18" i="15" a="1"/>
  <c r="B18" i="15" s="1"/>
  <c r="A18" i="15" a="1"/>
  <c r="A18" i="15" s="1"/>
  <c r="C15" i="15"/>
  <c r="B15" i="15"/>
  <c r="C14" i="15"/>
  <c r="B14" i="15"/>
  <c r="C13" i="15"/>
  <c r="B13" i="15"/>
  <c r="C12" i="15"/>
  <c r="B12" i="15"/>
  <c r="C11" i="15"/>
  <c r="B11" i="15"/>
  <c r="C10" i="15"/>
  <c r="B10" i="15"/>
  <c r="C6" i="15"/>
  <c r="C5" i="15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C7" i="14"/>
  <c r="O7" i="14" s="1"/>
  <c r="D7" i="14"/>
  <c r="E7" i="14"/>
  <c r="F7" i="14"/>
  <c r="G7" i="14"/>
  <c r="H7" i="14"/>
  <c r="I7" i="14"/>
  <c r="J7" i="14"/>
  <c r="K7" i="14"/>
  <c r="L7" i="14"/>
  <c r="M7" i="14"/>
  <c r="N7" i="14"/>
  <c r="C8" i="14"/>
  <c r="O8" i="14" s="1"/>
  <c r="D8" i="14"/>
  <c r="E8" i="14"/>
  <c r="F8" i="14"/>
  <c r="G8" i="14"/>
  <c r="H8" i="14"/>
  <c r="I8" i="14"/>
  <c r="J8" i="14"/>
  <c r="K8" i="14"/>
  <c r="L8" i="14"/>
  <c r="M8" i="14"/>
  <c r="N8" i="14"/>
  <c r="C9" i="14"/>
  <c r="O9" i="14" s="1"/>
  <c r="D9" i="14"/>
  <c r="E9" i="14"/>
  <c r="F9" i="14"/>
  <c r="G9" i="14"/>
  <c r="H9" i="14"/>
  <c r="I9" i="14"/>
  <c r="J9" i="14"/>
  <c r="K9" i="14"/>
  <c r="L9" i="14"/>
  <c r="M9" i="14"/>
  <c r="N9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C11" i="14"/>
  <c r="O11" i="14" s="1"/>
  <c r="D11" i="14"/>
  <c r="E11" i="14"/>
  <c r="F11" i="14"/>
  <c r="G11" i="14"/>
  <c r="H11" i="14"/>
  <c r="I11" i="14"/>
  <c r="J11" i="14"/>
  <c r="K11" i="14"/>
  <c r="L11" i="14"/>
  <c r="M11" i="14"/>
  <c r="N11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C13" i="14"/>
  <c r="O13" i="14" s="1"/>
  <c r="D13" i="14"/>
  <c r="E13" i="14"/>
  <c r="F13" i="14"/>
  <c r="G13" i="14"/>
  <c r="H13" i="14"/>
  <c r="I13" i="14"/>
  <c r="J13" i="14"/>
  <c r="K13" i="14"/>
  <c r="L13" i="14"/>
  <c r="M13" i="14"/>
  <c r="N13" i="14"/>
  <c r="C14" i="14"/>
  <c r="D14" i="14"/>
  <c r="E14" i="14"/>
  <c r="F14" i="14"/>
  <c r="G14" i="14"/>
  <c r="O14" i="14" s="1"/>
  <c r="H14" i="14"/>
  <c r="I14" i="14"/>
  <c r="J14" i="14"/>
  <c r="K14" i="14"/>
  <c r="L14" i="14"/>
  <c r="M14" i="14"/>
  <c r="N14" i="14"/>
  <c r="C15" i="14"/>
  <c r="O15" i="14" s="1"/>
  <c r="D15" i="14"/>
  <c r="E15" i="14"/>
  <c r="F15" i="14"/>
  <c r="G15" i="14"/>
  <c r="H15" i="14"/>
  <c r="I15" i="14"/>
  <c r="J15" i="14"/>
  <c r="K15" i="14"/>
  <c r="L15" i="14"/>
  <c r="M15" i="14"/>
  <c r="N15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C17" i="14"/>
  <c r="D17" i="14"/>
  <c r="O17" i="14" s="1"/>
  <c r="E17" i="14"/>
  <c r="F17" i="14"/>
  <c r="G17" i="14"/>
  <c r="H17" i="14"/>
  <c r="I17" i="14"/>
  <c r="J17" i="14"/>
  <c r="K17" i="14"/>
  <c r="L17" i="14"/>
  <c r="M17" i="14"/>
  <c r="N17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C20" i="14"/>
  <c r="O20" i="14" s="1"/>
  <c r="D20" i="14"/>
  <c r="E20" i="14"/>
  <c r="F20" i="14"/>
  <c r="G20" i="14"/>
  <c r="H20" i="14"/>
  <c r="I20" i="14"/>
  <c r="J20" i="14"/>
  <c r="K20" i="14"/>
  <c r="L20" i="14"/>
  <c r="M20" i="14"/>
  <c r="N20" i="14"/>
  <c r="C21" i="14"/>
  <c r="D21" i="14"/>
  <c r="E21" i="14"/>
  <c r="O21" i="14" s="1"/>
  <c r="F21" i="14"/>
  <c r="G21" i="14"/>
  <c r="H21" i="14"/>
  <c r="I21" i="14"/>
  <c r="J21" i="14"/>
  <c r="K21" i="14"/>
  <c r="L21" i="14"/>
  <c r="M21" i="14"/>
  <c r="N21" i="14"/>
  <c r="C22" i="14"/>
  <c r="O22" i="14" s="1"/>
  <c r="D22" i="14"/>
  <c r="E22" i="14"/>
  <c r="F22" i="14"/>
  <c r="G22" i="14"/>
  <c r="H22" i="14"/>
  <c r="I22" i="14"/>
  <c r="J22" i="14"/>
  <c r="K22" i="14"/>
  <c r="L22" i="14"/>
  <c r="M22" i="14"/>
  <c r="N22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C24" i="14"/>
  <c r="O24" i="14" s="1"/>
  <c r="D24" i="14"/>
  <c r="E24" i="14"/>
  <c r="F24" i="14"/>
  <c r="G24" i="14"/>
  <c r="H24" i="14"/>
  <c r="I24" i="14"/>
  <c r="J24" i="14"/>
  <c r="K24" i="14"/>
  <c r="L24" i="14"/>
  <c r="M24" i="14"/>
  <c r="N24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C26" i="14"/>
  <c r="O26" i="14" s="1"/>
  <c r="D26" i="14"/>
  <c r="E26" i="14"/>
  <c r="F26" i="14"/>
  <c r="G26" i="14"/>
  <c r="H26" i="14"/>
  <c r="I26" i="14"/>
  <c r="J26" i="14"/>
  <c r="K26" i="14"/>
  <c r="L26" i="14"/>
  <c r="M26" i="14"/>
  <c r="N26" i="14"/>
  <c r="C27" i="14"/>
  <c r="D27" i="14"/>
  <c r="E27" i="14"/>
  <c r="F27" i="14"/>
  <c r="G27" i="14"/>
  <c r="H27" i="14"/>
  <c r="I27" i="14"/>
  <c r="J27" i="14"/>
  <c r="O27" i="14" s="1"/>
  <c r="K27" i="14"/>
  <c r="L27" i="14"/>
  <c r="M27" i="14"/>
  <c r="N27" i="14"/>
  <c r="C28" i="14"/>
  <c r="O28" i="14" s="1"/>
  <c r="D28" i="14"/>
  <c r="E28" i="14"/>
  <c r="F28" i="14"/>
  <c r="G28" i="14"/>
  <c r="H28" i="14"/>
  <c r="I28" i="14"/>
  <c r="J28" i="14"/>
  <c r="K28" i="14"/>
  <c r="L28" i="14"/>
  <c r="M28" i="14"/>
  <c r="N28" i="14"/>
  <c r="C29" i="14"/>
  <c r="O29" i="14" s="1"/>
  <c r="D29" i="14"/>
  <c r="E29" i="14"/>
  <c r="F29" i="14"/>
  <c r="G29" i="14"/>
  <c r="H29" i="14"/>
  <c r="I29" i="14"/>
  <c r="J29" i="14"/>
  <c r="K29" i="14"/>
  <c r="L29" i="14"/>
  <c r="M29" i="14"/>
  <c r="N29" i="14"/>
  <c r="C30" i="14"/>
  <c r="O30" i="14" s="1"/>
  <c r="D30" i="14"/>
  <c r="E30" i="14"/>
  <c r="F30" i="14"/>
  <c r="G30" i="14"/>
  <c r="H30" i="14"/>
  <c r="I30" i="14"/>
  <c r="J30" i="14"/>
  <c r="K30" i="14"/>
  <c r="L30" i="14"/>
  <c r="M30" i="14"/>
  <c r="N30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C35" i="14"/>
  <c r="O35" i="14" s="1"/>
  <c r="D35" i="14"/>
  <c r="E35" i="14"/>
  <c r="F35" i="14"/>
  <c r="G35" i="14"/>
  <c r="H35" i="14"/>
  <c r="I35" i="14"/>
  <c r="J35" i="14"/>
  <c r="K35" i="14"/>
  <c r="L35" i="14"/>
  <c r="M35" i="14"/>
  <c r="N35" i="14"/>
  <c r="C36" i="14"/>
  <c r="O36" i="14" s="1"/>
  <c r="D36" i="14"/>
  <c r="E36" i="14"/>
  <c r="F36" i="14"/>
  <c r="G36" i="14"/>
  <c r="H36" i="14"/>
  <c r="I36" i="14"/>
  <c r="J36" i="14"/>
  <c r="K36" i="14"/>
  <c r="L36" i="14"/>
  <c r="M36" i="14"/>
  <c r="N36" i="14"/>
  <c r="C37" i="14"/>
  <c r="O37" i="14" s="1"/>
  <c r="D37" i="14"/>
  <c r="E37" i="14"/>
  <c r="F37" i="14"/>
  <c r="G37" i="14"/>
  <c r="H37" i="14"/>
  <c r="I37" i="14"/>
  <c r="J37" i="14"/>
  <c r="K37" i="14"/>
  <c r="L37" i="14"/>
  <c r="M37" i="14"/>
  <c r="N37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C39" i="14"/>
  <c r="O39" i="14" s="1"/>
  <c r="D39" i="14"/>
  <c r="E39" i="14"/>
  <c r="F39" i="14"/>
  <c r="G39" i="14"/>
  <c r="H39" i="14"/>
  <c r="I39" i="14"/>
  <c r="J39" i="14"/>
  <c r="K39" i="14"/>
  <c r="L39" i="14"/>
  <c r="M39" i="14"/>
  <c r="N39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C41" i="14"/>
  <c r="O41" i="14" s="1"/>
  <c r="D41" i="14"/>
  <c r="E41" i="14"/>
  <c r="F41" i="14"/>
  <c r="G41" i="14"/>
  <c r="H41" i="14"/>
  <c r="I41" i="14"/>
  <c r="J41" i="14"/>
  <c r="K41" i="14"/>
  <c r="L41" i="14"/>
  <c r="M41" i="14"/>
  <c r="N41" i="14"/>
  <c r="C42" i="14"/>
  <c r="D42" i="14"/>
  <c r="E42" i="14"/>
  <c r="F42" i="14"/>
  <c r="G42" i="14"/>
  <c r="H42" i="14"/>
  <c r="O42" i="14" s="1"/>
  <c r="I42" i="14"/>
  <c r="J42" i="14"/>
  <c r="K42" i="14"/>
  <c r="L42" i="14"/>
  <c r="M42" i="14"/>
  <c r="N42" i="14"/>
  <c r="C43" i="14"/>
  <c r="O43" i="14" s="1"/>
  <c r="D43" i="14"/>
  <c r="E43" i="14"/>
  <c r="F43" i="14"/>
  <c r="G43" i="14"/>
  <c r="H43" i="14"/>
  <c r="I43" i="14"/>
  <c r="J43" i="14"/>
  <c r="K43" i="14"/>
  <c r="L43" i="14"/>
  <c r="M43" i="14"/>
  <c r="N43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C45" i="14"/>
  <c r="O45" i="14" s="1"/>
  <c r="D45" i="14"/>
  <c r="E45" i="14"/>
  <c r="F45" i="14"/>
  <c r="G45" i="14"/>
  <c r="H45" i="14"/>
  <c r="I45" i="14"/>
  <c r="J45" i="14"/>
  <c r="K45" i="14"/>
  <c r="L45" i="14"/>
  <c r="M45" i="14"/>
  <c r="N45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C48" i="14"/>
  <c r="O48" i="14" s="1"/>
  <c r="D48" i="14"/>
  <c r="E48" i="14"/>
  <c r="F48" i="14"/>
  <c r="G48" i="14"/>
  <c r="H48" i="14"/>
  <c r="I48" i="14"/>
  <c r="J48" i="14"/>
  <c r="K48" i="14"/>
  <c r="L48" i="14"/>
  <c r="M48" i="14"/>
  <c r="N48" i="14"/>
  <c r="C49" i="14"/>
  <c r="D49" i="14"/>
  <c r="E49" i="14"/>
  <c r="F49" i="14"/>
  <c r="G49" i="14"/>
  <c r="H49" i="14"/>
  <c r="I49" i="14"/>
  <c r="J49" i="14"/>
  <c r="O49" i="14" s="1"/>
  <c r="K49" i="14"/>
  <c r="L49" i="14"/>
  <c r="M49" i="14"/>
  <c r="N49" i="14"/>
  <c r="C50" i="14"/>
  <c r="O50" i="14" s="1"/>
  <c r="D50" i="14"/>
  <c r="E50" i="14"/>
  <c r="F50" i="14"/>
  <c r="G50" i="14"/>
  <c r="H50" i="14"/>
  <c r="I50" i="14"/>
  <c r="J50" i="14"/>
  <c r="K50" i="14"/>
  <c r="L50" i="14"/>
  <c r="M50" i="14"/>
  <c r="N50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C52" i="14"/>
  <c r="O52" i="14" s="1"/>
  <c r="D52" i="14"/>
  <c r="E52" i="14"/>
  <c r="F52" i="14"/>
  <c r="G52" i="14"/>
  <c r="H52" i="14"/>
  <c r="I52" i="14"/>
  <c r="J52" i="14"/>
  <c r="K52" i="14"/>
  <c r="L52" i="14"/>
  <c r="M52" i="14"/>
  <c r="N52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C54" i="14"/>
  <c r="O54" i="14" s="1"/>
  <c r="D54" i="14"/>
  <c r="E54" i="14"/>
  <c r="F54" i="14"/>
  <c r="G54" i="14"/>
  <c r="H54" i="14"/>
  <c r="I54" i="14"/>
  <c r="J54" i="14"/>
  <c r="K54" i="14"/>
  <c r="L54" i="14"/>
  <c r="M54" i="14"/>
  <c r="N54" i="14"/>
  <c r="C55" i="14"/>
  <c r="D55" i="14"/>
  <c r="E55" i="14"/>
  <c r="F55" i="14"/>
  <c r="G55" i="14"/>
  <c r="H55" i="14"/>
  <c r="I55" i="14"/>
  <c r="J55" i="14"/>
  <c r="K55" i="14"/>
  <c r="O55" i="14" s="1"/>
  <c r="L55" i="14"/>
  <c r="M55" i="14"/>
  <c r="N55" i="14"/>
  <c r="C56" i="14"/>
  <c r="O56" i="14" s="1"/>
  <c r="D56" i="14"/>
  <c r="E56" i="14"/>
  <c r="F56" i="14"/>
  <c r="G56" i="14"/>
  <c r="H56" i="14"/>
  <c r="I56" i="14"/>
  <c r="J56" i="14"/>
  <c r="K56" i="14"/>
  <c r="L56" i="14"/>
  <c r="M56" i="14"/>
  <c r="N56" i="14"/>
  <c r="C57" i="14"/>
  <c r="O57" i="14" s="1"/>
  <c r="D57" i="14"/>
  <c r="E57" i="14"/>
  <c r="F57" i="14"/>
  <c r="G57" i="14"/>
  <c r="H57" i="14"/>
  <c r="I57" i="14"/>
  <c r="J57" i="14"/>
  <c r="K57" i="14"/>
  <c r="L57" i="14"/>
  <c r="M57" i="14"/>
  <c r="N57" i="14"/>
  <c r="C58" i="14"/>
  <c r="O58" i="14" s="1"/>
  <c r="D58" i="14"/>
  <c r="E58" i="14"/>
  <c r="F58" i="14"/>
  <c r="G58" i="14"/>
  <c r="H58" i="14"/>
  <c r="I58" i="14"/>
  <c r="J58" i="14"/>
  <c r="K58" i="14"/>
  <c r="L58" i="14"/>
  <c r="M58" i="14"/>
  <c r="N58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C63" i="14"/>
  <c r="O63" i="14" s="1"/>
  <c r="D63" i="14"/>
  <c r="E63" i="14"/>
  <c r="F63" i="14"/>
  <c r="G63" i="14"/>
  <c r="H63" i="14"/>
  <c r="I63" i="14"/>
  <c r="J63" i="14"/>
  <c r="K63" i="14"/>
  <c r="L63" i="14"/>
  <c r="M63" i="14"/>
  <c r="N63" i="14"/>
  <c r="C64" i="14"/>
  <c r="O64" i="14" s="1"/>
  <c r="D64" i="14"/>
  <c r="E64" i="14"/>
  <c r="F64" i="14"/>
  <c r="G64" i="14"/>
  <c r="H64" i="14"/>
  <c r="I64" i="14"/>
  <c r="J64" i="14"/>
  <c r="K64" i="14"/>
  <c r="L64" i="14"/>
  <c r="M64" i="14"/>
  <c r="N64" i="14"/>
  <c r="C65" i="14"/>
  <c r="O65" i="14" s="1"/>
  <c r="D65" i="14"/>
  <c r="E65" i="14"/>
  <c r="F65" i="14"/>
  <c r="G65" i="14"/>
  <c r="H65" i="14"/>
  <c r="I65" i="14"/>
  <c r="J65" i="14"/>
  <c r="K65" i="14"/>
  <c r="L65" i="14"/>
  <c r="M65" i="14"/>
  <c r="N65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C67" i="14"/>
  <c r="O67" i="14" s="1"/>
  <c r="D67" i="14"/>
  <c r="E67" i="14"/>
  <c r="F67" i="14"/>
  <c r="G67" i="14"/>
  <c r="H67" i="14"/>
  <c r="I67" i="14"/>
  <c r="J67" i="14"/>
  <c r="K67" i="14"/>
  <c r="L67" i="14"/>
  <c r="M67" i="14"/>
  <c r="N67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C69" i="14"/>
  <c r="O69" i="14" s="1"/>
  <c r="D69" i="14"/>
  <c r="E69" i="14"/>
  <c r="F69" i="14"/>
  <c r="G69" i="14"/>
  <c r="H69" i="14"/>
  <c r="I69" i="14"/>
  <c r="J69" i="14"/>
  <c r="K69" i="14"/>
  <c r="L69" i="14"/>
  <c r="M69" i="14"/>
  <c r="N69" i="14"/>
  <c r="C70" i="14"/>
  <c r="D70" i="14"/>
  <c r="E70" i="14"/>
  <c r="F70" i="14"/>
  <c r="G70" i="14"/>
  <c r="H70" i="14"/>
  <c r="O70" i="14" s="1"/>
  <c r="I70" i="14"/>
  <c r="J70" i="14"/>
  <c r="K70" i="14"/>
  <c r="L70" i="14"/>
  <c r="M70" i="14"/>
  <c r="N70" i="14"/>
  <c r="C71" i="14"/>
  <c r="O71" i="14" s="1"/>
  <c r="D71" i="14"/>
  <c r="E71" i="14"/>
  <c r="F71" i="14"/>
  <c r="G71" i="14"/>
  <c r="H71" i="14"/>
  <c r="I71" i="14"/>
  <c r="J71" i="14"/>
  <c r="K71" i="14"/>
  <c r="L71" i="14"/>
  <c r="M71" i="14"/>
  <c r="N71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C73" i="14"/>
  <c r="D73" i="14"/>
  <c r="O73" i="14" s="1"/>
  <c r="E73" i="14"/>
  <c r="F73" i="14"/>
  <c r="G73" i="14"/>
  <c r="H73" i="14"/>
  <c r="I73" i="14"/>
  <c r="J73" i="14"/>
  <c r="K73" i="14"/>
  <c r="L73" i="14"/>
  <c r="M73" i="14"/>
  <c r="N73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C76" i="14"/>
  <c r="O76" i="14" s="1"/>
  <c r="D76" i="14"/>
  <c r="E76" i="14"/>
  <c r="F76" i="14"/>
  <c r="G76" i="14"/>
  <c r="H76" i="14"/>
  <c r="I76" i="14"/>
  <c r="J76" i="14"/>
  <c r="K76" i="14"/>
  <c r="L76" i="14"/>
  <c r="M76" i="14"/>
  <c r="N76" i="14"/>
  <c r="C77" i="14"/>
  <c r="D77" i="14"/>
  <c r="E77" i="14"/>
  <c r="F77" i="14"/>
  <c r="G77" i="14"/>
  <c r="H77" i="14"/>
  <c r="I77" i="14"/>
  <c r="J77" i="14"/>
  <c r="K77" i="14"/>
  <c r="L77" i="14"/>
  <c r="M77" i="14"/>
  <c r="O77" i="14" s="1"/>
  <c r="N77" i="14"/>
  <c r="C78" i="14"/>
  <c r="O78" i="14" s="1"/>
  <c r="D78" i="14"/>
  <c r="E78" i="14"/>
  <c r="F78" i="14"/>
  <c r="G78" i="14"/>
  <c r="H78" i="14"/>
  <c r="I78" i="14"/>
  <c r="J78" i="14"/>
  <c r="K78" i="14"/>
  <c r="L78" i="14"/>
  <c r="M78" i="14"/>
  <c r="N78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C80" i="14"/>
  <c r="O80" i="14" s="1"/>
  <c r="D80" i="14"/>
  <c r="E80" i="14"/>
  <c r="F80" i="14"/>
  <c r="G80" i="14"/>
  <c r="H80" i="14"/>
  <c r="I80" i="14"/>
  <c r="J80" i="14"/>
  <c r="K80" i="14"/>
  <c r="L80" i="14"/>
  <c r="M80" i="14"/>
  <c r="N80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C82" i="14"/>
  <c r="O82" i="14" s="1"/>
  <c r="D82" i="14"/>
  <c r="E82" i="14"/>
  <c r="F82" i="14"/>
  <c r="G82" i="14"/>
  <c r="H82" i="14"/>
  <c r="I82" i="14"/>
  <c r="J82" i="14"/>
  <c r="K82" i="14"/>
  <c r="L82" i="14"/>
  <c r="M82" i="14"/>
  <c r="N82" i="14"/>
  <c r="C4" i="14"/>
  <c r="D4" i="14"/>
  <c r="E4" i="14"/>
  <c r="F4" i="14"/>
  <c r="G4" i="14"/>
  <c r="H4" i="14"/>
  <c r="I4" i="14"/>
  <c r="J4" i="14"/>
  <c r="K4" i="14"/>
  <c r="L4" i="14"/>
  <c r="M4" i="14"/>
  <c r="N4" i="14"/>
  <c r="B122" i="13"/>
  <c r="C122" i="13"/>
  <c r="D122" i="13"/>
  <c r="E122" i="13"/>
  <c r="F122" i="13"/>
  <c r="G122" i="13"/>
  <c r="H122" i="13"/>
  <c r="I122" i="13"/>
  <c r="J122" i="13"/>
  <c r="K122" i="13"/>
  <c r="N122" i="13" s="1"/>
  <c r="L122" i="13"/>
  <c r="M122" i="13"/>
  <c r="B123" i="13"/>
  <c r="C123" i="13"/>
  <c r="D123" i="13"/>
  <c r="E123" i="13"/>
  <c r="F123" i="13"/>
  <c r="G123" i="13"/>
  <c r="H123" i="13"/>
  <c r="I123" i="13"/>
  <c r="J123" i="13"/>
  <c r="K123" i="13"/>
  <c r="L123" i="13"/>
  <c r="N123" i="13" s="1"/>
  <c r="M123" i="13"/>
  <c r="B6" i="13"/>
  <c r="C6" i="13"/>
  <c r="D6" i="13"/>
  <c r="E6" i="13"/>
  <c r="F6" i="13"/>
  <c r="G6" i="13"/>
  <c r="H6" i="13"/>
  <c r="I6" i="13"/>
  <c r="N6" i="13" s="1"/>
  <c r="J6" i="13"/>
  <c r="K6" i="13"/>
  <c r="L6" i="13"/>
  <c r="M6" i="13"/>
  <c r="B7" i="13"/>
  <c r="N7" i="13" s="1"/>
  <c r="C7" i="13"/>
  <c r="D7" i="13"/>
  <c r="E7" i="13"/>
  <c r="F7" i="13"/>
  <c r="G7" i="13"/>
  <c r="H7" i="13"/>
  <c r="I7" i="13"/>
  <c r="J7" i="13"/>
  <c r="K7" i="13"/>
  <c r="L7" i="13"/>
  <c r="M7" i="13"/>
  <c r="B8" i="13"/>
  <c r="N8" i="13" s="1"/>
  <c r="C8" i="13"/>
  <c r="D8" i="13"/>
  <c r="E8" i="13"/>
  <c r="F8" i="13"/>
  <c r="G8" i="13"/>
  <c r="H8" i="13"/>
  <c r="I8" i="13"/>
  <c r="J8" i="13"/>
  <c r="K8" i="13"/>
  <c r="L8" i="13"/>
  <c r="M8" i="13"/>
  <c r="B9" i="13"/>
  <c r="C9" i="13"/>
  <c r="D9" i="13"/>
  <c r="E9" i="13"/>
  <c r="F9" i="13"/>
  <c r="G9" i="13"/>
  <c r="H9" i="13"/>
  <c r="I9" i="13"/>
  <c r="J9" i="13"/>
  <c r="K9" i="13"/>
  <c r="L9" i="13"/>
  <c r="M9" i="13"/>
  <c r="N9" i="13"/>
  <c r="B10" i="13"/>
  <c r="N10" i="13" s="1"/>
  <c r="C10" i="13"/>
  <c r="D10" i="13"/>
  <c r="E10" i="13"/>
  <c r="F10" i="13"/>
  <c r="G10" i="13"/>
  <c r="H10" i="13"/>
  <c r="I10" i="13"/>
  <c r="J10" i="13"/>
  <c r="K10" i="13"/>
  <c r="L10" i="13"/>
  <c r="M10" i="13"/>
  <c r="B11" i="13"/>
  <c r="C11" i="13"/>
  <c r="D11" i="13"/>
  <c r="E11" i="13"/>
  <c r="F11" i="13"/>
  <c r="N11" i="13" s="1"/>
  <c r="G11" i="13"/>
  <c r="H11" i="13"/>
  <c r="I11" i="13"/>
  <c r="J11" i="13"/>
  <c r="K11" i="13"/>
  <c r="L11" i="13"/>
  <c r="M11" i="13"/>
  <c r="B12" i="13"/>
  <c r="N12" i="13" s="1"/>
  <c r="C12" i="13"/>
  <c r="D12" i="13"/>
  <c r="E12" i="13"/>
  <c r="F12" i="13"/>
  <c r="G12" i="13"/>
  <c r="H12" i="13"/>
  <c r="I12" i="13"/>
  <c r="J12" i="13"/>
  <c r="K12" i="13"/>
  <c r="L12" i="13"/>
  <c r="M12" i="13"/>
  <c r="B13" i="13"/>
  <c r="C13" i="13"/>
  <c r="D13" i="13"/>
  <c r="E13" i="13"/>
  <c r="N13" i="13" s="1"/>
  <c r="F13" i="13"/>
  <c r="G13" i="13"/>
  <c r="H13" i="13"/>
  <c r="I13" i="13"/>
  <c r="J13" i="13"/>
  <c r="K13" i="13"/>
  <c r="L13" i="13"/>
  <c r="M13" i="13"/>
  <c r="B14" i="13"/>
  <c r="N14" i="13" s="1"/>
  <c r="C14" i="13"/>
  <c r="D14" i="13"/>
  <c r="E14" i="13"/>
  <c r="F14" i="13"/>
  <c r="G14" i="13"/>
  <c r="H14" i="13"/>
  <c r="I14" i="13"/>
  <c r="J14" i="13"/>
  <c r="K14" i="13"/>
  <c r="L14" i="13"/>
  <c r="M14" i="13"/>
  <c r="B15" i="13"/>
  <c r="C15" i="13"/>
  <c r="D15" i="13"/>
  <c r="N15" i="13" s="1"/>
  <c r="E15" i="13"/>
  <c r="F15" i="13"/>
  <c r="G15" i="13"/>
  <c r="H15" i="13"/>
  <c r="I15" i="13"/>
  <c r="J15" i="13"/>
  <c r="K15" i="13"/>
  <c r="L15" i="13"/>
  <c r="M15" i="13"/>
  <c r="B18" i="13"/>
  <c r="N18" i="13" s="1"/>
  <c r="C18" i="13"/>
  <c r="D18" i="13"/>
  <c r="E18" i="13"/>
  <c r="F18" i="13"/>
  <c r="G18" i="13"/>
  <c r="H18" i="13"/>
  <c r="I18" i="13"/>
  <c r="J18" i="13"/>
  <c r="K18" i="13"/>
  <c r="L18" i="13"/>
  <c r="M18" i="13"/>
  <c r="B19" i="13"/>
  <c r="C19" i="13"/>
  <c r="D19" i="13"/>
  <c r="E19" i="13"/>
  <c r="F19" i="13"/>
  <c r="N19" i="13" s="1"/>
  <c r="G19" i="13"/>
  <c r="H19" i="13"/>
  <c r="I19" i="13"/>
  <c r="J19" i="13"/>
  <c r="K19" i="13"/>
  <c r="L19" i="13"/>
  <c r="M19" i="13"/>
  <c r="B20" i="13"/>
  <c r="N20" i="13" s="1"/>
  <c r="C20" i="13"/>
  <c r="D20" i="13"/>
  <c r="E20" i="13"/>
  <c r="F20" i="13"/>
  <c r="G20" i="13"/>
  <c r="H20" i="13"/>
  <c r="I20" i="13"/>
  <c r="J20" i="13"/>
  <c r="K20" i="13"/>
  <c r="L20" i="13"/>
  <c r="M20" i="13"/>
  <c r="B21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B22" i="13"/>
  <c r="N22" i="13" s="1"/>
  <c r="C22" i="13"/>
  <c r="D22" i="13"/>
  <c r="E22" i="13"/>
  <c r="F22" i="13"/>
  <c r="G22" i="13"/>
  <c r="H22" i="13"/>
  <c r="I22" i="13"/>
  <c r="J22" i="13"/>
  <c r="K22" i="13"/>
  <c r="L22" i="13"/>
  <c r="M22" i="13"/>
  <c r="B23" i="13"/>
  <c r="N23" i="13" s="1"/>
  <c r="C23" i="13"/>
  <c r="D23" i="13"/>
  <c r="E23" i="13"/>
  <c r="F23" i="13"/>
  <c r="G23" i="13"/>
  <c r="H23" i="13"/>
  <c r="I23" i="13"/>
  <c r="J23" i="13"/>
  <c r="K23" i="13"/>
  <c r="L23" i="13"/>
  <c r="M23" i="13"/>
  <c r="B26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B27" i="13"/>
  <c r="C27" i="13"/>
  <c r="N27" i="13" s="1"/>
  <c r="D27" i="13"/>
  <c r="E27" i="13"/>
  <c r="F27" i="13"/>
  <c r="G27" i="13"/>
  <c r="H27" i="13"/>
  <c r="I27" i="13"/>
  <c r="J27" i="13"/>
  <c r="K27" i="13"/>
  <c r="L27" i="13"/>
  <c r="M27" i="13"/>
  <c r="B28" i="13"/>
  <c r="C28" i="13"/>
  <c r="D28" i="13"/>
  <c r="E28" i="13"/>
  <c r="F28" i="13"/>
  <c r="N28" i="13" s="1"/>
  <c r="G28" i="13"/>
  <c r="H28" i="13"/>
  <c r="I28" i="13"/>
  <c r="J28" i="13"/>
  <c r="K28" i="13"/>
  <c r="L28" i="13"/>
  <c r="M28" i="13"/>
  <c r="B31" i="13"/>
  <c r="N31" i="13" s="1"/>
  <c r="C31" i="13"/>
  <c r="D31" i="13"/>
  <c r="E31" i="13"/>
  <c r="F31" i="13"/>
  <c r="G31" i="13"/>
  <c r="H31" i="13"/>
  <c r="I31" i="13"/>
  <c r="J31" i="13"/>
  <c r="K31" i="13"/>
  <c r="L31" i="13"/>
  <c r="M31" i="13"/>
  <c r="B32" i="13"/>
  <c r="N32" i="13" s="1"/>
  <c r="C32" i="13"/>
  <c r="D32" i="13"/>
  <c r="E32" i="13"/>
  <c r="F32" i="13"/>
  <c r="G32" i="13"/>
  <c r="H32" i="13"/>
  <c r="I32" i="13"/>
  <c r="J32" i="13"/>
  <c r="K32" i="13"/>
  <c r="L32" i="13"/>
  <c r="M32" i="13"/>
  <c r="B33" i="13"/>
  <c r="N33" i="13" s="1"/>
  <c r="C33" i="13"/>
  <c r="D33" i="13"/>
  <c r="E33" i="13"/>
  <c r="F33" i="13"/>
  <c r="G33" i="13"/>
  <c r="H33" i="13"/>
  <c r="I33" i="13"/>
  <c r="J33" i="13"/>
  <c r="K33" i="13"/>
  <c r="L33" i="13"/>
  <c r="M33" i="13"/>
  <c r="B34" i="13"/>
  <c r="C34" i="13"/>
  <c r="N34" i="13" s="1"/>
  <c r="D34" i="13"/>
  <c r="E34" i="13"/>
  <c r="F34" i="13"/>
  <c r="G34" i="13"/>
  <c r="H34" i="13"/>
  <c r="I34" i="13"/>
  <c r="J34" i="13"/>
  <c r="K34" i="13"/>
  <c r="L34" i="13"/>
  <c r="M34" i="13"/>
  <c r="B35" i="13"/>
  <c r="N35" i="13" s="1"/>
  <c r="C35" i="13"/>
  <c r="D35" i="13"/>
  <c r="E35" i="13"/>
  <c r="F35" i="13"/>
  <c r="G35" i="13"/>
  <c r="H35" i="13"/>
  <c r="I35" i="13"/>
  <c r="J35" i="13"/>
  <c r="K35" i="13"/>
  <c r="L35" i="13"/>
  <c r="M35" i="13"/>
  <c r="B36" i="13"/>
  <c r="C36" i="13"/>
  <c r="D36" i="13"/>
  <c r="N36" i="13" s="1"/>
  <c r="E36" i="13"/>
  <c r="F36" i="13"/>
  <c r="G36" i="13"/>
  <c r="H36" i="13"/>
  <c r="I36" i="13"/>
  <c r="J36" i="13"/>
  <c r="K36" i="13"/>
  <c r="L36" i="13"/>
  <c r="M36" i="13"/>
  <c r="B37" i="13"/>
  <c r="C37" i="13"/>
  <c r="D37" i="13"/>
  <c r="N37" i="13" s="1"/>
  <c r="E37" i="13"/>
  <c r="F37" i="13"/>
  <c r="G37" i="13"/>
  <c r="H37" i="13"/>
  <c r="I37" i="13"/>
  <c r="J37" i="13"/>
  <c r="K37" i="13"/>
  <c r="L37" i="13"/>
  <c r="M37" i="13"/>
  <c r="B40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B41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B42" i="13"/>
  <c r="C42" i="13"/>
  <c r="D42" i="13"/>
  <c r="E42" i="13"/>
  <c r="F42" i="13"/>
  <c r="G42" i="13"/>
  <c r="H42" i="13"/>
  <c r="I42" i="13"/>
  <c r="J42" i="13"/>
  <c r="K42" i="13"/>
  <c r="L42" i="13"/>
  <c r="M42" i="13"/>
  <c r="N42" i="13" s="1"/>
  <c r="B45" i="13"/>
  <c r="N45" i="13" s="1"/>
  <c r="C45" i="13"/>
  <c r="D45" i="13"/>
  <c r="E45" i="13"/>
  <c r="F45" i="13"/>
  <c r="G45" i="13"/>
  <c r="H45" i="13"/>
  <c r="I45" i="13"/>
  <c r="J45" i="13"/>
  <c r="K45" i="13"/>
  <c r="L45" i="13"/>
  <c r="M45" i="13"/>
  <c r="B46" i="13"/>
  <c r="N46" i="13" s="1"/>
  <c r="C46" i="13"/>
  <c r="D46" i="13"/>
  <c r="E46" i="13"/>
  <c r="F46" i="13"/>
  <c r="G46" i="13"/>
  <c r="H46" i="13"/>
  <c r="I46" i="13"/>
  <c r="J46" i="13"/>
  <c r="K46" i="13"/>
  <c r="L46" i="13"/>
  <c r="M46" i="13"/>
  <c r="B47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B48" i="13"/>
  <c r="N48" i="13" s="1"/>
  <c r="C48" i="13"/>
  <c r="D48" i="13"/>
  <c r="E48" i="13"/>
  <c r="F48" i="13"/>
  <c r="G48" i="13"/>
  <c r="H48" i="13"/>
  <c r="I48" i="13"/>
  <c r="J48" i="13"/>
  <c r="K48" i="13"/>
  <c r="L48" i="13"/>
  <c r="M48" i="13"/>
  <c r="B49" i="13"/>
  <c r="C49" i="13"/>
  <c r="D49" i="13"/>
  <c r="E49" i="13"/>
  <c r="F49" i="13"/>
  <c r="N49" i="13" s="1"/>
  <c r="G49" i="13"/>
  <c r="H49" i="13"/>
  <c r="I49" i="13"/>
  <c r="J49" i="13"/>
  <c r="K49" i="13"/>
  <c r="L49" i="13"/>
  <c r="M49" i="13"/>
  <c r="B52" i="13"/>
  <c r="N52" i="13" s="1"/>
  <c r="C52" i="13"/>
  <c r="D52" i="13"/>
  <c r="E52" i="13"/>
  <c r="F52" i="13"/>
  <c r="G52" i="13"/>
  <c r="H52" i="13"/>
  <c r="I52" i="13"/>
  <c r="J52" i="13"/>
  <c r="K52" i="13"/>
  <c r="L52" i="13"/>
  <c r="M52" i="13"/>
  <c r="B53" i="13"/>
  <c r="C53" i="13"/>
  <c r="D53" i="13"/>
  <c r="E53" i="13"/>
  <c r="N53" i="13" s="1"/>
  <c r="F53" i="13"/>
  <c r="G53" i="13"/>
  <c r="H53" i="13"/>
  <c r="I53" i="13"/>
  <c r="J53" i="13"/>
  <c r="K53" i="13"/>
  <c r="L53" i="13"/>
  <c r="M53" i="13"/>
  <c r="B54" i="13"/>
  <c r="N54" i="13" s="1"/>
  <c r="C54" i="13"/>
  <c r="D54" i="13"/>
  <c r="E54" i="13"/>
  <c r="F54" i="13"/>
  <c r="G54" i="13"/>
  <c r="H54" i="13"/>
  <c r="I54" i="13"/>
  <c r="J54" i="13"/>
  <c r="K54" i="13"/>
  <c r="L54" i="13"/>
  <c r="M54" i="13"/>
  <c r="B55" i="13"/>
  <c r="C55" i="13"/>
  <c r="D55" i="13"/>
  <c r="N55" i="13" s="1"/>
  <c r="E55" i="13"/>
  <c r="F55" i="13"/>
  <c r="G55" i="13"/>
  <c r="H55" i="13"/>
  <c r="I55" i="13"/>
  <c r="J55" i="13"/>
  <c r="K55" i="13"/>
  <c r="L55" i="13"/>
  <c r="M55" i="13"/>
  <c r="B56" i="13"/>
  <c r="N56" i="13" s="1"/>
  <c r="C56" i="13"/>
  <c r="D56" i="13"/>
  <c r="E56" i="13"/>
  <c r="F56" i="13"/>
  <c r="G56" i="13"/>
  <c r="H56" i="13"/>
  <c r="I56" i="13"/>
  <c r="J56" i="13"/>
  <c r="K56" i="13"/>
  <c r="L56" i="13"/>
  <c r="M56" i="13"/>
  <c r="B57" i="13"/>
  <c r="C57" i="13"/>
  <c r="D57" i="13"/>
  <c r="E57" i="13"/>
  <c r="F57" i="13"/>
  <c r="N57" i="13" s="1"/>
  <c r="G57" i="13"/>
  <c r="H57" i="13"/>
  <c r="I57" i="13"/>
  <c r="J57" i="13"/>
  <c r="K57" i="13"/>
  <c r="L57" i="13"/>
  <c r="M57" i="13"/>
  <c r="B58" i="13"/>
  <c r="C58" i="13"/>
  <c r="N58" i="13" s="1"/>
  <c r="D58" i="13"/>
  <c r="E58" i="13"/>
  <c r="F58" i="13"/>
  <c r="G58" i="13"/>
  <c r="H58" i="13"/>
  <c r="I58" i="13"/>
  <c r="J58" i="13"/>
  <c r="K58" i="13"/>
  <c r="L58" i="13"/>
  <c r="M58" i="13"/>
  <c r="B59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B60" i="13"/>
  <c r="N60" i="13" s="1"/>
  <c r="C60" i="13"/>
  <c r="D60" i="13"/>
  <c r="E60" i="13"/>
  <c r="F60" i="13"/>
  <c r="G60" i="13"/>
  <c r="H60" i="13"/>
  <c r="I60" i="13"/>
  <c r="J60" i="13"/>
  <c r="K60" i="13"/>
  <c r="L60" i="13"/>
  <c r="M60" i="13"/>
  <c r="B61" i="13"/>
  <c r="N61" i="13" s="1"/>
  <c r="C61" i="13"/>
  <c r="D61" i="13"/>
  <c r="E61" i="13"/>
  <c r="F61" i="13"/>
  <c r="G61" i="13"/>
  <c r="H61" i="13"/>
  <c r="I61" i="13"/>
  <c r="J61" i="13"/>
  <c r="K61" i="13"/>
  <c r="L61" i="13"/>
  <c r="M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B63" i="13"/>
  <c r="N63" i="13" s="1"/>
  <c r="C63" i="13"/>
  <c r="D63" i="13"/>
  <c r="E63" i="13"/>
  <c r="F63" i="13"/>
  <c r="G63" i="13"/>
  <c r="H63" i="13"/>
  <c r="I63" i="13"/>
  <c r="J63" i="13"/>
  <c r="K63" i="13"/>
  <c r="L63" i="13"/>
  <c r="M63" i="13"/>
  <c r="B64" i="13"/>
  <c r="C64" i="13"/>
  <c r="D64" i="13"/>
  <c r="E64" i="13"/>
  <c r="F64" i="13"/>
  <c r="N64" i="13" s="1"/>
  <c r="G64" i="13"/>
  <c r="H64" i="13"/>
  <c r="I64" i="13"/>
  <c r="J64" i="13"/>
  <c r="K64" i="13"/>
  <c r="L64" i="13"/>
  <c r="M64" i="13"/>
  <c r="B65" i="13"/>
  <c r="N65" i="13" s="1"/>
  <c r="C65" i="13"/>
  <c r="D65" i="13"/>
  <c r="E65" i="13"/>
  <c r="F65" i="13"/>
  <c r="G65" i="13"/>
  <c r="H65" i="13"/>
  <c r="I65" i="13"/>
  <c r="J65" i="13"/>
  <c r="K65" i="13"/>
  <c r="L65" i="13"/>
  <c r="M65" i="13"/>
  <c r="B66" i="13"/>
  <c r="N66" i="13" s="1"/>
  <c r="C66" i="13"/>
  <c r="D66" i="13"/>
  <c r="E66" i="13"/>
  <c r="F66" i="13"/>
  <c r="G66" i="13"/>
  <c r="H66" i="13"/>
  <c r="I66" i="13"/>
  <c r="J66" i="13"/>
  <c r="K66" i="13"/>
  <c r="L66" i="13"/>
  <c r="M66" i="13"/>
  <c r="B69" i="13"/>
  <c r="N69" i="13" s="1"/>
  <c r="C69" i="13"/>
  <c r="D69" i="13"/>
  <c r="E69" i="13"/>
  <c r="F69" i="13"/>
  <c r="G69" i="13"/>
  <c r="H69" i="13"/>
  <c r="I69" i="13"/>
  <c r="J69" i="13"/>
  <c r="K69" i="13"/>
  <c r="L69" i="13"/>
  <c r="M69" i="13"/>
  <c r="B70" i="13"/>
  <c r="C70" i="13"/>
  <c r="N70" i="13" s="1"/>
  <c r="D70" i="13"/>
  <c r="E70" i="13"/>
  <c r="F70" i="13"/>
  <c r="G70" i="13"/>
  <c r="H70" i="13"/>
  <c r="I70" i="13"/>
  <c r="J70" i="13"/>
  <c r="K70" i="13"/>
  <c r="L70" i="13"/>
  <c r="M70" i="13"/>
  <c r="B71" i="13"/>
  <c r="N71" i="13" s="1"/>
  <c r="C71" i="13"/>
  <c r="D71" i="13"/>
  <c r="E71" i="13"/>
  <c r="F71" i="13"/>
  <c r="G71" i="13"/>
  <c r="H71" i="13"/>
  <c r="I71" i="13"/>
  <c r="J71" i="13"/>
  <c r="K71" i="13"/>
  <c r="L71" i="13"/>
  <c r="M71" i="13"/>
  <c r="B74" i="13"/>
  <c r="N74" i="13" s="1"/>
  <c r="C74" i="13"/>
  <c r="D74" i="13"/>
  <c r="E74" i="13"/>
  <c r="F74" i="13"/>
  <c r="G74" i="13"/>
  <c r="H74" i="13"/>
  <c r="I74" i="13"/>
  <c r="J74" i="13"/>
  <c r="K74" i="13"/>
  <c r="L74" i="13"/>
  <c r="M74" i="13"/>
  <c r="B75" i="13"/>
  <c r="C75" i="13"/>
  <c r="D75" i="13"/>
  <c r="N75" i="13" s="1"/>
  <c r="E75" i="13"/>
  <c r="F75" i="13"/>
  <c r="G75" i="13"/>
  <c r="H75" i="13"/>
  <c r="I75" i="13"/>
  <c r="J75" i="13"/>
  <c r="K75" i="13"/>
  <c r="L75" i="13"/>
  <c r="M75" i="13"/>
  <c r="B76" i="13"/>
  <c r="C76" i="13"/>
  <c r="D76" i="13"/>
  <c r="E76" i="13"/>
  <c r="F76" i="13"/>
  <c r="G76" i="13"/>
  <c r="H76" i="13"/>
  <c r="I76" i="13"/>
  <c r="J76" i="13"/>
  <c r="K76" i="13"/>
  <c r="L76" i="13"/>
  <c r="M76" i="13"/>
  <c r="N76" i="13"/>
  <c r="B77" i="13"/>
  <c r="C77" i="13"/>
  <c r="D77" i="13"/>
  <c r="E77" i="13"/>
  <c r="F77" i="13"/>
  <c r="G77" i="13"/>
  <c r="H77" i="13"/>
  <c r="I77" i="13"/>
  <c r="J77" i="13"/>
  <c r="K77" i="13"/>
  <c r="L77" i="13"/>
  <c r="M77" i="13"/>
  <c r="N77" i="13"/>
  <c r="B78" i="13"/>
  <c r="C78" i="13"/>
  <c r="D78" i="13"/>
  <c r="E78" i="13"/>
  <c r="F78" i="13"/>
  <c r="G78" i="13"/>
  <c r="H78" i="13"/>
  <c r="I78" i="13"/>
  <c r="J78" i="13"/>
  <c r="K78" i="13"/>
  <c r="L78" i="13"/>
  <c r="M78" i="13"/>
  <c r="N78" i="13"/>
  <c r="B79" i="13"/>
  <c r="N79" i="13" s="1"/>
  <c r="C79" i="13"/>
  <c r="D79" i="13"/>
  <c r="E79" i="13"/>
  <c r="F79" i="13"/>
  <c r="G79" i="13"/>
  <c r="H79" i="13"/>
  <c r="I79" i="13"/>
  <c r="J79" i="13"/>
  <c r="K79" i="13"/>
  <c r="L79" i="13"/>
  <c r="M79" i="13"/>
  <c r="B80" i="13"/>
  <c r="N80" i="13" s="1"/>
  <c r="C80" i="13"/>
  <c r="D80" i="13"/>
  <c r="E80" i="13"/>
  <c r="F80" i="13"/>
  <c r="G80" i="13"/>
  <c r="H80" i="13"/>
  <c r="I80" i="13"/>
  <c r="J80" i="13"/>
  <c r="K80" i="13"/>
  <c r="L80" i="13"/>
  <c r="M80" i="13"/>
  <c r="B81" i="13"/>
  <c r="C81" i="13"/>
  <c r="D81" i="13"/>
  <c r="E81" i="13"/>
  <c r="F81" i="13"/>
  <c r="G81" i="13"/>
  <c r="H81" i="13"/>
  <c r="I81" i="13"/>
  <c r="J81" i="13"/>
  <c r="K81" i="13"/>
  <c r="L81" i="13"/>
  <c r="M81" i="13"/>
  <c r="N81" i="13"/>
  <c r="B84" i="13"/>
  <c r="N84" i="13" s="1"/>
  <c r="C84" i="13"/>
  <c r="D84" i="13"/>
  <c r="E84" i="13"/>
  <c r="F84" i="13"/>
  <c r="G84" i="13"/>
  <c r="H84" i="13"/>
  <c r="I84" i="13"/>
  <c r="J84" i="13"/>
  <c r="K84" i="13"/>
  <c r="L84" i="13"/>
  <c r="M84" i="13"/>
  <c r="B85" i="13"/>
  <c r="C85" i="13"/>
  <c r="D85" i="13"/>
  <c r="E85" i="13"/>
  <c r="F85" i="13"/>
  <c r="N85" i="13" s="1"/>
  <c r="G85" i="13"/>
  <c r="H85" i="13"/>
  <c r="I85" i="13"/>
  <c r="J85" i="13"/>
  <c r="K85" i="13"/>
  <c r="L85" i="13"/>
  <c r="M85" i="13"/>
  <c r="B86" i="13"/>
  <c r="N86" i="13" s="1"/>
  <c r="C86" i="13"/>
  <c r="D86" i="13"/>
  <c r="E86" i="13"/>
  <c r="F86" i="13"/>
  <c r="G86" i="13"/>
  <c r="H86" i="13"/>
  <c r="I86" i="13"/>
  <c r="J86" i="13"/>
  <c r="K86" i="13"/>
  <c r="L86" i="13"/>
  <c r="M86" i="13"/>
  <c r="B87" i="13"/>
  <c r="C87" i="13"/>
  <c r="D87" i="13"/>
  <c r="E87" i="13"/>
  <c r="F87" i="13"/>
  <c r="N87" i="13" s="1"/>
  <c r="G87" i="13"/>
  <c r="H87" i="13"/>
  <c r="I87" i="13"/>
  <c r="J87" i="13"/>
  <c r="K87" i="13"/>
  <c r="L87" i="13"/>
  <c r="M87" i="13"/>
  <c r="B90" i="13"/>
  <c r="N90" i="13" s="1"/>
  <c r="C90" i="13"/>
  <c r="D90" i="13"/>
  <c r="E90" i="13"/>
  <c r="F90" i="13"/>
  <c r="G90" i="13"/>
  <c r="H90" i="13"/>
  <c r="I90" i="13"/>
  <c r="J90" i="13"/>
  <c r="K90" i="13"/>
  <c r="L90" i="13"/>
  <c r="M90" i="13"/>
  <c r="B91" i="13"/>
  <c r="C91" i="13"/>
  <c r="D91" i="13"/>
  <c r="N91" i="13" s="1"/>
  <c r="E91" i="13"/>
  <c r="F91" i="13"/>
  <c r="G91" i="13"/>
  <c r="H91" i="13"/>
  <c r="I91" i="13"/>
  <c r="J91" i="13"/>
  <c r="K91" i="13"/>
  <c r="L91" i="13"/>
  <c r="M91" i="13"/>
  <c r="B94" i="13"/>
  <c r="N94" i="13" s="1"/>
  <c r="C94" i="13"/>
  <c r="D94" i="13"/>
  <c r="E94" i="13"/>
  <c r="F94" i="13"/>
  <c r="G94" i="13"/>
  <c r="H94" i="13"/>
  <c r="I94" i="13"/>
  <c r="J94" i="13"/>
  <c r="K94" i="13"/>
  <c r="L94" i="13"/>
  <c r="M94" i="13"/>
  <c r="B95" i="13"/>
  <c r="C95" i="13"/>
  <c r="D95" i="13"/>
  <c r="E95" i="13"/>
  <c r="F95" i="13"/>
  <c r="G95" i="13"/>
  <c r="N95" i="13" s="1"/>
  <c r="H95" i="13"/>
  <c r="I95" i="13"/>
  <c r="J95" i="13"/>
  <c r="K95" i="13"/>
  <c r="L95" i="13"/>
  <c r="M95" i="13"/>
  <c r="B96" i="13"/>
  <c r="C96" i="13"/>
  <c r="N96" i="13" s="1"/>
  <c r="D96" i="13"/>
  <c r="E96" i="13"/>
  <c r="F96" i="13"/>
  <c r="G96" i="13"/>
  <c r="H96" i="13"/>
  <c r="I96" i="13"/>
  <c r="J96" i="13"/>
  <c r="K96" i="13"/>
  <c r="L96" i="13"/>
  <c r="M96" i="13"/>
  <c r="B97" i="13"/>
  <c r="C97" i="13"/>
  <c r="D97" i="13"/>
  <c r="E97" i="13"/>
  <c r="F97" i="13"/>
  <c r="G97" i="13"/>
  <c r="H97" i="13"/>
  <c r="I97" i="13"/>
  <c r="J97" i="13"/>
  <c r="K97" i="13"/>
  <c r="L97" i="13"/>
  <c r="M97" i="13"/>
  <c r="N97" i="13"/>
  <c r="B98" i="13"/>
  <c r="C98" i="13"/>
  <c r="D98" i="13"/>
  <c r="E98" i="13"/>
  <c r="F98" i="13"/>
  <c r="G98" i="13"/>
  <c r="H98" i="13"/>
  <c r="I98" i="13"/>
  <c r="J98" i="13"/>
  <c r="K98" i="13"/>
  <c r="N98" i="13" s="1"/>
  <c r="L98" i="13"/>
  <c r="M98" i="13"/>
  <c r="B99" i="13"/>
  <c r="N99" i="13" s="1"/>
  <c r="C99" i="13"/>
  <c r="D99" i="13"/>
  <c r="E99" i="13"/>
  <c r="F99" i="13"/>
  <c r="G99" i="13"/>
  <c r="H99" i="13"/>
  <c r="I99" i="13"/>
  <c r="J99" i="13"/>
  <c r="K99" i="13"/>
  <c r="L99" i="13"/>
  <c r="M99" i="13"/>
  <c r="B100" i="13"/>
  <c r="C100" i="13"/>
  <c r="D100" i="13"/>
  <c r="E100" i="13"/>
  <c r="F100" i="13"/>
  <c r="G100" i="13"/>
  <c r="H100" i="13"/>
  <c r="I100" i="13"/>
  <c r="J100" i="13"/>
  <c r="K100" i="13"/>
  <c r="L100" i="13"/>
  <c r="M100" i="13"/>
  <c r="N100" i="13"/>
  <c r="B101" i="13"/>
  <c r="C101" i="13"/>
  <c r="N101" i="13" s="1"/>
  <c r="D101" i="13"/>
  <c r="E101" i="13"/>
  <c r="F101" i="13"/>
  <c r="G101" i="13"/>
  <c r="H101" i="13"/>
  <c r="I101" i="13"/>
  <c r="J101" i="13"/>
  <c r="K101" i="13"/>
  <c r="L101" i="13"/>
  <c r="M101" i="13"/>
  <c r="B102" i="13"/>
  <c r="C102" i="13"/>
  <c r="D102" i="13"/>
  <c r="E102" i="13"/>
  <c r="F102" i="13"/>
  <c r="G102" i="13"/>
  <c r="H102" i="13"/>
  <c r="I102" i="13"/>
  <c r="J102" i="13"/>
  <c r="K102" i="13"/>
  <c r="L102" i="13"/>
  <c r="M102" i="13"/>
  <c r="N102" i="13"/>
  <c r="B103" i="13"/>
  <c r="N103" i="13" s="1"/>
  <c r="C103" i="13"/>
  <c r="D103" i="13"/>
  <c r="E103" i="13"/>
  <c r="F103" i="13"/>
  <c r="G103" i="13"/>
  <c r="H103" i="13"/>
  <c r="I103" i="13"/>
  <c r="J103" i="13"/>
  <c r="K103" i="13"/>
  <c r="L103" i="13"/>
  <c r="M103" i="13"/>
  <c r="B104" i="13"/>
  <c r="N104" i="13" s="1"/>
  <c r="C104" i="13"/>
  <c r="D104" i="13"/>
  <c r="E104" i="13"/>
  <c r="F104" i="13"/>
  <c r="G104" i="13"/>
  <c r="H104" i="13"/>
  <c r="I104" i="13"/>
  <c r="J104" i="13"/>
  <c r="K104" i="13"/>
  <c r="L104" i="13"/>
  <c r="M104" i="13"/>
  <c r="B105" i="13"/>
  <c r="N105" i="13" s="1"/>
  <c r="C105" i="13"/>
  <c r="D105" i="13"/>
  <c r="E105" i="13"/>
  <c r="F105" i="13"/>
  <c r="G105" i="13"/>
  <c r="H105" i="13"/>
  <c r="I105" i="13"/>
  <c r="J105" i="13"/>
  <c r="K105" i="13"/>
  <c r="L105" i="13"/>
  <c r="M105" i="13"/>
  <c r="B106" i="13"/>
  <c r="C106" i="13"/>
  <c r="D106" i="13"/>
  <c r="N106" i="13" s="1"/>
  <c r="E106" i="13"/>
  <c r="F106" i="13"/>
  <c r="G106" i="13"/>
  <c r="H106" i="13"/>
  <c r="I106" i="13"/>
  <c r="J106" i="13"/>
  <c r="K106" i="13"/>
  <c r="L106" i="13"/>
  <c r="M106" i="13"/>
  <c r="B107" i="13"/>
  <c r="N107" i="13" s="1"/>
  <c r="C107" i="13"/>
  <c r="D107" i="13"/>
  <c r="E107" i="13"/>
  <c r="F107" i="13"/>
  <c r="G107" i="13"/>
  <c r="H107" i="13"/>
  <c r="I107" i="13"/>
  <c r="J107" i="13"/>
  <c r="K107" i="13"/>
  <c r="L107" i="13"/>
  <c r="M107" i="13"/>
  <c r="B108" i="13"/>
  <c r="N108" i="13" s="1"/>
  <c r="C108" i="13"/>
  <c r="D108" i="13"/>
  <c r="E108" i="13"/>
  <c r="F108" i="13"/>
  <c r="G108" i="13"/>
  <c r="H108" i="13"/>
  <c r="I108" i="13"/>
  <c r="J108" i="13"/>
  <c r="K108" i="13"/>
  <c r="L108" i="13"/>
  <c r="M108" i="13"/>
  <c r="B109" i="13"/>
  <c r="C109" i="13"/>
  <c r="N109" i="13" s="1"/>
  <c r="D109" i="13"/>
  <c r="E109" i="13"/>
  <c r="F109" i="13"/>
  <c r="G109" i="13"/>
  <c r="H109" i="13"/>
  <c r="I109" i="13"/>
  <c r="J109" i="13"/>
  <c r="K109" i="13"/>
  <c r="L109" i="13"/>
  <c r="M109" i="13"/>
  <c r="B110" i="13"/>
  <c r="C110" i="13"/>
  <c r="D110" i="13"/>
  <c r="E110" i="13"/>
  <c r="F110" i="13"/>
  <c r="G110" i="13"/>
  <c r="H110" i="13"/>
  <c r="I110" i="13"/>
  <c r="J110" i="13"/>
  <c r="K110" i="13"/>
  <c r="L110" i="13"/>
  <c r="M110" i="13"/>
  <c r="N110" i="13"/>
  <c r="B111" i="13"/>
  <c r="C111" i="13"/>
  <c r="D111" i="13"/>
  <c r="E111" i="13"/>
  <c r="F111" i="13"/>
  <c r="G111" i="13"/>
  <c r="H111" i="13"/>
  <c r="I111" i="13"/>
  <c r="J111" i="13"/>
  <c r="K111" i="13"/>
  <c r="L111" i="13"/>
  <c r="M111" i="13"/>
  <c r="N111" i="13"/>
  <c r="B114" i="13"/>
  <c r="C114" i="13"/>
  <c r="D114" i="13"/>
  <c r="E114" i="13"/>
  <c r="F114" i="13"/>
  <c r="G114" i="13"/>
  <c r="H114" i="13"/>
  <c r="I114" i="13"/>
  <c r="J114" i="13"/>
  <c r="K114" i="13"/>
  <c r="L114" i="13"/>
  <c r="M114" i="13"/>
  <c r="N114" i="13"/>
  <c r="B115" i="13"/>
  <c r="N115" i="13" s="1"/>
  <c r="C115" i="13"/>
  <c r="D115" i="13"/>
  <c r="E115" i="13"/>
  <c r="F115" i="13"/>
  <c r="G115" i="13"/>
  <c r="H115" i="13"/>
  <c r="I115" i="13"/>
  <c r="J115" i="13"/>
  <c r="K115" i="13"/>
  <c r="L115" i="13"/>
  <c r="M115" i="13"/>
  <c r="B116" i="13"/>
  <c r="N116" i="13" s="1"/>
  <c r="C116" i="13"/>
  <c r="D116" i="13"/>
  <c r="E116" i="13"/>
  <c r="F116" i="13"/>
  <c r="G116" i="13"/>
  <c r="H116" i="13"/>
  <c r="I116" i="13"/>
  <c r="J116" i="13"/>
  <c r="K116" i="13"/>
  <c r="L116" i="13"/>
  <c r="M116" i="13"/>
  <c r="B117" i="13"/>
  <c r="C117" i="13"/>
  <c r="D117" i="13"/>
  <c r="E117" i="13"/>
  <c r="F117" i="13"/>
  <c r="G117" i="13"/>
  <c r="H117" i="13"/>
  <c r="I117" i="13"/>
  <c r="J117" i="13"/>
  <c r="K117" i="13"/>
  <c r="L117" i="13"/>
  <c r="M117" i="13"/>
  <c r="N117" i="13"/>
  <c r="B118" i="13"/>
  <c r="N118" i="13" s="1"/>
  <c r="C118" i="13"/>
  <c r="D118" i="13"/>
  <c r="E118" i="13"/>
  <c r="F118" i="13"/>
  <c r="G118" i="13"/>
  <c r="H118" i="13"/>
  <c r="I118" i="13"/>
  <c r="J118" i="13"/>
  <c r="K118" i="13"/>
  <c r="L118" i="13"/>
  <c r="M118" i="13"/>
  <c r="B119" i="13"/>
  <c r="C119" i="13"/>
  <c r="D119" i="13"/>
  <c r="E119" i="13"/>
  <c r="F119" i="13"/>
  <c r="N119" i="13" s="1"/>
  <c r="G119" i="13"/>
  <c r="H119" i="13"/>
  <c r="I119" i="13"/>
  <c r="J119" i="13"/>
  <c r="K119" i="13"/>
  <c r="L119" i="13"/>
  <c r="M119" i="13"/>
  <c r="B4" i="13"/>
  <c r="C4" i="13"/>
  <c r="D4" i="13"/>
  <c r="E4" i="13"/>
  <c r="F4" i="13"/>
  <c r="G4" i="13"/>
  <c r="H4" i="13"/>
  <c r="I4" i="13"/>
  <c r="J4" i="13"/>
  <c r="K4" i="13"/>
  <c r="L4" i="13"/>
  <c r="M4" i="13"/>
  <c r="B16" i="12"/>
  <c r="D16" i="12" s="1"/>
  <c r="C16" i="12"/>
  <c r="B17" i="12"/>
  <c r="D17" i="12" s="1"/>
  <c r="C17" i="12"/>
  <c r="B18" i="12"/>
  <c r="D18" i="12" s="1"/>
  <c r="C18" i="12"/>
  <c r="B19" i="12"/>
  <c r="C19" i="12"/>
  <c r="D19" i="12"/>
  <c r="B20" i="12"/>
  <c r="C20" i="12"/>
  <c r="D20" i="12"/>
  <c r="B21" i="12"/>
  <c r="D21" i="12" s="1"/>
  <c r="C21" i="12"/>
  <c r="B22" i="12"/>
  <c r="C22" i="12"/>
  <c r="D22" i="12"/>
  <c r="B23" i="12"/>
  <c r="C23" i="12"/>
  <c r="D23" i="12"/>
  <c r="B24" i="12"/>
  <c r="C24" i="12"/>
  <c r="D24" i="12"/>
  <c r="B25" i="12"/>
  <c r="D25" i="12" s="1"/>
  <c r="C25" i="12"/>
  <c r="B28" i="12"/>
  <c r="C28" i="12"/>
  <c r="D28" i="12"/>
  <c r="B29" i="12"/>
  <c r="C29" i="12"/>
  <c r="D29" i="12" s="1"/>
  <c r="B30" i="12"/>
  <c r="C30" i="12"/>
  <c r="D30" i="12" s="1"/>
  <c r="B31" i="12"/>
  <c r="C31" i="12"/>
  <c r="D31" i="12"/>
  <c r="B32" i="12"/>
  <c r="D32" i="12" s="1"/>
  <c r="C32" i="12"/>
  <c r="B33" i="12"/>
  <c r="D33" i="12" s="1"/>
  <c r="C33" i="12"/>
  <c r="B36" i="12"/>
  <c r="C36" i="12"/>
  <c r="D36" i="12"/>
  <c r="B37" i="12"/>
  <c r="C37" i="12"/>
  <c r="D37" i="12"/>
  <c r="B38" i="12"/>
  <c r="D38" i="12" s="1"/>
  <c r="C38" i="12"/>
  <c r="B41" i="12"/>
  <c r="C41" i="12"/>
  <c r="D41" i="12"/>
  <c r="B42" i="12"/>
  <c r="D42" i="12" s="1"/>
  <c r="C42" i="12"/>
  <c r="B43" i="12"/>
  <c r="C43" i="12"/>
  <c r="D43" i="12"/>
  <c r="B44" i="12"/>
  <c r="C44" i="12"/>
  <c r="D44" i="12"/>
  <c r="B45" i="12"/>
  <c r="C45" i="12"/>
  <c r="D45" i="12"/>
  <c r="B46" i="12"/>
  <c r="C46" i="12"/>
  <c r="D46" i="12"/>
  <c r="B47" i="12"/>
  <c r="C47" i="12"/>
  <c r="D47" i="12"/>
  <c r="B50" i="12"/>
  <c r="C50" i="12"/>
  <c r="D50" i="12"/>
  <c r="B51" i="12"/>
  <c r="C51" i="12"/>
  <c r="D51" i="12"/>
  <c r="B52" i="12"/>
  <c r="D52" i="12" s="1"/>
  <c r="C52" i="12"/>
  <c r="B55" i="12"/>
  <c r="C55" i="12"/>
  <c r="D55" i="12" s="1"/>
  <c r="B56" i="12"/>
  <c r="D56" i="12" s="1"/>
  <c r="C56" i="12"/>
  <c r="B57" i="12"/>
  <c r="C57" i="12"/>
  <c r="D57" i="12"/>
  <c r="B58" i="12"/>
  <c r="C58" i="12"/>
  <c r="D58" i="12"/>
  <c r="B59" i="12"/>
  <c r="C59" i="12"/>
  <c r="D59" i="12"/>
  <c r="B62" i="12"/>
  <c r="C62" i="12"/>
  <c r="D62" i="12"/>
  <c r="B63" i="12"/>
  <c r="C63" i="12"/>
  <c r="D63" i="12"/>
  <c r="B64" i="12"/>
  <c r="C64" i="12"/>
  <c r="D64" i="12"/>
  <c r="B65" i="12"/>
  <c r="D65" i="12" s="1"/>
  <c r="C65" i="12"/>
  <c r="B66" i="12"/>
  <c r="C66" i="12"/>
  <c r="D66" i="12"/>
  <c r="B67" i="12"/>
  <c r="D67" i="12" s="1"/>
  <c r="C67" i="12"/>
  <c r="B68" i="12"/>
  <c r="C68" i="12"/>
  <c r="D68" i="12" s="1"/>
  <c r="B69" i="12"/>
  <c r="C69" i="12"/>
  <c r="D69" i="12"/>
  <c r="B70" i="12"/>
  <c r="D70" i="12" s="1"/>
  <c r="C70" i="12"/>
  <c r="B71" i="12"/>
  <c r="C71" i="12"/>
  <c r="D71" i="12"/>
  <c r="B72" i="12"/>
  <c r="C72" i="12"/>
  <c r="D72" i="12"/>
  <c r="B73" i="12"/>
  <c r="C73" i="12"/>
  <c r="D73" i="12"/>
  <c r="B74" i="12"/>
  <c r="D74" i="12" s="1"/>
  <c r="C74" i="12"/>
  <c r="B75" i="12"/>
  <c r="D75" i="12" s="1"/>
  <c r="C75" i="12"/>
  <c r="B76" i="12"/>
  <c r="D76" i="12" s="1"/>
  <c r="C76" i="12"/>
  <c r="B79" i="12"/>
  <c r="C79" i="12"/>
  <c r="D79" i="12"/>
  <c r="B80" i="12"/>
  <c r="C80" i="12"/>
  <c r="D80" i="12"/>
  <c r="B81" i="12"/>
  <c r="C81" i="12"/>
  <c r="D81" i="12"/>
  <c r="B84" i="12"/>
  <c r="C84" i="12"/>
  <c r="D84" i="12"/>
  <c r="B85" i="12"/>
  <c r="C85" i="12"/>
  <c r="D85" i="12"/>
  <c r="B86" i="12"/>
  <c r="C86" i="12"/>
  <c r="D86" i="12"/>
  <c r="B87" i="12"/>
  <c r="C87" i="12"/>
  <c r="D87" i="12" s="1"/>
  <c r="B88" i="12"/>
  <c r="D88" i="12" s="1"/>
  <c r="C88" i="12"/>
  <c r="B89" i="12"/>
  <c r="C89" i="12"/>
  <c r="D89" i="12" s="1"/>
  <c r="B90" i="12"/>
  <c r="D90" i="12" s="1"/>
  <c r="C90" i="12"/>
  <c r="B91" i="12"/>
  <c r="C91" i="12"/>
  <c r="D91" i="12"/>
  <c r="B94" i="12"/>
  <c r="C94" i="12"/>
  <c r="D94" i="12"/>
  <c r="B95" i="12"/>
  <c r="C95" i="12"/>
  <c r="D95" i="12"/>
  <c r="B96" i="12"/>
  <c r="C96" i="12"/>
  <c r="D96" i="12"/>
  <c r="B97" i="12"/>
  <c r="C97" i="12"/>
  <c r="D97" i="12" s="1"/>
  <c r="B100" i="12"/>
  <c r="C100" i="12"/>
  <c r="D100" i="12" s="1"/>
  <c r="B101" i="12"/>
  <c r="D101" i="12" s="1"/>
  <c r="C101" i="12"/>
  <c r="B104" i="12"/>
  <c r="C104" i="12"/>
  <c r="D104" i="12"/>
  <c r="B105" i="12"/>
  <c r="C105" i="12"/>
  <c r="D105" i="12" s="1"/>
  <c r="B106" i="12"/>
  <c r="C106" i="12"/>
  <c r="D106" i="12" s="1"/>
  <c r="B107" i="12"/>
  <c r="C107" i="12"/>
  <c r="D107" i="12"/>
  <c r="B108" i="12"/>
  <c r="D108" i="12" s="1"/>
  <c r="C108" i="12"/>
  <c r="B109" i="12"/>
  <c r="C109" i="12"/>
  <c r="D109" i="12" s="1"/>
  <c r="B110" i="12"/>
  <c r="C110" i="12"/>
  <c r="D110" i="12"/>
  <c r="B111" i="12"/>
  <c r="C111" i="12"/>
  <c r="D111" i="12"/>
  <c r="B112" i="12"/>
  <c r="D112" i="12" s="1"/>
  <c r="C112" i="12"/>
  <c r="B113" i="12"/>
  <c r="D113" i="12" s="1"/>
  <c r="C113" i="12"/>
  <c r="B114" i="12"/>
  <c r="C114" i="12"/>
  <c r="D114" i="12"/>
  <c r="B115" i="12"/>
  <c r="D115" i="12" s="1"/>
  <c r="C115" i="12"/>
  <c r="B116" i="12"/>
  <c r="C116" i="12"/>
  <c r="D116" i="12"/>
  <c r="B117" i="12"/>
  <c r="C117" i="12"/>
  <c r="D117" i="12"/>
  <c r="B118" i="12"/>
  <c r="C118" i="12"/>
  <c r="D118" i="12"/>
  <c r="B119" i="12"/>
  <c r="C119" i="12"/>
  <c r="D119" i="12"/>
  <c r="B120" i="12"/>
  <c r="C120" i="12"/>
  <c r="D120" i="12"/>
  <c r="B121" i="12"/>
  <c r="C121" i="12"/>
  <c r="D121" i="12"/>
  <c r="B124" i="12"/>
  <c r="D124" i="12" s="1"/>
  <c r="C124" i="12"/>
  <c r="B125" i="12"/>
  <c r="C125" i="12"/>
  <c r="D125" i="12" s="1"/>
  <c r="B126" i="12"/>
  <c r="D126" i="12" s="1"/>
  <c r="C126" i="12"/>
  <c r="B127" i="12"/>
  <c r="C127" i="12"/>
  <c r="D127" i="12"/>
  <c r="B128" i="12"/>
  <c r="C128" i="12"/>
  <c r="D128" i="12"/>
  <c r="B129" i="12"/>
  <c r="C129" i="12"/>
  <c r="D129" i="12"/>
  <c r="B132" i="12"/>
  <c r="C132" i="12"/>
  <c r="D132" i="12"/>
  <c r="B133" i="12"/>
  <c r="C133" i="12"/>
  <c r="D133" i="12"/>
  <c r="B11" i="12"/>
  <c r="B10" i="12"/>
  <c r="B9" i="12"/>
  <c r="C23" i="10" a="1"/>
  <c r="C23" i="10" s="1"/>
  <c r="A23" i="10" a="1"/>
  <c r="A23" i="10" s="1"/>
  <c r="C6" i="10"/>
  <c r="C5" i="10"/>
  <c r="A3" i="3"/>
  <c r="B3" i="3"/>
  <c r="H3" i="3" s="1"/>
  <c r="C3" i="3"/>
  <c r="D3" i="3"/>
  <c r="E3" i="3"/>
  <c r="F3" i="3"/>
  <c r="G3" i="3"/>
  <c r="I3" i="3" s="1"/>
  <c r="A4" i="3"/>
  <c r="B4" i="3"/>
  <c r="C4" i="3"/>
  <c r="D4" i="3"/>
  <c r="E4" i="3"/>
  <c r="F4" i="3"/>
  <c r="G4" i="3"/>
  <c r="H4" i="3"/>
  <c r="J4" i="3"/>
  <c r="A5" i="3"/>
  <c r="B5" i="3"/>
  <c r="C5" i="3"/>
  <c r="D5" i="3"/>
  <c r="E5" i="3"/>
  <c r="F5" i="3"/>
  <c r="G5" i="3"/>
  <c r="H5" i="3"/>
  <c r="A6" i="3"/>
  <c r="B6" i="3"/>
  <c r="H6" i="3" s="1"/>
  <c r="C6" i="3"/>
  <c r="D6" i="3"/>
  <c r="E6" i="3"/>
  <c r="F6" i="3"/>
  <c r="G6" i="3"/>
  <c r="I6" i="3" s="1"/>
  <c r="A7" i="3"/>
  <c r="B7" i="3"/>
  <c r="C7" i="3"/>
  <c r="D7" i="3"/>
  <c r="E7" i="3"/>
  <c r="F7" i="3"/>
  <c r="G7" i="3"/>
  <c r="J7" i="3" s="1"/>
  <c r="H7" i="3"/>
  <c r="I7" i="3"/>
  <c r="A8" i="3"/>
  <c r="B8" i="3"/>
  <c r="H8" i="3" s="1"/>
  <c r="C8" i="3"/>
  <c r="D8" i="3"/>
  <c r="E8" i="3"/>
  <c r="F8" i="3"/>
  <c r="G8" i="3"/>
  <c r="A9" i="3"/>
  <c r="B9" i="3"/>
  <c r="H9" i="3" s="1"/>
  <c r="C9" i="3"/>
  <c r="D9" i="3"/>
  <c r="E9" i="3"/>
  <c r="F9" i="3"/>
  <c r="G9" i="3"/>
  <c r="A10" i="3"/>
  <c r="B10" i="3"/>
  <c r="C10" i="3"/>
  <c r="D10" i="3"/>
  <c r="E10" i="3"/>
  <c r="F10" i="3"/>
  <c r="G10" i="3"/>
  <c r="I10" i="3" s="1"/>
  <c r="H10" i="3"/>
  <c r="J10" i="3"/>
  <c r="A11" i="3"/>
  <c r="B11" i="3"/>
  <c r="C11" i="3"/>
  <c r="D11" i="3"/>
  <c r="E11" i="3"/>
  <c r="F11" i="3"/>
  <c r="G11" i="3"/>
  <c r="H11" i="3"/>
  <c r="A12" i="3"/>
  <c r="B12" i="3"/>
  <c r="C12" i="3"/>
  <c r="D12" i="3"/>
  <c r="E12" i="3"/>
  <c r="F12" i="3"/>
  <c r="G12" i="3"/>
  <c r="H12" i="3"/>
  <c r="I12" i="3"/>
  <c r="J12" i="3"/>
  <c r="A13" i="3"/>
  <c r="B13" i="3"/>
  <c r="C13" i="3"/>
  <c r="D13" i="3"/>
  <c r="E13" i="3"/>
  <c r="F13" i="3"/>
  <c r="G13" i="3"/>
  <c r="I13" i="3" s="1"/>
  <c r="H13" i="3"/>
  <c r="A14" i="3"/>
  <c r="B14" i="3"/>
  <c r="H14" i="3" s="1"/>
  <c r="C14" i="3"/>
  <c r="D14" i="3"/>
  <c r="E14" i="3"/>
  <c r="F14" i="3"/>
  <c r="G14" i="3"/>
  <c r="J14" i="3" s="1"/>
  <c r="A15" i="3"/>
  <c r="B15" i="3"/>
  <c r="C15" i="3"/>
  <c r="D15" i="3"/>
  <c r="E15" i="3"/>
  <c r="F15" i="3"/>
  <c r="G15" i="3"/>
  <c r="J15" i="3" s="1"/>
  <c r="H15" i="3"/>
  <c r="I15" i="3"/>
  <c r="A16" i="3"/>
  <c r="B16" i="3"/>
  <c r="C16" i="3"/>
  <c r="D16" i="3"/>
  <c r="E16" i="3"/>
  <c r="F16" i="3"/>
  <c r="G16" i="3"/>
  <c r="H16" i="3"/>
  <c r="I16" i="3"/>
  <c r="J16" i="3"/>
  <c r="A17" i="3"/>
  <c r="B17" i="3"/>
  <c r="H17" i="3" s="1"/>
  <c r="C17" i="3"/>
  <c r="D17" i="3"/>
  <c r="E17" i="3"/>
  <c r="F17" i="3"/>
  <c r="G17" i="3"/>
  <c r="J17" i="3" s="1"/>
  <c r="I17" i="3"/>
  <c r="A18" i="3"/>
  <c r="B18" i="3"/>
  <c r="C18" i="3"/>
  <c r="D18" i="3"/>
  <c r="E18" i="3"/>
  <c r="F18" i="3"/>
  <c r="G18" i="3"/>
  <c r="H18" i="3"/>
  <c r="A19" i="3"/>
  <c r="B19" i="3"/>
  <c r="C19" i="3"/>
  <c r="D19" i="3"/>
  <c r="E19" i="3"/>
  <c r="F19" i="3"/>
  <c r="G19" i="3"/>
  <c r="H19" i="3"/>
  <c r="A20" i="3"/>
  <c r="B20" i="3"/>
  <c r="H20" i="3" s="1"/>
  <c r="C20" i="3"/>
  <c r="D20" i="3"/>
  <c r="E20" i="3"/>
  <c r="F20" i="3"/>
  <c r="G20" i="3"/>
  <c r="J20" i="3" s="1"/>
  <c r="I20" i="3"/>
  <c r="A21" i="3"/>
  <c r="B21" i="3"/>
  <c r="C21" i="3"/>
  <c r="D21" i="3"/>
  <c r="E21" i="3"/>
  <c r="F21" i="3"/>
  <c r="G21" i="3"/>
  <c r="J21" i="3" s="1"/>
  <c r="H21" i="3"/>
  <c r="I21" i="3"/>
  <c r="A22" i="3"/>
  <c r="B22" i="3"/>
  <c r="H22" i="3" s="1"/>
  <c r="C22" i="3"/>
  <c r="D22" i="3"/>
  <c r="E22" i="3"/>
  <c r="F22" i="3"/>
  <c r="G22" i="3"/>
  <c r="I22" i="3" s="1"/>
  <c r="J22" i="3"/>
  <c r="A23" i="3"/>
  <c r="B23" i="3"/>
  <c r="H23" i="3" s="1"/>
  <c r="C23" i="3"/>
  <c r="D23" i="3"/>
  <c r="E23" i="3"/>
  <c r="F23" i="3"/>
  <c r="G23" i="3"/>
  <c r="I23" i="3" s="1"/>
  <c r="J23" i="3"/>
  <c r="A24" i="3"/>
  <c r="B24" i="3"/>
  <c r="C24" i="3"/>
  <c r="D24" i="3"/>
  <c r="E24" i="3"/>
  <c r="F24" i="3"/>
  <c r="G24" i="3"/>
  <c r="I24" i="3" s="1"/>
  <c r="H24" i="3"/>
  <c r="A25" i="3"/>
  <c r="B25" i="3"/>
  <c r="H25" i="3" s="1"/>
  <c r="C25" i="3"/>
  <c r="D25" i="3"/>
  <c r="E25" i="3"/>
  <c r="F25" i="3"/>
  <c r="G25" i="3"/>
  <c r="J25" i="3" s="1"/>
  <c r="I25" i="3"/>
  <c r="A26" i="3"/>
  <c r="B26" i="3"/>
  <c r="C26" i="3"/>
  <c r="D26" i="3"/>
  <c r="E26" i="3"/>
  <c r="F26" i="3"/>
  <c r="G26" i="3"/>
  <c r="I26" i="3" s="1"/>
  <c r="H26" i="3"/>
  <c r="A27" i="3"/>
  <c r="B27" i="3"/>
  <c r="C27" i="3"/>
  <c r="D27" i="3"/>
  <c r="E27" i="3"/>
  <c r="F27" i="3"/>
  <c r="G27" i="3"/>
  <c r="H27" i="3"/>
  <c r="A28" i="3"/>
  <c r="B28" i="3"/>
  <c r="H28" i="3" s="1"/>
  <c r="C28" i="3"/>
  <c r="D28" i="3"/>
  <c r="E28" i="3"/>
  <c r="F28" i="3"/>
  <c r="G28" i="3"/>
  <c r="J28" i="3" s="1"/>
  <c r="I28" i="3"/>
  <c r="A29" i="3"/>
  <c r="B29" i="3"/>
  <c r="H29" i="3" s="1"/>
  <c r="C29" i="3"/>
  <c r="D29" i="3"/>
  <c r="E29" i="3"/>
  <c r="F29" i="3"/>
  <c r="G29" i="3"/>
  <c r="I29" i="3" s="1"/>
  <c r="A30" i="3"/>
  <c r="B30" i="3"/>
  <c r="C30" i="3"/>
  <c r="D30" i="3"/>
  <c r="E30" i="3"/>
  <c r="F30" i="3"/>
  <c r="G30" i="3"/>
  <c r="H30" i="3"/>
  <c r="I30" i="3"/>
  <c r="J30" i="3"/>
  <c r="A31" i="3"/>
  <c r="B31" i="3"/>
  <c r="H31" i="3" s="1"/>
  <c r="C31" i="3"/>
  <c r="D31" i="3"/>
  <c r="E31" i="3"/>
  <c r="F31" i="3"/>
  <c r="G31" i="3"/>
  <c r="I31" i="3"/>
  <c r="J31" i="3"/>
  <c r="A32" i="3"/>
  <c r="B32" i="3"/>
  <c r="H32" i="3" s="1"/>
  <c r="C32" i="3"/>
  <c r="D32" i="3"/>
  <c r="E32" i="3"/>
  <c r="F32" i="3"/>
  <c r="G32" i="3"/>
  <c r="I32" i="3" s="1"/>
  <c r="A33" i="3"/>
  <c r="B33" i="3"/>
  <c r="C33" i="3"/>
  <c r="D33" i="3"/>
  <c r="E33" i="3"/>
  <c r="F33" i="3"/>
  <c r="G33" i="3"/>
  <c r="H33" i="3"/>
  <c r="A34" i="3"/>
  <c r="B34" i="3"/>
  <c r="C34" i="3"/>
  <c r="D34" i="3"/>
  <c r="E34" i="3"/>
  <c r="F34" i="3"/>
  <c r="G34" i="3"/>
  <c r="H34" i="3"/>
  <c r="I34" i="3"/>
  <c r="J34" i="3"/>
  <c r="A35" i="3"/>
  <c r="B35" i="3"/>
  <c r="H35" i="3" s="1"/>
  <c r="C35" i="3"/>
  <c r="D35" i="3"/>
  <c r="E35" i="3"/>
  <c r="F35" i="3"/>
  <c r="G35" i="3"/>
  <c r="I35" i="3" s="1"/>
  <c r="A36" i="3"/>
  <c r="B36" i="3"/>
  <c r="H36" i="3" s="1"/>
  <c r="C36" i="3"/>
  <c r="D36" i="3"/>
  <c r="E36" i="3"/>
  <c r="F36" i="3"/>
  <c r="G36" i="3"/>
  <c r="I36" i="3"/>
  <c r="J36" i="3"/>
  <c r="A37" i="3"/>
  <c r="B37" i="3"/>
  <c r="C37" i="3"/>
  <c r="D37" i="3"/>
  <c r="E37" i="3"/>
  <c r="F37" i="3"/>
  <c r="G37" i="3"/>
  <c r="I37" i="3" s="1"/>
  <c r="H37" i="3"/>
  <c r="A38" i="3"/>
  <c r="B38" i="3"/>
  <c r="H38" i="3" s="1"/>
  <c r="C38" i="3"/>
  <c r="D38" i="3"/>
  <c r="E38" i="3"/>
  <c r="F38" i="3"/>
  <c r="G38" i="3"/>
  <c r="A39" i="3"/>
  <c r="B39" i="3"/>
  <c r="C39" i="3"/>
  <c r="D39" i="3"/>
  <c r="E39" i="3"/>
  <c r="F39" i="3"/>
  <c r="G39" i="3"/>
  <c r="I39" i="3" s="1"/>
  <c r="H39" i="3"/>
  <c r="A40" i="3"/>
  <c r="B40" i="3"/>
  <c r="C40" i="3"/>
  <c r="D40" i="3"/>
  <c r="E40" i="3"/>
  <c r="F40" i="3"/>
  <c r="G40" i="3"/>
  <c r="H40" i="3"/>
  <c r="A41" i="3"/>
  <c r="B41" i="3"/>
  <c r="C41" i="3"/>
  <c r="D41" i="3"/>
  <c r="E41" i="3"/>
  <c r="F41" i="3"/>
  <c r="G41" i="3"/>
  <c r="J41" i="3" s="1"/>
  <c r="H41" i="3"/>
  <c r="I41" i="3"/>
  <c r="A42" i="3"/>
  <c r="B42" i="3"/>
  <c r="C42" i="3"/>
  <c r="D42" i="3"/>
  <c r="E42" i="3"/>
  <c r="F42" i="3"/>
  <c r="G42" i="3"/>
  <c r="J42" i="3" s="1"/>
  <c r="H42" i="3"/>
  <c r="A43" i="3"/>
  <c r="B43" i="3"/>
  <c r="H43" i="3" s="1"/>
  <c r="C43" i="3"/>
  <c r="D43" i="3"/>
  <c r="E43" i="3"/>
  <c r="F43" i="3"/>
  <c r="G43" i="3"/>
  <c r="A44" i="3"/>
  <c r="B44" i="3"/>
  <c r="C44" i="3"/>
  <c r="D44" i="3"/>
  <c r="E44" i="3"/>
  <c r="F44" i="3"/>
  <c r="G44" i="3"/>
  <c r="H44" i="3"/>
  <c r="I44" i="3"/>
  <c r="J44" i="3"/>
  <c r="A45" i="3"/>
  <c r="B45" i="3"/>
  <c r="H45" i="3" s="1"/>
  <c r="C45" i="3"/>
  <c r="D45" i="3"/>
  <c r="E45" i="3"/>
  <c r="F45" i="3"/>
  <c r="G45" i="3"/>
  <c r="A46" i="3"/>
  <c r="B46" i="3"/>
  <c r="H46" i="3" s="1"/>
  <c r="C46" i="3"/>
  <c r="D46" i="3"/>
  <c r="E46" i="3"/>
  <c r="F46" i="3"/>
  <c r="G46" i="3"/>
  <c r="A47" i="3"/>
  <c r="B47" i="3"/>
  <c r="C47" i="3"/>
  <c r="D47" i="3"/>
  <c r="E47" i="3"/>
  <c r="F47" i="3"/>
  <c r="G47" i="3"/>
  <c r="H47" i="3"/>
  <c r="A48" i="3"/>
  <c r="B48" i="3"/>
  <c r="C48" i="3"/>
  <c r="D48" i="3"/>
  <c r="E48" i="3"/>
  <c r="F48" i="3"/>
  <c r="G48" i="3"/>
  <c r="H48" i="3"/>
  <c r="I48" i="3"/>
  <c r="J48" i="3"/>
  <c r="A49" i="3"/>
  <c r="B49" i="3"/>
  <c r="H49" i="3" s="1"/>
  <c r="C49" i="3"/>
  <c r="D49" i="3"/>
  <c r="E49" i="3"/>
  <c r="F49" i="3"/>
  <c r="G49" i="3"/>
  <c r="I49" i="3" s="1"/>
  <c r="A50" i="3"/>
  <c r="B50" i="3"/>
  <c r="H50" i="3" s="1"/>
  <c r="C50" i="3"/>
  <c r="D50" i="3"/>
  <c r="E50" i="3"/>
  <c r="F50" i="3"/>
  <c r="G50" i="3"/>
  <c r="A51" i="3"/>
  <c r="B51" i="3"/>
  <c r="C51" i="3"/>
  <c r="D51" i="3"/>
  <c r="E51" i="3"/>
  <c r="F51" i="3"/>
  <c r="G51" i="3"/>
  <c r="I51" i="3" s="1"/>
  <c r="H51" i="3"/>
  <c r="J51" i="3"/>
  <c r="A52" i="3"/>
  <c r="B52" i="3"/>
  <c r="H52" i="3" s="1"/>
  <c r="C52" i="3"/>
  <c r="D52" i="3"/>
  <c r="E52" i="3"/>
  <c r="F52" i="3"/>
  <c r="G52" i="3"/>
  <c r="J52" i="3" s="1"/>
  <c r="A53" i="3"/>
  <c r="B53" i="3"/>
  <c r="C53" i="3"/>
  <c r="D53" i="3"/>
  <c r="E53" i="3"/>
  <c r="F53" i="3"/>
  <c r="G53" i="3"/>
  <c r="I53" i="3" s="1"/>
  <c r="H53" i="3"/>
  <c r="A54" i="3"/>
  <c r="B54" i="3"/>
  <c r="C54" i="3"/>
  <c r="D54" i="3"/>
  <c r="E54" i="3"/>
  <c r="F54" i="3"/>
  <c r="G54" i="3"/>
  <c r="I54" i="3" s="1"/>
  <c r="H54" i="3"/>
  <c r="J54" i="3"/>
  <c r="A55" i="3"/>
  <c r="B55" i="3"/>
  <c r="H55" i="3" s="1"/>
  <c r="C55" i="3"/>
  <c r="D55" i="3"/>
  <c r="E55" i="3"/>
  <c r="F55" i="3"/>
  <c r="G55" i="3"/>
  <c r="I55" i="3" s="1"/>
  <c r="A56" i="3"/>
  <c r="B56" i="3"/>
  <c r="C56" i="3"/>
  <c r="D56" i="3"/>
  <c r="E56" i="3"/>
  <c r="F56" i="3"/>
  <c r="G56" i="3"/>
  <c r="H56" i="3"/>
  <c r="A57" i="3"/>
  <c r="B57" i="3"/>
  <c r="C57" i="3"/>
  <c r="D57" i="3"/>
  <c r="E57" i="3"/>
  <c r="F57" i="3"/>
  <c r="G57" i="3"/>
  <c r="H57" i="3"/>
  <c r="A58" i="3"/>
  <c r="B58" i="3"/>
  <c r="H58" i="3" s="1"/>
  <c r="C58" i="3"/>
  <c r="D58" i="3"/>
  <c r="E58" i="3"/>
  <c r="F58" i="3"/>
  <c r="G58" i="3"/>
  <c r="I58" i="3" s="1"/>
  <c r="A59" i="3"/>
  <c r="B59" i="3"/>
  <c r="H59" i="3" s="1"/>
  <c r="C59" i="3"/>
  <c r="D59" i="3"/>
  <c r="E59" i="3"/>
  <c r="F59" i="3"/>
  <c r="G59" i="3"/>
  <c r="A60" i="3"/>
  <c r="B60" i="3"/>
  <c r="H60" i="3" s="1"/>
  <c r="C60" i="3"/>
  <c r="D60" i="3"/>
  <c r="E60" i="3"/>
  <c r="F60" i="3"/>
  <c r="G60" i="3"/>
  <c r="J60" i="3"/>
  <c r="A61" i="3"/>
  <c r="B61" i="3"/>
  <c r="H61" i="3" s="1"/>
  <c r="C61" i="3"/>
  <c r="D61" i="3"/>
  <c r="E61" i="3"/>
  <c r="F61" i="3"/>
  <c r="G61" i="3"/>
  <c r="A62" i="3"/>
  <c r="B62" i="3"/>
  <c r="C62" i="3"/>
  <c r="D62" i="3"/>
  <c r="E62" i="3"/>
  <c r="F62" i="3"/>
  <c r="G62" i="3"/>
  <c r="H62" i="3"/>
  <c r="I62" i="3"/>
  <c r="J62" i="3"/>
  <c r="A63" i="3"/>
  <c r="B63" i="3"/>
  <c r="H63" i="3" s="1"/>
  <c r="C63" i="3"/>
  <c r="D63" i="3"/>
  <c r="E63" i="3"/>
  <c r="F63" i="3"/>
  <c r="G63" i="3"/>
  <c r="J63" i="3" s="1"/>
  <c r="I63" i="3"/>
  <c r="A64" i="3"/>
  <c r="B64" i="3"/>
  <c r="H64" i="3" s="1"/>
  <c r="C64" i="3"/>
  <c r="D64" i="3"/>
  <c r="E64" i="3"/>
  <c r="F64" i="3"/>
  <c r="G64" i="3"/>
  <c r="I64" i="3" s="1"/>
  <c r="J64" i="3"/>
  <c r="A65" i="3"/>
  <c r="B65" i="3"/>
  <c r="C65" i="3"/>
  <c r="D65" i="3"/>
  <c r="E65" i="3"/>
  <c r="F65" i="3"/>
  <c r="G65" i="3"/>
  <c r="H65" i="3"/>
  <c r="I65" i="3"/>
  <c r="J65" i="3"/>
  <c r="A66" i="3"/>
  <c r="B66" i="3"/>
  <c r="H66" i="3" s="1"/>
  <c r="C66" i="3"/>
  <c r="D66" i="3"/>
  <c r="E66" i="3"/>
  <c r="F66" i="3"/>
  <c r="G66" i="3"/>
  <c r="A67" i="3"/>
  <c r="B67" i="3"/>
  <c r="H67" i="3" s="1"/>
  <c r="C67" i="3"/>
  <c r="D67" i="3"/>
  <c r="E67" i="3"/>
  <c r="F67" i="3"/>
  <c r="G67" i="3"/>
  <c r="I67" i="3" s="1"/>
  <c r="J67" i="3"/>
  <c r="A68" i="3"/>
  <c r="B68" i="3"/>
  <c r="C68" i="3"/>
  <c r="D68" i="3"/>
  <c r="E68" i="3"/>
  <c r="F68" i="3"/>
  <c r="G68" i="3"/>
  <c r="H68" i="3"/>
  <c r="I68" i="3"/>
  <c r="J68" i="3"/>
  <c r="A69" i="3"/>
  <c r="B69" i="3"/>
  <c r="H69" i="3" s="1"/>
  <c r="C69" i="3"/>
  <c r="D69" i="3"/>
  <c r="E69" i="3"/>
  <c r="F69" i="3"/>
  <c r="G69" i="3"/>
  <c r="A70" i="3"/>
  <c r="B70" i="3"/>
  <c r="C70" i="3"/>
  <c r="D70" i="3"/>
  <c r="E70" i="3"/>
  <c r="F70" i="3"/>
  <c r="G70" i="3"/>
  <c r="J70" i="3" s="1"/>
  <c r="H70" i="3"/>
  <c r="I70" i="3"/>
  <c r="A71" i="3"/>
  <c r="B71" i="3"/>
  <c r="C71" i="3"/>
  <c r="D71" i="3"/>
  <c r="E71" i="3"/>
  <c r="F71" i="3"/>
  <c r="G71" i="3"/>
  <c r="I71" i="3" s="1"/>
  <c r="H71" i="3"/>
  <c r="A72" i="3"/>
  <c r="B72" i="3"/>
  <c r="H72" i="3" s="1"/>
  <c r="C72" i="3"/>
  <c r="D72" i="3"/>
  <c r="E72" i="3"/>
  <c r="F72" i="3"/>
  <c r="G72" i="3"/>
  <c r="A73" i="3"/>
  <c r="B73" i="3"/>
  <c r="H73" i="3" s="1"/>
  <c r="C73" i="3"/>
  <c r="D73" i="3"/>
  <c r="E73" i="3"/>
  <c r="F73" i="3"/>
  <c r="G73" i="3"/>
  <c r="I73" i="3"/>
  <c r="J73" i="3"/>
  <c r="A74" i="3"/>
  <c r="B74" i="3"/>
  <c r="C74" i="3"/>
  <c r="D74" i="3"/>
  <c r="E74" i="3"/>
  <c r="F74" i="3"/>
  <c r="G74" i="3"/>
  <c r="I74" i="3" s="1"/>
  <c r="H74" i="3"/>
  <c r="J74" i="3"/>
  <c r="A75" i="3"/>
  <c r="B75" i="3"/>
  <c r="H75" i="3" s="1"/>
  <c r="C75" i="3"/>
  <c r="D75" i="3"/>
  <c r="E75" i="3"/>
  <c r="F75" i="3"/>
  <c r="G75" i="3"/>
  <c r="A76" i="3"/>
  <c r="B76" i="3"/>
  <c r="C76" i="3"/>
  <c r="D76" i="3"/>
  <c r="E76" i="3"/>
  <c r="F76" i="3"/>
  <c r="G76" i="3"/>
  <c r="H76" i="3"/>
  <c r="A77" i="3"/>
  <c r="B77" i="3"/>
  <c r="C77" i="3"/>
  <c r="D77" i="3"/>
  <c r="E77" i="3"/>
  <c r="F77" i="3"/>
  <c r="G77" i="3"/>
  <c r="I77" i="3" s="1"/>
  <c r="H77" i="3"/>
  <c r="A78" i="3"/>
  <c r="B78" i="3"/>
  <c r="H78" i="3" s="1"/>
  <c r="C78" i="3"/>
  <c r="D78" i="3"/>
  <c r="E78" i="3"/>
  <c r="F78" i="3"/>
  <c r="G78" i="3"/>
  <c r="I78" i="3"/>
  <c r="J78" i="3"/>
  <c r="A79" i="3"/>
  <c r="B79" i="3"/>
  <c r="C79" i="3"/>
  <c r="D79" i="3"/>
  <c r="E79" i="3"/>
  <c r="F79" i="3"/>
  <c r="G79" i="3"/>
  <c r="J79" i="3" s="1"/>
  <c r="H79" i="3"/>
  <c r="I79" i="3"/>
  <c r="A80" i="3"/>
  <c r="B80" i="3"/>
  <c r="C80" i="3"/>
  <c r="D80" i="3"/>
  <c r="E80" i="3"/>
  <c r="F80" i="3"/>
  <c r="G80" i="3"/>
  <c r="H80" i="3"/>
  <c r="A81" i="3"/>
  <c r="B81" i="3"/>
  <c r="H81" i="3" s="1"/>
  <c r="C81" i="3"/>
  <c r="D81" i="3"/>
  <c r="E81" i="3"/>
  <c r="F81" i="3"/>
  <c r="G81" i="3"/>
  <c r="I81" i="3"/>
  <c r="J81" i="3"/>
  <c r="A82" i="3"/>
  <c r="B82" i="3"/>
  <c r="C82" i="3"/>
  <c r="D82" i="3"/>
  <c r="E82" i="3"/>
  <c r="F82" i="3"/>
  <c r="G82" i="3"/>
  <c r="H82" i="3"/>
  <c r="A83" i="3"/>
  <c r="B83" i="3"/>
  <c r="C83" i="3"/>
  <c r="D83" i="3"/>
  <c r="E83" i="3"/>
  <c r="F83" i="3"/>
  <c r="G83" i="3"/>
  <c r="I83" i="3" s="1"/>
  <c r="H83" i="3"/>
  <c r="A84" i="3"/>
  <c r="B84" i="3"/>
  <c r="H84" i="3" s="1"/>
  <c r="C84" i="3"/>
  <c r="D84" i="3"/>
  <c r="E84" i="3"/>
  <c r="F84" i="3"/>
  <c r="G84" i="3"/>
  <c r="J84" i="3" s="1"/>
  <c r="A85" i="3"/>
  <c r="B85" i="3"/>
  <c r="C85" i="3"/>
  <c r="D85" i="3"/>
  <c r="E85" i="3"/>
  <c r="F85" i="3"/>
  <c r="G85" i="3"/>
  <c r="I85" i="3" s="1"/>
  <c r="H85" i="3"/>
  <c r="J85" i="3"/>
  <c r="A86" i="3"/>
  <c r="B86" i="3"/>
  <c r="C86" i="3"/>
  <c r="D86" i="3"/>
  <c r="E86" i="3"/>
  <c r="F86" i="3"/>
  <c r="G86" i="3"/>
  <c r="H86" i="3"/>
  <c r="I86" i="3"/>
  <c r="J86" i="3"/>
  <c r="A87" i="3"/>
  <c r="B87" i="3"/>
  <c r="H87" i="3" s="1"/>
  <c r="C87" i="3"/>
  <c r="D87" i="3"/>
  <c r="E87" i="3"/>
  <c r="F87" i="3"/>
  <c r="G87" i="3"/>
  <c r="I87" i="3" s="1"/>
  <c r="A88" i="3"/>
  <c r="B88" i="3"/>
  <c r="H88" i="3" s="1"/>
  <c r="C88" i="3"/>
  <c r="D88" i="3"/>
  <c r="E88" i="3"/>
  <c r="F88" i="3"/>
  <c r="G88" i="3"/>
  <c r="I88" i="3"/>
  <c r="J88" i="3"/>
  <c r="A89" i="3"/>
  <c r="B89" i="3"/>
  <c r="C89" i="3"/>
  <c r="D89" i="3"/>
  <c r="E89" i="3"/>
  <c r="F89" i="3"/>
  <c r="G89" i="3"/>
  <c r="H89" i="3"/>
  <c r="A90" i="3"/>
  <c r="B90" i="3"/>
  <c r="H90" i="3" s="1"/>
  <c r="C90" i="3"/>
  <c r="D90" i="3"/>
  <c r="E90" i="3"/>
  <c r="F90" i="3"/>
  <c r="G90" i="3"/>
  <c r="I90" i="3" s="1"/>
  <c r="A91" i="3"/>
  <c r="B91" i="3"/>
  <c r="H91" i="3" s="1"/>
  <c r="C91" i="3"/>
  <c r="D91" i="3"/>
  <c r="E91" i="3"/>
  <c r="F91" i="3"/>
  <c r="G91" i="3"/>
  <c r="J91" i="3" s="1"/>
  <c r="I91" i="3"/>
  <c r="A92" i="3"/>
  <c r="B92" i="3"/>
  <c r="H92" i="3" s="1"/>
  <c r="C92" i="3"/>
  <c r="D92" i="3"/>
  <c r="E92" i="3"/>
  <c r="F92" i="3"/>
  <c r="G92" i="3"/>
  <c r="I92" i="3"/>
  <c r="J92" i="3"/>
  <c r="A93" i="3"/>
  <c r="B93" i="3"/>
  <c r="H93" i="3" s="1"/>
  <c r="C93" i="3"/>
  <c r="D93" i="3"/>
  <c r="E93" i="3"/>
  <c r="F93" i="3"/>
  <c r="G93" i="3"/>
  <c r="I93" i="3" s="1"/>
  <c r="A94" i="3"/>
  <c r="B94" i="3"/>
  <c r="C94" i="3"/>
  <c r="D94" i="3"/>
  <c r="E94" i="3"/>
  <c r="F94" i="3"/>
  <c r="G94" i="3"/>
  <c r="I94" i="3" s="1"/>
  <c r="H94" i="3"/>
  <c r="J94" i="3"/>
  <c r="A95" i="3"/>
  <c r="B95" i="3"/>
  <c r="C95" i="3"/>
  <c r="D95" i="3"/>
  <c r="E95" i="3"/>
  <c r="F95" i="3"/>
  <c r="G95" i="3"/>
  <c r="I95" i="3" s="1"/>
  <c r="H95" i="3"/>
  <c r="J95" i="3"/>
  <c r="A96" i="3"/>
  <c r="B96" i="3"/>
  <c r="C96" i="3"/>
  <c r="D96" i="3"/>
  <c r="E96" i="3"/>
  <c r="F96" i="3"/>
  <c r="G96" i="3"/>
  <c r="H96" i="3"/>
  <c r="I96" i="3"/>
  <c r="J96" i="3"/>
  <c r="A97" i="3"/>
  <c r="B97" i="3"/>
  <c r="C97" i="3"/>
  <c r="D97" i="3"/>
  <c r="E97" i="3"/>
  <c r="F97" i="3"/>
  <c r="G97" i="3"/>
  <c r="H97" i="3"/>
  <c r="A98" i="3"/>
  <c r="B98" i="3"/>
  <c r="C98" i="3"/>
  <c r="D98" i="3"/>
  <c r="E98" i="3"/>
  <c r="F98" i="3"/>
  <c r="G98" i="3"/>
  <c r="H98" i="3"/>
  <c r="A99" i="3"/>
  <c r="B99" i="3"/>
  <c r="C99" i="3"/>
  <c r="D99" i="3"/>
  <c r="E99" i="3"/>
  <c r="F99" i="3"/>
  <c r="G99" i="3"/>
  <c r="I99" i="3" s="1"/>
  <c r="H99" i="3"/>
  <c r="J99" i="3"/>
  <c r="A100" i="3"/>
  <c r="B100" i="3"/>
  <c r="C100" i="3"/>
  <c r="D100" i="3"/>
  <c r="E100" i="3"/>
  <c r="F100" i="3"/>
  <c r="G100" i="3"/>
  <c r="H100" i="3"/>
  <c r="A101" i="3"/>
  <c r="B101" i="3"/>
  <c r="H101" i="3" s="1"/>
  <c r="C101" i="3"/>
  <c r="D101" i="3"/>
  <c r="E101" i="3"/>
  <c r="F101" i="3"/>
  <c r="G101" i="3"/>
  <c r="A102" i="3"/>
  <c r="B102" i="3"/>
  <c r="C102" i="3"/>
  <c r="D102" i="3"/>
  <c r="E102" i="3"/>
  <c r="F102" i="3"/>
  <c r="G102" i="3"/>
  <c r="I102" i="3" s="1"/>
  <c r="H102" i="3"/>
  <c r="J102" i="3"/>
  <c r="A103" i="3"/>
  <c r="B103" i="3"/>
  <c r="C103" i="3"/>
  <c r="D103" i="3"/>
  <c r="E103" i="3"/>
  <c r="F103" i="3"/>
  <c r="G103" i="3"/>
  <c r="H103" i="3"/>
  <c r="A104" i="3"/>
  <c r="B104" i="3"/>
  <c r="C104" i="3"/>
  <c r="D104" i="3"/>
  <c r="E104" i="3"/>
  <c r="F104" i="3"/>
  <c r="G104" i="3"/>
  <c r="H104" i="3"/>
  <c r="A105" i="3"/>
  <c r="B105" i="3"/>
  <c r="C105" i="3"/>
  <c r="D105" i="3"/>
  <c r="E105" i="3"/>
  <c r="F105" i="3"/>
  <c r="G105" i="3"/>
  <c r="H105" i="3"/>
  <c r="I105" i="3"/>
  <c r="J105" i="3"/>
  <c r="A106" i="3"/>
  <c r="B106" i="3"/>
  <c r="H106" i="3" s="1"/>
  <c r="C106" i="3"/>
  <c r="D106" i="3"/>
  <c r="E106" i="3"/>
  <c r="F106" i="3"/>
  <c r="G106" i="3"/>
  <c r="A107" i="3"/>
  <c r="B107" i="3"/>
  <c r="H107" i="3" s="1"/>
  <c r="C107" i="3"/>
  <c r="D107" i="3"/>
  <c r="E107" i="3"/>
  <c r="F107" i="3"/>
  <c r="G107" i="3"/>
  <c r="A108" i="3"/>
  <c r="B108" i="3"/>
  <c r="C108" i="3"/>
  <c r="D108" i="3"/>
  <c r="E108" i="3"/>
  <c r="F108" i="3"/>
  <c r="G108" i="3"/>
  <c r="J108" i="3" s="1"/>
  <c r="H108" i="3"/>
  <c r="I108" i="3"/>
  <c r="A109" i="3"/>
  <c r="B109" i="3"/>
  <c r="C109" i="3"/>
  <c r="D109" i="3"/>
  <c r="E109" i="3"/>
  <c r="F109" i="3"/>
  <c r="G109" i="3"/>
  <c r="H109" i="3"/>
  <c r="I109" i="3"/>
  <c r="J109" i="3"/>
  <c r="A110" i="3"/>
  <c r="B110" i="3"/>
  <c r="C110" i="3"/>
  <c r="D110" i="3"/>
  <c r="E110" i="3"/>
  <c r="F110" i="3"/>
  <c r="G110" i="3"/>
  <c r="H110" i="3"/>
  <c r="I110" i="3"/>
  <c r="J110" i="3"/>
  <c r="A111" i="3"/>
  <c r="B111" i="3"/>
  <c r="C111" i="3"/>
  <c r="D111" i="3"/>
  <c r="E111" i="3"/>
  <c r="F111" i="3"/>
  <c r="G111" i="3"/>
  <c r="H111" i="3"/>
  <c r="A112" i="3"/>
  <c r="B112" i="3"/>
  <c r="C112" i="3"/>
  <c r="D112" i="3"/>
  <c r="E112" i="3"/>
  <c r="F112" i="3"/>
  <c r="G112" i="3"/>
  <c r="J112" i="3" s="1"/>
  <c r="H112" i="3"/>
  <c r="I112" i="3"/>
  <c r="A113" i="3"/>
  <c r="B113" i="3"/>
  <c r="H113" i="3" s="1"/>
  <c r="C113" i="3"/>
  <c r="D113" i="3"/>
  <c r="E113" i="3"/>
  <c r="F113" i="3"/>
  <c r="G113" i="3"/>
  <c r="A114" i="3"/>
  <c r="B114" i="3"/>
  <c r="C114" i="3"/>
  <c r="D114" i="3"/>
  <c r="E114" i="3"/>
  <c r="F114" i="3"/>
  <c r="G114" i="3"/>
  <c r="I114" i="3" s="1"/>
  <c r="H114" i="3"/>
  <c r="J114" i="3"/>
  <c r="A115" i="3"/>
  <c r="B115" i="3"/>
  <c r="H115" i="3" s="1"/>
  <c r="C115" i="3"/>
  <c r="D115" i="3"/>
  <c r="E115" i="3"/>
  <c r="F115" i="3"/>
  <c r="G115" i="3"/>
  <c r="A116" i="3"/>
  <c r="B116" i="3"/>
  <c r="H116" i="3" s="1"/>
  <c r="C116" i="3"/>
  <c r="D116" i="3"/>
  <c r="E116" i="3"/>
  <c r="F116" i="3"/>
  <c r="G116" i="3"/>
  <c r="I116" i="3" s="1"/>
  <c r="A117" i="3"/>
  <c r="B117" i="3"/>
  <c r="H117" i="3" s="1"/>
  <c r="C117" i="3"/>
  <c r="D117" i="3"/>
  <c r="E117" i="3"/>
  <c r="F117" i="3"/>
  <c r="G117" i="3"/>
  <c r="A118" i="3"/>
  <c r="B118" i="3"/>
  <c r="C118" i="3"/>
  <c r="D118" i="3"/>
  <c r="E118" i="3"/>
  <c r="F118" i="3"/>
  <c r="G118" i="3"/>
  <c r="H118" i="3"/>
  <c r="I118" i="3"/>
  <c r="J118" i="3"/>
  <c r="A119" i="3"/>
  <c r="B119" i="3"/>
  <c r="H119" i="3" s="1"/>
  <c r="C119" i="3"/>
  <c r="D119" i="3"/>
  <c r="E119" i="3"/>
  <c r="F119" i="3"/>
  <c r="G119" i="3"/>
  <c r="I119" i="3" s="1"/>
  <c r="A120" i="3"/>
  <c r="B120" i="3"/>
  <c r="H120" i="3" s="1"/>
  <c r="C120" i="3"/>
  <c r="D120" i="3"/>
  <c r="E120" i="3"/>
  <c r="F120" i="3"/>
  <c r="G120" i="3"/>
  <c r="J120" i="3" s="1"/>
  <c r="I120" i="3"/>
  <c r="A121" i="3"/>
  <c r="B121" i="3"/>
  <c r="C121" i="3"/>
  <c r="D121" i="3"/>
  <c r="E121" i="3"/>
  <c r="F121" i="3"/>
  <c r="G121" i="3"/>
  <c r="I121" i="3" s="1"/>
  <c r="H121" i="3"/>
  <c r="A122" i="3"/>
  <c r="B122" i="3"/>
  <c r="H122" i="3" s="1"/>
  <c r="C122" i="3"/>
  <c r="D122" i="3"/>
  <c r="E122" i="3"/>
  <c r="F122" i="3"/>
  <c r="G122" i="3"/>
  <c r="I122" i="3" s="1"/>
  <c r="A123" i="3"/>
  <c r="B123" i="3"/>
  <c r="H123" i="3" s="1"/>
  <c r="C123" i="3"/>
  <c r="D123" i="3"/>
  <c r="E123" i="3"/>
  <c r="F123" i="3"/>
  <c r="G123" i="3"/>
  <c r="A124" i="3"/>
  <c r="B124" i="3"/>
  <c r="C124" i="3"/>
  <c r="D124" i="3"/>
  <c r="E124" i="3"/>
  <c r="F124" i="3"/>
  <c r="G124" i="3"/>
  <c r="J124" i="3" s="1"/>
  <c r="H124" i="3"/>
  <c r="I124" i="3"/>
  <c r="A125" i="3"/>
  <c r="B125" i="3"/>
  <c r="H125" i="3" s="1"/>
  <c r="C125" i="3"/>
  <c r="D125" i="3"/>
  <c r="E125" i="3"/>
  <c r="F125" i="3"/>
  <c r="G125" i="3"/>
  <c r="J125" i="3" s="1"/>
  <c r="A126" i="3"/>
  <c r="B126" i="3"/>
  <c r="H126" i="3" s="1"/>
  <c r="C126" i="3"/>
  <c r="D126" i="3"/>
  <c r="E126" i="3"/>
  <c r="F126" i="3"/>
  <c r="G126" i="3"/>
  <c r="J126" i="3" s="1"/>
  <c r="I126" i="3"/>
  <c r="A127" i="3"/>
  <c r="B127" i="3"/>
  <c r="C127" i="3"/>
  <c r="D127" i="3"/>
  <c r="E127" i="3"/>
  <c r="F127" i="3"/>
  <c r="G127" i="3"/>
  <c r="H127" i="3"/>
  <c r="A128" i="3"/>
  <c r="B128" i="3"/>
  <c r="C128" i="3"/>
  <c r="D128" i="3"/>
  <c r="E128" i="3"/>
  <c r="F128" i="3"/>
  <c r="G128" i="3"/>
  <c r="J128" i="3" s="1"/>
  <c r="H128" i="3"/>
  <c r="I128" i="3"/>
  <c r="A129" i="3"/>
  <c r="B129" i="3"/>
  <c r="H129" i="3" s="1"/>
  <c r="C129" i="3"/>
  <c r="D129" i="3"/>
  <c r="E129" i="3"/>
  <c r="F129" i="3"/>
  <c r="G129" i="3"/>
  <c r="I129" i="3"/>
  <c r="J129" i="3"/>
  <c r="A130" i="3"/>
  <c r="B130" i="3"/>
  <c r="C130" i="3"/>
  <c r="D130" i="3"/>
  <c r="E130" i="3"/>
  <c r="F130" i="3"/>
  <c r="G130" i="3"/>
  <c r="H130" i="3"/>
  <c r="A131" i="3"/>
  <c r="B131" i="3"/>
  <c r="C131" i="3"/>
  <c r="D131" i="3"/>
  <c r="E131" i="3"/>
  <c r="F131" i="3"/>
  <c r="G131" i="3"/>
  <c r="H131" i="3"/>
  <c r="A132" i="3"/>
  <c r="B132" i="3"/>
  <c r="H132" i="3" s="1"/>
  <c r="C132" i="3"/>
  <c r="D132" i="3"/>
  <c r="E132" i="3"/>
  <c r="F132" i="3"/>
  <c r="G132" i="3"/>
  <c r="A133" i="3"/>
  <c r="B133" i="3"/>
  <c r="C133" i="3"/>
  <c r="D133" i="3"/>
  <c r="E133" i="3"/>
  <c r="F133" i="3"/>
  <c r="G133" i="3"/>
  <c r="H133" i="3"/>
  <c r="A134" i="3"/>
  <c r="B134" i="3"/>
  <c r="H134" i="3" s="1"/>
  <c r="C134" i="3"/>
  <c r="D134" i="3"/>
  <c r="E134" i="3"/>
  <c r="F134" i="3"/>
  <c r="G134" i="3"/>
  <c r="I134" i="3"/>
  <c r="J134" i="3"/>
  <c r="A135" i="3"/>
  <c r="B135" i="3"/>
  <c r="C135" i="3"/>
  <c r="D135" i="3"/>
  <c r="E135" i="3"/>
  <c r="F135" i="3"/>
  <c r="G135" i="3"/>
  <c r="H135" i="3"/>
  <c r="A136" i="3"/>
  <c r="B136" i="3"/>
  <c r="H136" i="3" s="1"/>
  <c r="C136" i="3"/>
  <c r="D136" i="3"/>
  <c r="E136" i="3"/>
  <c r="F136" i="3"/>
  <c r="G136" i="3"/>
  <c r="A137" i="3"/>
  <c r="B137" i="3"/>
  <c r="C137" i="3"/>
  <c r="D137" i="3"/>
  <c r="E137" i="3"/>
  <c r="F137" i="3"/>
  <c r="G137" i="3"/>
  <c r="J137" i="3" s="1"/>
  <c r="H137" i="3"/>
  <c r="I137" i="3"/>
  <c r="A138" i="3"/>
  <c r="B138" i="3"/>
  <c r="C138" i="3"/>
  <c r="D138" i="3"/>
  <c r="E138" i="3"/>
  <c r="F138" i="3"/>
  <c r="G138" i="3"/>
  <c r="J138" i="3" s="1"/>
  <c r="H138" i="3"/>
  <c r="I138" i="3"/>
  <c r="A139" i="3"/>
  <c r="B139" i="3"/>
  <c r="H139" i="3" s="1"/>
  <c r="C139" i="3"/>
  <c r="D139" i="3"/>
  <c r="E139" i="3"/>
  <c r="F139" i="3"/>
  <c r="G139" i="3"/>
  <c r="I139" i="3"/>
  <c r="J139" i="3"/>
  <c r="A140" i="3"/>
  <c r="B140" i="3"/>
  <c r="C140" i="3"/>
  <c r="D140" i="3"/>
  <c r="E140" i="3"/>
  <c r="F140" i="3"/>
  <c r="G140" i="3"/>
  <c r="H140" i="3"/>
  <c r="A141" i="3"/>
  <c r="B141" i="3"/>
  <c r="C141" i="3"/>
  <c r="D141" i="3"/>
  <c r="E141" i="3"/>
  <c r="F141" i="3"/>
  <c r="G141" i="3"/>
  <c r="H141" i="3"/>
  <c r="A142" i="3"/>
  <c r="B142" i="3"/>
  <c r="H142" i="3" s="1"/>
  <c r="C142" i="3"/>
  <c r="D142" i="3"/>
  <c r="E142" i="3"/>
  <c r="F142" i="3"/>
  <c r="G142" i="3"/>
  <c r="J142" i="3" s="1"/>
  <c r="I142" i="3"/>
  <c r="A143" i="3"/>
  <c r="B143" i="3"/>
  <c r="H143" i="3" s="1"/>
  <c r="C143" i="3"/>
  <c r="D143" i="3"/>
  <c r="E143" i="3"/>
  <c r="F143" i="3"/>
  <c r="G143" i="3"/>
  <c r="A144" i="3"/>
  <c r="B144" i="3"/>
  <c r="C144" i="3"/>
  <c r="D144" i="3"/>
  <c r="E144" i="3"/>
  <c r="F144" i="3"/>
  <c r="G144" i="3"/>
  <c r="H144" i="3"/>
  <c r="A145" i="3"/>
  <c r="B145" i="3"/>
  <c r="H145" i="3" s="1"/>
  <c r="C145" i="3"/>
  <c r="D145" i="3"/>
  <c r="E145" i="3"/>
  <c r="F145" i="3"/>
  <c r="G145" i="3"/>
  <c r="I145" i="3" s="1"/>
  <c r="A146" i="3"/>
  <c r="B146" i="3"/>
  <c r="C146" i="3"/>
  <c r="D146" i="3"/>
  <c r="E146" i="3"/>
  <c r="F146" i="3"/>
  <c r="G146" i="3"/>
  <c r="J146" i="3" s="1"/>
  <c r="H146" i="3"/>
  <c r="I146" i="3"/>
  <c r="A147" i="3"/>
  <c r="B147" i="3"/>
  <c r="C147" i="3"/>
  <c r="D147" i="3"/>
  <c r="E147" i="3"/>
  <c r="F147" i="3"/>
  <c r="G147" i="3"/>
  <c r="J147" i="3" s="1"/>
  <c r="H147" i="3"/>
  <c r="I147" i="3"/>
  <c r="A148" i="3"/>
  <c r="B148" i="3"/>
  <c r="H148" i="3" s="1"/>
  <c r="C148" i="3"/>
  <c r="D148" i="3"/>
  <c r="E148" i="3"/>
  <c r="F148" i="3"/>
  <c r="G148" i="3"/>
  <c r="A149" i="3"/>
  <c r="B149" i="3"/>
  <c r="C149" i="3"/>
  <c r="D149" i="3"/>
  <c r="E149" i="3"/>
  <c r="F149" i="3"/>
  <c r="G149" i="3"/>
  <c r="I149" i="3" s="1"/>
  <c r="H149" i="3"/>
  <c r="A150" i="3"/>
  <c r="B150" i="3"/>
  <c r="C150" i="3"/>
  <c r="D150" i="3"/>
  <c r="E150" i="3"/>
  <c r="F150" i="3"/>
  <c r="G150" i="3"/>
  <c r="I150" i="3" s="1"/>
  <c r="H150" i="3"/>
  <c r="A151" i="3"/>
  <c r="B151" i="3"/>
  <c r="H151" i="3" s="1"/>
  <c r="C151" i="3"/>
  <c r="D151" i="3"/>
  <c r="E151" i="3"/>
  <c r="F151" i="3"/>
  <c r="G151" i="3"/>
  <c r="A152" i="3"/>
  <c r="B152" i="3"/>
  <c r="C152" i="3"/>
  <c r="D152" i="3"/>
  <c r="E152" i="3"/>
  <c r="F152" i="3"/>
  <c r="G152" i="3"/>
  <c r="J152" i="3" s="1"/>
  <c r="H152" i="3"/>
  <c r="I152" i="3"/>
  <c r="A153" i="3"/>
  <c r="B153" i="3"/>
  <c r="C153" i="3"/>
  <c r="D153" i="3"/>
  <c r="E153" i="3"/>
  <c r="F153" i="3"/>
  <c r="G153" i="3"/>
  <c r="H153" i="3"/>
  <c r="A154" i="3"/>
  <c r="B154" i="3"/>
  <c r="C154" i="3"/>
  <c r="D154" i="3"/>
  <c r="E154" i="3"/>
  <c r="F154" i="3"/>
  <c r="G154" i="3"/>
  <c r="J154" i="3" s="1"/>
  <c r="H154" i="3"/>
  <c r="A155" i="3"/>
  <c r="B155" i="3"/>
  <c r="C155" i="3"/>
  <c r="D155" i="3"/>
  <c r="E155" i="3"/>
  <c r="F155" i="3"/>
  <c r="G155" i="3"/>
  <c r="I155" i="3" s="1"/>
  <c r="H155" i="3"/>
  <c r="A156" i="3"/>
  <c r="B156" i="3"/>
  <c r="H156" i="3" s="1"/>
  <c r="C156" i="3"/>
  <c r="D156" i="3"/>
  <c r="E156" i="3"/>
  <c r="F156" i="3"/>
  <c r="G156" i="3"/>
  <c r="A157" i="3"/>
  <c r="B157" i="3"/>
  <c r="H157" i="3" s="1"/>
  <c r="C157" i="3"/>
  <c r="D157" i="3"/>
  <c r="E157" i="3"/>
  <c r="F157" i="3"/>
  <c r="G157" i="3"/>
  <c r="A158" i="3"/>
  <c r="B158" i="3"/>
  <c r="C158" i="3"/>
  <c r="D158" i="3"/>
  <c r="E158" i="3"/>
  <c r="F158" i="3"/>
  <c r="G158" i="3"/>
  <c r="J158" i="3" s="1"/>
  <c r="H158" i="3"/>
  <c r="I158" i="3"/>
  <c r="A159" i="3"/>
  <c r="B159" i="3"/>
  <c r="H159" i="3" s="1"/>
  <c r="C159" i="3"/>
  <c r="D159" i="3"/>
  <c r="E159" i="3"/>
  <c r="F159" i="3"/>
  <c r="G159" i="3"/>
  <c r="I159" i="3" s="1"/>
  <c r="J159" i="3"/>
  <c r="A160" i="3"/>
  <c r="B160" i="3"/>
  <c r="C160" i="3"/>
  <c r="D160" i="3"/>
  <c r="E160" i="3"/>
  <c r="F160" i="3"/>
  <c r="G160" i="3"/>
  <c r="H160" i="3"/>
  <c r="I160" i="3"/>
  <c r="J160" i="3"/>
  <c r="A161" i="3"/>
  <c r="B161" i="3"/>
  <c r="C161" i="3"/>
  <c r="D161" i="3"/>
  <c r="E161" i="3"/>
  <c r="F161" i="3"/>
  <c r="G161" i="3"/>
  <c r="J161" i="3" s="1"/>
  <c r="H161" i="3"/>
  <c r="I161" i="3"/>
  <c r="A162" i="3"/>
  <c r="B162" i="3"/>
  <c r="H162" i="3" s="1"/>
  <c r="C162" i="3"/>
  <c r="D162" i="3"/>
  <c r="E162" i="3"/>
  <c r="F162" i="3"/>
  <c r="G162" i="3"/>
  <c r="I162" i="3"/>
  <c r="J162" i="3"/>
  <c r="A163" i="3"/>
  <c r="B163" i="3"/>
  <c r="C163" i="3"/>
  <c r="D163" i="3"/>
  <c r="E163" i="3"/>
  <c r="F163" i="3"/>
  <c r="G163" i="3"/>
  <c r="I163" i="3" s="1"/>
  <c r="H163" i="3"/>
  <c r="J163" i="3"/>
  <c r="A164" i="3"/>
  <c r="B164" i="3"/>
  <c r="C164" i="3"/>
  <c r="D164" i="3"/>
  <c r="E164" i="3"/>
  <c r="F164" i="3"/>
  <c r="G164" i="3"/>
  <c r="H164" i="3"/>
  <c r="A165" i="3"/>
  <c r="B165" i="3"/>
  <c r="H165" i="3" s="1"/>
  <c r="C165" i="3"/>
  <c r="D165" i="3"/>
  <c r="E165" i="3"/>
  <c r="F165" i="3"/>
  <c r="G165" i="3"/>
  <c r="I165" i="3" s="1"/>
  <c r="A166" i="3"/>
  <c r="B166" i="3"/>
  <c r="C166" i="3"/>
  <c r="D166" i="3"/>
  <c r="E166" i="3"/>
  <c r="F166" i="3"/>
  <c r="G166" i="3"/>
  <c r="J166" i="3" s="1"/>
  <c r="H166" i="3"/>
  <c r="I166" i="3"/>
  <c r="A167" i="3"/>
  <c r="B167" i="3"/>
  <c r="C167" i="3"/>
  <c r="D167" i="3"/>
  <c r="E167" i="3"/>
  <c r="F167" i="3"/>
  <c r="G167" i="3"/>
  <c r="I167" i="3" s="1"/>
  <c r="H167" i="3"/>
  <c r="A168" i="3"/>
  <c r="B168" i="3"/>
  <c r="C168" i="3"/>
  <c r="D168" i="3"/>
  <c r="E168" i="3"/>
  <c r="F168" i="3"/>
  <c r="G168" i="3"/>
  <c r="J168" i="3" s="1"/>
  <c r="H168" i="3"/>
  <c r="A169" i="3"/>
  <c r="B169" i="3"/>
  <c r="H169" i="3" s="1"/>
  <c r="C169" i="3"/>
  <c r="D169" i="3"/>
  <c r="E169" i="3"/>
  <c r="F169" i="3"/>
  <c r="G169" i="3"/>
  <c r="A170" i="3"/>
  <c r="B170" i="3"/>
  <c r="C170" i="3"/>
  <c r="D170" i="3"/>
  <c r="E170" i="3"/>
  <c r="F170" i="3"/>
  <c r="G170" i="3"/>
  <c r="H170" i="3"/>
  <c r="A171" i="3"/>
  <c r="B171" i="3"/>
  <c r="H171" i="3" s="1"/>
  <c r="C171" i="3"/>
  <c r="D171" i="3"/>
  <c r="E171" i="3"/>
  <c r="F171" i="3"/>
  <c r="G171" i="3"/>
  <c r="I171" i="3" s="1"/>
  <c r="J171" i="3"/>
  <c r="A172" i="3"/>
  <c r="B172" i="3"/>
  <c r="H172" i="3" s="1"/>
  <c r="C172" i="3"/>
  <c r="D172" i="3"/>
  <c r="E172" i="3"/>
  <c r="F172" i="3"/>
  <c r="G172" i="3"/>
  <c r="A173" i="3"/>
  <c r="B173" i="3"/>
  <c r="C173" i="3"/>
  <c r="D173" i="3"/>
  <c r="E173" i="3"/>
  <c r="F173" i="3"/>
  <c r="G173" i="3"/>
  <c r="I173" i="3" s="1"/>
  <c r="H173" i="3"/>
  <c r="A174" i="3"/>
  <c r="B174" i="3"/>
  <c r="H174" i="3" s="1"/>
  <c r="C174" i="3"/>
  <c r="D174" i="3"/>
  <c r="E174" i="3"/>
  <c r="F174" i="3"/>
  <c r="G174" i="3"/>
  <c r="I174" i="3" s="1"/>
  <c r="A175" i="3"/>
  <c r="B175" i="3"/>
  <c r="H175" i="3" s="1"/>
  <c r="C175" i="3"/>
  <c r="D175" i="3"/>
  <c r="E175" i="3"/>
  <c r="F175" i="3"/>
  <c r="G175" i="3"/>
  <c r="A176" i="3"/>
  <c r="B176" i="3"/>
  <c r="C176" i="3"/>
  <c r="D176" i="3"/>
  <c r="E176" i="3"/>
  <c r="F176" i="3"/>
  <c r="G176" i="3"/>
  <c r="I176" i="3" s="1"/>
  <c r="H176" i="3"/>
  <c r="A177" i="3"/>
  <c r="B177" i="3"/>
  <c r="C177" i="3"/>
  <c r="D177" i="3"/>
  <c r="E177" i="3"/>
  <c r="F177" i="3"/>
  <c r="G177" i="3"/>
  <c r="I177" i="3" s="1"/>
  <c r="H177" i="3"/>
  <c r="J177" i="3"/>
  <c r="A178" i="3"/>
  <c r="B178" i="3"/>
  <c r="C178" i="3"/>
  <c r="D178" i="3"/>
  <c r="E178" i="3"/>
  <c r="F178" i="3"/>
  <c r="G178" i="3"/>
  <c r="H178" i="3"/>
  <c r="I178" i="3"/>
  <c r="J178" i="3"/>
  <c r="A179" i="3"/>
  <c r="B179" i="3"/>
  <c r="H179" i="3" s="1"/>
  <c r="C179" i="3"/>
  <c r="D179" i="3"/>
  <c r="E179" i="3"/>
  <c r="F179" i="3"/>
  <c r="G179" i="3"/>
  <c r="A180" i="3"/>
  <c r="B180" i="3"/>
  <c r="C180" i="3"/>
  <c r="D180" i="3"/>
  <c r="E180" i="3"/>
  <c r="F180" i="3"/>
  <c r="G180" i="3"/>
  <c r="J180" i="3" s="1"/>
  <c r="H180" i="3"/>
  <c r="I180" i="3"/>
  <c r="A181" i="3"/>
  <c r="B181" i="3"/>
  <c r="H181" i="3" s="1"/>
  <c r="C181" i="3"/>
  <c r="D181" i="3"/>
  <c r="E181" i="3"/>
  <c r="F181" i="3"/>
  <c r="G181" i="3"/>
  <c r="I181" i="3"/>
  <c r="J181" i="3"/>
  <c r="A182" i="3"/>
  <c r="B182" i="3"/>
  <c r="H182" i="3" s="1"/>
  <c r="C182" i="3"/>
  <c r="D182" i="3"/>
  <c r="E182" i="3"/>
  <c r="F182" i="3"/>
  <c r="G182" i="3"/>
  <c r="J182" i="3" s="1"/>
  <c r="I182" i="3"/>
  <c r="A183" i="3"/>
  <c r="B183" i="3"/>
  <c r="C183" i="3"/>
  <c r="D183" i="3"/>
  <c r="E183" i="3"/>
  <c r="F183" i="3"/>
  <c r="G183" i="3"/>
  <c r="H183" i="3"/>
  <c r="A184" i="3"/>
  <c r="B184" i="3"/>
  <c r="H184" i="3" s="1"/>
  <c r="C184" i="3"/>
  <c r="D184" i="3"/>
  <c r="E184" i="3"/>
  <c r="F184" i="3"/>
  <c r="G184" i="3"/>
  <c r="I184" i="3"/>
  <c r="J184" i="3"/>
  <c r="A185" i="3"/>
  <c r="B185" i="3"/>
  <c r="H185" i="3" s="1"/>
  <c r="C185" i="3"/>
  <c r="D185" i="3"/>
  <c r="E185" i="3"/>
  <c r="F185" i="3"/>
  <c r="G185" i="3"/>
  <c r="J185" i="3" s="1"/>
  <c r="I185" i="3"/>
  <c r="A186" i="3"/>
  <c r="B186" i="3"/>
  <c r="C186" i="3"/>
  <c r="D186" i="3"/>
  <c r="E186" i="3"/>
  <c r="F186" i="3"/>
  <c r="G186" i="3"/>
  <c r="J186" i="3" s="1"/>
  <c r="H186" i="3"/>
  <c r="I186" i="3"/>
  <c r="A187" i="3"/>
  <c r="B187" i="3"/>
  <c r="H187" i="3" s="1"/>
  <c r="C187" i="3"/>
  <c r="D187" i="3"/>
  <c r="E187" i="3"/>
  <c r="F187" i="3"/>
  <c r="G187" i="3"/>
  <c r="I187" i="3" s="1"/>
  <c r="J187" i="3"/>
  <c r="A188" i="3"/>
  <c r="B188" i="3"/>
  <c r="C188" i="3"/>
  <c r="D188" i="3"/>
  <c r="E188" i="3"/>
  <c r="F188" i="3"/>
  <c r="G188" i="3"/>
  <c r="I188" i="3" s="1"/>
  <c r="H188" i="3"/>
  <c r="A189" i="3"/>
  <c r="B189" i="3"/>
  <c r="C189" i="3"/>
  <c r="D189" i="3"/>
  <c r="E189" i="3"/>
  <c r="F189" i="3"/>
  <c r="G189" i="3"/>
  <c r="H189" i="3"/>
  <c r="A190" i="3"/>
  <c r="B190" i="3"/>
  <c r="H190" i="3" s="1"/>
  <c r="C190" i="3"/>
  <c r="D190" i="3"/>
  <c r="E190" i="3"/>
  <c r="F190" i="3"/>
  <c r="G190" i="3"/>
  <c r="I190" i="3"/>
  <c r="J190" i="3"/>
  <c r="A191" i="3"/>
  <c r="B191" i="3"/>
  <c r="C191" i="3"/>
  <c r="D191" i="3"/>
  <c r="E191" i="3"/>
  <c r="F191" i="3"/>
  <c r="G191" i="3"/>
  <c r="I191" i="3" s="1"/>
  <c r="H191" i="3"/>
  <c r="J191" i="3"/>
  <c r="A192" i="3"/>
  <c r="B192" i="3"/>
  <c r="C192" i="3"/>
  <c r="D192" i="3"/>
  <c r="E192" i="3"/>
  <c r="F192" i="3"/>
  <c r="G192" i="3"/>
  <c r="J192" i="3" s="1"/>
  <c r="H192" i="3"/>
  <c r="A193" i="3"/>
  <c r="B193" i="3"/>
  <c r="H193" i="3" s="1"/>
  <c r="C193" i="3"/>
  <c r="D193" i="3"/>
  <c r="E193" i="3"/>
  <c r="F193" i="3"/>
  <c r="G193" i="3"/>
  <c r="J193" i="3" s="1"/>
  <c r="I193" i="3"/>
  <c r="A194" i="3"/>
  <c r="B194" i="3"/>
  <c r="C194" i="3"/>
  <c r="D194" i="3"/>
  <c r="E194" i="3"/>
  <c r="F194" i="3"/>
  <c r="G194" i="3"/>
  <c r="H194" i="3"/>
  <c r="I194" i="3"/>
  <c r="J194" i="3"/>
  <c r="A195" i="3"/>
  <c r="B195" i="3"/>
  <c r="C195" i="3"/>
  <c r="D195" i="3"/>
  <c r="E195" i="3"/>
  <c r="F195" i="3"/>
  <c r="G195" i="3"/>
  <c r="I195" i="3" s="1"/>
  <c r="H195" i="3"/>
  <c r="A196" i="3"/>
  <c r="B196" i="3"/>
  <c r="H196" i="3" s="1"/>
  <c r="C196" i="3"/>
  <c r="D196" i="3"/>
  <c r="E196" i="3"/>
  <c r="F196" i="3"/>
  <c r="G196" i="3"/>
  <c r="A197" i="3"/>
  <c r="B197" i="3"/>
  <c r="C197" i="3"/>
  <c r="D197" i="3"/>
  <c r="E197" i="3"/>
  <c r="F197" i="3"/>
  <c r="G197" i="3"/>
  <c r="H197" i="3"/>
  <c r="A198" i="3"/>
  <c r="B198" i="3"/>
  <c r="C198" i="3"/>
  <c r="D198" i="3"/>
  <c r="E198" i="3"/>
  <c r="F198" i="3"/>
  <c r="G198" i="3"/>
  <c r="J198" i="3" s="1"/>
  <c r="H198" i="3"/>
  <c r="I198" i="3"/>
  <c r="A199" i="3"/>
  <c r="B199" i="3"/>
  <c r="H199" i="3" s="1"/>
  <c r="C199" i="3"/>
  <c r="D199" i="3"/>
  <c r="E199" i="3"/>
  <c r="F199" i="3"/>
  <c r="G199" i="3"/>
  <c r="I199" i="3" s="1"/>
  <c r="A200" i="3"/>
  <c r="B200" i="3"/>
  <c r="C200" i="3"/>
  <c r="D200" i="3"/>
  <c r="E200" i="3"/>
  <c r="F200" i="3"/>
  <c r="G200" i="3"/>
  <c r="J200" i="3" s="1"/>
  <c r="H200" i="3"/>
  <c r="I200" i="3"/>
  <c r="A201" i="3"/>
  <c r="B201" i="3"/>
  <c r="C201" i="3"/>
  <c r="D201" i="3"/>
  <c r="E201" i="3"/>
  <c r="F201" i="3"/>
  <c r="G201" i="3"/>
  <c r="I201" i="3" s="1"/>
  <c r="H201" i="3"/>
  <c r="A202" i="3"/>
  <c r="B202" i="3"/>
  <c r="H202" i="3" s="1"/>
  <c r="C202" i="3"/>
  <c r="D202" i="3"/>
  <c r="E202" i="3"/>
  <c r="F202" i="3"/>
  <c r="G202" i="3"/>
  <c r="J202" i="3"/>
  <c r="A203" i="3"/>
  <c r="B203" i="3"/>
  <c r="C203" i="3"/>
  <c r="D203" i="3"/>
  <c r="E203" i="3"/>
  <c r="F203" i="3"/>
  <c r="G203" i="3"/>
  <c r="H203" i="3"/>
  <c r="I203" i="3"/>
  <c r="A204" i="3"/>
  <c r="B204" i="3"/>
  <c r="C204" i="3"/>
  <c r="D204" i="3"/>
  <c r="E204" i="3"/>
  <c r="F204" i="3"/>
  <c r="G204" i="3"/>
  <c r="H204" i="3"/>
  <c r="I204" i="3"/>
  <c r="J204" i="3"/>
  <c r="A205" i="3"/>
  <c r="B205" i="3"/>
  <c r="H205" i="3" s="1"/>
  <c r="C205" i="3"/>
  <c r="D205" i="3"/>
  <c r="E205" i="3"/>
  <c r="F205" i="3"/>
  <c r="G205" i="3"/>
  <c r="A206" i="3"/>
  <c r="B206" i="3"/>
  <c r="C206" i="3"/>
  <c r="D206" i="3"/>
  <c r="E206" i="3"/>
  <c r="F206" i="3"/>
  <c r="G206" i="3"/>
  <c r="H206" i="3"/>
  <c r="A207" i="3"/>
  <c r="B207" i="3"/>
  <c r="C207" i="3"/>
  <c r="D207" i="3"/>
  <c r="E207" i="3"/>
  <c r="F207" i="3"/>
  <c r="G207" i="3"/>
  <c r="H207" i="3"/>
  <c r="I207" i="3"/>
  <c r="J207" i="3"/>
  <c r="A208" i="3"/>
  <c r="B208" i="3"/>
  <c r="C208" i="3"/>
  <c r="D208" i="3"/>
  <c r="E208" i="3"/>
  <c r="F208" i="3"/>
  <c r="G208" i="3"/>
  <c r="H208" i="3"/>
  <c r="A209" i="3"/>
  <c r="B209" i="3"/>
  <c r="C209" i="3"/>
  <c r="D209" i="3"/>
  <c r="E209" i="3"/>
  <c r="F209" i="3"/>
  <c r="G209" i="3"/>
  <c r="I209" i="3" s="1"/>
  <c r="H209" i="3"/>
  <c r="A210" i="3"/>
  <c r="B210" i="3"/>
  <c r="C210" i="3"/>
  <c r="D210" i="3"/>
  <c r="E210" i="3"/>
  <c r="F210" i="3"/>
  <c r="G210" i="3"/>
  <c r="J210" i="3" s="1"/>
  <c r="H210" i="3"/>
  <c r="I210" i="3"/>
  <c r="A211" i="3"/>
  <c r="B211" i="3"/>
  <c r="C211" i="3"/>
  <c r="D211" i="3"/>
  <c r="E211" i="3"/>
  <c r="F211" i="3"/>
  <c r="G211" i="3"/>
  <c r="H211" i="3"/>
  <c r="A212" i="3"/>
  <c r="B212" i="3"/>
  <c r="C212" i="3"/>
  <c r="D212" i="3"/>
  <c r="E212" i="3"/>
  <c r="F212" i="3"/>
  <c r="G212" i="3"/>
  <c r="I212" i="3" s="1"/>
  <c r="H212" i="3"/>
  <c r="A213" i="3"/>
  <c r="B213" i="3"/>
  <c r="H213" i="3" s="1"/>
  <c r="C213" i="3"/>
  <c r="D213" i="3"/>
  <c r="E213" i="3"/>
  <c r="F213" i="3"/>
  <c r="G213" i="3"/>
  <c r="A214" i="3"/>
  <c r="B214" i="3"/>
  <c r="H214" i="3" s="1"/>
  <c r="C214" i="3"/>
  <c r="D214" i="3"/>
  <c r="E214" i="3"/>
  <c r="F214" i="3"/>
  <c r="G214" i="3"/>
  <c r="J214" i="3" s="1"/>
  <c r="A215" i="3"/>
  <c r="B215" i="3"/>
  <c r="C215" i="3"/>
  <c r="D215" i="3"/>
  <c r="E215" i="3"/>
  <c r="F215" i="3"/>
  <c r="G215" i="3"/>
  <c r="I215" i="3" s="1"/>
  <c r="H215" i="3"/>
  <c r="J215" i="3"/>
  <c r="A216" i="3"/>
  <c r="B216" i="3"/>
  <c r="C216" i="3"/>
  <c r="D216" i="3"/>
  <c r="E216" i="3"/>
  <c r="F216" i="3"/>
  <c r="G216" i="3"/>
  <c r="H216" i="3"/>
  <c r="A217" i="3"/>
  <c r="B217" i="3"/>
  <c r="C217" i="3"/>
  <c r="D217" i="3"/>
  <c r="E217" i="3"/>
  <c r="F217" i="3"/>
  <c r="G217" i="3"/>
  <c r="H217" i="3"/>
  <c r="A218" i="3"/>
  <c r="B218" i="3"/>
  <c r="C218" i="3"/>
  <c r="D218" i="3"/>
  <c r="E218" i="3"/>
  <c r="F218" i="3"/>
  <c r="G218" i="3"/>
  <c r="H218" i="3"/>
  <c r="I218" i="3"/>
  <c r="J218" i="3"/>
  <c r="A219" i="3"/>
  <c r="B219" i="3"/>
  <c r="H219" i="3" s="1"/>
  <c r="C219" i="3"/>
  <c r="D219" i="3"/>
  <c r="E219" i="3"/>
  <c r="F219" i="3"/>
  <c r="G219" i="3"/>
  <c r="A220" i="3"/>
  <c r="B220" i="3"/>
  <c r="H220" i="3" s="1"/>
  <c r="C220" i="3"/>
  <c r="D220" i="3"/>
  <c r="E220" i="3"/>
  <c r="F220" i="3"/>
  <c r="G220" i="3"/>
  <c r="I220" i="3" s="1"/>
  <c r="A221" i="3"/>
  <c r="B221" i="3"/>
  <c r="C221" i="3"/>
  <c r="D221" i="3"/>
  <c r="E221" i="3"/>
  <c r="F221" i="3"/>
  <c r="G221" i="3"/>
  <c r="I221" i="3" s="1"/>
  <c r="H221" i="3"/>
  <c r="J221" i="3"/>
  <c r="A222" i="3"/>
  <c r="B222" i="3"/>
  <c r="C222" i="3"/>
  <c r="D222" i="3"/>
  <c r="E222" i="3"/>
  <c r="F222" i="3"/>
  <c r="G222" i="3"/>
  <c r="J222" i="3" s="1"/>
  <c r="H222" i="3"/>
  <c r="I222" i="3"/>
  <c r="A223" i="3"/>
  <c r="B223" i="3"/>
  <c r="C223" i="3"/>
  <c r="D223" i="3"/>
  <c r="E223" i="3"/>
  <c r="F223" i="3"/>
  <c r="G223" i="3"/>
  <c r="H223" i="3"/>
  <c r="A224" i="3"/>
  <c r="B224" i="3"/>
  <c r="C224" i="3"/>
  <c r="D224" i="3"/>
  <c r="E224" i="3"/>
  <c r="F224" i="3"/>
  <c r="G224" i="3"/>
  <c r="H224" i="3"/>
  <c r="A225" i="3"/>
  <c r="B225" i="3"/>
  <c r="C225" i="3"/>
  <c r="D225" i="3"/>
  <c r="E225" i="3"/>
  <c r="F225" i="3"/>
  <c r="G225" i="3"/>
  <c r="J225" i="3" s="1"/>
  <c r="H225" i="3"/>
  <c r="I225" i="3"/>
  <c r="A226" i="3"/>
  <c r="B226" i="3"/>
  <c r="C226" i="3"/>
  <c r="D226" i="3"/>
  <c r="E226" i="3"/>
  <c r="F226" i="3"/>
  <c r="G226" i="3"/>
  <c r="J226" i="3" s="1"/>
  <c r="H226" i="3"/>
  <c r="I226" i="3"/>
  <c r="A227" i="3"/>
  <c r="B227" i="3"/>
  <c r="H227" i="3" s="1"/>
  <c r="C227" i="3"/>
  <c r="D227" i="3"/>
  <c r="E227" i="3"/>
  <c r="F227" i="3"/>
  <c r="G227" i="3"/>
  <c r="I227" i="3"/>
  <c r="J227" i="3"/>
  <c r="A228" i="3"/>
  <c r="B228" i="3"/>
  <c r="C228" i="3"/>
  <c r="D228" i="3"/>
  <c r="E228" i="3"/>
  <c r="F228" i="3"/>
  <c r="G228" i="3"/>
  <c r="H228" i="3"/>
  <c r="A229" i="3"/>
  <c r="B229" i="3"/>
  <c r="H229" i="3" s="1"/>
  <c r="C229" i="3"/>
  <c r="D229" i="3"/>
  <c r="E229" i="3"/>
  <c r="F229" i="3"/>
  <c r="G229" i="3"/>
  <c r="I229" i="3" s="1"/>
  <c r="J229" i="3"/>
  <c r="A230" i="3"/>
  <c r="B230" i="3"/>
  <c r="C230" i="3"/>
  <c r="D230" i="3"/>
  <c r="E230" i="3"/>
  <c r="F230" i="3"/>
  <c r="G230" i="3"/>
  <c r="H230" i="3"/>
  <c r="A231" i="3"/>
  <c r="B231" i="3"/>
  <c r="H231" i="3" s="1"/>
  <c r="C231" i="3"/>
  <c r="D231" i="3"/>
  <c r="E231" i="3"/>
  <c r="F231" i="3"/>
  <c r="G231" i="3"/>
  <c r="A232" i="3"/>
  <c r="B232" i="3"/>
  <c r="C232" i="3"/>
  <c r="D232" i="3"/>
  <c r="E232" i="3"/>
  <c r="F232" i="3"/>
  <c r="G232" i="3"/>
  <c r="H232" i="3"/>
  <c r="I232" i="3"/>
  <c r="J232" i="3"/>
  <c r="A233" i="3"/>
  <c r="B233" i="3"/>
  <c r="H233" i="3" s="1"/>
  <c r="C233" i="3"/>
  <c r="D233" i="3"/>
  <c r="E233" i="3"/>
  <c r="F233" i="3"/>
  <c r="G233" i="3"/>
  <c r="J233" i="3" s="1"/>
  <c r="I233" i="3"/>
  <c r="A234" i="3"/>
  <c r="B234" i="3"/>
  <c r="H234" i="3" s="1"/>
  <c r="C234" i="3"/>
  <c r="D234" i="3"/>
  <c r="E234" i="3"/>
  <c r="F234" i="3"/>
  <c r="G234" i="3"/>
  <c r="I234" i="3"/>
  <c r="J234" i="3"/>
  <c r="A235" i="3"/>
  <c r="B235" i="3"/>
  <c r="H235" i="3" s="1"/>
  <c r="C235" i="3"/>
  <c r="D235" i="3"/>
  <c r="E235" i="3"/>
  <c r="F235" i="3"/>
  <c r="G235" i="3"/>
  <c r="I235" i="3" s="1"/>
  <c r="A236" i="3"/>
  <c r="B236" i="3"/>
  <c r="C236" i="3"/>
  <c r="D236" i="3"/>
  <c r="E236" i="3"/>
  <c r="F236" i="3"/>
  <c r="G236" i="3"/>
  <c r="H236" i="3"/>
  <c r="A237" i="3"/>
  <c r="B237" i="3"/>
  <c r="H237" i="3" s="1"/>
  <c r="C237" i="3"/>
  <c r="D237" i="3"/>
  <c r="E237" i="3"/>
  <c r="F237" i="3"/>
  <c r="G237" i="3"/>
  <c r="I237" i="3"/>
  <c r="J237" i="3"/>
  <c r="A238" i="3"/>
  <c r="B238" i="3"/>
  <c r="C238" i="3"/>
  <c r="D238" i="3"/>
  <c r="E238" i="3"/>
  <c r="F238" i="3"/>
  <c r="G238" i="3"/>
  <c r="J238" i="3" s="1"/>
  <c r="H238" i="3"/>
  <c r="A239" i="3"/>
  <c r="B239" i="3"/>
  <c r="H239" i="3" s="1"/>
  <c r="C239" i="3"/>
  <c r="D239" i="3"/>
  <c r="E239" i="3"/>
  <c r="F239" i="3"/>
  <c r="G239" i="3"/>
  <c r="A240" i="3"/>
  <c r="B240" i="3"/>
  <c r="C240" i="3"/>
  <c r="D240" i="3"/>
  <c r="E240" i="3"/>
  <c r="F240" i="3"/>
  <c r="G240" i="3"/>
  <c r="I240" i="3" s="1"/>
  <c r="H240" i="3"/>
  <c r="A241" i="3"/>
  <c r="B241" i="3"/>
  <c r="H241" i="3" s="1"/>
  <c r="C241" i="3"/>
  <c r="D241" i="3"/>
  <c r="E241" i="3"/>
  <c r="F241" i="3"/>
  <c r="G241" i="3"/>
  <c r="I241" i="3"/>
  <c r="J241" i="3"/>
  <c r="A242" i="3"/>
  <c r="B242" i="3"/>
  <c r="H242" i="3" s="1"/>
  <c r="C242" i="3"/>
  <c r="D242" i="3"/>
  <c r="E242" i="3"/>
  <c r="F242" i="3"/>
  <c r="G242" i="3"/>
  <c r="I242" i="3" s="1"/>
  <c r="J242" i="3"/>
  <c r="A243" i="3"/>
  <c r="B243" i="3"/>
  <c r="C243" i="3"/>
  <c r="D243" i="3"/>
  <c r="E243" i="3"/>
  <c r="F243" i="3"/>
  <c r="G243" i="3"/>
  <c r="I243" i="3" s="1"/>
  <c r="H243" i="3"/>
  <c r="A244" i="3"/>
  <c r="B244" i="3"/>
  <c r="C244" i="3"/>
  <c r="D244" i="3"/>
  <c r="E244" i="3"/>
  <c r="F244" i="3"/>
  <c r="G244" i="3"/>
  <c r="I244" i="3" s="1"/>
  <c r="H244" i="3"/>
  <c r="J244" i="3"/>
  <c r="A245" i="3"/>
  <c r="B245" i="3"/>
  <c r="H245" i="3" s="1"/>
  <c r="C245" i="3"/>
  <c r="D245" i="3"/>
  <c r="E245" i="3"/>
  <c r="F245" i="3"/>
  <c r="G245" i="3"/>
  <c r="I245" i="3"/>
  <c r="J245" i="3"/>
  <c r="A246" i="3"/>
  <c r="B246" i="3"/>
  <c r="C246" i="3"/>
  <c r="D246" i="3"/>
  <c r="E246" i="3"/>
  <c r="F246" i="3"/>
  <c r="G246" i="3"/>
  <c r="H246" i="3"/>
  <c r="I246" i="3"/>
  <c r="J246" i="3"/>
  <c r="A247" i="3"/>
  <c r="B247" i="3"/>
  <c r="C247" i="3"/>
  <c r="D247" i="3"/>
  <c r="E247" i="3"/>
  <c r="F247" i="3"/>
  <c r="G247" i="3"/>
  <c r="H247" i="3"/>
  <c r="I247" i="3"/>
  <c r="J247" i="3"/>
  <c r="A248" i="3"/>
  <c r="B248" i="3"/>
  <c r="H248" i="3" s="1"/>
  <c r="C248" i="3"/>
  <c r="D248" i="3"/>
  <c r="E248" i="3"/>
  <c r="F248" i="3"/>
  <c r="G248" i="3"/>
  <c r="A249" i="3"/>
  <c r="B249" i="3"/>
  <c r="C249" i="3"/>
  <c r="D249" i="3"/>
  <c r="E249" i="3"/>
  <c r="F249" i="3"/>
  <c r="G249" i="3"/>
  <c r="H249" i="3"/>
  <c r="I249" i="3"/>
  <c r="J249" i="3"/>
  <c r="A250" i="3"/>
  <c r="B250" i="3"/>
  <c r="C250" i="3"/>
  <c r="D250" i="3"/>
  <c r="E250" i="3"/>
  <c r="F250" i="3"/>
  <c r="G250" i="3"/>
  <c r="I250" i="3" s="1"/>
  <c r="H250" i="3"/>
  <c r="J250" i="3"/>
  <c r="A251" i="3"/>
  <c r="B251" i="3"/>
  <c r="C251" i="3"/>
  <c r="D251" i="3"/>
  <c r="E251" i="3"/>
  <c r="F251" i="3"/>
  <c r="G251" i="3"/>
  <c r="I251" i="3" s="1"/>
  <c r="H251" i="3"/>
  <c r="J251" i="3"/>
  <c r="A252" i="3"/>
  <c r="B252" i="3"/>
  <c r="C252" i="3"/>
  <c r="D252" i="3"/>
  <c r="E252" i="3"/>
  <c r="F252" i="3"/>
  <c r="G252" i="3"/>
  <c r="J252" i="3" s="1"/>
  <c r="H252" i="3"/>
  <c r="A253" i="3"/>
  <c r="B253" i="3"/>
  <c r="C253" i="3"/>
  <c r="D253" i="3"/>
  <c r="E253" i="3"/>
  <c r="F253" i="3"/>
  <c r="G253" i="3"/>
  <c r="H253" i="3"/>
  <c r="A254" i="3"/>
  <c r="B254" i="3"/>
  <c r="H254" i="3" s="1"/>
  <c r="C254" i="3"/>
  <c r="D254" i="3"/>
  <c r="E254" i="3"/>
  <c r="F254" i="3"/>
  <c r="G254" i="3"/>
  <c r="I254" i="3"/>
  <c r="J254" i="3"/>
  <c r="A255" i="3"/>
  <c r="B255" i="3"/>
  <c r="H255" i="3" s="1"/>
  <c r="C255" i="3"/>
  <c r="D255" i="3"/>
  <c r="E255" i="3"/>
  <c r="F255" i="3"/>
  <c r="G255" i="3"/>
  <c r="I255" i="3" s="1"/>
  <c r="A256" i="3"/>
  <c r="B256" i="3"/>
  <c r="C256" i="3"/>
  <c r="D256" i="3"/>
  <c r="E256" i="3"/>
  <c r="F256" i="3"/>
  <c r="G256" i="3"/>
  <c r="J256" i="3" s="1"/>
  <c r="H256" i="3"/>
  <c r="I256" i="3"/>
  <c r="A257" i="3"/>
  <c r="B257" i="3"/>
  <c r="H257" i="3" s="1"/>
  <c r="C257" i="3"/>
  <c r="D257" i="3"/>
  <c r="E257" i="3"/>
  <c r="F257" i="3"/>
  <c r="G257" i="3"/>
  <c r="I257" i="3" s="1"/>
  <c r="J257" i="3"/>
  <c r="A258" i="3"/>
  <c r="B258" i="3"/>
  <c r="C258" i="3"/>
  <c r="D258" i="3"/>
  <c r="E258" i="3"/>
  <c r="F258" i="3"/>
  <c r="G258" i="3"/>
  <c r="I258" i="3" s="1"/>
  <c r="H258" i="3"/>
  <c r="A259" i="3"/>
  <c r="B259" i="3"/>
  <c r="C259" i="3"/>
  <c r="D259" i="3"/>
  <c r="E259" i="3"/>
  <c r="F259" i="3"/>
  <c r="G259" i="3"/>
  <c r="H259" i="3"/>
  <c r="A260" i="3"/>
  <c r="B260" i="3"/>
  <c r="H260" i="3" s="1"/>
  <c r="C260" i="3"/>
  <c r="D260" i="3"/>
  <c r="E260" i="3"/>
  <c r="F260" i="3"/>
  <c r="G260" i="3"/>
  <c r="I260" i="3"/>
  <c r="J260" i="3"/>
  <c r="A261" i="3"/>
  <c r="B261" i="3"/>
  <c r="C261" i="3"/>
  <c r="D261" i="3"/>
  <c r="E261" i="3"/>
  <c r="F261" i="3"/>
  <c r="G261" i="3"/>
  <c r="I261" i="3" s="1"/>
  <c r="H261" i="3"/>
  <c r="A262" i="3"/>
  <c r="B262" i="3"/>
  <c r="H262" i="3" s="1"/>
  <c r="C262" i="3"/>
  <c r="D262" i="3"/>
  <c r="E262" i="3"/>
  <c r="F262" i="3"/>
  <c r="G262" i="3"/>
  <c r="I262" i="3"/>
  <c r="J262" i="3"/>
  <c r="A263" i="3"/>
  <c r="B263" i="3"/>
  <c r="C263" i="3"/>
  <c r="D263" i="3"/>
  <c r="E263" i="3"/>
  <c r="F263" i="3"/>
  <c r="G263" i="3"/>
  <c r="H263" i="3"/>
  <c r="A264" i="3"/>
  <c r="B264" i="3"/>
  <c r="C264" i="3"/>
  <c r="D264" i="3"/>
  <c r="E264" i="3"/>
  <c r="F264" i="3"/>
  <c r="G264" i="3"/>
  <c r="I264" i="3" s="1"/>
  <c r="H264" i="3"/>
  <c r="A265" i="3"/>
  <c r="B265" i="3"/>
  <c r="C265" i="3"/>
  <c r="D265" i="3"/>
  <c r="E265" i="3"/>
  <c r="F265" i="3"/>
  <c r="G265" i="3"/>
  <c r="H265" i="3"/>
  <c r="A266" i="3"/>
  <c r="B266" i="3"/>
  <c r="C266" i="3"/>
  <c r="D266" i="3"/>
  <c r="E266" i="3"/>
  <c r="F266" i="3"/>
  <c r="G266" i="3"/>
  <c r="J266" i="3" s="1"/>
  <c r="H266" i="3"/>
  <c r="A267" i="3"/>
  <c r="B267" i="3"/>
  <c r="C267" i="3"/>
  <c r="D267" i="3"/>
  <c r="E267" i="3"/>
  <c r="F267" i="3"/>
  <c r="G267" i="3"/>
  <c r="I267" i="3" s="1"/>
  <c r="H267" i="3"/>
  <c r="A268" i="3"/>
  <c r="B268" i="3"/>
  <c r="H268" i="3" s="1"/>
  <c r="C268" i="3"/>
  <c r="D268" i="3"/>
  <c r="E268" i="3"/>
  <c r="F268" i="3"/>
  <c r="G268" i="3"/>
  <c r="A269" i="3"/>
  <c r="B269" i="3"/>
  <c r="H269" i="3" s="1"/>
  <c r="C269" i="3"/>
  <c r="D269" i="3"/>
  <c r="E269" i="3"/>
  <c r="F269" i="3"/>
  <c r="G269" i="3"/>
  <c r="A270" i="3"/>
  <c r="B270" i="3"/>
  <c r="C270" i="3"/>
  <c r="D270" i="3"/>
  <c r="E270" i="3"/>
  <c r="F270" i="3"/>
  <c r="G270" i="3"/>
  <c r="J270" i="3" s="1"/>
  <c r="H270" i="3"/>
  <c r="A271" i="3"/>
  <c r="B271" i="3"/>
  <c r="H271" i="3" s="1"/>
  <c r="C271" i="3"/>
  <c r="D271" i="3"/>
  <c r="E271" i="3"/>
  <c r="F271" i="3"/>
  <c r="G271" i="3"/>
  <c r="A272" i="3"/>
  <c r="B272" i="3"/>
  <c r="H272" i="3" s="1"/>
  <c r="C272" i="3"/>
  <c r="D272" i="3"/>
  <c r="E272" i="3"/>
  <c r="F272" i="3"/>
  <c r="G272" i="3"/>
  <c r="I272" i="3"/>
  <c r="J272" i="3"/>
  <c r="A273" i="3"/>
  <c r="B273" i="3"/>
  <c r="C273" i="3"/>
  <c r="D273" i="3"/>
  <c r="E273" i="3"/>
  <c r="F273" i="3"/>
  <c r="G273" i="3"/>
  <c r="H273" i="3"/>
  <c r="A274" i="3"/>
  <c r="B274" i="3"/>
  <c r="C274" i="3"/>
  <c r="D274" i="3"/>
  <c r="E274" i="3"/>
  <c r="F274" i="3"/>
  <c r="G274" i="3"/>
  <c r="J274" i="3" s="1"/>
  <c r="H274" i="3"/>
  <c r="I274" i="3"/>
  <c r="A275" i="3"/>
  <c r="B275" i="3"/>
  <c r="H275" i="3" s="1"/>
  <c r="C275" i="3"/>
  <c r="D275" i="3"/>
  <c r="E275" i="3"/>
  <c r="F275" i="3"/>
  <c r="G275" i="3"/>
  <c r="I275" i="3"/>
  <c r="J275" i="3"/>
  <c r="A276" i="3"/>
  <c r="B276" i="3"/>
  <c r="C276" i="3"/>
  <c r="D276" i="3"/>
  <c r="E276" i="3"/>
  <c r="F276" i="3"/>
  <c r="G276" i="3"/>
  <c r="J276" i="3" s="1"/>
  <c r="H276" i="3"/>
  <c r="A277" i="3"/>
  <c r="B277" i="3"/>
  <c r="C277" i="3"/>
  <c r="D277" i="3"/>
  <c r="E277" i="3"/>
  <c r="F277" i="3"/>
  <c r="G277" i="3"/>
  <c r="H277" i="3"/>
  <c r="I277" i="3"/>
  <c r="J277" i="3"/>
  <c r="A278" i="3"/>
  <c r="B278" i="3"/>
  <c r="C278" i="3"/>
  <c r="D278" i="3"/>
  <c r="E278" i="3"/>
  <c r="F278" i="3"/>
  <c r="G278" i="3"/>
  <c r="J278" i="3" s="1"/>
  <c r="H278" i="3"/>
  <c r="I278" i="3"/>
  <c r="A279" i="3"/>
  <c r="B279" i="3"/>
  <c r="H279" i="3" s="1"/>
  <c r="C279" i="3"/>
  <c r="D279" i="3"/>
  <c r="E279" i="3"/>
  <c r="F279" i="3"/>
  <c r="G279" i="3"/>
  <c r="A280" i="3"/>
  <c r="B280" i="3"/>
  <c r="C280" i="3"/>
  <c r="D280" i="3"/>
  <c r="E280" i="3"/>
  <c r="F280" i="3"/>
  <c r="G280" i="3"/>
  <c r="J280" i="3" s="1"/>
  <c r="H280" i="3"/>
  <c r="A281" i="3"/>
  <c r="B281" i="3"/>
  <c r="C281" i="3"/>
  <c r="D281" i="3"/>
  <c r="E281" i="3"/>
  <c r="F281" i="3"/>
  <c r="G281" i="3"/>
  <c r="H281" i="3"/>
  <c r="J281" i="3"/>
  <c r="A282" i="3"/>
  <c r="B282" i="3"/>
  <c r="H282" i="3" s="1"/>
  <c r="C282" i="3"/>
  <c r="D282" i="3"/>
  <c r="E282" i="3"/>
  <c r="F282" i="3"/>
  <c r="G282" i="3"/>
  <c r="A283" i="3"/>
  <c r="B283" i="3"/>
  <c r="H283" i="3" s="1"/>
  <c r="C283" i="3"/>
  <c r="D283" i="3"/>
  <c r="E283" i="3"/>
  <c r="F283" i="3"/>
  <c r="G283" i="3"/>
  <c r="A284" i="3"/>
  <c r="B284" i="3"/>
  <c r="H284" i="3" s="1"/>
  <c r="C284" i="3"/>
  <c r="D284" i="3"/>
  <c r="E284" i="3"/>
  <c r="F284" i="3"/>
  <c r="G284" i="3"/>
  <c r="J284" i="3" s="1"/>
  <c r="I284" i="3"/>
  <c r="A285" i="3"/>
  <c r="B285" i="3"/>
  <c r="C285" i="3"/>
  <c r="D285" i="3"/>
  <c r="E285" i="3"/>
  <c r="F285" i="3"/>
  <c r="G285" i="3"/>
  <c r="J285" i="3" s="1"/>
  <c r="H285" i="3"/>
  <c r="I285" i="3"/>
  <c r="A286" i="3"/>
  <c r="B286" i="3"/>
  <c r="C286" i="3"/>
  <c r="D286" i="3"/>
  <c r="E286" i="3"/>
  <c r="F286" i="3"/>
  <c r="G286" i="3"/>
  <c r="I286" i="3" s="1"/>
  <c r="H286" i="3"/>
  <c r="A287" i="3"/>
  <c r="B287" i="3"/>
  <c r="H287" i="3" s="1"/>
  <c r="C287" i="3"/>
  <c r="D287" i="3"/>
  <c r="E287" i="3"/>
  <c r="F287" i="3"/>
  <c r="G287" i="3"/>
  <c r="A288" i="3"/>
  <c r="B288" i="3"/>
  <c r="C288" i="3"/>
  <c r="D288" i="3"/>
  <c r="E288" i="3"/>
  <c r="F288" i="3"/>
  <c r="G288" i="3"/>
  <c r="H288" i="3"/>
  <c r="A289" i="3"/>
  <c r="B289" i="3"/>
  <c r="C289" i="3"/>
  <c r="D289" i="3"/>
  <c r="E289" i="3"/>
  <c r="F289" i="3"/>
  <c r="G289" i="3"/>
  <c r="J289" i="3" s="1"/>
  <c r="H289" i="3"/>
  <c r="I289" i="3"/>
  <c r="A290" i="3"/>
  <c r="B290" i="3"/>
  <c r="H290" i="3" s="1"/>
  <c r="C290" i="3"/>
  <c r="D290" i="3"/>
  <c r="E290" i="3"/>
  <c r="F290" i="3"/>
  <c r="G290" i="3"/>
  <c r="J290" i="3" s="1"/>
  <c r="A291" i="3"/>
  <c r="B291" i="3"/>
  <c r="C291" i="3"/>
  <c r="D291" i="3"/>
  <c r="E291" i="3"/>
  <c r="F291" i="3"/>
  <c r="G291" i="3"/>
  <c r="I291" i="3" s="1"/>
  <c r="H291" i="3"/>
  <c r="J291" i="3"/>
  <c r="A292" i="3"/>
  <c r="B292" i="3"/>
  <c r="C292" i="3"/>
  <c r="D292" i="3"/>
  <c r="E292" i="3"/>
  <c r="F292" i="3"/>
  <c r="G292" i="3"/>
  <c r="H292" i="3"/>
  <c r="I292" i="3"/>
  <c r="J292" i="3"/>
  <c r="A293" i="3"/>
  <c r="B293" i="3"/>
  <c r="H293" i="3" s="1"/>
  <c r="C293" i="3"/>
  <c r="D293" i="3"/>
  <c r="E293" i="3"/>
  <c r="F293" i="3"/>
  <c r="G293" i="3"/>
  <c r="J293" i="3" s="1"/>
  <c r="A294" i="3"/>
  <c r="B294" i="3"/>
  <c r="C294" i="3"/>
  <c r="D294" i="3"/>
  <c r="E294" i="3"/>
  <c r="F294" i="3"/>
  <c r="G294" i="3"/>
  <c r="H294" i="3"/>
  <c r="A295" i="3"/>
  <c r="B295" i="3"/>
  <c r="C295" i="3"/>
  <c r="D295" i="3"/>
  <c r="E295" i="3"/>
  <c r="F295" i="3"/>
  <c r="G295" i="3"/>
  <c r="J295" i="3" s="1"/>
  <c r="H295" i="3"/>
  <c r="A296" i="3"/>
  <c r="B296" i="3"/>
  <c r="H296" i="3" s="1"/>
  <c r="C296" i="3"/>
  <c r="D296" i="3"/>
  <c r="E296" i="3"/>
  <c r="F296" i="3"/>
  <c r="G296" i="3"/>
  <c r="A297" i="3"/>
  <c r="B297" i="3"/>
  <c r="H297" i="3" s="1"/>
  <c r="C297" i="3"/>
  <c r="D297" i="3"/>
  <c r="E297" i="3"/>
  <c r="F297" i="3"/>
  <c r="G297" i="3"/>
  <c r="J297" i="3" s="1"/>
  <c r="I297" i="3"/>
  <c r="A298" i="3"/>
  <c r="B298" i="3"/>
  <c r="C298" i="3"/>
  <c r="D298" i="3"/>
  <c r="E298" i="3"/>
  <c r="F298" i="3"/>
  <c r="G298" i="3"/>
  <c r="H298" i="3"/>
  <c r="I298" i="3"/>
  <c r="J298" i="3"/>
  <c r="A299" i="3"/>
  <c r="B299" i="3"/>
  <c r="H299" i="3" s="1"/>
  <c r="C299" i="3"/>
  <c r="D299" i="3"/>
  <c r="E299" i="3"/>
  <c r="F299" i="3"/>
  <c r="G299" i="3"/>
  <c r="I299" i="3" s="1"/>
  <c r="J299" i="3"/>
  <c r="A300" i="3"/>
  <c r="B300" i="3"/>
  <c r="C300" i="3"/>
  <c r="D300" i="3"/>
  <c r="E300" i="3"/>
  <c r="F300" i="3"/>
  <c r="G300" i="3"/>
  <c r="J300" i="3" s="1"/>
  <c r="H300" i="3"/>
  <c r="A301" i="3"/>
  <c r="B301" i="3"/>
  <c r="C301" i="3"/>
  <c r="D301" i="3"/>
  <c r="E301" i="3"/>
  <c r="F301" i="3"/>
  <c r="G301" i="3"/>
  <c r="H301" i="3"/>
  <c r="I301" i="3"/>
  <c r="J301" i="3"/>
  <c r="A302" i="3"/>
  <c r="B302" i="3"/>
  <c r="H302" i="3" s="1"/>
  <c r="C302" i="3"/>
  <c r="D302" i="3"/>
  <c r="E302" i="3"/>
  <c r="F302" i="3"/>
  <c r="G302" i="3"/>
  <c r="A303" i="3"/>
  <c r="B303" i="3"/>
  <c r="C303" i="3"/>
  <c r="D303" i="3"/>
  <c r="E303" i="3"/>
  <c r="F303" i="3"/>
  <c r="G303" i="3"/>
  <c r="H303" i="3"/>
  <c r="A304" i="3"/>
  <c r="B304" i="3"/>
  <c r="C304" i="3"/>
  <c r="D304" i="3"/>
  <c r="E304" i="3"/>
  <c r="F304" i="3"/>
  <c r="G304" i="3"/>
  <c r="H304" i="3"/>
  <c r="I304" i="3"/>
  <c r="J304" i="3"/>
  <c r="A305" i="3"/>
  <c r="B305" i="3"/>
  <c r="H305" i="3" s="1"/>
  <c r="C305" i="3"/>
  <c r="D305" i="3"/>
  <c r="E305" i="3"/>
  <c r="F305" i="3"/>
  <c r="G305" i="3"/>
  <c r="A306" i="3"/>
  <c r="B306" i="3"/>
  <c r="C306" i="3"/>
  <c r="D306" i="3"/>
  <c r="E306" i="3"/>
  <c r="F306" i="3"/>
  <c r="G306" i="3"/>
  <c r="I306" i="3" s="1"/>
  <c r="H306" i="3"/>
  <c r="A307" i="3"/>
  <c r="B307" i="3"/>
  <c r="C307" i="3"/>
  <c r="D307" i="3"/>
  <c r="E307" i="3"/>
  <c r="F307" i="3"/>
  <c r="G307" i="3"/>
  <c r="J307" i="3" s="1"/>
  <c r="H307" i="3"/>
  <c r="I307" i="3"/>
  <c r="A308" i="3"/>
  <c r="B308" i="3"/>
  <c r="C308" i="3"/>
  <c r="D308" i="3"/>
  <c r="E308" i="3"/>
  <c r="F308" i="3"/>
  <c r="G308" i="3"/>
  <c r="J308" i="3" s="1"/>
  <c r="H308" i="3"/>
  <c r="A309" i="3"/>
  <c r="B309" i="3"/>
  <c r="C309" i="3"/>
  <c r="D309" i="3"/>
  <c r="E309" i="3"/>
  <c r="F309" i="3"/>
  <c r="G309" i="3"/>
  <c r="I309" i="3" s="1"/>
  <c r="H309" i="3"/>
  <c r="A310" i="3"/>
  <c r="B310" i="3"/>
  <c r="C310" i="3"/>
  <c r="D310" i="3"/>
  <c r="E310" i="3"/>
  <c r="F310" i="3"/>
  <c r="G310" i="3"/>
  <c r="J310" i="3" s="1"/>
  <c r="H310" i="3"/>
  <c r="A311" i="3"/>
  <c r="B311" i="3"/>
  <c r="H311" i="3" s="1"/>
  <c r="C311" i="3"/>
  <c r="D311" i="3"/>
  <c r="E311" i="3"/>
  <c r="F311" i="3"/>
  <c r="G311" i="3"/>
  <c r="A312" i="3"/>
  <c r="B312" i="3"/>
  <c r="C312" i="3"/>
  <c r="D312" i="3"/>
  <c r="E312" i="3"/>
  <c r="F312" i="3"/>
  <c r="G312" i="3"/>
  <c r="I312" i="3" s="1"/>
  <c r="H312" i="3"/>
  <c r="A313" i="3"/>
  <c r="B313" i="3"/>
  <c r="C313" i="3"/>
  <c r="D313" i="3"/>
  <c r="E313" i="3"/>
  <c r="F313" i="3"/>
  <c r="G313" i="3"/>
  <c r="J313" i="3" s="1"/>
  <c r="H313" i="3"/>
  <c r="I313" i="3"/>
  <c r="A314" i="3"/>
  <c r="B314" i="3"/>
  <c r="H314" i="3" s="1"/>
  <c r="C314" i="3"/>
  <c r="D314" i="3"/>
  <c r="E314" i="3"/>
  <c r="F314" i="3"/>
  <c r="G314" i="3"/>
  <c r="I314" i="3"/>
  <c r="J314" i="3"/>
  <c r="A315" i="3"/>
  <c r="B315" i="3"/>
  <c r="C315" i="3"/>
  <c r="D315" i="3"/>
  <c r="E315" i="3"/>
  <c r="F315" i="3"/>
  <c r="G315" i="3"/>
  <c r="H315" i="3"/>
  <c r="A316" i="3"/>
  <c r="B316" i="3"/>
  <c r="H316" i="3" s="1"/>
  <c r="C316" i="3"/>
  <c r="D316" i="3"/>
  <c r="E316" i="3"/>
  <c r="F316" i="3"/>
  <c r="G316" i="3"/>
  <c r="I316" i="3" s="1"/>
  <c r="J316" i="3"/>
  <c r="A317" i="3"/>
  <c r="B317" i="3"/>
  <c r="H317" i="3" s="1"/>
  <c r="C317" i="3"/>
  <c r="D317" i="3"/>
  <c r="E317" i="3"/>
  <c r="F317" i="3"/>
  <c r="G317" i="3"/>
  <c r="J317" i="3" s="1"/>
  <c r="I317" i="3"/>
  <c r="A318" i="3"/>
  <c r="B318" i="3"/>
  <c r="C318" i="3"/>
  <c r="D318" i="3"/>
  <c r="E318" i="3"/>
  <c r="F318" i="3"/>
  <c r="G318" i="3"/>
  <c r="H318" i="3"/>
  <c r="A319" i="3"/>
  <c r="B319" i="3"/>
  <c r="C319" i="3"/>
  <c r="D319" i="3"/>
  <c r="E319" i="3"/>
  <c r="F319" i="3"/>
  <c r="G319" i="3"/>
  <c r="I319" i="3" s="1"/>
  <c r="H319" i="3"/>
  <c r="A320" i="3"/>
  <c r="B320" i="3"/>
  <c r="C320" i="3"/>
  <c r="D320" i="3"/>
  <c r="E320" i="3"/>
  <c r="F320" i="3"/>
  <c r="G320" i="3"/>
  <c r="I320" i="3" s="1"/>
  <c r="H320" i="3"/>
  <c r="A321" i="3"/>
  <c r="B321" i="3"/>
  <c r="H321" i="3" s="1"/>
  <c r="C321" i="3"/>
  <c r="D321" i="3"/>
  <c r="E321" i="3"/>
  <c r="F321" i="3"/>
  <c r="G321" i="3"/>
  <c r="A322" i="3"/>
  <c r="B322" i="3"/>
  <c r="H322" i="3" s="1"/>
  <c r="C322" i="3"/>
  <c r="D322" i="3"/>
  <c r="E322" i="3"/>
  <c r="F322" i="3"/>
  <c r="G322" i="3"/>
  <c r="A323" i="3"/>
  <c r="B323" i="3"/>
  <c r="C323" i="3"/>
  <c r="D323" i="3"/>
  <c r="E323" i="3"/>
  <c r="F323" i="3"/>
  <c r="G323" i="3"/>
  <c r="I323" i="3" s="1"/>
  <c r="H323" i="3"/>
  <c r="A324" i="3"/>
  <c r="B324" i="3"/>
  <c r="H324" i="3" s="1"/>
  <c r="C324" i="3"/>
  <c r="D324" i="3"/>
  <c r="E324" i="3"/>
  <c r="F324" i="3"/>
  <c r="G324" i="3"/>
  <c r="A325" i="3"/>
  <c r="B325" i="3"/>
  <c r="H325" i="3" s="1"/>
  <c r="C325" i="3"/>
  <c r="D325" i="3"/>
  <c r="E325" i="3"/>
  <c r="F325" i="3"/>
  <c r="G325" i="3"/>
  <c r="A326" i="3"/>
  <c r="B326" i="3"/>
  <c r="H326" i="3" s="1"/>
  <c r="C326" i="3"/>
  <c r="D326" i="3"/>
  <c r="E326" i="3"/>
  <c r="F326" i="3"/>
  <c r="G326" i="3"/>
  <c r="I326" i="3" s="1"/>
  <c r="A327" i="3"/>
  <c r="B327" i="3"/>
  <c r="H327" i="3" s="1"/>
  <c r="C327" i="3"/>
  <c r="D327" i="3"/>
  <c r="E327" i="3"/>
  <c r="F327" i="3"/>
  <c r="G327" i="3"/>
  <c r="I327" i="3" s="1"/>
  <c r="J327" i="3"/>
  <c r="A328" i="3"/>
  <c r="B328" i="3"/>
  <c r="C328" i="3"/>
  <c r="D328" i="3"/>
  <c r="E328" i="3"/>
  <c r="F328" i="3"/>
  <c r="G328" i="3"/>
  <c r="I328" i="3" s="1"/>
  <c r="H328" i="3"/>
  <c r="J328" i="3"/>
  <c r="A329" i="3"/>
  <c r="B329" i="3"/>
  <c r="H329" i="3" s="1"/>
  <c r="C329" i="3"/>
  <c r="D329" i="3"/>
  <c r="E329" i="3"/>
  <c r="F329" i="3"/>
  <c r="G329" i="3"/>
  <c r="I329" i="3" s="1"/>
  <c r="A330" i="3"/>
  <c r="B330" i="3"/>
  <c r="H330" i="3" s="1"/>
  <c r="C330" i="3"/>
  <c r="D330" i="3"/>
  <c r="E330" i="3"/>
  <c r="F330" i="3"/>
  <c r="G330" i="3"/>
  <c r="J330" i="3" s="1"/>
  <c r="I330" i="3"/>
  <c r="A331" i="3"/>
  <c r="B331" i="3"/>
  <c r="C331" i="3"/>
  <c r="D331" i="3"/>
  <c r="E331" i="3"/>
  <c r="F331" i="3"/>
  <c r="G331" i="3"/>
  <c r="H331" i="3"/>
  <c r="A332" i="3"/>
  <c r="B332" i="3"/>
  <c r="C332" i="3"/>
  <c r="D332" i="3"/>
  <c r="E332" i="3"/>
  <c r="F332" i="3"/>
  <c r="G332" i="3"/>
  <c r="J332" i="3" s="1"/>
  <c r="H332" i="3"/>
  <c r="I332" i="3"/>
  <c r="A333" i="3"/>
  <c r="B333" i="3"/>
  <c r="H333" i="3" s="1"/>
  <c r="C333" i="3"/>
  <c r="D333" i="3"/>
  <c r="E333" i="3"/>
  <c r="F333" i="3"/>
  <c r="G333" i="3"/>
  <c r="I333" i="3" s="1"/>
  <c r="J333" i="3"/>
  <c r="A334" i="3"/>
  <c r="B334" i="3"/>
  <c r="C334" i="3"/>
  <c r="D334" i="3"/>
  <c r="E334" i="3"/>
  <c r="F334" i="3"/>
  <c r="G334" i="3"/>
  <c r="I334" i="3" s="1"/>
  <c r="H334" i="3"/>
  <c r="J334" i="3"/>
  <c r="A335" i="3"/>
  <c r="B335" i="3"/>
  <c r="C335" i="3"/>
  <c r="D335" i="3"/>
  <c r="E335" i="3"/>
  <c r="F335" i="3"/>
  <c r="G335" i="3"/>
  <c r="J335" i="3" s="1"/>
  <c r="H335" i="3"/>
  <c r="I335" i="3"/>
  <c r="A336" i="3"/>
  <c r="B336" i="3"/>
  <c r="C336" i="3"/>
  <c r="D336" i="3"/>
  <c r="E336" i="3"/>
  <c r="F336" i="3"/>
  <c r="G336" i="3"/>
  <c r="H336" i="3"/>
  <c r="A337" i="3"/>
  <c r="B337" i="3"/>
  <c r="C337" i="3"/>
  <c r="D337" i="3"/>
  <c r="E337" i="3"/>
  <c r="F337" i="3"/>
  <c r="G337" i="3"/>
  <c r="H337" i="3"/>
  <c r="I337" i="3"/>
  <c r="J337" i="3"/>
  <c r="A338" i="3"/>
  <c r="B338" i="3"/>
  <c r="C338" i="3"/>
  <c r="D338" i="3"/>
  <c r="E338" i="3"/>
  <c r="F338" i="3"/>
  <c r="G338" i="3"/>
  <c r="H338" i="3"/>
  <c r="A339" i="3"/>
  <c r="B339" i="3"/>
  <c r="H339" i="3" s="1"/>
  <c r="C339" i="3"/>
  <c r="D339" i="3"/>
  <c r="E339" i="3"/>
  <c r="F339" i="3"/>
  <c r="G339" i="3"/>
  <c r="I339" i="3" s="1"/>
  <c r="J339" i="3"/>
  <c r="A340" i="3"/>
  <c r="B340" i="3"/>
  <c r="C340" i="3"/>
  <c r="D340" i="3"/>
  <c r="E340" i="3"/>
  <c r="F340" i="3"/>
  <c r="G340" i="3"/>
  <c r="H340" i="3"/>
  <c r="A341" i="3"/>
  <c r="B341" i="3"/>
  <c r="C341" i="3"/>
  <c r="D341" i="3"/>
  <c r="E341" i="3"/>
  <c r="F341" i="3"/>
  <c r="G341" i="3"/>
  <c r="H341" i="3"/>
  <c r="I341" i="3"/>
  <c r="J341" i="3"/>
  <c r="A342" i="3"/>
  <c r="B342" i="3"/>
  <c r="C342" i="3"/>
  <c r="D342" i="3"/>
  <c r="E342" i="3"/>
  <c r="F342" i="3"/>
  <c r="G342" i="3"/>
  <c r="H342" i="3"/>
  <c r="A343" i="3"/>
  <c r="B343" i="3"/>
  <c r="C343" i="3"/>
  <c r="D343" i="3"/>
  <c r="E343" i="3"/>
  <c r="F343" i="3"/>
  <c r="G343" i="3"/>
  <c r="J343" i="3" s="1"/>
  <c r="H343" i="3"/>
  <c r="I343" i="3"/>
  <c r="A344" i="3"/>
  <c r="B344" i="3"/>
  <c r="C344" i="3"/>
  <c r="D344" i="3"/>
  <c r="E344" i="3"/>
  <c r="F344" i="3"/>
  <c r="G344" i="3"/>
  <c r="H344" i="3"/>
  <c r="I344" i="3"/>
  <c r="J344" i="3"/>
  <c r="A345" i="3"/>
  <c r="B345" i="3"/>
  <c r="C345" i="3"/>
  <c r="D345" i="3"/>
  <c r="E345" i="3"/>
  <c r="F345" i="3"/>
  <c r="G345" i="3"/>
  <c r="H345" i="3"/>
  <c r="A346" i="3"/>
  <c r="B346" i="3"/>
  <c r="C346" i="3"/>
  <c r="D346" i="3"/>
  <c r="E346" i="3"/>
  <c r="F346" i="3"/>
  <c r="G346" i="3"/>
  <c r="H346" i="3"/>
  <c r="A347" i="3"/>
  <c r="B347" i="3"/>
  <c r="C347" i="3"/>
  <c r="D347" i="3"/>
  <c r="E347" i="3"/>
  <c r="F347" i="3"/>
  <c r="G347" i="3"/>
  <c r="H347" i="3"/>
  <c r="A348" i="3"/>
  <c r="B348" i="3"/>
  <c r="C348" i="3"/>
  <c r="D348" i="3"/>
  <c r="E348" i="3"/>
  <c r="F348" i="3"/>
  <c r="G348" i="3"/>
  <c r="H348" i="3"/>
  <c r="I348" i="3"/>
  <c r="J348" i="3"/>
  <c r="A349" i="3"/>
  <c r="B349" i="3"/>
  <c r="H349" i="3" s="1"/>
  <c r="C349" i="3"/>
  <c r="D349" i="3"/>
  <c r="E349" i="3"/>
  <c r="F349" i="3"/>
  <c r="G349" i="3"/>
  <c r="A350" i="3"/>
  <c r="B350" i="3"/>
  <c r="H350" i="3" s="1"/>
  <c r="C350" i="3"/>
  <c r="D350" i="3"/>
  <c r="E350" i="3"/>
  <c r="F350" i="3"/>
  <c r="G350" i="3"/>
  <c r="A351" i="3"/>
  <c r="B351" i="3"/>
  <c r="C351" i="3"/>
  <c r="D351" i="3"/>
  <c r="E351" i="3"/>
  <c r="F351" i="3"/>
  <c r="G351" i="3"/>
  <c r="H351" i="3"/>
  <c r="A352" i="3"/>
  <c r="B352" i="3"/>
  <c r="C352" i="3"/>
  <c r="D352" i="3"/>
  <c r="E352" i="3"/>
  <c r="F352" i="3"/>
  <c r="G352" i="3"/>
  <c r="H352" i="3"/>
  <c r="A353" i="3"/>
  <c r="B353" i="3"/>
  <c r="H353" i="3" s="1"/>
  <c r="C353" i="3"/>
  <c r="D353" i="3"/>
  <c r="E353" i="3"/>
  <c r="F353" i="3"/>
  <c r="G353" i="3"/>
  <c r="I353" i="3" s="1"/>
  <c r="J353" i="3"/>
  <c r="A354" i="3"/>
  <c r="B354" i="3"/>
  <c r="C354" i="3"/>
  <c r="D354" i="3"/>
  <c r="E354" i="3"/>
  <c r="F354" i="3"/>
  <c r="G354" i="3"/>
  <c r="I354" i="3" s="1"/>
  <c r="H354" i="3"/>
  <c r="A355" i="3"/>
  <c r="B355" i="3"/>
  <c r="C355" i="3"/>
  <c r="D355" i="3"/>
  <c r="E355" i="3"/>
  <c r="F355" i="3"/>
  <c r="G355" i="3"/>
  <c r="H355" i="3"/>
  <c r="A356" i="3"/>
  <c r="B356" i="3"/>
  <c r="C356" i="3"/>
  <c r="D356" i="3"/>
  <c r="E356" i="3"/>
  <c r="F356" i="3"/>
  <c r="G356" i="3"/>
  <c r="H356" i="3"/>
  <c r="A357" i="3"/>
  <c r="B357" i="3"/>
  <c r="C357" i="3"/>
  <c r="D357" i="3"/>
  <c r="E357" i="3"/>
  <c r="F357" i="3"/>
  <c r="G357" i="3"/>
  <c r="I357" i="3" s="1"/>
  <c r="H357" i="3"/>
  <c r="A358" i="3"/>
  <c r="B358" i="3"/>
  <c r="H358" i="3" s="1"/>
  <c r="C358" i="3"/>
  <c r="D358" i="3"/>
  <c r="E358" i="3"/>
  <c r="F358" i="3"/>
  <c r="G358" i="3"/>
  <c r="I358" i="3"/>
  <c r="J358" i="3"/>
  <c r="A359" i="3"/>
  <c r="B359" i="3"/>
  <c r="C359" i="3"/>
  <c r="D359" i="3"/>
  <c r="E359" i="3"/>
  <c r="F359" i="3"/>
  <c r="G359" i="3"/>
  <c r="H359" i="3"/>
  <c r="A360" i="3"/>
  <c r="B360" i="3"/>
  <c r="C360" i="3"/>
  <c r="D360" i="3"/>
  <c r="E360" i="3"/>
  <c r="F360" i="3"/>
  <c r="G360" i="3"/>
  <c r="I360" i="3" s="1"/>
  <c r="H360" i="3"/>
  <c r="A361" i="3"/>
  <c r="B361" i="3"/>
  <c r="H361" i="3" s="1"/>
  <c r="C361" i="3"/>
  <c r="D361" i="3"/>
  <c r="E361" i="3"/>
  <c r="F361" i="3"/>
  <c r="G361" i="3"/>
  <c r="J361" i="3" s="1"/>
  <c r="I361" i="3"/>
  <c r="A362" i="3"/>
  <c r="B362" i="3"/>
  <c r="C362" i="3"/>
  <c r="D362" i="3"/>
  <c r="E362" i="3"/>
  <c r="F362" i="3"/>
  <c r="G362" i="3"/>
  <c r="I362" i="3" s="1"/>
  <c r="H362" i="3"/>
  <c r="A363" i="3"/>
  <c r="B363" i="3"/>
  <c r="C363" i="3"/>
  <c r="D363" i="3"/>
  <c r="E363" i="3"/>
  <c r="F363" i="3"/>
  <c r="G363" i="3"/>
  <c r="I363" i="3" s="1"/>
  <c r="H363" i="3"/>
  <c r="A364" i="3"/>
  <c r="B364" i="3"/>
  <c r="H364" i="3" s="1"/>
  <c r="C364" i="3"/>
  <c r="D364" i="3"/>
  <c r="E364" i="3"/>
  <c r="F364" i="3"/>
  <c r="G364" i="3"/>
  <c r="J364" i="3" s="1"/>
  <c r="A365" i="3"/>
  <c r="B365" i="3"/>
  <c r="H365" i="3" s="1"/>
  <c r="C365" i="3"/>
  <c r="D365" i="3"/>
  <c r="E365" i="3"/>
  <c r="F365" i="3"/>
  <c r="G365" i="3"/>
  <c r="I365" i="3"/>
  <c r="J365" i="3"/>
  <c r="A366" i="3"/>
  <c r="B366" i="3"/>
  <c r="C366" i="3"/>
  <c r="D366" i="3"/>
  <c r="E366" i="3"/>
  <c r="F366" i="3"/>
  <c r="G366" i="3"/>
  <c r="I366" i="3" s="1"/>
  <c r="H366" i="3"/>
  <c r="A367" i="3"/>
  <c r="B367" i="3"/>
  <c r="H367" i="3" s="1"/>
  <c r="C367" i="3"/>
  <c r="D367" i="3"/>
  <c r="E367" i="3"/>
  <c r="F367" i="3"/>
  <c r="G367" i="3"/>
  <c r="J367" i="3" s="1"/>
  <c r="I367" i="3"/>
  <c r="A368" i="3"/>
  <c r="B368" i="3"/>
  <c r="C368" i="3"/>
  <c r="D368" i="3"/>
  <c r="E368" i="3"/>
  <c r="F368" i="3"/>
  <c r="G368" i="3"/>
  <c r="H368" i="3"/>
  <c r="I368" i="3"/>
  <c r="J368" i="3"/>
  <c r="A369" i="3"/>
  <c r="B369" i="3"/>
  <c r="C369" i="3"/>
  <c r="D369" i="3"/>
  <c r="E369" i="3"/>
  <c r="F369" i="3"/>
  <c r="G369" i="3"/>
  <c r="I369" i="3" s="1"/>
  <c r="H369" i="3"/>
  <c r="A370" i="3"/>
  <c r="B370" i="3"/>
  <c r="H370" i="3" s="1"/>
  <c r="C370" i="3"/>
  <c r="D370" i="3"/>
  <c r="E370" i="3"/>
  <c r="F370" i="3"/>
  <c r="G370" i="3"/>
  <c r="I370" i="3" s="1"/>
  <c r="A371" i="3"/>
  <c r="B371" i="3"/>
  <c r="C371" i="3"/>
  <c r="D371" i="3"/>
  <c r="E371" i="3"/>
  <c r="F371" i="3"/>
  <c r="G371" i="3"/>
  <c r="H371" i="3"/>
  <c r="A372" i="3"/>
  <c r="B372" i="3"/>
  <c r="C372" i="3"/>
  <c r="D372" i="3"/>
  <c r="E372" i="3"/>
  <c r="F372" i="3"/>
  <c r="G372" i="3"/>
  <c r="J372" i="3" s="1"/>
  <c r="H372" i="3"/>
  <c r="I372" i="3"/>
  <c r="A373" i="3"/>
  <c r="B373" i="3"/>
  <c r="H373" i="3" s="1"/>
  <c r="C373" i="3"/>
  <c r="D373" i="3"/>
  <c r="E373" i="3"/>
  <c r="F373" i="3"/>
  <c r="G373" i="3"/>
  <c r="I373" i="3" s="1"/>
  <c r="J373" i="3"/>
  <c r="A374" i="3"/>
  <c r="B374" i="3"/>
  <c r="C374" i="3"/>
  <c r="D374" i="3"/>
  <c r="E374" i="3"/>
  <c r="F374" i="3"/>
  <c r="G374" i="3"/>
  <c r="H374" i="3"/>
  <c r="A375" i="3"/>
  <c r="B375" i="3"/>
  <c r="C375" i="3"/>
  <c r="D375" i="3"/>
  <c r="E375" i="3"/>
  <c r="F375" i="3"/>
  <c r="G375" i="3"/>
  <c r="H375" i="3"/>
  <c r="I375" i="3"/>
  <c r="J375" i="3"/>
  <c r="A376" i="3"/>
  <c r="B376" i="3"/>
  <c r="C376" i="3"/>
  <c r="D376" i="3"/>
  <c r="E376" i="3"/>
  <c r="F376" i="3"/>
  <c r="G376" i="3"/>
  <c r="H376" i="3"/>
  <c r="A377" i="3"/>
  <c r="B377" i="3"/>
  <c r="H377" i="3" s="1"/>
  <c r="C377" i="3"/>
  <c r="D377" i="3"/>
  <c r="E377" i="3"/>
  <c r="F377" i="3"/>
  <c r="G377" i="3"/>
  <c r="J377" i="3" s="1"/>
  <c r="A378" i="3"/>
  <c r="B378" i="3"/>
  <c r="C378" i="3"/>
  <c r="D378" i="3"/>
  <c r="E378" i="3"/>
  <c r="F378" i="3"/>
  <c r="G378" i="3"/>
  <c r="H378" i="3"/>
  <c r="A379" i="3"/>
  <c r="B379" i="3"/>
  <c r="H379" i="3" s="1"/>
  <c r="C379" i="3"/>
  <c r="D379" i="3"/>
  <c r="E379" i="3"/>
  <c r="F379" i="3"/>
  <c r="G379" i="3"/>
  <c r="A380" i="3"/>
  <c r="B380" i="3"/>
  <c r="C380" i="3"/>
  <c r="D380" i="3"/>
  <c r="E380" i="3"/>
  <c r="F380" i="3"/>
  <c r="G380" i="3"/>
  <c r="H380" i="3"/>
  <c r="A381" i="3"/>
  <c r="B381" i="3"/>
  <c r="H381" i="3" s="1"/>
  <c r="C381" i="3"/>
  <c r="D381" i="3"/>
  <c r="E381" i="3"/>
  <c r="F381" i="3"/>
  <c r="G381" i="3"/>
  <c r="I381" i="3" s="1"/>
  <c r="J381" i="3"/>
  <c r="A382" i="3"/>
  <c r="B382" i="3"/>
  <c r="C382" i="3"/>
  <c r="D382" i="3"/>
  <c r="E382" i="3"/>
  <c r="F382" i="3"/>
  <c r="G382" i="3"/>
  <c r="I382" i="3" s="1"/>
  <c r="H382" i="3"/>
  <c r="A383" i="3"/>
  <c r="B383" i="3"/>
  <c r="C383" i="3"/>
  <c r="D383" i="3"/>
  <c r="E383" i="3"/>
  <c r="F383" i="3"/>
  <c r="G383" i="3"/>
  <c r="H383" i="3"/>
  <c r="A384" i="3"/>
  <c r="B384" i="3"/>
  <c r="C384" i="3"/>
  <c r="D384" i="3"/>
  <c r="E384" i="3"/>
  <c r="F384" i="3"/>
  <c r="G384" i="3"/>
  <c r="J384" i="3" s="1"/>
  <c r="H384" i="3"/>
  <c r="I384" i="3"/>
  <c r="A385" i="3"/>
  <c r="B385" i="3"/>
  <c r="C385" i="3"/>
  <c r="D385" i="3"/>
  <c r="E385" i="3"/>
  <c r="F385" i="3"/>
  <c r="G385" i="3"/>
  <c r="H385" i="3"/>
  <c r="A386" i="3"/>
  <c r="B386" i="3"/>
  <c r="H386" i="3" s="1"/>
  <c r="C386" i="3"/>
  <c r="D386" i="3"/>
  <c r="E386" i="3"/>
  <c r="F386" i="3"/>
  <c r="G386" i="3"/>
  <c r="I386" i="3"/>
  <c r="J386" i="3"/>
  <c r="A387" i="3"/>
  <c r="B387" i="3"/>
  <c r="H387" i="3" s="1"/>
  <c r="C387" i="3"/>
  <c r="D387" i="3"/>
  <c r="E387" i="3"/>
  <c r="F387" i="3"/>
  <c r="G387" i="3"/>
  <c r="I387" i="3" s="1"/>
  <c r="J387" i="3"/>
  <c r="A388" i="3"/>
  <c r="B388" i="3"/>
  <c r="C388" i="3"/>
  <c r="D388" i="3"/>
  <c r="E388" i="3"/>
  <c r="F388" i="3"/>
  <c r="G388" i="3"/>
  <c r="I388" i="3" s="1"/>
  <c r="H388" i="3"/>
  <c r="A389" i="3"/>
  <c r="B389" i="3"/>
  <c r="H389" i="3" s="1"/>
  <c r="C389" i="3"/>
  <c r="D389" i="3"/>
  <c r="E389" i="3"/>
  <c r="F389" i="3"/>
  <c r="G389" i="3"/>
  <c r="I389" i="3" s="1"/>
  <c r="J389" i="3"/>
  <c r="A390" i="3"/>
  <c r="B390" i="3"/>
  <c r="C390" i="3"/>
  <c r="D390" i="3"/>
  <c r="E390" i="3"/>
  <c r="F390" i="3"/>
  <c r="G390" i="3"/>
  <c r="H390" i="3"/>
  <c r="A391" i="3"/>
  <c r="B391" i="3"/>
  <c r="C391" i="3"/>
  <c r="D391" i="3"/>
  <c r="E391" i="3"/>
  <c r="F391" i="3"/>
  <c r="G391" i="3"/>
  <c r="H391" i="3"/>
  <c r="A392" i="3"/>
  <c r="B392" i="3"/>
  <c r="H392" i="3" s="1"/>
  <c r="C392" i="3"/>
  <c r="D392" i="3"/>
  <c r="E392" i="3"/>
  <c r="F392" i="3"/>
  <c r="G392" i="3"/>
  <c r="J392" i="3" s="1"/>
  <c r="I392" i="3"/>
  <c r="A393" i="3"/>
  <c r="B393" i="3"/>
  <c r="C393" i="3"/>
  <c r="D393" i="3"/>
  <c r="E393" i="3"/>
  <c r="F393" i="3"/>
  <c r="G393" i="3"/>
  <c r="J393" i="3" s="1"/>
  <c r="H393" i="3"/>
  <c r="I393" i="3"/>
  <c r="A394" i="3"/>
  <c r="B394" i="3"/>
  <c r="C394" i="3"/>
  <c r="D394" i="3"/>
  <c r="E394" i="3"/>
  <c r="F394" i="3"/>
  <c r="G394" i="3"/>
  <c r="H394" i="3"/>
  <c r="I394" i="3"/>
  <c r="J394" i="3"/>
  <c r="A395" i="3"/>
  <c r="B395" i="3"/>
  <c r="H395" i="3" s="1"/>
  <c r="C395" i="3"/>
  <c r="D395" i="3"/>
  <c r="E395" i="3"/>
  <c r="F395" i="3"/>
  <c r="G395" i="3"/>
  <c r="I395" i="3" s="1"/>
  <c r="A396" i="3"/>
  <c r="B396" i="3"/>
  <c r="C396" i="3"/>
  <c r="D396" i="3"/>
  <c r="E396" i="3"/>
  <c r="F396" i="3"/>
  <c r="G396" i="3"/>
  <c r="J396" i="3" s="1"/>
  <c r="H396" i="3"/>
  <c r="A397" i="3"/>
  <c r="B397" i="3"/>
  <c r="C397" i="3"/>
  <c r="D397" i="3"/>
  <c r="E397" i="3"/>
  <c r="F397" i="3"/>
  <c r="G397" i="3"/>
  <c r="I397" i="3" s="1"/>
  <c r="H397" i="3"/>
  <c r="J397" i="3"/>
  <c r="A398" i="3"/>
  <c r="B398" i="3"/>
  <c r="C398" i="3"/>
  <c r="D398" i="3"/>
  <c r="E398" i="3"/>
  <c r="F398" i="3"/>
  <c r="G398" i="3"/>
  <c r="H398" i="3"/>
  <c r="A399" i="3"/>
  <c r="B399" i="3"/>
  <c r="C399" i="3"/>
  <c r="D399" i="3"/>
  <c r="E399" i="3"/>
  <c r="F399" i="3"/>
  <c r="G399" i="3"/>
  <c r="H399" i="3"/>
  <c r="A400" i="3"/>
  <c r="B400" i="3"/>
  <c r="C400" i="3"/>
  <c r="D400" i="3"/>
  <c r="E400" i="3"/>
  <c r="F400" i="3"/>
  <c r="G400" i="3"/>
  <c r="H400" i="3"/>
  <c r="I400" i="3"/>
  <c r="J400" i="3"/>
  <c r="A401" i="3"/>
  <c r="B401" i="3"/>
  <c r="H401" i="3" s="1"/>
  <c r="C401" i="3"/>
  <c r="D401" i="3"/>
  <c r="E401" i="3"/>
  <c r="F401" i="3"/>
  <c r="G401" i="3"/>
  <c r="J401" i="3" s="1"/>
  <c r="A402" i="3"/>
  <c r="B402" i="3"/>
  <c r="C402" i="3"/>
  <c r="D402" i="3"/>
  <c r="E402" i="3"/>
  <c r="F402" i="3"/>
  <c r="G402" i="3"/>
  <c r="H402" i="3"/>
  <c r="I402" i="3"/>
  <c r="J402" i="3"/>
  <c r="A403" i="3"/>
  <c r="B403" i="3"/>
  <c r="C403" i="3"/>
  <c r="D403" i="3"/>
  <c r="E403" i="3"/>
  <c r="F403" i="3"/>
  <c r="G403" i="3"/>
  <c r="J403" i="3" s="1"/>
  <c r="H403" i="3"/>
  <c r="I403" i="3"/>
  <c r="A404" i="3"/>
  <c r="B404" i="3"/>
  <c r="C404" i="3"/>
  <c r="D404" i="3"/>
  <c r="E404" i="3"/>
  <c r="F404" i="3"/>
  <c r="G404" i="3"/>
  <c r="I404" i="3" s="1"/>
  <c r="H404" i="3"/>
  <c r="A405" i="3"/>
  <c r="B405" i="3"/>
  <c r="H405" i="3" s="1"/>
  <c r="C405" i="3"/>
  <c r="D405" i="3"/>
  <c r="E405" i="3"/>
  <c r="F405" i="3"/>
  <c r="G405" i="3"/>
  <c r="A406" i="3"/>
  <c r="B406" i="3"/>
  <c r="C406" i="3"/>
  <c r="D406" i="3"/>
  <c r="E406" i="3"/>
  <c r="F406" i="3"/>
  <c r="G406" i="3"/>
  <c r="H406" i="3"/>
  <c r="A407" i="3"/>
  <c r="B407" i="3"/>
  <c r="H407" i="3" s="1"/>
  <c r="C407" i="3"/>
  <c r="D407" i="3"/>
  <c r="E407" i="3"/>
  <c r="F407" i="3"/>
  <c r="G407" i="3"/>
  <c r="I407" i="3" s="1"/>
  <c r="A408" i="3"/>
  <c r="B408" i="3"/>
  <c r="H408" i="3" s="1"/>
  <c r="C408" i="3"/>
  <c r="D408" i="3"/>
  <c r="E408" i="3"/>
  <c r="F408" i="3"/>
  <c r="G408" i="3"/>
  <c r="A409" i="3"/>
  <c r="B409" i="3"/>
  <c r="H409" i="3" s="1"/>
  <c r="C409" i="3"/>
  <c r="D409" i="3"/>
  <c r="E409" i="3"/>
  <c r="F409" i="3"/>
  <c r="G409" i="3"/>
  <c r="J409" i="3" s="1"/>
  <c r="I409" i="3"/>
  <c r="A410" i="3"/>
  <c r="B410" i="3"/>
  <c r="C410" i="3"/>
  <c r="D410" i="3"/>
  <c r="E410" i="3"/>
  <c r="F410" i="3"/>
  <c r="G410" i="3"/>
  <c r="H410" i="3"/>
  <c r="I410" i="3"/>
  <c r="J410" i="3"/>
  <c r="A411" i="3"/>
  <c r="B411" i="3"/>
  <c r="C411" i="3"/>
  <c r="D411" i="3"/>
  <c r="E411" i="3"/>
  <c r="F411" i="3"/>
  <c r="G411" i="3"/>
  <c r="H411" i="3"/>
  <c r="A412" i="3"/>
  <c r="B412" i="3"/>
  <c r="C412" i="3"/>
  <c r="D412" i="3"/>
  <c r="E412" i="3"/>
  <c r="F412" i="3"/>
  <c r="G412" i="3"/>
  <c r="J412" i="3" s="1"/>
  <c r="H412" i="3"/>
  <c r="I412" i="3"/>
  <c r="A413" i="3"/>
  <c r="B413" i="3"/>
  <c r="C413" i="3"/>
  <c r="D413" i="3"/>
  <c r="E413" i="3"/>
  <c r="F413" i="3"/>
  <c r="G413" i="3"/>
  <c r="J413" i="3" s="1"/>
  <c r="H413" i="3"/>
  <c r="A414" i="3"/>
  <c r="B414" i="3"/>
  <c r="H414" i="3" s="1"/>
  <c r="C414" i="3"/>
  <c r="D414" i="3"/>
  <c r="E414" i="3"/>
  <c r="F414" i="3"/>
  <c r="G414" i="3"/>
  <c r="J414" i="3" s="1"/>
  <c r="I414" i="3"/>
  <c r="A415" i="3"/>
  <c r="B415" i="3"/>
  <c r="C415" i="3"/>
  <c r="D415" i="3"/>
  <c r="E415" i="3"/>
  <c r="F415" i="3"/>
  <c r="G415" i="3"/>
  <c r="J415" i="3" s="1"/>
  <c r="H415" i="3"/>
  <c r="I415" i="3"/>
  <c r="A416" i="3"/>
  <c r="B416" i="3"/>
  <c r="C416" i="3"/>
  <c r="D416" i="3"/>
  <c r="E416" i="3"/>
  <c r="F416" i="3"/>
  <c r="G416" i="3"/>
  <c r="I416" i="3" s="1"/>
  <c r="H416" i="3"/>
  <c r="A417" i="3"/>
  <c r="B417" i="3"/>
  <c r="H417" i="3" s="1"/>
  <c r="C417" i="3"/>
  <c r="D417" i="3"/>
  <c r="E417" i="3"/>
  <c r="F417" i="3"/>
  <c r="G417" i="3"/>
  <c r="J417" i="3" s="1"/>
  <c r="I417" i="3"/>
  <c r="A418" i="3"/>
  <c r="B418" i="3"/>
  <c r="C418" i="3"/>
  <c r="D418" i="3"/>
  <c r="E418" i="3"/>
  <c r="F418" i="3"/>
  <c r="G418" i="3"/>
  <c r="H418" i="3"/>
  <c r="A419" i="3"/>
  <c r="B419" i="3"/>
  <c r="C419" i="3"/>
  <c r="D419" i="3"/>
  <c r="E419" i="3"/>
  <c r="F419" i="3"/>
  <c r="G419" i="3"/>
  <c r="H419" i="3"/>
  <c r="I419" i="3"/>
  <c r="J419" i="3"/>
  <c r="A420" i="3"/>
  <c r="B420" i="3"/>
  <c r="H420" i="3" s="1"/>
  <c r="C420" i="3"/>
  <c r="D420" i="3"/>
  <c r="E420" i="3"/>
  <c r="F420" i="3"/>
  <c r="G420" i="3"/>
  <c r="A421" i="3"/>
  <c r="B421" i="3"/>
  <c r="C421" i="3"/>
  <c r="D421" i="3"/>
  <c r="E421" i="3"/>
  <c r="F421" i="3"/>
  <c r="G421" i="3"/>
  <c r="H421" i="3"/>
  <c r="A422" i="3"/>
  <c r="B422" i="3"/>
  <c r="C422" i="3"/>
  <c r="D422" i="3"/>
  <c r="E422" i="3"/>
  <c r="F422" i="3"/>
  <c r="G422" i="3"/>
  <c r="H422" i="3"/>
  <c r="I422" i="3"/>
  <c r="J422" i="3"/>
  <c r="A423" i="3"/>
  <c r="B423" i="3"/>
  <c r="H423" i="3" s="1"/>
  <c r="C423" i="3"/>
  <c r="D423" i="3"/>
  <c r="E423" i="3"/>
  <c r="F423" i="3"/>
  <c r="G423" i="3"/>
  <c r="I423" i="3" s="1"/>
  <c r="J423" i="3"/>
  <c r="A424" i="3"/>
  <c r="B424" i="3"/>
  <c r="H424" i="3" s="1"/>
  <c r="C424" i="3"/>
  <c r="D424" i="3"/>
  <c r="E424" i="3"/>
  <c r="F424" i="3"/>
  <c r="G424" i="3"/>
  <c r="I424" i="3" s="1"/>
  <c r="J424" i="3"/>
  <c r="A425" i="3"/>
  <c r="B425" i="3"/>
  <c r="C425" i="3"/>
  <c r="D425" i="3"/>
  <c r="E425" i="3"/>
  <c r="F425" i="3"/>
  <c r="G425" i="3"/>
  <c r="H425" i="3"/>
  <c r="I425" i="3"/>
  <c r="J425" i="3"/>
  <c r="A426" i="3"/>
  <c r="B426" i="3"/>
  <c r="H426" i="3" s="1"/>
  <c r="C426" i="3"/>
  <c r="D426" i="3"/>
  <c r="E426" i="3"/>
  <c r="F426" i="3"/>
  <c r="G426" i="3"/>
  <c r="I426" i="3"/>
  <c r="J426" i="3"/>
  <c r="A427" i="3"/>
  <c r="B427" i="3"/>
  <c r="C427" i="3"/>
  <c r="D427" i="3"/>
  <c r="E427" i="3"/>
  <c r="F427" i="3"/>
  <c r="G427" i="3"/>
  <c r="J427" i="3" s="1"/>
  <c r="H427" i="3"/>
  <c r="I427" i="3"/>
  <c r="A428" i="3"/>
  <c r="B428" i="3"/>
  <c r="C428" i="3"/>
  <c r="D428" i="3"/>
  <c r="E428" i="3"/>
  <c r="F428" i="3"/>
  <c r="G428" i="3"/>
  <c r="H428" i="3"/>
  <c r="I428" i="3"/>
  <c r="J428" i="3"/>
  <c r="A429" i="3"/>
  <c r="B429" i="3"/>
  <c r="H429" i="3" s="1"/>
  <c r="C429" i="3"/>
  <c r="D429" i="3"/>
  <c r="E429" i="3"/>
  <c r="F429" i="3"/>
  <c r="G429" i="3"/>
  <c r="A430" i="3"/>
  <c r="B430" i="3"/>
  <c r="H430" i="3" s="1"/>
  <c r="C430" i="3"/>
  <c r="D430" i="3"/>
  <c r="E430" i="3"/>
  <c r="F430" i="3"/>
  <c r="G430" i="3"/>
  <c r="J430" i="3" s="1"/>
  <c r="A431" i="3"/>
  <c r="B431" i="3"/>
  <c r="C431" i="3"/>
  <c r="D431" i="3"/>
  <c r="E431" i="3"/>
  <c r="F431" i="3"/>
  <c r="G431" i="3"/>
  <c r="H431" i="3"/>
  <c r="A432" i="3"/>
  <c r="B432" i="3"/>
  <c r="C432" i="3"/>
  <c r="D432" i="3"/>
  <c r="E432" i="3"/>
  <c r="F432" i="3"/>
  <c r="G432" i="3"/>
  <c r="H432" i="3"/>
  <c r="A433" i="3"/>
  <c r="B433" i="3"/>
  <c r="C433" i="3"/>
  <c r="D433" i="3"/>
  <c r="E433" i="3"/>
  <c r="F433" i="3"/>
  <c r="G433" i="3"/>
  <c r="I433" i="3" s="1"/>
  <c r="H433" i="3"/>
  <c r="J433" i="3"/>
  <c r="A434" i="3"/>
  <c r="B434" i="3"/>
  <c r="C434" i="3"/>
  <c r="D434" i="3"/>
  <c r="E434" i="3"/>
  <c r="F434" i="3"/>
  <c r="G434" i="3"/>
  <c r="H434" i="3"/>
  <c r="A435" i="3"/>
  <c r="B435" i="3"/>
  <c r="H435" i="3" s="1"/>
  <c r="C435" i="3"/>
  <c r="D435" i="3"/>
  <c r="E435" i="3"/>
  <c r="F435" i="3"/>
  <c r="G435" i="3"/>
  <c r="A436" i="3"/>
  <c r="B436" i="3"/>
  <c r="C436" i="3"/>
  <c r="D436" i="3"/>
  <c r="E436" i="3"/>
  <c r="F436" i="3"/>
  <c r="G436" i="3"/>
  <c r="H436" i="3"/>
  <c r="I436" i="3"/>
  <c r="J436" i="3"/>
  <c r="A437" i="3"/>
  <c r="B437" i="3"/>
  <c r="H437" i="3" s="1"/>
  <c r="C437" i="3"/>
  <c r="D437" i="3"/>
  <c r="E437" i="3"/>
  <c r="F437" i="3"/>
  <c r="G437" i="3"/>
  <c r="I437" i="3"/>
  <c r="J437" i="3"/>
  <c r="A438" i="3"/>
  <c r="B438" i="3"/>
  <c r="C438" i="3"/>
  <c r="D438" i="3"/>
  <c r="E438" i="3"/>
  <c r="F438" i="3"/>
  <c r="G438" i="3"/>
  <c r="H438" i="3"/>
  <c r="I438" i="3"/>
  <c r="A439" i="3"/>
  <c r="B439" i="3"/>
  <c r="H439" i="3" s="1"/>
  <c r="C439" i="3"/>
  <c r="D439" i="3"/>
  <c r="E439" i="3"/>
  <c r="F439" i="3"/>
  <c r="G439" i="3"/>
  <c r="I439" i="3"/>
  <c r="J439" i="3"/>
  <c r="A440" i="3"/>
  <c r="B440" i="3"/>
  <c r="C440" i="3"/>
  <c r="D440" i="3"/>
  <c r="E440" i="3"/>
  <c r="F440" i="3"/>
  <c r="G440" i="3"/>
  <c r="H440" i="3"/>
  <c r="I440" i="3"/>
  <c r="J440" i="3"/>
  <c r="A441" i="3"/>
  <c r="B441" i="3"/>
  <c r="H441" i="3" s="1"/>
  <c r="C441" i="3"/>
  <c r="D441" i="3"/>
  <c r="E441" i="3"/>
  <c r="F441" i="3"/>
  <c r="G441" i="3"/>
  <c r="I441" i="3" s="1"/>
  <c r="A442" i="3"/>
  <c r="B442" i="3"/>
  <c r="H442" i="3" s="1"/>
  <c r="C442" i="3"/>
  <c r="D442" i="3"/>
  <c r="E442" i="3"/>
  <c r="F442" i="3"/>
  <c r="G442" i="3"/>
  <c r="I442" i="3"/>
  <c r="J442" i="3"/>
  <c r="A443" i="3"/>
  <c r="B443" i="3"/>
  <c r="C443" i="3"/>
  <c r="D443" i="3"/>
  <c r="E443" i="3"/>
  <c r="F443" i="3"/>
  <c r="G443" i="3"/>
  <c r="H443" i="3"/>
  <c r="I443" i="3"/>
  <c r="J443" i="3"/>
  <c r="A444" i="3"/>
  <c r="B444" i="3"/>
  <c r="C444" i="3"/>
  <c r="D444" i="3"/>
  <c r="E444" i="3"/>
  <c r="F444" i="3"/>
  <c r="G444" i="3"/>
  <c r="H444" i="3"/>
  <c r="I444" i="3"/>
  <c r="J444" i="3"/>
  <c r="A445" i="3"/>
  <c r="B445" i="3"/>
  <c r="C445" i="3"/>
  <c r="D445" i="3"/>
  <c r="E445" i="3"/>
  <c r="F445" i="3"/>
  <c r="G445" i="3"/>
  <c r="I445" i="3" s="1"/>
  <c r="H445" i="3"/>
  <c r="J445" i="3"/>
  <c r="A446" i="3"/>
  <c r="B446" i="3"/>
  <c r="C446" i="3"/>
  <c r="D446" i="3"/>
  <c r="E446" i="3"/>
  <c r="F446" i="3"/>
  <c r="G446" i="3"/>
  <c r="H446" i="3"/>
  <c r="A447" i="3"/>
  <c r="B447" i="3"/>
  <c r="C447" i="3"/>
  <c r="D447" i="3"/>
  <c r="E447" i="3"/>
  <c r="F447" i="3"/>
  <c r="G447" i="3"/>
  <c r="J447" i="3" s="1"/>
  <c r="H447" i="3"/>
  <c r="I447" i="3"/>
  <c r="A448" i="3"/>
  <c r="B448" i="3"/>
  <c r="H448" i="3" s="1"/>
  <c r="C448" i="3"/>
  <c r="D448" i="3"/>
  <c r="E448" i="3"/>
  <c r="F448" i="3"/>
  <c r="G448" i="3"/>
  <c r="J448" i="3" s="1"/>
  <c r="A449" i="3"/>
  <c r="B449" i="3"/>
  <c r="C449" i="3"/>
  <c r="D449" i="3"/>
  <c r="E449" i="3"/>
  <c r="F449" i="3"/>
  <c r="G449" i="3"/>
  <c r="H449" i="3"/>
  <c r="A450" i="3"/>
  <c r="B450" i="3"/>
  <c r="C450" i="3"/>
  <c r="D450" i="3"/>
  <c r="E450" i="3"/>
  <c r="F450" i="3"/>
  <c r="G450" i="3"/>
  <c r="H450" i="3"/>
  <c r="A451" i="3"/>
  <c r="B451" i="3"/>
  <c r="H451" i="3" s="1"/>
  <c r="C451" i="3"/>
  <c r="D451" i="3"/>
  <c r="E451" i="3"/>
  <c r="F451" i="3"/>
  <c r="G451" i="3"/>
  <c r="I451" i="3" s="1"/>
  <c r="J451" i="3"/>
  <c r="A452" i="3"/>
  <c r="B452" i="3"/>
  <c r="C452" i="3"/>
  <c r="D452" i="3"/>
  <c r="E452" i="3"/>
  <c r="F452" i="3"/>
  <c r="G452" i="3"/>
  <c r="J452" i="3" s="1"/>
  <c r="H452" i="3"/>
  <c r="I452" i="3"/>
  <c r="A453" i="3"/>
  <c r="B453" i="3"/>
  <c r="C453" i="3"/>
  <c r="D453" i="3"/>
  <c r="E453" i="3"/>
  <c r="F453" i="3"/>
  <c r="G453" i="3"/>
  <c r="I453" i="3" s="1"/>
  <c r="H453" i="3"/>
  <c r="J453" i="3"/>
  <c r="A454" i="3"/>
  <c r="B454" i="3"/>
  <c r="C454" i="3"/>
  <c r="D454" i="3"/>
  <c r="E454" i="3"/>
  <c r="F454" i="3"/>
  <c r="G454" i="3"/>
  <c r="I454" i="3" s="1"/>
  <c r="H454" i="3"/>
  <c r="A455" i="3"/>
  <c r="B455" i="3"/>
  <c r="C455" i="3"/>
  <c r="D455" i="3"/>
  <c r="E455" i="3"/>
  <c r="F455" i="3"/>
  <c r="G455" i="3"/>
  <c r="H455" i="3"/>
  <c r="A456" i="3"/>
  <c r="B456" i="3"/>
  <c r="C456" i="3"/>
  <c r="D456" i="3"/>
  <c r="E456" i="3"/>
  <c r="F456" i="3"/>
  <c r="G456" i="3"/>
  <c r="H456" i="3"/>
  <c r="I456" i="3"/>
  <c r="J456" i="3"/>
  <c r="A457" i="3"/>
  <c r="B457" i="3"/>
  <c r="H457" i="3" s="1"/>
  <c r="C457" i="3"/>
  <c r="D457" i="3"/>
  <c r="E457" i="3"/>
  <c r="F457" i="3"/>
  <c r="G457" i="3"/>
  <c r="I457" i="3" s="1"/>
  <c r="A458" i="3"/>
  <c r="B458" i="3"/>
  <c r="H458" i="3" s="1"/>
  <c r="C458" i="3"/>
  <c r="D458" i="3"/>
  <c r="E458" i="3"/>
  <c r="F458" i="3"/>
  <c r="G458" i="3"/>
  <c r="A459" i="3"/>
  <c r="B459" i="3"/>
  <c r="C459" i="3"/>
  <c r="D459" i="3"/>
  <c r="E459" i="3"/>
  <c r="F459" i="3"/>
  <c r="G459" i="3"/>
  <c r="H459" i="3"/>
  <c r="I459" i="3"/>
  <c r="J459" i="3"/>
  <c r="A460" i="3"/>
  <c r="B460" i="3"/>
  <c r="C460" i="3"/>
  <c r="D460" i="3"/>
  <c r="E460" i="3"/>
  <c r="F460" i="3"/>
  <c r="G460" i="3"/>
  <c r="I460" i="3" s="1"/>
  <c r="H460" i="3"/>
  <c r="A461" i="3"/>
  <c r="B461" i="3"/>
  <c r="H461" i="3" s="1"/>
  <c r="C461" i="3"/>
  <c r="D461" i="3"/>
  <c r="E461" i="3"/>
  <c r="F461" i="3"/>
  <c r="G461" i="3"/>
  <c r="I461" i="3"/>
  <c r="J461" i="3"/>
  <c r="A462" i="3"/>
  <c r="B462" i="3"/>
  <c r="C462" i="3"/>
  <c r="D462" i="3"/>
  <c r="E462" i="3"/>
  <c r="F462" i="3"/>
  <c r="G462" i="3"/>
  <c r="H462" i="3"/>
  <c r="A463" i="3"/>
  <c r="B463" i="3"/>
  <c r="C463" i="3"/>
  <c r="D463" i="3"/>
  <c r="E463" i="3"/>
  <c r="F463" i="3"/>
  <c r="G463" i="3"/>
  <c r="I463" i="3" s="1"/>
  <c r="H463" i="3"/>
  <c r="A464" i="3"/>
  <c r="B464" i="3"/>
  <c r="H464" i="3" s="1"/>
  <c r="C464" i="3"/>
  <c r="D464" i="3"/>
  <c r="E464" i="3"/>
  <c r="F464" i="3"/>
  <c r="G464" i="3"/>
  <c r="I464" i="3"/>
  <c r="J464" i="3"/>
  <c r="A465" i="3"/>
  <c r="B465" i="3"/>
  <c r="H465" i="3" s="1"/>
  <c r="C465" i="3"/>
  <c r="D465" i="3"/>
  <c r="E465" i="3"/>
  <c r="F465" i="3"/>
  <c r="G465" i="3"/>
  <c r="I465" i="3" s="1"/>
  <c r="A466" i="3"/>
  <c r="B466" i="3"/>
  <c r="C466" i="3"/>
  <c r="D466" i="3"/>
  <c r="E466" i="3"/>
  <c r="F466" i="3"/>
  <c r="G466" i="3"/>
  <c r="I466" i="3" s="1"/>
  <c r="H466" i="3"/>
  <c r="A467" i="3"/>
  <c r="B467" i="3"/>
  <c r="H467" i="3" s="1"/>
  <c r="C467" i="3"/>
  <c r="D467" i="3"/>
  <c r="E467" i="3"/>
  <c r="F467" i="3"/>
  <c r="G467" i="3"/>
  <c r="A468" i="3"/>
  <c r="B468" i="3"/>
  <c r="C468" i="3"/>
  <c r="D468" i="3"/>
  <c r="E468" i="3"/>
  <c r="F468" i="3"/>
  <c r="G468" i="3"/>
  <c r="H468" i="3"/>
  <c r="A469" i="3"/>
  <c r="B469" i="3"/>
  <c r="C469" i="3"/>
  <c r="D469" i="3"/>
  <c r="E469" i="3"/>
  <c r="F469" i="3"/>
  <c r="G469" i="3"/>
  <c r="I469" i="3" s="1"/>
  <c r="H469" i="3"/>
  <c r="A470" i="3"/>
  <c r="B470" i="3"/>
  <c r="C470" i="3"/>
  <c r="D470" i="3"/>
  <c r="E470" i="3"/>
  <c r="F470" i="3"/>
  <c r="G470" i="3"/>
  <c r="H470" i="3"/>
  <c r="A471" i="3"/>
  <c r="B471" i="3"/>
  <c r="C471" i="3"/>
  <c r="D471" i="3"/>
  <c r="E471" i="3"/>
  <c r="F471" i="3"/>
  <c r="G471" i="3"/>
  <c r="H471" i="3"/>
  <c r="A472" i="3"/>
  <c r="B472" i="3"/>
  <c r="C472" i="3"/>
  <c r="D472" i="3"/>
  <c r="E472" i="3"/>
  <c r="F472" i="3"/>
  <c r="G472" i="3"/>
  <c r="J472" i="3" s="1"/>
  <c r="H472" i="3"/>
  <c r="I472" i="3"/>
  <c r="A473" i="3"/>
  <c r="B473" i="3"/>
  <c r="H473" i="3" s="1"/>
  <c r="C473" i="3"/>
  <c r="D473" i="3"/>
  <c r="E473" i="3"/>
  <c r="F473" i="3"/>
  <c r="G473" i="3"/>
  <c r="I473" i="3"/>
  <c r="J473" i="3"/>
  <c r="A474" i="3"/>
  <c r="B474" i="3"/>
  <c r="C474" i="3"/>
  <c r="D474" i="3"/>
  <c r="E474" i="3"/>
  <c r="F474" i="3"/>
  <c r="G474" i="3"/>
  <c r="H474" i="3"/>
  <c r="I474" i="3"/>
  <c r="J474" i="3"/>
  <c r="A475" i="3"/>
  <c r="B475" i="3"/>
  <c r="H475" i="3" s="1"/>
  <c r="C475" i="3"/>
  <c r="D475" i="3"/>
  <c r="E475" i="3"/>
  <c r="F475" i="3"/>
  <c r="G475" i="3"/>
  <c r="I475" i="3" s="1"/>
  <c r="J475" i="3"/>
  <c r="A476" i="3"/>
  <c r="B476" i="3"/>
  <c r="H476" i="3" s="1"/>
  <c r="C476" i="3"/>
  <c r="D476" i="3"/>
  <c r="E476" i="3"/>
  <c r="F476" i="3"/>
  <c r="G476" i="3"/>
  <c r="A477" i="3"/>
  <c r="B477" i="3"/>
  <c r="C477" i="3"/>
  <c r="D477" i="3"/>
  <c r="E477" i="3"/>
  <c r="F477" i="3"/>
  <c r="G477" i="3"/>
  <c r="H477" i="3"/>
  <c r="A478" i="3"/>
  <c r="B478" i="3"/>
  <c r="H478" i="3" s="1"/>
  <c r="C478" i="3"/>
  <c r="D478" i="3"/>
  <c r="E478" i="3"/>
  <c r="F478" i="3"/>
  <c r="G478" i="3"/>
  <c r="J478" i="3" s="1"/>
  <c r="I478" i="3"/>
  <c r="A479" i="3"/>
  <c r="B479" i="3"/>
  <c r="H479" i="3" s="1"/>
  <c r="C479" i="3"/>
  <c r="D479" i="3"/>
  <c r="E479" i="3"/>
  <c r="F479" i="3"/>
  <c r="G479" i="3"/>
  <c r="J479" i="3" s="1"/>
  <c r="A480" i="3"/>
  <c r="B480" i="3"/>
  <c r="C480" i="3"/>
  <c r="D480" i="3"/>
  <c r="E480" i="3"/>
  <c r="F480" i="3"/>
  <c r="G480" i="3"/>
  <c r="H480" i="3"/>
  <c r="A481" i="3"/>
  <c r="B481" i="3"/>
  <c r="C481" i="3"/>
  <c r="D481" i="3"/>
  <c r="E481" i="3"/>
  <c r="F481" i="3"/>
  <c r="G481" i="3"/>
  <c r="H481" i="3"/>
  <c r="I481" i="3"/>
  <c r="J481" i="3"/>
  <c r="A482" i="3"/>
  <c r="B482" i="3"/>
  <c r="H482" i="3" s="1"/>
  <c r="C482" i="3"/>
  <c r="D482" i="3"/>
  <c r="E482" i="3"/>
  <c r="F482" i="3"/>
  <c r="G482" i="3"/>
  <c r="A483" i="3"/>
  <c r="B483" i="3"/>
  <c r="H483" i="3" s="1"/>
  <c r="C483" i="3"/>
  <c r="D483" i="3"/>
  <c r="E483" i="3"/>
  <c r="F483" i="3"/>
  <c r="G483" i="3"/>
  <c r="I483" i="3"/>
  <c r="J483" i="3"/>
  <c r="A484" i="3"/>
  <c r="B484" i="3"/>
  <c r="C484" i="3"/>
  <c r="D484" i="3"/>
  <c r="E484" i="3"/>
  <c r="F484" i="3"/>
  <c r="G484" i="3"/>
  <c r="H484" i="3"/>
  <c r="I484" i="3"/>
  <c r="J484" i="3"/>
  <c r="A485" i="3"/>
  <c r="B485" i="3"/>
  <c r="C485" i="3"/>
  <c r="D485" i="3"/>
  <c r="E485" i="3"/>
  <c r="F485" i="3"/>
  <c r="G485" i="3"/>
  <c r="J485" i="3" s="1"/>
  <c r="H485" i="3"/>
  <c r="I485" i="3"/>
  <c r="A486" i="3"/>
  <c r="B486" i="3"/>
  <c r="C486" i="3"/>
  <c r="D486" i="3"/>
  <c r="E486" i="3"/>
  <c r="F486" i="3"/>
  <c r="G486" i="3"/>
  <c r="J486" i="3" s="1"/>
  <c r="H486" i="3"/>
  <c r="I486" i="3"/>
  <c r="A487" i="3"/>
  <c r="B487" i="3"/>
  <c r="C487" i="3"/>
  <c r="D487" i="3"/>
  <c r="E487" i="3"/>
  <c r="F487" i="3"/>
  <c r="G487" i="3"/>
  <c r="H487" i="3"/>
  <c r="A488" i="3"/>
  <c r="B488" i="3"/>
  <c r="C488" i="3"/>
  <c r="D488" i="3"/>
  <c r="E488" i="3"/>
  <c r="F488" i="3"/>
  <c r="G488" i="3"/>
  <c r="J488" i="3" s="1"/>
  <c r="H488" i="3"/>
  <c r="I488" i="3"/>
  <c r="A489" i="3"/>
  <c r="B489" i="3"/>
  <c r="C489" i="3"/>
  <c r="D489" i="3"/>
  <c r="E489" i="3"/>
  <c r="F489" i="3"/>
  <c r="G489" i="3"/>
  <c r="J489" i="3" s="1"/>
  <c r="H489" i="3"/>
  <c r="I489" i="3"/>
  <c r="A490" i="3"/>
  <c r="B490" i="3"/>
  <c r="C490" i="3"/>
  <c r="D490" i="3"/>
  <c r="E490" i="3"/>
  <c r="F490" i="3"/>
  <c r="G490" i="3"/>
  <c r="H490" i="3"/>
  <c r="A491" i="3"/>
  <c r="B491" i="3"/>
  <c r="C491" i="3"/>
  <c r="D491" i="3"/>
  <c r="E491" i="3"/>
  <c r="F491" i="3"/>
  <c r="G491" i="3"/>
  <c r="H491" i="3"/>
  <c r="I491" i="3"/>
  <c r="A492" i="3"/>
  <c r="B492" i="3"/>
  <c r="C492" i="3"/>
  <c r="D492" i="3"/>
  <c r="E492" i="3"/>
  <c r="F492" i="3"/>
  <c r="G492" i="3"/>
  <c r="H492" i="3"/>
  <c r="A493" i="3"/>
  <c r="B493" i="3"/>
  <c r="H493" i="3" s="1"/>
  <c r="C493" i="3"/>
  <c r="D493" i="3"/>
  <c r="E493" i="3"/>
  <c r="F493" i="3"/>
  <c r="G493" i="3"/>
  <c r="J493" i="3" s="1"/>
  <c r="I493" i="3"/>
  <c r="A494" i="3"/>
  <c r="B494" i="3"/>
  <c r="C494" i="3"/>
  <c r="D494" i="3"/>
  <c r="E494" i="3"/>
  <c r="F494" i="3"/>
  <c r="G494" i="3"/>
  <c r="H494" i="3"/>
  <c r="I494" i="3"/>
  <c r="J494" i="3"/>
  <c r="A495" i="3"/>
  <c r="B495" i="3"/>
  <c r="H495" i="3" s="1"/>
  <c r="C495" i="3"/>
  <c r="D495" i="3"/>
  <c r="E495" i="3"/>
  <c r="F495" i="3"/>
  <c r="G495" i="3"/>
  <c r="I495" i="3" s="1"/>
  <c r="J495" i="3"/>
  <c r="A496" i="3"/>
  <c r="B496" i="3"/>
  <c r="C496" i="3"/>
  <c r="D496" i="3"/>
  <c r="E496" i="3"/>
  <c r="F496" i="3"/>
  <c r="G496" i="3"/>
  <c r="J496" i="3" s="1"/>
  <c r="H496" i="3"/>
  <c r="I496" i="3"/>
  <c r="A497" i="3"/>
  <c r="B497" i="3"/>
  <c r="C497" i="3"/>
  <c r="D497" i="3"/>
  <c r="E497" i="3"/>
  <c r="F497" i="3"/>
  <c r="G497" i="3"/>
  <c r="H497" i="3"/>
  <c r="I497" i="3"/>
  <c r="J497" i="3"/>
  <c r="A498" i="3"/>
  <c r="B498" i="3"/>
  <c r="C498" i="3"/>
  <c r="D498" i="3"/>
  <c r="E498" i="3"/>
  <c r="F498" i="3"/>
  <c r="G498" i="3"/>
  <c r="H498" i="3"/>
  <c r="I498" i="3"/>
  <c r="J498" i="3"/>
  <c r="A499" i="3"/>
  <c r="B499" i="3"/>
  <c r="C499" i="3"/>
  <c r="D499" i="3"/>
  <c r="E499" i="3"/>
  <c r="F499" i="3"/>
  <c r="G499" i="3"/>
  <c r="H499" i="3"/>
  <c r="A500" i="3"/>
  <c r="B500" i="3"/>
  <c r="C500" i="3"/>
  <c r="D500" i="3"/>
  <c r="E500" i="3"/>
  <c r="F500" i="3"/>
  <c r="G500" i="3"/>
  <c r="J500" i="3" s="1"/>
  <c r="H500" i="3"/>
  <c r="I500" i="3"/>
  <c r="A501" i="3"/>
  <c r="B501" i="3"/>
  <c r="C501" i="3"/>
  <c r="D501" i="3"/>
  <c r="E501" i="3"/>
  <c r="F501" i="3"/>
  <c r="G501" i="3"/>
  <c r="I501" i="3" s="1"/>
  <c r="H501" i="3"/>
  <c r="J501" i="3"/>
  <c r="A502" i="3"/>
  <c r="B502" i="3"/>
  <c r="C502" i="3"/>
  <c r="D502" i="3"/>
  <c r="E502" i="3"/>
  <c r="F502" i="3"/>
  <c r="G502" i="3"/>
  <c r="J502" i="3" s="1"/>
  <c r="H502" i="3"/>
  <c r="I502" i="3"/>
  <c r="A503" i="3"/>
  <c r="B503" i="3"/>
  <c r="C503" i="3"/>
  <c r="D503" i="3"/>
  <c r="E503" i="3"/>
  <c r="F503" i="3"/>
  <c r="G503" i="3"/>
  <c r="J503" i="3" s="1"/>
  <c r="H503" i="3"/>
  <c r="A504" i="3"/>
  <c r="B504" i="3"/>
  <c r="C504" i="3"/>
  <c r="D504" i="3"/>
  <c r="E504" i="3"/>
  <c r="F504" i="3"/>
  <c r="G504" i="3"/>
  <c r="H504" i="3"/>
  <c r="A505" i="3"/>
  <c r="B505" i="3"/>
  <c r="H505" i="3" s="1"/>
  <c r="C505" i="3"/>
  <c r="D505" i="3"/>
  <c r="E505" i="3"/>
  <c r="F505" i="3"/>
  <c r="G505" i="3"/>
  <c r="I505" i="3"/>
  <c r="J505" i="3"/>
  <c r="A506" i="3"/>
  <c r="B506" i="3"/>
  <c r="C506" i="3"/>
  <c r="D506" i="3"/>
  <c r="E506" i="3"/>
  <c r="F506" i="3"/>
  <c r="G506" i="3"/>
  <c r="H506" i="3"/>
  <c r="A507" i="3"/>
  <c r="B507" i="3"/>
  <c r="H507" i="3" s="1"/>
  <c r="C507" i="3"/>
  <c r="D507" i="3"/>
  <c r="E507" i="3"/>
  <c r="F507" i="3"/>
  <c r="G507" i="3"/>
  <c r="I507" i="3" s="1"/>
  <c r="A508" i="3"/>
  <c r="B508" i="3"/>
  <c r="C508" i="3"/>
  <c r="D508" i="3"/>
  <c r="E508" i="3"/>
  <c r="F508" i="3"/>
  <c r="G508" i="3"/>
  <c r="J508" i="3" s="1"/>
  <c r="H508" i="3"/>
  <c r="I508" i="3"/>
  <c r="A509" i="3"/>
  <c r="B509" i="3"/>
  <c r="C509" i="3"/>
  <c r="D509" i="3"/>
  <c r="E509" i="3"/>
  <c r="F509" i="3"/>
  <c r="G509" i="3"/>
  <c r="H509" i="3"/>
  <c r="A510" i="3"/>
  <c r="B510" i="3"/>
  <c r="H510" i="3" s="1"/>
  <c r="C510" i="3"/>
  <c r="D510" i="3"/>
  <c r="E510" i="3"/>
  <c r="F510" i="3"/>
  <c r="G510" i="3"/>
  <c r="J510" i="3" s="1"/>
  <c r="I510" i="3"/>
  <c r="A511" i="3"/>
  <c r="B511" i="3"/>
  <c r="C511" i="3"/>
  <c r="D511" i="3"/>
  <c r="E511" i="3"/>
  <c r="F511" i="3"/>
  <c r="G511" i="3"/>
  <c r="H511" i="3"/>
  <c r="A512" i="3"/>
  <c r="B512" i="3"/>
  <c r="H512" i="3" s="1"/>
  <c r="C512" i="3"/>
  <c r="D512" i="3"/>
  <c r="E512" i="3"/>
  <c r="F512" i="3"/>
  <c r="G512" i="3"/>
  <c r="I512" i="3" s="1"/>
  <c r="A513" i="3"/>
  <c r="B513" i="3"/>
  <c r="H513" i="3" s="1"/>
  <c r="C513" i="3"/>
  <c r="D513" i="3"/>
  <c r="E513" i="3"/>
  <c r="F513" i="3"/>
  <c r="G513" i="3"/>
  <c r="I513" i="3" s="1"/>
  <c r="A514" i="3"/>
  <c r="B514" i="3"/>
  <c r="C514" i="3"/>
  <c r="D514" i="3"/>
  <c r="E514" i="3"/>
  <c r="F514" i="3"/>
  <c r="G514" i="3"/>
  <c r="H514" i="3"/>
  <c r="A515" i="3"/>
  <c r="B515" i="3"/>
  <c r="H515" i="3" s="1"/>
  <c r="C515" i="3"/>
  <c r="D515" i="3"/>
  <c r="E515" i="3"/>
  <c r="F515" i="3"/>
  <c r="G515" i="3"/>
  <c r="J515" i="3" s="1"/>
  <c r="I515" i="3"/>
  <c r="A516" i="3"/>
  <c r="B516" i="3"/>
  <c r="C516" i="3"/>
  <c r="D516" i="3"/>
  <c r="E516" i="3"/>
  <c r="F516" i="3"/>
  <c r="G516" i="3"/>
  <c r="I516" i="3" s="1"/>
  <c r="H516" i="3"/>
  <c r="A517" i="3"/>
  <c r="B517" i="3"/>
  <c r="C517" i="3"/>
  <c r="D517" i="3"/>
  <c r="E517" i="3"/>
  <c r="F517" i="3"/>
  <c r="G517" i="3"/>
  <c r="J517" i="3" s="1"/>
  <c r="H517" i="3"/>
  <c r="I517" i="3"/>
  <c r="A518" i="3"/>
  <c r="B518" i="3"/>
  <c r="C518" i="3"/>
  <c r="D518" i="3"/>
  <c r="E518" i="3"/>
  <c r="F518" i="3"/>
  <c r="G518" i="3"/>
  <c r="J518" i="3" s="1"/>
  <c r="H518" i="3"/>
  <c r="A519" i="3"/>
  <c r="B519" i="3"/>
  <c r="H519" i="3" s="1"/>
  <c r="C519" i="3"/>
  <c r="D519" i="3"/>
  <c r="E519" i="3"/>
  <c r="F519" i="3"/>
  <c r="G519" i="3"/>
  <c r="I519" i="3" s="1"/>
  <c r="A520" i="3"/>
  <c r="B520" i="3"/>
  <c r="C520" i="3"/>
  <c r="D520" i="3"/>
  <c r="E520" i="3"/>
  <c r="F520" i="3"/>
  <c r="G520" i="3"/>
  <c r="H520" i="3"/>
  <c r="I520" i="3"/>
  <c r="J520" i="3"/>
  <c r="A521" i="3"/>
  <c r="B521" i="3"/>
  <c r="H521" i="3" s="1"/>
  <c r="C521" i="3"/>
  <c r="D521" i="3"/>
  <c r="E521" i="3"/>
  <c r="F521" i="3"/>
  <c r="G521" i="3"/>
  <c r="I521" i="3"/>
  <c r="J521" i="3"/>
  <c r="A522" i="3"/>
  <c r="B522" i="3"/>
  <c r="H522" i="3" s="1"/>
  <c r="C522" i="3"/>
  <c r="D522" i="3"/>
  <c r="E522" i="3"/>
  <c r="F522" i="3"/>
  <c r="G522" i="3"/>
  <c r="J522" i="3" s="1"/>
  <c r="A523" i="3"/>
  <c r="B523" i="3"/>
  <c r="C523" i="3"/>
  <c r="D523" i="3"/>
  <c r="E523" i="3"/>
  <c r="F523" i="3"/>
  <c r="G523" i="3"/>
  <c r="H523" i="3"/>
  <c r="I523" i="3"/>
  <c r="J523" i="3"/>
  <c r="A524" i="3"/>
  <c r="B524" i="3"/>
  <c r="C524" i="3"/>
  <c r="D524" i="3"/>
  <c r="E524" i="3"/>
  <c r="F524" i="3"/>
  <c r="G524" i="3"/>
  <c r="H524" i="3"/>
  <c r="I524" i="3"/>
  <c r="J524" i="3"/>
  <c r="A525" i="3"/>
  <c r="B525" i="3"/>
  <c r="H525" i="3" s="1"/>
  <c r="C525" i="3"/>
  <c r="D525" i="3"/>
  <c r="E525" i="3"/>
  <c r="F525" i="3"/>
  <c r="G525" i="3"/>
  <c r="A526" i="3"/>
  <c r="B526" i="3"/>
  <c r="C526" i="3"/>
  <c r="D526" i="3"/>
  <c r="E526" i="3"/>
  <c r="F526" i="3"/>
  <c r="G526" i="3"/>
  <c r="H526" i="3"/>
  <c r="A527" i="3"/>
  <c r="B527" i="3"/>
  <c r="C527" i="3"/>
  <c r="D527" i="3"/>
  <c r="E527" i="3"/>
  <c r="F527" i="3"/>
  <c r="G527" i="3"/>
  <c r="H527" i="3"/>
  <c r="I527" i="3"/>
  <c r="J527" i="3"/>
  <c r="A528" i="3"/>
  <c r="B528" i="3"/>
  <c r="H528" i="3" s="1"/>
  <c r="C528" i="3"/>
  <c r="D528" i="3"/>
  <c r="E528" i="3"/>
  <c r="F528" i="3"/>
  <c r="G528" i="3"/>
  <c r="I528" i="3"/>
  <c r="J528" i="3"/>
  <c r="A529" i="3"/>
  <c r="B529" i="3"/>
  <c r="H529" i="3" s="1"/>
  <c r="C529" i="3"/>
  <c r="D529" i="3"/>
  <c r="E529" i="3"/>
  <c r="F529" i="3"/>
  <c r="G529" i="3"/>
  <c r="A530" i="3"/>
  <c r="B530" i="3"/>
  <c r="C530" i="3"/>
  <c r="D530" i="3"/>
  <c r="E530" i="3"/>
  <c r="F530" i="3"/>
  <c r="G530" i="3"/>
  <c r="J530" i="3" s="1"/>
  <c r="H530" i="3"/>
  <c r="I530" i="3"/>
  <c r="A531" i="3"/>
  <c r="B531" i="3"/>
  <c r="H531" i="3" s="1"/>
  <c r="C531" i="3"/>
  <c r="D531" i="3"/>
  <c r="E531" i="3"/>
  <c r="F531" i="3"/>
  <c r="G531" i="3"/>
  <c r="I531" i="3"/>
  <c r="J531" i="3"/>
  <c r="A532" i="3"/>
  <c r="B532" i="3"/>
  <c r="C532" i="3"/>
  <c r="D532" i="3"/>
  <c r="E532" i="3"/>
  <c r="F532" i="3"/>
  <c r="G532" i="3"/>
  <c r="H532" i="3"/>
  <c r="A533" i="3"/>
  <c r="B533" i="3"/>
  <c r="C533" i="3"/>
  <c r="D533" i="3"/>
  <c r="E533" i="3"/>
  <c r="F533" i="3"/>
  <c r="G533" i="3"/>
  <c r="H533" i="3"/>
  <c r="I533" i="3"/>
  <c r="J533" i="3"/>
  <c r="A534" i="3"/>
  <c r="B534" i="3"/>
  <c r="H534" i="3" s="1"/>
  <c r="C534" i="3"/>
  <c r="D534" i="3"/>
  <c r="E534" i="3"/>
  <c r="F534" i="3"/>
  <c r="G534" i="3"/>
  <c r="I534" i="3"/>
  <c r="J534" i="3"/>
  <c r="A535" i="3"/>
  <c r="B535" i="3"/>
  <c r="H535" i="3" s="1"/>
  <c r="C535" i="3"/>
  <c r="D535" i="3"/>
  <c r="E535" i="3"/>
  <c r="F535" i="3"/>
  <c r="G535" i="3"/>
  <c r="J535" i="3" s="1"/>
  <c r="A536" i="3"/>
  <c r="B536" i="3"/>
  <c r="C536" i="3"/>
  <c r="D536" i="3"/>
  <c r="E536" i="3"/>
  <c r="F536" i="3"/>
  <c r="G536" i="3"/>
  <c r="H536" i="3"/>
  <c r="A537" i="3"/>
  <c r="B537" i="3"/>
  <c r="H537" i="3" s="1"/>
  <c r="C537" i="3"/>
  <c r="D537" i="3"/>
  <c r="E537" i="3"/>
  <c r="F537" i="3"/>
  <c r="G537" i="3"/>
  <c r="A538" i="3"/>
  <c r="B538" i="3"/>
  <c r="H538" i="3" s="1"/>
  <c r="C538" i="3"/>
  <c r="D538" i="3"/>
  <c r="E538" i="3"/>
  <c r="F538" i="3"/>
  <c r="G538" i="3"/>
  <c r="A539" i="3"/>
  <c r="B539" i="3"/>
  <c r="C539" i="3"/>
  <c r="D539" i="3"/>
  <c r="E539" i="3"/>
  <c r="F539" i="3"/>
  <c r="G539" i="3"/>
  <c r="H539" i="3"/>
  <c r="I539" i="3"/>
  <c r="J539" i="3"/>
  <c r="A540" i="3"/>
  <c r="B540" i="3"/>
  <c r="H540" i="3" s="1"/>
  <c r="C540" i="3"/>
  <c r="D540" i="3"/>
  <c r="E540" i="3"/>
  <c r="F540" i="3"/>
  <c r="G540" i="3"/>
  <c r="I540" i="3"/>
  <c r="J540" i="3"/>
  <c r="A541" i="3"/>
  <c r="B541" i="3"/>
  <c r="C541" i="3"/>
  <c r="D541" i="3"/>
  <c r="E541" i="3"/>
  <c r="F541" i="3"/>
  <c r="G541" i="3"/>
  <c r="H541" i="3"/>
  <c r="I541" i="3"/>
  <c r="J541" i="3"/>
  <c r="A542" i="3"/>
  <c r="B542" i="3"/>
  <c r="C542" i="3"/>
  <c r="D542" i="3"/>
  <c r="E542" i="3"/>
  <c r="F542" i="3"/>
  <c r="G542" i="3"/>
  <c r="H542" i="3"/>
  <c r="I542" i="3"/>
  <c r="J542" i="3"/>
  <c r="A543" i="3"/>
  <c r="B543" i="3"/>
  <c r="C543" i="3"/>
  <c r="D543" i="3"/>
  <c r="E543" i="3"/>
  <c r="F543" i="3"/>
  <c r="G543" i="3"/>
  <c r="J543" i="3" s="1"/>
  <c r="H543" i="3"/>
  <c r="A544" i="3"/>
  <c r="B544" i="3"/>
  <c r="C544" i="3"/>
  <c r="D544" i="3"/>
  <c r="E544" i="3"/>
  <c r="F544" i="3"/>
  <c r="G544" i="3"/>
  <c r="H544" i="3"/>
  <c r="I544" i="3"/>
  <c r="J544" i="3"/>
  <c r="A545" i="3"/>
  <c r="B545" i="3"/>
  <c r="C545" i="3"/>
  <c r="D545" i="3"/>
  <c r="E545" i="3"/>
  <c r="F545" i="3"/>
  <c r="G545" i="3"/>
  <c r="J545" i="3" s="1"/>
  <c r="H545" i="3"/>
  <c r="I545" i="3"/>
  <c r="A546" i="3"/>
  <c r="B546" i="3"/>
  <c r="H546" i="3" s="1"/>
  <c r="C546" i="3"/>
  <c r="D546" i="3"/>
  <c r="E546" i="3"/>
  <c r="F546" i="3"/>
  <c r="G546" i="3"/>
  <c r="J546" i="3" s="1"/>
  <c r="I546" i="3"/>
  <c r="A547" i="3"/>
  <c r="B547" i="3"/>
  <c r="H547" i="3" s="1"/>
  <c r="C547" i="3"/>
  <c r="D547" i="3"/>
  <c r="E547" i="3"/>
  <c r="F547" i="3"/>
  <c r="G547" i="3"/>
  <c r="I547" i="3"/>
  <c r="J547" i="3"/>
  <c r="A548" i="3"/>
  <c r="B548" i="3"/>
  <c r="C548" i="3"/>
  <c r="D548" i="3"/>
  <c r="E548" i="3"/>
  <c r="F548" i="3"/>
  <c r="G548" i="3"/>
  <c r="H548" i="3"/>
  <c r="A549" i="3"/>
  <c r="B549" i="3"/>
  <c r="H549" i="3" s="1"/>
  <c r="C549" i="3"/>
  <c r="D549" i="3"/>
  <c r="E549" i="3"/>
  <c r="F549" i="3"/>
  <c r="G549" i="3"/>
  <c r="I549" i="3" s="1"/>
  <c r="J549" i="3"/>
  <c r="A550" i="3"/>
  <c r="B550" i="3"/>
  <c r="H550" i="3" s="1"/>
  <c r="C550" i="3"/>
  <c r="D550" i="3"/>
  <c r="E550" i="3"/>
  <c r="F550" i="3"/>
  <c r="G550" i="3"/>
  <c r="I550" i="3" s="1"/>
  <c r="J550" i="3"/>
  <c r="A551" i="3"/>
  <c r="B551" i="3"/>
  <c r="C551" i="3"/>
  <c r="D551" i="3"/>
  <c r="E551" i="3"/>
  <c r="F551" i="3"/>
  <c r="G551" i="3"/>
  <c r="H551" i="3"/>
  <c r="A552" i="3"/>
  <c r="B552" i="3"/>
  <c r="C552" i="3"/>
  <c r="D552" i="3"/>
  <c r="E552" i="3"/>
  <c r="F552" i="3"/>
  <c r="G552" i="3"/>
  <c r="H552" i="3"/>
  <c r="I552" i="3"/>
  <c r="J552" i="3"/>
  <c r="A553" i="3"/>
  <c r="B553" i="3"/>
  <c r="C553" i="3"/>
  <c r="D553" i="3"/>
  <c r="E553" i="3"/>
  <c r="F553" i="3"/>
  <c r="G553" i="3"/>
  <c r="I553" i="3" s="1"/>
  <c r="H553" i="3"/>
  <c r="J553" i="3"/>
  <c r="A554" i="3"/>
  <c r="B554" i="3"/>
  <c r="H554" i="3" s="1"/>
  <c r="C554" i="3"/>
  <c r="D554" i="3"/>
  <c r="E554" i="3"/>
  <c r="F554" i="3"/>
  <c r="G554" i="3"/>
  <c r="I554" i="3"/>
  <c r="J554" i="3"/>
  <c r="A555" i="3"/>
  <c r="B555" i="3"/>
  <c r="C555" i="3"/>
  <c r="D555" i="3"/>
  <c r="E555" i="3"/>
  <c r="F555" i="3"/>
  <c r="G555" i="3"/>
  <c r="J555" i="3" s="1"/>
  <c r="H555" i="3"/>
  <c r="I555" i="3"/>
  <c r="A556" i="3"/>
  <c r="B556" i="3"/>
  <c r="C556" i="3"/>
  <c r="D556" i="3"/>
  <c r="E556" i="3"/>
  <c r="F556" i="3"/>
  <c r="G556" i="3"/>
  <c r="H556" i="3"/>
  <c r="A557" i="3"/>
  <c r="B557" i="3"/>
  <c r="C557" i="3"/>
  <c r="D557" i="3"/>
  <c r="E557" i="3"/>
  <c r="F557" i="3"/>
  <c r="G557" i="3"/>
  <c r="J557" i="3" s="1"/>
  <c r="H557" i="3"/>
  <c r="I557" i="3"/>
  <c r="A558" i="3"/>
  <c r="B558" i="3"/>
  <c r="C558" i="3"/>
  <c r="D558" i="3"/>
  <c r="E558" i="3"/>
  <c r="F558" i="3"/>
  <c r="G558" i="3"/>
  <c r="H558" i="3"/>
  <c r="A559" i="3"/>
  <c r="B559" i="3"/>
  <c r="H559" i="3" s="1"/>
  <c r="C559" i="3"/>
  <c r="D559" i="3"/>
  <c r="E559" i="3"/>
  <c r="F559" i="3"/>
  <c r="G559" i="3"/>
  <c r="I559" i="3" s="1"/>
  <c r="A560" i="3"/>
  <c r="B560" i="3"/>
  <c r="H560" i="3" s="1"/>
  <c r="C560" i="3"/>
  <c r="D560" i="3"/>
  <c r="E560" i="3"/>
  <c r="F560" i="3"/>
  <c r="G560" i="3"/>
  <c r="J560" i="3" s="1"/>
  <c r="A561" i="3"/>
  <c r="B561" i="3"/>
  <c r="H561" i="3" s="1"/>
  <c r="C561" i="3"/>
  <c r="D561" i="3"/>
  <c r="E561" i="3"/>
  <c r="F561" i="3"/>
  <c r="G561" i="3"/>
  <c r="A562" i="3"/>
  <c r="B562" i="3"/>
  <c r="H562" i="3" s="1"/>
  <c r="C562" i="3"/>
  <c r="D562" i="3"/>
  <c r="E562" i="3"/>
  <c r="F562" i="3"/>
  <c r="G562" i="3"/>
  <c r="J562" i="3" s="1"/>
  <c r="A563" i="3"/>
  <c r="B563" i="3"/>
  <c r="H563" i="3" s="1"/>
  <c r="C563" i="3"/>
  <c r="D563" i="3"/>
  <c r="E563" i="3"/>
  <c r="F563" i="3"/>
  <c r="G563" i="3"/>
  <c r="J563" i="3" s="1"/>
  <c r="I563" i="3"/>
  <c r="A564" i="3"/>
  <c r="B564" i="3"/>
  <c r="H564" i="3" s="1"/>
  <c r="C564" i="3"/>
  <c r="D564" i="3"/>
  <c r="E564" i="3"/>
  <c r="F564" i="3"/>
  <c r="G564" i="3"/>
  <c r="I564" i="3"/>
  <c r="J564" i="3"/>
  <c r="A565" i="3"/>
  <c r="B565" i="3"/>
  <c r="H565" i="3" s="1"/>
  <c r="C565" i="3"/>
  <c r="D565" i="3"/>
  <c r="E565" i="3"/>
  <c r="F565" i="3"/>
  <c r="G565" i="3"/>
  <c r="A566" i="3"/>
  <c r="B566" i="3"/>
  <c r="H566" i="3" s="1"/>
  <c r="C566" i="3"/>
  <c r="D566" i="3"/>
  <c r="E566" i="3"/>
  <c r="F566" i="3"/>
  <c r="G566" i="3"/>
  <c r="I566" i="3"/>
  <c r="J566" i="3"/>
  <c r="A567" i="3"/>
  <c r="B567" i="3"/>
  <c r="H567" i="3" s="1"/>
  <c r="C567" i="3"/>
  <c r="D567" i="3"/>
  <c r="E567" i="3"/>
  <c r="F567" i="3"/>
  <c r="G567" i="3"/>
  <c r="I567" i="3" s="1"/>
  <c r="A568" i="3"/>
  <c r="B568" i="3"/>
  <c r="H568" i="3" s="1"/>
  <c r="C568" i="3"/>
  <c r="D568" i="3"/>
  <c r="E568" i="3"/>
  <c r="F568" i="3"/>
  <c r="G568" i="3"/>
  <c r="I568" i="3" s="1"/>
  <c r="J568" i="3"/>
  <c r="A569" i="3"/>
  <c r="B569" i="3"/>
  <c r="C569" i="3"/>
  <c r="D569" i="3"/>
  <c r="E569" i="3"/>
  <c r="F569" i="3"/>
  <c r="G569" i="3"/>
  <c r="H569" i="3"/>
  <c r="I569" i="3"/>
  <c r="J569" i="3"/>
  <c r="A570" i="3"/>
  <c r="B570" i="3"/>
  <c r="C570" i="3"/>
  <c r="D570" i="3"/>
  <c r="E570" i="3"/>
  <c r="F570" i="3"/>
  <c r="G570" i="3"/>
  <c r="I570" i="3" s="1"/>
  <c r="H570" i="3"/>
  <c r="A571" i="3"/>
  <c r="B571" i="3"/>
  <c r="H571" i="3" s="1"/>
  <c r="C571" i="3"/>
  <c r="D571" i="3"/>
  <c r="E571" i="3"/>
  <c r="F571" i="3"/>
  <c r="G571" i="3"/>
  <c r="A572" i="3"/>
  <c r="B572" i="3"/>
  <c r="C572" i="3"/>
  <c r="D572" i="3"/>
  <c r="E572" i="3"/>
  <c r="F572" i="3"/>
  <c r="G572" i="3"/>
  <c r="H572" i="3"/>
  <c r="I572" i="3"/>
  <c r="J572" i="3"/>
  <c r="A573" i="3"/>
  <c r="B573" i="3"/>
  <c r="C573" i="3"/>
  <c r="D573" i="3"/>
  <c r="E573" i="3"/>
  <c r="F573" i="3"/>
  <c r="G573" i="3"/>
  <c r="J573" i="3" s="1"/>
  <c r="H573" i="3"/>
  <c r="I573" i="3"/>
  <c r="A574" i="3"/>
  <c r="B574" i="3"/>
  <c r="H574" i="3" s="1"/>
  <c r="C574" i="3"/>
  <c r="D574" i="3"/>
  <c r="E574" i="3"/>
  <c r="F574" i="3"/>
  <c r="G574" i="3"/>
  <c r="J574" i="3" s="1"/>
  <c r="A575" i="3"/>
  <c r="B575" i="3"/>
  <c r="C575" i="3"/>
  <c r="D575" i="3"/>
  <c r="E575" i="3"/>
  <c r="F575" i="3"/>
  <c r="G575" i="3"/>
  <c r="H575" i="3"/>
  <c r="I575" i="3"/>
  <c r="J575" i="3"/>
  <c r="A576" i="3"/>
  <c r="B576" i="3"/>
  <c r="C576" i="3"/>
  <c r="D576" i="3"/>
  <c r="E576" i="3"/>
  <c r="F576" i="3"/>
  <c r="G576" i="3"/>
  <c r="H576" i="3"/>
  <c r="I576" i="3"/>
  <c r="J576" i="3"/>
  <c r="A577" i="3"/>
  <c r="B577" i="3"/>
  <c r="H577" i="3" s="1"/>
  <c r="C577" i="3"/>
  <c r="D577" i="3"/>
  <c r="E577" i="3"/>
  <c r="F577" i="3"/>
  <c r="G577" i="3"/>
  <c r="I577" i="3" s="1"/>
  <c r="J577" i="3"/>
  <c r="A578" i="3"/>
  <c r="B578" i="3"/>
  <c r="C578" i="3"/>
  <c r="D578" i="3"/>
  <c r="E578" i="3"/>
  <c r="F578" i="3"/>
  <c r="G578" i="3"/>
  <c r="J578" i="3" s="1"/>
  <c r="H578" i="3"/>
  <c r="I578" i="3"/>
  <c r="A579" i="3"/>
  <c r="B579" i="3"/>
  <c r="C579" i="3"/>
  <c r="D579" i="3"/>
  <c r="E579" i="3"/>
  <c r="F579" i="3"/>
  <c r="G579" i="3"/>
  <c r="H579" i="3"/>
  <c r="A580" i="3"/>
  <c r="B580" i="3"/>
  <c r="H580" i="3" s="1"/>
  <c r="C580" i="3"/>
  <c r="D580" i="3"/>
  <c r="E580" i="3"/>
  <c r="F580" i="3"/>
  <c r="G580" i="3"/>
  <c r="J580" i="3" s="1"/>
  <c r="A581" i="3"/>
  <c r="B581" i="3"/>
  <c r="C581" i="3"/>
  <c r="D581" i="3"/>
  <c r="E581" i="3"/>
  <c r="F581" i="3"/>
  <c r="G581" i="3"/>
  <c r="H581" i="3"/>
  <c r="A582" i="3"/>
  <c r="B582" i="3"/>
  <c r="C582" i="3"/>
  <c r="D582" i="3"/>
  <c r="E582" i="3"/>
  <c r="F582" i="3"/>
  <c r="G582" i="3"/>
  <c r="H582" i="3"/>
  <c r="I582" i="3"/>
  <c r="J582" i="3"/>
  <c r="A583" i="3"/>
  <c r="B583" i="3"/>
  <c r="H583" i="3" s="1"/>
  <c r="C583" i="3"/>
  <c r="D583" i="3"/>
  <c r="E583" i="3"/>
  <c r="F583" i="3"/>
  <c r="G583" i="3"/>
  <c r="J583" i="3" s="1"/>
  <c r="A584" i="3"/>
  <c r="B584" i="3"/>
  <c r="H584" i="3" s="1"/>
  <c r="C584" i="3"/>
  <c r="D584" i="3"/>
  <c r="E584" i="3"/>
  <c r="F584" i="3"/>
  <c r="G584" i="3"/>
  <c r="A585" i="3"/>
  <c r="B585" i="3"/>
  <c r="C585" i="3"/>
  <c r="D585" i="3"/>
  <c r="E585" i="3"/>
  <c r="F585" i="3"/>
  <c r="G585" i="3"/>
  <c r="H585" i="3"/>
  <c r="I585" i="3"/>
  <c r="J585" i="3"/>
  <c r="A586" i="3"/>
  <c r="B586" i="3"/>
  <c r="C586" i="3"/>
  <c r="D586" i="3"/>
  <c r="E586" i="3"/>
  <c r="F586" i="3"/>
  <c r="G586" i="3"/>
  <c r="I586" i="3" s="1"/>
  <c r="H586" i="3"/>
  <c r="A587" i="3"/>
  <c r="B587" i="3"/>
  <c r="H587" i="3" s="1"/>
  <c r="C587" i="3"/>
  <c r="D587" i="3"/>
  <c r="E587" i="3"/>
  <c r="F587" i="3"/>
  <c r="G587" i="3"/>
  <c r="I587" i="3"/>
  <c r="J587" i="3"/>
  <c r="A588" i="3"/>
  <c r="B588" i="3"/>
  <c r="C588" i="3"/>
  <c r="D588" i="3"/>
  <c r="E588" i="3"/>
  <c r="F588" i="3"/>
  <c r="G588" i="3"/>
  <c r="J588" i="3" s="1"/>
  <c r="H588" i="3"/>
  <c r="I588" i="3"/>
  <c r="A589" i="3"/>
  <c r="B589" i="3"/>
  <c r="C589" i="3"/>
  <c r="D589" i="3"/>
  <c r="E589" i="3"/>
  <c r="F589" i="3"/>
  <c r="G589" i="3"/>
  <c r="H589" i="3"/>
  <c r="I589" i="3"/>
  <c r="J589" i="3"/>
  <c r="A590" i="3"/>
  <c r="B590" i="3"/>
  <c r="C590" i="3"/>
  <c r="D590" i="3"/>
  <c r="E590" i="3"/>
  <c r="F590" i="3"/>
  <c r="G590" i="3"/>
  <c r="J590" i="3" s="1"/>
  <c r="H590" i="3"/>
  <c r="I590" i="3"/>
  <c r="A591" i="3"/>
  <c r="B591" i="3"/>
  <c r="H591" i="3" s="1"/>
  <c r="C591" i="3"/>
  <c r="D591" i="3"/>
  <c r="E591" i="3"/>
  <c r="F591" i="3"/>
  <c r="G591" i="3"/>
  <c r="I591" i="3"/>
  <c r="J591" i="3"/>
  <c r="A592" i="3"/>
  <c r="B592" i="3"/>
  <c r="C592" i="3"/>
  <c r="D592" i="3"/>
  <c r="E592" i="3"/>
  <c r="F592" i="3"/>
  <c r="G592" i="3"/>
  <c r="H592" i="3"/>
  <c r="I592" i="3"/>
  <c r="J592" i="3"/>
  <c r="A593" i="3"/>
  <c r="B593" i="3"/>
  <c r="C593" i="3"/>
  <c r="D593" i="3"/>
  <c r="E593" i="3"/>
  <c r="F593" i="3"/>
  <c r="G593" i="3"/>
  <c r="I593" i="3" s="1"/>
  <c r="H593" i="3"/>
  <c r="J593" i="3"/>
  <c r="A594" i="3"/>
  <c r="B594" i="3"/>
  <c r="C594" i="3"/>
  <c r="D594" i="3"/>
  <c r="E594" i="3"/>
  <c r="F594" i="3"/>
  <c r="G594" i="3"/>
  <c r="H594" i="3"/>
  <c r="A595" i="3"/>
  <c r="B595" i="3"/>
  <c r="C595" i="3"/>
  <c r="D595" i="3"/>
  <c r="E595" i="3"/>
  <c r="F595" i="3"/>
  <c r="G595" i="3"/>
  <c r="H595" i="3"/>
  <c r="A596" i="3"/>
  <c r="B596" i="3"/>
  <c r="C596" i="3"/>
  <c r="D596" i="3"/>
  <c r="E596" i="3"/>
  <c r="F596" i="3"/>
  <c r="G596" i="3"/>
  <c r="I596" i="3" s="1"/>
  <c r="H596" i="3"/>
  <c r="J596" i="3"/>
  <c r="A597" i="3"/>
  <c r="B597" i="3"/>
  <c r="H597" i="3" s="1"/>
  <c r="C597" i="3"/>
  <c r="D597" i="3"/>
  <c r="E597" i="3"/>
  <c r="F597" i="3"/>
  <c r="G597" i="3"/>
  <c r="J597" i="3" s="1"/>
  <c r="A598" i="3"/>
  <c r="B598" i="3"/>
  <c r="H598" i="3" s="1"/>
  <c r="C598" i="3"/>
  <c r="D598" i="3"/>
  <c r="E598" i="3"/>
  <c r="F598" i="3"/>
  <c r="G598" i="3"/>
  <c r="J598" i="3" s="1"/>
  <c r="I598" i="3"/>
  <c r="A599" i="3"/>
  <c r="B599" i="3"/>
  <c r="C599" i="3"/>
  <c r="D599" i="3"/>
  <c r="E599" i="3"/>
  <c r="F599" i="3"/>
  <c r="G599" i="3"/>
  <c r="H599" i="3"/>
  <c r="A600" i="3"/>
  <c r="B600" i="3"/>
  <c r="H600" i="3" s="1"/>
  <c r="C600" i="3"/>
  <c r="D600" i="3"/>
  <c r="E600" i="3"/>
  <c r="F600" i="3"/>
  <c r="G600" i="3"/>
  <c r="A601" i="3"/>
  <c r="B601" i="3"/>
  <c r="C601" i="3"/>
  <c r="D601" i="3"/>
  <c r="E601" i="3"/>
  <c r="F601" i="3"/>
  <c r="G601" i="3"/>
  <c r="J601" i="3" s="1"/>
  <c r="H601" i="3"/>
  <c r="I601" i="3"/>
  <c r="A602" i="3"/>
  <c r="B602" i="3"/>
  <c r="C602" i="3"/>
  <c r="D602" i="3"/>
  <c r="E602" i="3"/>
  <c r="F602" i="3"/>
  <c r="G602" i="3"/>
  <c r="H602" i="3"/>
  <c r="A603" i="3"/>
  <c r="B603" i="3"/>
  <c r="C603" i="3"/>
  <c r="D603" i="3"/>
  <c r="E603" i="3"/>
  <c r="F603" i="3"/>
  <c r="G603" i="3"/>
  <c r="J603" i="3" s="1"/>
  <c r="H603" i="3"/>
  <c r="I603" i="3"/>
  <c r="A604" i="3"/>
  <c r="B604" i="3"/>
  <c r="H604" i="3" s="1"/>
  <c r="C604" i="3"/>
  <c r="D604" i="3"/>
  <c r="E604" i="3"/>
  <c r="F604" i="3"/>
  <c r="G604" i="3"/>
  <c r="A605" i="3"/>
  <c r="B605" i="3"/>
  <c r="C605" i="3"/>
  <c r="D605" i="3"/>
  <c r="E605" i="3"/>
  <c r="F605" i="3"/>
  <c r="G605" i="3"/>
  <c r="J605" i="3" s="1"/>
  <c r="H605" i="3"/>
  <c r="I605" i="3"/>
  <c r="A606" i="3"/>
  <c r="B606" i="3"/>
  <c r="H606" i="3" s="1"/>
  <c r="C606" i="3"/>
  <c r="D606" i="3"/>
  <c r="E606" i="3"/>
  <c r="F606" i="3"/>
  <c r="G606" i="3"/>
  <c r="I606" i="3" s="1"/>
  <c r="A607" i="3"/>
  <c r="B607" i="3"/>
  <c r="H607" i="3" s="1"/>
  <c r="C607" i="3"/>
  <c r="D607" i="3"/>
  <c r="E607" i="3"/>
  <c r="F607" i="3"/>
  <c r="G607" i="3"/>
  <c r="J607" i="3" s="1"/>
  <c r="I607" i="3"/>
  <c r="A608" i="3"/>
  <c r="B608" i="3"/>
  <c r="C608" i="3"/>
  <c r="D608" i="3"/>
  <c r="E608" i="3"/>
  <c r="F608" i="3"/>
  <c r="G608" i="3"/>
  <c r="H608" i="3"/>
  <c r="A609" i="3"/>
  <c r="B609" i="3"/>
  <c r="C609" i="3"/>
  <c r="D609" i="3"/>
  <c r="E609" i="3"/>
  <c r="F609" i="3"/>
  <c r="G609" i="3"/>
  <c r="H609" i="3"/>
  <c r="I609" i="3"/>
  <c r="J609" i="3"/>
  <c r="A610" i="3"/>
  <c r="B610" i="3"/>
  <c r="H610" i="3" s="1"/>
  <c r="C610" i="3"/>
  <c r="D610" i="3"/>
  <c r="E610" i="3"/>
  <c r="F610" i="3"/>
  <c r="G610" i="3"/>
  <c r="I610" i="3" s="1"/>
  <c r="J610" i="3"/>
  <c r="A611" i="3"/>
  <c r="B611" i="3"/>
  <c r="C611" i="3"/>
  <c r="D611" i="3"/>
  <c r="E611" i="3"/>
  <c r="F611" i="3"/>
  <c r="G611" i="3"/>
  <c r="H611" i="3"/>
  <c r="A612" i="3"/>
  <c r="B612" i="3"/>
  <c r="C612" i="3"/>
  <c r="D612" i="3"/>
  <c r="E612" i="3"/>
  <c r="F612" i="3"/>
  <c r="G612" i="3"/>
  <c r="I612" i="3" s="1"/>
  <c r="H612" i="3"/>
  <c r="J612" i="3"/>
  <c r="A613" i="3"/>
  <c r="B613" i="3"/>
  <c r="H613" i="3" s="1"/>
  <c r="C613" i="3"/>
  <c r="D613" i="3"/>
  <c r="E613" i="3"/>
  <c r="F613" i="3"/>
  <c r="G613" i="3"/>
  <c r="J613" i="3" s="1"/>
  <c r="I613" i="3"/>
  <c r="A614" i="3"/>
  <c r="B614" i="3"/>
  <c r="H614" i="3" s="1"/>
  <c r="C614" i="3"/>
  <c r="D614" i="3"/>
  <c r="E614" i="3"/>
  <c r="F614" i="3"/>
  <c r="G614" i="3"/>
  <c r="A615" i="3"/>
  <c r="B615" i="3"/>
  <c r="C615" i="3"/>
  <c r="D615" i="3"/>
  <c r="E615" i="3"/>
  <c r="F615" i="3"/>
  <c r="G615" i="3"/>
  <c r="H615" i="3"/>
  <c r="I615" i="3"/>
  <c r="J615" i="3"/>
  <c r="A616" i="3"/>
  <c r="B616" i="3"/>
  <c r="C616" i="3"/>
  <c r="D616" i="3"/>
  <c r="E616" i="3"/>
  <c r="F616" i="3"/>
  <c r="G616" i="3"/>
  <c r="I616" i="3" s="1"/>
  <c r="H616" i="3"/>
  <c r="A617" i="3"/>
  <c r="B617" i="3"/>
  <c r="H617" i="3" s="1"/>
  <c r="C617" i="3"/>
  <c r="D617" i="3"/>
  <c r="E617" i="3"/>
  <c r="F617" i="3"/>
  <c r="G617" i="3"/>
  <c r="I617" i="3"/>
  <c r="J617" i="3"/>
  <c r="A618" i="3"/>
  <c r="B618" i="3"/>
  <c r="C618" i="3"/>
  <c r="D618" i="3"/>
  <c r="E618" i="3"/>
  <c r="F618" i="3"/>
  <c r="G618" i="3"/>
  <c r="J618" i="3" s="1"/>
  <c r="H618" i="3"/>
  <c r="I618" i="3"/>
  <c r="A619" i="3"/>
  <c r="B619" i="3"/>
  <c r="C619" i="3"/>
  <c r="D619" i="3"/>
  <c r="E619" i="3"/>
  <c r="F619" i="3"/>
  <c r="G619" i="3"/>
  <c r="I619" i="3" s="1"/>
  <c r="H619" i="3"/>
  <c r="A620" i="3"/>
  <c r="B620" i="3"/>
  <c r="C620" i="3"/>
  <c r="D620" i="3"/>
  <c r="E620" i="3"/>
  <c r="F620" i="3"/>
  <c r="G620" i="3"/>
  <c r="J620" i="3" s="1"/>
  <c r="H620" i="3"/>
  <c r="I620" i="3"/>
  <c r="A621" i="3"/>
  <c r="B621" i="3"/>
  <c r="H621" i="3" s="1"/>
  <c r="C621" i="3"/>
  <c r="D621" i="3"/>
  <c r="E621" i="3"/>
  <c r="F621" i="3"/>
  <c r="G621" i="3"/>
  <c r="A622" i="3"/>
  <c r="B622" i="3"/>
  <c r="H622" i="3" s="1"/>
  <c r="C622" i="3"/>
  <c r="D622" i="3"/>
  <c r="E622" i="3"/>
  <c r="F622" i="3"/>
  <c r="G622" i="3"/>
  <c r="I622" i="3" s="1"/>
  <c r="A623" i="3"/>
  <c r="B623" i="3"/>
  <c r="C623" i="3"/>
  <c r="D623" i="3"/>
  <c r="E623" i="3"/>
  <c r="F623" i="3"/>
  <c r="G623" i="3"/>
  <c r="H623" i="3"/>
  <c r="A624" i="3"/>
  <c r="B624" i="3"/>
  <c r="H624" i="3" s="1"/>
  <c r="C624" i="3"/>
  <c r="D624" i="3"/>
  <c r="E624" i="3"/>
  <c r="F624" i="3"/>
  <c r="G624" i="3"/>
  <c r="I624" i="3"/>
  <c r="J624" i="3"/>
  <c r="A625" i="3"/>
  <c r="B625" i="3"/>
  <c r="H625" i="3" s="1"/>
  <c r="C625" i="3"/>
  <c r="D625" i="3"/>
  <c r="E625" i="3"/>
  <c r="F625" i="3"/>
  <c r="G625" i="3"/>
  <c r="J625" i="3" s="1"/>
  <c r="A626" i="3"/>
  <c r="B626" i="3"/>
  <c r="C626" i="3"/>
  <c r="D626" i="3"/>
  <c r="E626" i="3"/>
  <c r="F626" i="3"/>
  <c r="G626" i="3"/>
  <c r="H626" i="3"/>
  <c r="I626" i="3"/>
  <c r="J626" i="3"/>
  <c r="A627" i="3"/>
  <c r="B627" i="3"/>
  <c r="C627" i="3"/>
  <c r="D627" i="3"/>
  <c r="E627" i="3"/>
  <c r="F627" i="3"/>
  <c r="G627" i="3"/>
  <c r="H627" i="3"/>
  <c r="I627" i="3"/>
  <c r="J627" i="3"/>
  <c r="A628" i="3"/>
  <c r="B628" i="3"/>
  <c r="H628" i="3" s="1"/>
  <c r="C628" i="3"/>
  <c r="D628" i="3"/>
  <c r="E628" i="3"/>
  <c r="F628" i="3"/>
  <c r="G628" i="3"/>
  <c r="I628" i="3" s="1"/>
  <c r="A629" i="3"/>
  <c r="B629" i="3"/>
  <c r="C629" i="3"/>
  <c r="D629" i="3"/>
  <c r="E629" i="3"/>
  <c r="F629" i="3"/>
  <c r="G629" i="3"/>
  <c r="H629" i="3"/>
  <c r="I629" i="3"/>
  <c r="J629" i="3"/>
  <c r="A630" i="3"/>
  <c r="B630" i="3"/>
  <c r="C630" i="3"/>
  <c r="D630" i="3"/>
  <c r="E630" i="3"/>
  <c r="F630" i="3"/>
  <c r="G630" i="3"/>
  <c r="H630" i="3"/>
  <c r="I630" i="3"/>
  <c r="J630" i="3"/>
  <c r="A631" i="3"/>
  <c r="B631" i="3"/>
  <c r="H631" i="3" s="1"/>
  <c r="C631" i="3"/>
  <c r="D631" i="3"/>
  <c r="E631" i="3"/>
  <c r="F631" i="3"/>
  <c r="G631" i="3"/>
  <c r="A632" i="3"/>
  <c r="B632" i="3"/>
  <c r="C632" i="3"/>
  <c r="D632" i="3"/>
  <c r="E632" i="3"/>
  <c r="F632" i="3"/>
  <c r="G632" i="3"/>
  <c r="H632" i="3"/>
  <c r="I632" i="3"/>
  <c r="J632" i="3"/>
  <c r="A633" i="3"/>
  <c r="B633" i="3"/>
  <c r="C633" i="3"/>
  <c r="D633" i="3"/>
  <c r="E633" i="3"/>
  <c r="F633" i="3"/>
  <c r="G633" i="3"/>
  <c r="H633" i="3"/>
  <c r="I633" i="3"/>
  <c r="J633" i="3"/>
  <c r="A634" i="3"/>
  <c r="B634" i="3"/>
  <c r="H634" i="3" s="1"/>
  <c r="C634" i="3"/>
  <c r="D634" i="3"/>
  <c r="E634" i="3"/>
  <c r="F634" i="3"/>
  <c r="G634" i="3"/>
  <c r="I634" i="3"/>
  <c r="J634" i="3"/>
  <c r="A635" i="3"/>
  <c r="B635" i="3"/>
  <c r="C635" i="3"/>
  <c r="D635" i="3"/>
  <c r="E635" i="3"/>
  <c r="F635" i="3"/>
  <c r="G635" i="3"/>
  <c r="J635" i="3" s="1"/>
  <c r="H635" i="3"/>
  <c r="I635" i="3"/>
  <c r="A636" i="3"/>
  <c r="B636" i="3"/>
  <c r="C636" i="3"/>
  <c r="D636" i="3"/>
  <c r="E636" i="3"/>
  <c r="F636" i="3"/>
  <c r="G636" i="3"/>
  <c r="H636" i="3"/>
  <c r="I636" i="3"/>
  <c r="J636" i="3"/>
  <c r="A637" i="3"/>
  <c r="B637" i="3"/>
  <c r="C637" i="3"/>
  <c r="D637" i="3"/>
  <c r="E637" i="3"/>
  <c r="F637" i="3"/>
  <c r="G637" i="3"/>
  <c r="J637" i="3" s="1"/>
  <c r="H637" i="3"/>
  <c r="I637" i="3"/>
  <c r="A638" i="3"/>
  <c r="B638" i="3"/>
  <c r="H638" i="3" s="1"/>
  <c r="C638" i="3"/>
  <c r="D638" i="3"/>
  <c r="E638" i="3"/>
  <c r="F638" i="3"/>
  <c r="G638" i="3"/>
  <c r="A639" i="3"/>
  <c r="B639" i="3"/>
  <c r="C639" i="3"/>
  <c r="D639" i="3"/>
  <c r="E639" i="3"/>
  <c r="F639" i="3"/>
  <c r="G639" i="3"/>
  <c r="J639" i="3" s="1"/>
  <c r="H639" i="3"/>
  <c r="I639" i="3"/>
  <c r="A640" i="3"/>
  <c r="B640" i="3"/>
  <c r="H640" i="3" s="1"/>
  <c r="C640" i="3"/>
  <c r="D640" i="3"/>
  <c r="E640" i="3"/>
  <c r="F640" i="3"/>
  <c r="G640" i="3"/>
  <c r="I640" i="3" s="1"/>
  <c r="A641" i="3"/>
  <c r="B641" i="3"/>
  <c r="H641" i="3" s="1"/>
  <c r="C641" i="3"/>
  <c r="D641" i="3"/>
  <c r="E641" i="3"/>
  <c r="F641" i="3"/>
  <c r="G641" i="3"/>
  <c r="I641" i="3" s="1"/>
  <c r="J641" i="3"/>
  <c r="A642" i="3"/>
  <c r="B642" i="3"/>
  <c r="H642" i="3" s="1"/>
  <c r="C642" i="3"/>
  <c r="D642" i="3"/>
  <c r="E642" i="3"/>
  <c r="F642" i="3"/>
  <c r="G642" i="3"/>
  <c r="J642" i="3" s="1"/>
  <c r="I642" i="3"/>
  <c r="A643" i="3"/>
  <c r="B643" i="3"/>
  <c r="H643" i="3" s="1"/>
  <c r="C643" i="3"/>
  <c r="D643" i="3"/>
  <c r="E643" i="3"/>
  <c r="F643" i="3"/>
  <c r="G643" i="3"/>
  <c r="J643" i="3" s="1"/>
  <c r="I643" i="3"/>
  <c r="A644" i="3"/>
  <c r="B644" i="3"/>
  <c r="H644" i="3" s="1"/>
  <c r="C644" i="3"/>
  <c r="D644" i="3"/>
  <c r="E644" i="3"/>
  <c r="F644" i="3"/>
  <c r="G644" i="3"/>
  <c r="I644" i="3"/>
  <c r="J644" i="3"/>
  <c r="A645" i="3"/>
  <c r="B645" i="3"/>
  <c r="C645" i="3"/>
  <c r="D645" i="3"/>
  <c r="E645" i="3"/>
  <c r="F645" i="3"/>
  <c r="G645" i="3"/>
  <c r="H645" i="3"/>
  <c r="I645" i="3"/>
  <c r="J645" i="3"/>
  <c r="A646" i="3"/>
  <c r="B646" i="3"/>
  <c r="C646" i="3"/>
  <c r="D646" i="3"/>
  <c r="E646" i="3"/>
  <c r="F646" i="3"/>
  <c r="G646" i="3"/>
  <c r="I646" i="3" s="1"/>
  <c r="H646" i="3"/>
  <c r="A647" i="3"/>
  <c r="B647" i="3"/>
  <c r="C647" i="3"/>
  <c r="D647" i="3"/>
  <c r="E647" i="3"/>
  <c r="F647" i="3"/>
  <c r="G647" i="3"/>
  <c r="H647" i="3"/>
  <c r="I647" i="3"/>
  <c r="J647" i="3"/>
  <c r="A648" i="3"/>
  <c r="B648" i="3"/>
  <c r="C648" i="3"/>
  <c r="D648" i="3"/>
  <c r="E648" i="3"/>
  <c r="F648" i="3"/>
  <c r="G648" i="3"/>
  <c r="H648" i="3"/>
  <c r="A649" i="3"/>
  <c r="B649" i="3"/>
  <c r="C649" i="3"/>
  <c r="D649" i="3"/>
  <c r="E649" i="3"/>
  <c r="F649" i="3"/>
  <c r="G649" i="3"/>
  <c r="I649" i="3" s="1"/>
  <c r="H649" i="3"/>
  <c r="A650" i="3"/>
  <c r="B650" i="3"/>
  <c r="C650" i="3"/>
  <c r="D650" i="3"/>
  <c r="E650" i="3"/>
  <c r="F650" i="3"/>
  <c r="G650" i="3"/>
  <c r="H650" i="3"/>
  <c r="I650" i="3"/>
  <c r="J650" i="3"/>
  <c r="A651" i="3"/>
  <c r="B651" i="3"/>
  <c r="C651" i="3"/>
  <c r="D651" i="3"/>
  <c r="E651" i="3"/>
  <c r="F651" i="3"/>
  <c r="G651" i="3"/>
  <c r="H651" i="3"/>
  <c r="I651" i="3"/>
  <c r="J651" i="3"/>
  <c r="A652" i="3"/>
  <c r="B652" i="3"/>
  <c r="C652" i="3"/>
  <c r="D652" i="3"/>
  <c r="E652" i="3"/>
  <c r="F652" i="3"/>
  <c r="G652" i="3"/>
  <c r="J652" i="3" s="1"/>
  <c r="H652" i="3"/>
  <c r="A653" i="3"/>
  <c r="B653" i="3"/>
  <c r="C653" i="3"/>
  <c r="D653" i="3"/>
  <c r="E653" i="3"/>
  <c r="F653" i="3"/>
  <c r="G653" i="3"/>
  <c r="J653" i="3" s="1"/>
  <c r="H653" i="3"/>
  <c r="I653" i="3"/>
  <c r="A654" i="3"/>
  <c r="B654" i="3"/>
  <c r="C654" i="3"/>
  <c r="D654" i="3"/>
  <c r="E654" i="3"/>
  <c r="F654" i="3"/>
  <c r="G654" i="3"/>
  <c r="H654" i="3"/>
  <c r="I654" i="3"/>
  <c r="J654" i="3"/>
  <c r="A655" i="3"/>
  <c r="B655" i="3"/>
  <c r="H655" i="3" s="1"/>
  <c r="C655" i="3"/>
  <c r="D655" i="3"/>
  <c r="E655" i="3"/>
  <c r="F655" i="3"/>
  <c r="G655" i="3"/>
  <c r="A656" i="3"/>
  <c r="B656" i="3"/>
  <c r="H656" i="3" s="1"/>
  <c r="C656" i="3"/>
  <c r="D656" i="3"/>
  <c r="E656" i="3"/>
  <c r="F656" i="3"/>
  <c r="G656" i="3"/>
  <c r="J656" i="3" s="1"/>
  <c r="I656" i="3"/>
  <c r="A657" i="3"/>
  <c r="B657" i="3"/>
  <c r="C657" i="3"/>
  <c r="D657" i="3"/>
  <c r="E657" i="3"/>
  <c r="F657" i="3"/>
  <c r="G657" i="3"/>
  <c r="J657" i="3" s="1"/>
  <c r="H657" i="3"/>
  <c r="I657" i="3"/>
  <c r="A658" i="3"/>
  <c r="B658" i="3"/>
  <c r="H658" i="3" s="1"/>
  <c r="C658" i="3"/>
  <c r="D658" i="3"/>
  <c r="E658" i="3"/>
  <c r="F658" i="3"/>
  <c r="G658" i="3"/>
  <c r="A659" i="3"/>
  <c r="B659" i="3"/>
  <c r="H659" i="3" s="1"/>
  <c r="C659" i="3"/>
  <c r="D659" i="3"/>
  <c r="E659" i="3"/>
  <c r="F659" i="3"/>
  <c r="G659" i="3"/>
  <c r="I659" i="3" s="1"/>
  <c r="A660" i="3"/>
  <c r="B660" i="3"/>
  <c r="H660" i="3" s="1"/>
  <c r="C660" i="3"/>
  <c r="D660" i="3"/>
  <c r="E660" i="3"/>
  <c r="F660" i="3"/>
  <c r="G660" i="3"/>
  <c r="I660" i="3"/>
  <c r="J660" i="3"/>
  <c r="A661" i="3"/>
  <c r="B661" i="3"/>
  <c r="H661" i="3" s="1"/>
  <c r="C661" i="3"/>
  <c r="D661" i="3"/>
  <c r="E661" i="3"/>
  <c r="F661" i="3"/>
  <c r="G661" i="3"/>
  <c r="I661" i="3"/>
  <c r="J661" i="3"/>
  <c r="A662" i="3"/>
  <c r="B662" i="3"/>
  <c r="H662" i="3" s="1"/>
  <c r="C662" i="3"/>
  <c r="D662" i="3"/>
  <c r="E662" i="3"/>
  <c r="F662" i="3"/>
  <c r="G662" i="3"/>
  <c r="I662" i="3" s="1"/>
  <c r="A663" i="3"/>
  <c r="B663" i="3"/>
  <c r="C663" i="3"/>
  <c r="D663" i="3"/>
  <c r="E663" i="3"/>
  <c r="F663" i="3"/>
  <c r="G663" i="3"/>
  <c r="H663" i="3"/>
  <c r="A664" i="3"/>
  <c r="B664" i="3"/>
  <c r="C664" i="3"/>
  <c r="D664" i="3"/>
  <c r="E664" i="3"/>
  <c r="F664" i="3"/>
  <c r="G664" i="3"/>
  <c r="J664" i="3" s="1"/>
  <c r="H664" i="3"/>
  <c r="I664" i="3"/>
  <c r="A665" i="3"/>
  <c r="B665" i="3"/>
  <c r="C665" i="3"/>
  <c r="D665" i="3"/>
  <c r="E665" i="3"/>
  <c r="F665" i="3"/>
  <c r="G665" i="3"/>
  <c r="H665" i="3"/>
  <c r="A666" i="3"/>
  <c r="B666" i="3"/>
  <c r="C666" i="3"/>
  <c r="D666" i="3"/>
  <c r="E666" i="3"/>
  <c r="F666" i="3"/>
  <c r="G666" i="3"/>
  <c r="I666" i="3" s="1"/>
  <c r="H666" i="3"/>
  <c r="J666" i="3"/>
  <c r="A667" i="3"/>
  <c r="B667" i="3"/>
  <c r="C667" i="3"/>
  <c r="D667" i="3"/>
  <c r="E667" i="3"/>
  <c r="F667" i="3"/>
  <c r="G667" i="3"/>
  <c r="J667" i="3" s="1"/>
  <c r="H667" i="3"/>
  <c r="I667" i="3"/>
  <c r="A668" i="3"/>
  <c r="B668" i="3"/>
  <c r="H668" i="3" s="1"/>
  <c r="C668" i="3"/>
  <c r="D668" i="3"/>
  <c r="E668" i="3"/>
  <c r="F668" i="3"/>
  <c r="G668" i="3"/>
  <c r="I668" i="3" s="1"/>
  <c r="A669" i="3"/>
  <c r="B669" i="3"/>
  <c r="C669" i="3"/>
  <c r="D669" i="3"/>
  <c r="E669" i="3"/>
  <c r="F669" i="3"/>
  <c r="G669" i="3"/>
  <c r="H669" i="3"/>
  <c r="I669" i="3"/>
  <c r="J669" i="3"/>
  <c r="A670" i="3"/>
  <c r="B670" i="3"/>
  <c r="H670" i="3" s="1"/>
  <c r="C670" i="3"/>
  <c r="D670" i="3"/>
  <c r="E670" i="3"/>
  <c r="F670" i="3"/>
  <c r="G670" i="3"/>
  <c r="J670" i="3" s="1"/>
  <c r="A671" i="3"/>
  <c r="B671" i="3"/>
  <c r="H671" i="3" s="1"/>
  <c r="C671" i="3"/>
  <c r="D671" i="3"/>
  <c r="E671" i="3"/>
  <c r="F671" i="3"/>
  <c r="G671" i="3"/>
  <c r="I671" i="3"/>
  <c r="J671" i="3"/>
  <c r="A672" i="3"/>
  <c r="B672" i="3"/>
  <c r="C672" i="3"/>
  <c r="D672" i="3"/>
  <c r="E672" i="3"/>
  <c r="F672" i="3"/>
  <c r="G672" i="3"/>
  <c r="J672" i="3" s="1"/>
  <c r="H672" i="3"/>
  <c r="I672" i="3"/>
  <c r="A673" i="3"/>
  <c r="B673" i="3"/>
  <c r="C673" i="3"/>
  <c r="D673" i="3"/>
  <c r="E673" i="3"/>
  <c r="F673" i="3"/>
  <c r="G673" i="3"/>
  <c r="J673" i="3" s="1"/>
  <c r="H673" i="3"/>
  <c r="I673" i="3"/>
  <c r="A674" i="3"/>
  <c r="B674" i="3"/>
  <c r="H674" i="3" s="1"/>
  <c r="C674" i="3"/>
  <c r="D674" i="3"/>
  <c r="E674" i="3"/>
  <c r="F674" i="3"/>
  <c r="G674" i="3"/>
  <c r="J674" i="3" s="1"/>
  <c r="A675" i="3"/>
  <c r="B675" i="3"/>
  <c r="H675" i="3" s="1"/>
  <c r="C675" i="3"/>
  <c r="D675" i="3"/>
  <c r="E675" i="3"/>
  <c r="F675" i="3"/>
  <c r="G675" i="3"/>
  <c r="A676" i="3"/>
  <c r="B676" i="3"/>
  <c r="C676" i="3"/>
  <c r="D676" i="3"/>
  <c r="E676" i="3"/>
  <c r="F676" i="3"/>
  <c r="G676" i="3"/>
  <c r="H676" i="3"/>
  <c r="A677" i="3"/>
  <c r="B677" i="3"/>
  <c r="H677" i="3" s="1"/>
  <c r="C677" i="3"/>
  <c r="D677" i="3"/>
  <c r="E677" i="3"/>
  <c r="F677" i="3"/>
  <c r="G677" i="3"/>
  <c r="I677" i="3"/>
  <c r="J677" i="3"/>
  <c r="A678" i="3"/>
  <c r="B678" i="3"/>
  <c r="C678" i="3"/>
  <c r="D678" i="3"/>
  <c r="E678" i="3"/>
  <c r="F678" i="3"/>
  <c r="G678" i="3"/>
  <c r="H678" i="3"/>
  <c r="I678" i="3"/>
  <c r="J678" i="3"/>
  <c r="A679" i="3"/>
  <c r="B679" i="3"/>
  <c r="C679" i="3"/>
  <c r="D679" i="3"/>
  <c r="E679" i="3"/>
  <c r="F679" i="3"/>
  <c r="G679" i="3"/>
  <c r="H679" i="3"/>
  <c r="I679" i="3"/>
  <c r="J679" i="3"/>
  <c r="A680" i="3"/>
  <c r="B680" i="3"/>
  <c r="C680" i="3"/>
  <c r="D680" i="3"/>
  <c r="E680" i="3"/>
  <c r="F680" i="3"/>
  <c r="G680" i="3"/>
  <c r="J680" i="3" s="1"/>
  <c r="H680" i="3"/>
  <c r="A681" i="3"/>
  <c r="B681" i="3"/>
  <c r="C681" i="3"/>
  <c r="D681" i="3"/>
  <c r="E681" i="3"/>
  <c r="F681" i="3"/>
  <c r="G681" i="3"/>
  <c r="J681" i="3" s="1"/>
  <c r="H681" i="3"/>
  <c r="I681" i="3"/>
  <c r="A682" i="3"/>
  <c r="B682" i="3"/>
  <c r="C682" i="3"/>
  <c r="D682" i="3"/>
  <c r="E682" i="3"/>
  <c r="F682" i="3"/>
  <c r="G682" i="3"/>
  <c r="J682" i="3" s="1"/>
  <c r="H682" i="3"/>
  <c r="I682" i="3"/>
  <c r="A683" i="3"/>
  <c r="B683" i="3"/>
  <c r="H683" i="3" s="1"/>
  <c r="C683" i="3"/>
  <c r="D683" i="3"/>
  <c r="E683" i="3"/>
  <c r="F683" i="3"/>
  <c r="G683" i="3"/>
  <c r="J683" i="3" s="1"/>
  <c r="I683" i="3"/>
  <c r="A684" i="3"/>
  <c r="B684" i="3"/>
  <c r="H684" i="3" s="1"/>
  <c r="C684" i="3"/>
  <c r="D684" i="3"/>
  <c r="E684" i="3"/>
  <c r="F684" i="3"/>
  <c r="G684" i="3"/>
  <c r="I684" i="3"/>
  <c r="J684" i="3"/>
  <c r="A685" i="3"/>
  <c r="B685" i="3"/>
  <c r="C685" i="3"/>
  <c r="D685" i="3"/>
  <c r="E685" i="3"/>
  <c r="F685" i="3"/>
  <c r="G685" i="3"/>
  <c r="H685" i="3"/>
  <c r="A686" i="3"/>
  <c r="B686" i="3"/>
  <c r="H686" i="3" s="1"/>
  <c r="C686" i="3"/>
  <c r="D686" i="3"/>
  <c r="E686" i="3"/>
  <c r="F686" i="3"/>
  <c r="G686" i="3"/>
  <c r="I686" i="3"/>
  <c r="J686" i="3"/>
  <c r="A687" i="3"/>
  <c r="B687" i="3"/>
  <c r="C687" i="3"/>
  <c r="D687" i="3"/>
  <c r="E687" i="3"/>
  <c r="F687" i="3"/>
  <c r="G687" i="3"/>
  <c r="H687" i="3"/>
  <c r="I687" i="3"/>
  <c r="J687" i="3"/>
  <c r="A688" i="3"/>
  <c r="B688" i="3"/>
  <c r="H688" i="3" s="1"/>
  <c r="C688" i="3"/>
  <c r="D688" i="3"/>
  <c r="E688" i="3"/>
  <c r="F688" i="3"/>
  <c r="G688" i="3"/>
  <c r="I688" i="3" s="1"/>
  <c r="J688" i="3"/>
  <c r="A689" i="3"/>
  <c r="B689" i="3"/>
  <c r="C689" i="3"/>
  <c r="D689" i="3"/>
  <c r="E689" i="3"/>
  <c r="F689" i="3"/>
  <c r="G689" i="3"/>
  <c r="J689" i="3" s="1"/>
  <c r="H689" i="3"/>
  <c r="I689" i="3"/>
  <c r="A690" i="3"/>
  <c r="B690" i="3"/>
  <c r="C690" i="3"/>
  <c r="D690" i="3"/>
  <c r="E690" i="3"/>
  <c r="F690" i="3"/>
  <c r="G690" i="3"/>
  <c r="I690" i="3" s="1"/>
  <c r="H690" i="3"/>
  <c r="J690" i="3"/>
  <c r="A691" i="3"/>
  <c r="B691" i="3"/>
  <c r="C691" i="3"/>
  <c r="D691" i="3"/>
  <c r="E691" i="3"/>
  <c r="F691" i="3"/>
  <c r="G691" i="3"/>
  <c r="H691" i="3"/>
  <c r="A692" i="3"/>
  <c r="B692" i="3"/>
  <c r="H692" i="3" s="1"/>
  <c r="C692" i="3"/>
  <c r="D692" i="3"/>
  <c r="E692" i="3"/>
  <c r="F692" i="3"/>
  <c r="G692" i="3"/>
  <c r="A693" i="3"/>
  <c r="B693" i="3"/>
  <c r="C693" i="3"/>
  <c r="D693" i="3"/>
  <c r="E693" i="3"/>
  <c r="F693" i="3"/>
  <c r="G693" i="3"/>
  <c r="J693" i="3" s="1"/>
  <c r="H693" i="3"/>
  <c r="A694" i="3"/>
  <c r="B694" i="3"/>
  <c r="H694" i="3" s="1"/>
  <c r="C694" i="3"/>
  <c r="D694" i="3"/>
  <c r="E694" i="3"/>
  <c r="F694" i="3"/>
  <c r="G694" i="3"/>
  <c r="J694" i="3" s="1"/>
  <c r="A695" i="3"/>
  <c r="B695" i="3"/>
  <c r="H695" i="3" s="1"/>
  <c r="C695" i="3"/>
  <c r="D695" i="3"/>
  <c r="E695" i="3"/>
  <c r="F695" i="3"/>
  <c r="G695" i="3"/>
  <c r="J695" i="3" s="1"/>
  <c r="I695" i="3"/>
  <c r="A696" i="3"/>
  <c r="B696" i="3"/>
  <c r="C696" i="3"/>
  <c r="D696" i="3"/>
  <c r="E696" i="3"/>
  <c r="F696" i="3"/>
  <c r="G696" i="3"/>
  <c r="H696" i="3"/>
  <c r="I696" i="3"/>
  <c r="J696" i="3"/>
  <c r="A697" i="3"/>
  <c r="B697" i="3"/>
  <c r="C697" i="3"/>
  <c r="D697" i="3"/>
  <c r="E697" i="3"/>
  <c r="F697" i="3"/>
  <c r="G697" i="3"/>
  <c r="J697" i="3" s="1"/>
  <c r="H697" i="3"/>
  <c r="I697" i="3"/>
  <c r="A698" i="3"/>
  <c r="B698" i="3"/>
  <c r="H698" i="3" s="1"/>
  <c r="C698" i="3"/>
  <c r="D698" i="3"/>
  <c r="E698" i="3"/>
  <c r="F698" i="3"/>
  <c r="G698" i="3"/>
  <c r="I698" i="3"/>
  <c r="J698" i="3"/>
  <c r="A699" i="3"/>
  <c r="B699" i="3"/>
  <c r="C699" i="3"/>
  <c r="D699" i="3"/>
  <c r="E699" i="3"/>
  <c r="F699" i="3"/>
  <c r="G699" i="3"/>
  <c r="H699" i="3"/>
  <c r="I699" i="3"/>
  <c r="J699" i="3"/>
  <c r="A700" i="3"/>
  <c r="B700" i="3"/>
  <c r="C700" i="3"/>
  <c r="D700" i="3"/>
  <c r="E700" i="3"/>
  <c r="F700" i="3"/>
  <c r="G700" i="3"/>
  <c r="I700" i="3" s="1"/>
  <c r="H700" i="3"/>
  <c r="J700" i="3"/>
  <c r="A701" i="3"/>
  <c r="B701" i="3"/>
  <c r="C701" i="3"/>
  <c r="D701" i="3"/>
  <c r="E701" i="3"/>
  <c r="F701" i="3"/>
  <c r="G701" i="3"/>
  <c r="I701" i="3" s="1"/>
  <c r="H701" i="3"/>
  <c r="A702" i="3"/>
  <c r="B702" i="3"/>
  <c r="C702" i="3"/>
  <c r="D702" i="3"/>
  <c r="E702" i="3"/>
  <c r="F702" i="3"/>
  <c r="G702" i="3"/>
  <c r="H702" i="3"/>
  <c r="A703" i="3"/>
  <c r="B703" i="3"/>
  <c r="C703" i="3"/>
  <c r="D703" i="3"/>
  <c r="E703" i="3"/>
  <c r="F703" i="3"/>
  <c r="G703" i="3"/>
  <c r="H703" i="3"/>
  <c r="I703" i="3"/>
  <c r="J703" i="3"/>
  <c r="A704" i="3"/>
  <c r="B704" i="3"/>
  <c r="C704" i="3"/>
  <c r="D704" i="3"/>
  <c r="E704" i="3"/>
  <c r="F704" i="3"/>
  <c r="G704" i="3"/>
  <c r="I704" i="3" s="1"/>
  <c r="H704" i="3"/>
  <c r="A705" i="3"/>
  <c r="B705" i="3"/>
  <c r="H705" i="3" s="1"/>
  <c r="C705" i="3"/>
  <c r="D705" i="3"/>
  <c r="E705" i="3"/>
  <c r="F705" i="3"/>
  <c r="G705" i="3"/>
  <c r="I705" i="3"/>
  <c r="J705" i="3"/>
  <c r="A706" i="3"/>
  <c r="B706" i="3"/>
  <c r="C706" i="3"/>
  <c r="D706" i="3"/>
  <c r="E706" i="3"/>
  <c r="F706" i="3"/>
  <c r="G706" i="3"/>
  <c r="J706" i="3" s="1"/>
  <c r="H706" i="3"/>
  <c r="I706" i="3"/>
  <c r="A707" i="3"/>
  <c r="B707" i="3"/>
  <c r="C707" i="3"/>
  <c r="D707" i="3"/>
  <c r="E707" i="3"/>
  <c r="F707" i="3"/>
  <c r="G707" i="3"/>
  <c r="I707" i="3" s="1"/>
  <c r="H707" i="3"/>
  <c r="A708" i="3"/>
  <c r="B708" i="3"/>
  <c r="C708" i="3"/>
  <c r="D708" i="3"/>
  <c r="E708" i="3"/>
  <c r="F708" i="3"/>
  <c r="G708" i="3"/>
  <c r="J708" i="3" s="1"/>
  <c r="H708" i="3"/>
  <c r="I708" i="3"/>
  <c r="A709" i="3"/>
  <c r="B709" i="3"/>
  <c r="H709" i="3" s="1"/>
  <c r="C709" i="3"/>
  <c r="D709" i="3"/>
  <c r="E709" i="3"/>
  <c r="F709" i="3"/>
  <c r="G709" i="3"/>
  <c r="A710" i="3"/>
  <c r="B710" i="3"/>
  <c r="H710" i="3" s="1"/>
  <c r="C710" i="3"/>
  <c r="D710" i="3"/>
  <c r="E710" i="3"/>
  <c r="F710" i="3"/>
  <c r="G710" i="3"/>
  <c r="I710" i="3"/>
  <c r="J710" i="3"/>
  <c r="A711" i="3"/>
  <c r="B711" i="3"/>
  <c r="C711" i="3"/>
  <c r="D711" i="3"/>
  <c r="E711" i="3"/>
  <c r="F711" i="3"/>
  <c r="G711" i="3"/>
  <c r="I711" i="3" s="1"/>
  <c r="H711" i="3"/>
  <c r="J711" i="3"/>
  <c r="A712" i="3"/>
  <c r="B712" i="3"/>
  <c r="H712" i="3" s="1"/>
  <c r="C712" i="3"/>
  <c r="D712" i="3"/>
  <c r="E712" i="3"/>
  <c r="F712" i="3"/>
  <c r="G712" i="3"/>
  <c r="I712" i="3" s="1"/>
  <c r="J712" i="3"/>
  <c r="A713" i="3"/>
  <c r="B713" i="3"/>
  <c r="H713" i="3" s="1"/>
  <c r="C713" i="3"/>
  <c r="D713" i="3"/>
  <c r="E713" i="3"/>
  <c r="F713" i="3"/>
  <c r="G713" i="3"/>
  <c r="I713" i="3"/>
  <c r="A714" i="3"/>
  <c r="B714" i="3"/>
  <c r="H714" i="3" s="1"/>
  <c r="C714" i="3"/>
  <c r="D714" i="3"/>
  <c r="E714" i="3"/>
  <c r="F714" i="3"/>
  <c r="G714" i="3"/>
  <c r="I714" i="3"/>
  <c r="J714" i="3"/>
  <c r="A715" i="3"/>
  <c r="B715" i="3"/>
  <c r="C715" i="3"/>
  <c r="D715" i="3"/>
  <c r="E715" i="3"/>
  <c r="F715" i="3"/>
  <c r="G715" i="3"/>
  <c r="I715" i="3" s="1"/>
  <c r="H715" i="3"/>
  <c r="A716" i="3"/>
  <c r="B716" i="3"/>
  <c r="H716" i="3" s="1"/>
  <c r="C716" i="3"/>
  <c r="D716" i="3"/>
  <c r="E716" i="3"/>
  <c r="F716" i="3"/>
  <c r="G716" i="3"/>
  <c r="J716" i="3" s="1"/>
  <c r="I716" i="3"/>
  <c r="A717" i="3"/>
  <c r="B717" i="3"/>
  <c r="C717" i="3"/>
  <c r="D717" i="3"/>
  <c r="E717" i="3"/>
  <c r="F717" i="3"/>
  <c r="G717" i="3"/>
  <c r="H717" i="3"/>
  <c r="A718" i="3"/>
  <c r="B718" i="3"/>
  <c r="C718" i="3"/>
  <c r="D718" i="3"/>
  <c r="E718" i="3"/>
  <c r="F718" i="3"/>
  <c r="G718" i="3"/>
  <c r="H718" i="3"/>
  <c r="I718" i="3"/>
  <c r="J718" i="3"/>
  <c r="A719" i="3"/>
  <c r="B719" i="3"/>
  <c r="C719" i="3"/>
  <c r="D719" i="3"/>
  <c r="E719" i="3"/>
  <c r="F719" i="3"/>
  <c r="G719" i="3"/>
  <c r="H719" i="3"/>
  <c r="A720" i="3"/>
  <c r="B720" i="3"/>
  <c r="C720" i="3"/>
  <c r="D720" i="3"/>
  <c r="E720" i="3"/>
  <c r="F720" i="3"/>
  <c r="G720" i="3"/>
  <c r="H720" i="3"/>
  <c r="A721" i="3"/>
  <c r="B721" i="3"/>
  <c r="C721" i="3"/>
  <c r="D721" i="3"/>
  <c r="E721" i="3"/>
  <c r="F721" i="3"/>
  <c r="G721" i="3"/>
  <c r="H721" i="3"/>
  <c r="I721" i="3"/>
  <c r="J721" i="3"/>
  <c r="A722" i="3"/>
  <c r="B722" i="3"/>
  <c r="H722" i="3" s="1"/>
  <c r="C722" i="3"/>
  <c r="D722" i="3"/>
  <c r="E722" i="3"/>
  <c r="F722" i="3"/>
  <c r="G722" i="3"/>
  <c r="I722" i="3" s="1"/>
  <c r="J722" i="3"/>
  <c r="A723" i="3"/>
  <c r="B723" i="3"/>
  <c r="C723" i="3"/>
  <c r="D723" i="3"/>
  <c r="E723" i="3"/>
  <c r="F723" i="3"/>
  <c r="G723" i="3"/>
  <c r="H723" i="3"/>
  <c r="A724" i="3"/>
  <c r="B724" i="3"/>
  <c r="C724" i="3"/>
  <c r="D724" i="3"/>
  <c r="E724" i="3"/>
  <c r="F724" i="3"/>
  <c r="G724" i="3"/>
  <c r="H724" i="3"/>
  <c r="I724" i="3"/>
  <c r="J724" i="3"/>
  <c r="A725" i="3"/>
  <c r="B725" i="3"/>
  <c r="C725" i="3"/>
  <c r="D725" i="3"/>
  <c r="E725" i="3"/>
  <c r="F725" i="3"/>
  <c r="G725" i="3"/>
  <c r="I725" i="3" s="1"/>
  <c r="H725" i="3"/>
  <c r="A726" i="3"/>
  <c r="B726" i="3"/>
  <c r="H726" i="3" s="1"/>
  <c r="C726" i="3"/>
  <c r="D726" i="3"/>
  <c r="E726" i="3"/>
  <c r="F726" i="3"/>
  <c r="G726" i="3"/>
  <c r="J726" i="3" s="1"/>
  <c r="I726" i="3"/>
  <c r="A727" i="3"/>
  <c r="B727" i="3"/>
  <c r="C727" i="3"/>
  <c r="D727" i="3"/>
  <c r="E727" i="3"/>
  <c r="F727" i="3"/>
  <c r="G727" i="3"/>
  <c r="H727" i="3"/>
  <c r="I727" i="3"/>
  <c r="J727" i="3"/>
  <c r="A728" i="3"/>
  <c r="B728" i="3"/>
  <c r="C728" i="3"/>
  <c r="D728" i="3"/>
  <c r="E728" i="3"/>
  <c r="F728" i="3"/>
  <c r="G728" i="3"/>
  <c r="J728" i="3" s="1"/>
  <c r="H728" i="3"/>
  <c r="A729" i="3"/>
  <c r="B729" i="3"/>
  <c r="H729" i="3" s="1"/>
  <c r="C729" i="3"/>
  <c r="D729" i="3"/>
  <c r="E729" i="3"/>
  <c r="F729" i="3"/>
  <c r="G729" i="3"/>
  <c r="I729" i="3" s="1"/>
  <c r="A730" i="3"/>
  <c r="B730" i="3"/>
  <c r="C730" i="3"/>
  <c r="D730" i="3"/>
  <c r="E730" i="3"/>
  <c r="F730" i="3"/>
  <c r="G730" i="3"/>
  <c r="H730" i="3"/>
  <c r="I730" i="3"/>
  <c r="J730" i="3"/>
  <c r="A731" i="3"/>
  <c r="B731" i="3"/>
  <c r="H731" i="3" s="1"/>
  <c r="C731" i="3"/>
  <c r="D731" i="3"/>
  <c r="E731" i="3"/>
  <c r="F731" i="3"/>
  <c r="G731" i="3"/>
  <c r="I731" i="3"/>
  <c r="J731" i="3"/>
  <c r="A732" i="3"/>
  <c r="B732" i="3"/>
  <c r="C732" i="3"/>
  <c r="D732" i="3"/>
  <c r="E732" i="3"/>
  <c r="F732" i="3"/>
  <c r="G732" i="3"/>
  <c r="J732" i="3" s="1"/>
  <c r="H732" i="3"/>
  <c r="A733" i="3"/>
  <c r="B733" i="3"/>
  <c r="C733" i="3"/>
  <c r="D733" i="3"/>
  <c r="E733" i="3"/>
  <c r="F733" i="3"/>
  <c r="G733" i="3"/>
  <c r="H733" i="3"/>
  <c r="I733" i="3"/>
  <c r="J733" i="3"/>
  <c r="A734" i="3"/>
  <c r="B734" i="3"/>
  <c r="C734" i="3"/>
  <c r="D734" i="3"/>
  <c r="E734" i="3"/>
  <c r="F734" i="3"/>
  <c r="G734" i="3"/>
  <c r="I734" i="3" s="1"/>
  <c r="H734" i="3"/>
  <c r="A735" i="3"/>
  <c r="B735" i="3"/>
  <c r="C735" i="3"/>
  <c r="D735" i="3"/>
  <c r="E735" i="3"/>
  <c r="F735" i="3"/>
  <c r="G735" i="3"/>
  <c r="J735" i="3" s="1"/>
  <c r="H735" i="3"/>
  <c r="I735" i="3"/>
  <c r="A736" i="3"/>
  <c r="B736" i="3"/>
  <c r="C736" i="3"/>
  <c r="D736" i="3"/>
  <c r="E736" i="3"/>
  <c r="F736" i="3"/>
  <c r="G736" i="3"/>
  <c r="H736" i="3"/>
  <c r="A737" i="3"/>
  <c r="B737" i="3"/>
  <c r="C737" i="3"/>
  <c r="D737" i="3"/>
  <c r="E737" i="3"/>
  <c r="F737" i="3"/>
  <c r="G737" i="3"/>
  <c r="J737" i="3" s="1"/>
  <c r="H737" i="3"/>
  <c r="A738" i="3"/>
  <c r="B738" i="3"/>
  <c r="C738" i="3"/>
  <c r="D738" i="3"/>
  <c r="E738" i="3"/>
  <c r="F738" i="3"/>
  <c r="G738" i="3"/>
  <c r="H738" i="3"/>
  <c r="I738" i="3"/>
  <c r="J738" i="3"/>
  <c r="A739" i="3"/>
  <c r="B739" i="3"/>
  <c r="H739" i="3" s="1"/>
  <c r="C739" i="3"/>
  <c r="D739" i="3"/>
  <c r="E739" i="3"/>
  <c r="F739" i="3"/>
  <c r="G739" i="3"/>
  <c r="A740" i="3"/>
  <c r="B740" i="3"/>
  <c r="H740" i="3" s="1"/>
  <c r="C740" i="3"/>
  <c r="D740" i="3"/>
  <c r="E740" i="3"/>
  <c r="F740" i="3"/>
  <c r="G740" i="3"/>
  <c r="I740" i="3"/>
  <c r="J740" i="3"/>
  <c r="A741" i="3"/>
  <c r="B741" i="3"/>
  <c r="C741" i="3"/>
  <c r="D741" i="3"/>
  <c r="E741" i="3"/>
  <c r="F741" i="3"/>
  <c r="G741" i="3"/>
  <c r="I741" i="3" s="1"/>
  <c r="H741" i="3"/>
  <c r="A742" i="3"/>
  <c r="B742" i="3"/>
  <c r="H742" i="3" s="1"/>
  <c r="C742" i="3"/>
  <c r="D742" i="3"/>
  <c r="E742" i="3"/>
  <c r="F742" i="3"/>
  <c r="G742" i="3"/>
  <c r="J742" i="3" s="1"/>
  <c r="I742" i="3"/>
  <c r="A743" i="3"/>
  <c r="B743" i="3"/>
  <c r="C743" i="3"/>
  <c r="D743" i="3"/>
  <c r="E743" i="3"/>
  <c r="F743" i="3"/>
  <c r="G743" i="3"/>
  <c r="J743" i="3" s="1"/>
  <c r="H743" i="3"/>
  <c r="I743" i="3"/>
  <c r="A744" i="3"/>
  <c r="B744" i="3"/>
  <c r="C744" i="3"/>
  <c r="D744" i="3"/>
  <c r="E744" i="3"/>
  <c r="F744" i="3"/>
  <c r="G744" i="3"/>
  <c r="I744" i="3" s="1"/>
  <c r="H744" i="3"/>
  <c r="A745" i="3"/>
  <c r="B745" i="3"/>
  <c r="C745" i="3"/>
  <c r="D745" i="3"/>
  <c r="E745" i="3"/>
  <c r="F745" i="3"/>
  <c r="G745" i="3"/>
  <c r="H745" i="3"/>
  <c r="A746" i="3"/>
  <c r="B746" i="3"/>
  <c r="H746" i="3" s="1"/>
  <c r="C746" i="3"/>
  <c r="D746" i="3"/>
  <c r="E746" i="3"/>
  <c r="F746" i="3"/>
  <c r="G746" i="3"/>
  <c r="I746" i="3" s="1"/>
  <c r="J746" i="3"/>
  <c r="A747" i="3"/>
  <c r="B747" i="3"/>
  <c r="C747" i="3"/>
  <c r="D747" i="3"/>
  <c r="E747" i="3"/>
  <c r="F747" i="3"/>
  <c r="G747" i="3"/>
  <c r="H747" i="3"/>
  <c r="I747" i="3"/>
  <c r="J747" i="3"/>
  <c r="A748" i="3"/>
  <c r="B748" i="3"/>
  <c r="H748" i="3" s="1"/>
  <c r="C748" i="3"/>
  <c r="D748" i="3"/>
  <c r="E748" i="3"/>
  <c r="F748" i="3"/>
  <c r="G748" i="3"/>
  <c r="I748" i="3"/>
  <c r="J748" i="3"/>
  <c r="A749" i="3"/>
  <c r="B749" i="3"/>
  <c r="C749" i="3"/>
  <c r="D749" i="3"/>
  <c r="E749" i="3"/>
  <c r="F749" i="3"/>
  <c r="G749" i="3"/>
  <c r="H749" i="3"/>
  <c r="I749" i="3"/>
  <c r="J749" i="3"/>
  <c r="A750" i="3"/>
  <c r="B750" i="3"/>
  <c r="C750" i="3"/>
  <c r="D750" i="3"/>
  <c r="E750" i="3"/>
  <c r="F750" i="3"/>
  <c r="G750" i="3"/>
  <c r="J750" i="3" s="1"/>
  <c r="H750" i="3"/>
  <c r="I750" i="3"/>
  <c r="A751" i="3"/>
  <c r="B751" i="3"/>
  <c r="C751" i="3"/>
  <c r="D751" i="3"/>
  <c r="E751" i="3"/>
  <c r="F751" i="3"/>
  <c r="G751" i="3"/>
  <c r="H751" i="3"/>
  <c r="A752" i="3"/>
  <c r="B752" i="3"/>
  <c r="H752" i="3" s="1"/>
  <c r="C752" i="3"/>
  <c r="D752" i="3"/>
  <c r="E752" i="3"/>
  <c r="F752" i="3"/>
  <c r="G752" i="3"/>
  <c r="J752" i="3" s="1"/>
  <c r="I752" i="3"/>
  <c r="A753" i="3"/>
  <c r="B753" i="3"/>
  <c r="C753" i="3"/>
  <c r="D753" i="3"/>
  <c r="E753" i="3"/>
  <c r="F753" i="3"/>
  <c r="G753" i="3"/>
  <c r="H753" i="3"/>
  <c r="A754" i="3"/>
  <c r="B754" i="3"/>
  <c r="H754" i="3" s="1"/>
  <c r="C754" i="3"/>
  <c r="D754" i="3"/>
  <c r="E754" i="3"/>
  <c r="F754" i="3"/>
  <c r="G754" i="3"/>
  <c r="I754" i="3"/>
  <c r="J754" i="3"/>
  <c r="A755" i="3"/>
  <c r="B755" i="3"/>
  <c r="H755" i="3" s="1"/>
  <c r="C755" i="3"/>
  <c r="D755" i="3"/>
  <c r="E755" i="3"/>
  <c r="F755" i="3"/>
  <c r="G755" i="3"/>
  <c r="J755" i="3" s="1"/>
  <c r="I755" i="3"/>
  <c r="A756" i="3"/>
  <c r="B756" i="3"/>
  <c r="C756" i="3"/>
  <c r="D756" i="3"/>
  <c r="E756" i="3"/>
  <c r="F756" i="3"/>
  <c r="G756" i="3"/>
  <c r="H756" i="3"/>
  <c r="A757" i="3"/>
  <c r="B757" i="3"/>
  <c r="C757" i="3"/>
  <c r="D757" i="3"/>
  <c r="E757" i="3"/>
  <c r="F757" i="3"/>
  <c r="G757" i="3"/>
  <c r="H757" i="3"/>
  <c r="A758" i="3"/>
  <c r="B758" i="3"/>
  <c r="C758" i="3"/>
  <c r="D758" i="3"/>
  <c r="E758" i="3"/>
  <c r="F758" i="3"/>
  <c r="G758" i="3"/>
  <c r="J758" i="3" s="1"/>
  <c r="H758" i="3"/>
  <c r="A759" i="3"/>
  <c r="B759" i="3"/>
  <c r="H759" i="3" s="1"/>
  <c r="C759" i="3"/>
  <c r="D759" i="3"/>
  <c r="E759" i="3"/>
  <c r="F759" i="3"/>
  <c r="G759" i="3"/>
  <c r="I759" i="3" s="1"/>
  <c r="J759" i="3"/>
  <c r="A760" i="3"/>
  <c r="B760" i="3"/>
  <c r="C760" i="3"/>
  <c r="D760" i="3"/>
  <c r="E760" i="3"/>
  <c r="F760" i="3"/>
  <c r="G760" i="3"/>
  <c r="H760" i="3"/>
  <c r="A761" i="3"/>
  <c r="B761" i="3"/>
  <c r="H761" i="3" s="1"/>
  <c r="C761" i="3"/>
  <c r="D761" i="3"/>
  <c r="E761" i="3"/>
  <c r="F761" i="3"/>
  <c r="G761" i="3"/>
  <c r="J761" i="3" s="1"/>
  <c r="A762" i="3"/>
  <c r="B762" i="3"/>
  <c r="C762" i="3"/>
  <c r="D762" i="3"/>
  <c r="E762" i="3"/>
  <c r="F762" i="3"/>
  <c r="G762" i="3"/>
  <c r="J762" i="3" s="1"/>
  <c r="H762" i="3"/>
  <c r="I762" i="3"/>
  <c r="A763" i="3"/>
  <c r="B763" i="3"/>
  <c r="H763" i="3" s="1"/>
  <c r="C763" i="3"/>
  <c r="D763" i="3"/>
  <c r="E763" i="3"/>
  <c r="F763" i="3"/>
  <c r="G763" i="3"/>
  <c r="A764" i="3"/>
  <c r="B764" i="3"/>
  <c r="H764" i="3" s="1"/>
  <c r="C764" i="3"/>
  <c r="D764" i="3"/>
  <c r="E764" i="3"/>
  <c r="F764" i="3"/>
  <c r="G764" i="3"/>
  <c r="J764" i="3" s="1"/>
  <c r="A765" i="3"/>
  <c r="B765" i="3"/>
  <c r="H765" i="3" s="1"/>
  <c r="C765" i="3"/>
  <c r="D765" i="3"/>
  <c r="E765" i="3"/>
  <c r="F765" i="3"/>
  <c r="G765" i="3"/>
  <c r="A766" i="3"/>
  <c r="B766" i="3"/>
  <c r="C766" i="3"/>
  <c r="D766" i="3"/>
  <c r="E766" i="3"/>
  <c r="F766" i="3"/>
  <c r="G766" i="3"/>
  <c r="H766" i="3"/>
  <c r="I766" i="3"/>
  <c r="J766" i="3"/>
  <c r="A767" i="3"/>
  <c r="B767" i="3"/>
  <c r="H767" i="3" s="1"/>
  <c r="C767" i="3"/>
  <c r="D767" i="3"/>
  <c r="E767" i="3"/>
  <c r="F767" i="3"/>
  <c r="G767" i="3"/>
  <c r="J767" i="3" s="1"/>
  <c r="I767" i="3"/>
  <c r="A768" i="3"/>
  <c r="B768" i="3"/>
  <c r="C768" i="3"/>
  <c r="D768" i="3"/>
  <c r="E768" i="3"/>
  <c r="F768" i="3"/>
  <c r="G768" i="3"/>
  <c r="H768" i="3"/>
  <c r="A769" i="3"/>
  <c r="B769" i="3"/>
  <c r="C769" i="3"/>
  <c r="D769" i="3"/>
  <c r="E769" i="3"/>
  <c r="F769" i="3"/>
  <c r="G769" i="3"/>
  <c r="H769" i="3"/>
  <c r="I769" i="3"/>
  <c r="J769" i="3"/>
  <c r="A770" i="3"/>
  <c r="B770" i="3"/>
  <c r="H770" i="3" s="1"/>
  <c r="C770" i="3"/>
  <c r="D770" i="3"/>
  <c r="E770" i="3"/>
  <c r="F770" i="3"/>
  <c r="G770" i="3"/>
  <c r="A771" i="3"/>
  <c r="B771" i="3"/>
  <c r="C771" i="3"/>
  <c r="D771" i="3"/>
  <c r="E771" i="3"/>
  <c r="F771" i="3"/>
  <c r="G771" i="3"/>
  <c r="J771" i="3" s="1"/>
  <c r="H771" i="3"/>
  <c r="I771" i="3"/>
  <c r="A772" i="3"/>
  <c r="B772" i="3"/>
  <c r="C772" i="3"/>
  <c r="D772" i="3"/>
  <c r="E772" i="3"/>
  <c r="F772" i="3"/>
  <c r="G772" i="3"/>
  <c r="H772" i="3"/>
  <c r="I772" i="3"/>
  <c r="J772" i="3"/>
  <c r="A773" i="3"/>
  <c r="B773" i="3"/>
  <c r="H773" i="3" s="1"/>
  <c r="C773" i="3"/>
  <c r="D773" i="3"/>
  <c r="E773" i="3"/>
  <c r="F773" i="3"/>
  <c r="G773" i="3"/>
  <c r="I773" i="3"/>
  <c r="J773" i="3"/>
  <c r="A774" i="3"/>
  <c r="B774" i="3"/>
  <c r="C774" i="3"/>
  <c r="D774" i="3"/>
  <c r="E774" i="3"/>
  <c r="F774" i="3"/>
  <c r="G774" i="3"/>
  <c r="H774" i="3"/>
  <c r="A775" i="3"/>
  <c r="B775" i="3"/>
  <c r="C775" i="3"/>
  <c r="D775" i="3"/>
  <c r="E775" i="3"/>
  <c r="F775" i="3"/>
  <c r="G775" i="3"/>
  <c r="H775" i="3"/>
  <c r="I775" i="3"/>
  <c r="J775" i="3"/>
  <c r="A776" i="3"/>
  <c r="B776" i="3"/>
  <c r="H776" i="3" s="1"/>
  <c r="C776" i="3"/>
  <c r="D776" i="3"/>
  <c r="E776" i="3"/>
  <c r="F776" i="3"/>
  <c r="G776" i="3"/>
  <c r="J776" i="3" s="1"/>
  <c r="A777" i="3"/>
  <c r="B777" i="3"/>
  <c r="H777" i="3" s="1"/>
  <c r="C777" i="3"/>
  <c r="D777" i="3"/>
  <c r="E777" i="3"/>
  <c r="F777" i="3"/>
  <c r="G777" i="3"/>
  <c r="I777" i="3" s="1"/>
  <c r="J777" i="3"/>
  <c r="A778" i="3"/>
  <c r="B778" i="3"/>
  <c r="C778" i="3"/>
  <c r="D778" i="3"/>
  <c r="E778" i="3"/>
  <c r="F778" i="3"/>
  <c r="G778" i="3"/>
  <c r="H778" i="3"/>
  <c r="I778" i="3"/>
  <c r="J778" i="3"/>
  <c r="A779" i="3"/>
  <c r="B779" i="3"/>
  <c r="H779" i="3" s="1"/>
  <c r="C779" i="3"/>
  <c r="D779" i="3"/>
  <c r="E779" i="3"/>
  <c r="F779" i="3"/>
  <c r="G779" i="3"/>
  <c r="J779" i="3" s="1"/>
  <c r="I779" i="3"/>
  <c r="A780" i="3"/>
  <c r="B780" i="3"/>
  <c r="C780" i="3"/>
  <c r="D780" i="3"/>
  <c r="E780" i="3"/>
  <c r="F780" i="3"/>
  <c r="G780" i="3"/>
  <c r="H780" i="3"/>
  <c r="I780" i="3"/>
  <c r="J780" i="3"/>
  <c r="A781" i="3"/>
  <c r="B781" i="3"/>
  <c r="C781" i="3"/>
  <c r="D781" i="3"/>
  <c r="E781" i="3"/>
  <c r="F781" i="3"/>
  <c r="G781" i="3"/>
  <c r="H781" i="3"/>
  <c r="I781" i="3"/>
  <c r="J781" i="3"/>
  <c r="A782" i="3"/>
  <c r="B782" i="3"/>
  <c r="C782" i="3"/>
  <c r="D782" i="3"/>
  <c r="E782" i="3"/>
  <c r="F782" i="3"/>
  <c r="G782" i="3"/>
  <c r="I782" i="3" s="1"/>
  <c r="H782" i="3"/>
  <c r="J782" i="3"/>
  <c r="A783" i="3"/>
  <c r="B783" i="3"/>
  <c r="C783" i="3"/>
  <c r="D783" i="3"/>
  <c r="E783" i="3"/>
  <c r="F783" i="3"/>
  <c r="G783" i="3"/>
  <c r="H783" i="3"/>
  <c r="I783" i="3"/>
  <c r="J783" i="3"/>
  <c r="A784" i="3"/>
  <c r="B784" i="3"/>
  <c r="C784" i="3"/>
  <c r="D784" i="3"/>
  <c r="E784" i="3"/>
  <c r="F784" i="3"/>
  <c r="G784" i="3"/>
  <c r="H784" i="3"/>
  <c r="A785" i="3"/>
  <c r="B785" i="3"/>
  <c r="H785" i="3" s="1"/>
  <c r="C785" i="3"/>
  <c r="D785" i="3"/>
  <c r="E785" i="3"/>
  <c r="F785" i="3"/>
  <c r="G785" i="3"/>
  <c r="A786" i="3"/>
  <c r="B786" i="3"/>
  <c r="C786" i="3"/>
  <c r="D786" i="3"/>
  <c r="E786" i="3"/>
  <c r="F786" i="3"/>
  <c r="G786" i="3"/>
  <c r="H786" i="3"/>
  <c r="I786" i="3"/>
  <c r="J786" i="3"/>
  <c r="A787" i="3"/>
  <c r="B787" i="3"/>
  <c r="H787" i="3" s="1"/>
  <c r="C787" i="3"/>
  <c r="D787" i="3"/>
  <c r="E787" i="3"/>
  <c r="F787" i="3"/>
  <c r="G787" i="3"/>
  <c r="I787" i="3" s="1"/>
  <c r="J787" i="3"/>
  <c r="A788" i="3"/>
  <c r="B788" i="3"/>
  <c r="C788" i="3"/>
  <c r="D788" i="3"/>
  <c r="E788" i="3"/>
  <c r="F788" i="3"/>
  <c r="G788" i="3"/>
  <c r="J788" i="3" s="1"/>
  <c r="H788" i="3"/>
  <c r="A789" i="3"/>
  <c r="B789" i="3"/>
  <c r="C789" i="3"/>
  <c r="D789" i="3"/>
  <c r="E789" i="3"/>
  <c r="F789" i="3"/>
  <c r="G789" i="3"/>
  <c r="H789" i="3"/>
  <c r="I789" i="3"/>
  <c r="J789" i="3"/>
  <c r="A790" i="3"/>
  <c r="B790" i="3"/>
  <c r="C790" i="3"/>
  <c r="D790" i="3"/>
  <c r="E790" i="3"/>
  <c r="F790" i="3"/>
  <c r="G790" i="3"/>
  <c r="J790" i="3" s="1"/>
  <c r="H790" i="3"/>
  <c r="H2" i="3"/>
  <c r="A2" i="3"/>
  <c r="B2" i="3"/>
  <c r="C2" i="3"/>
  <c r="D2" i="3"/>
  <c r="E2" i="3"/>
  <c r="F2" i="3"/>
  <c r="G2" i="3"/>
  <c r="I694" i="3" l="1"/>
  <c r="I595" i="3"/>
  <c r="J595" i="3"/>
  <c r="J356" i="3"/>
  <c r="I356" i="3"/>
  <c r="I739" i="3"/>
  <c r="J739" i="3"/>
  <c r="I532" i="3"/>
  <c r="J411" i="3"/>
  <c r="B12" i="10"/>
  <c r="C10" i="10"/>
  <c r="B14" i="10"/>
  <c r="B16" i="10"/>
  <c r="I763" i="3"/>
  <c r="J763" i="3"/>
  <c r="J691" i="3"/>
  <c r="I691" i="3"/>
  <c r="I467" i="3"/>
  <c r="J467" i="3"/>
  <c r="J434" i="3"/>
  <c r="I434" i="3"/>
  <c r="I579" i="3"/>
  <c r="J579" i="3"/>
  <c r="J490" i="3"/>
  <c r="I490" i="3"/>
  <c r="J336" i="3"/>
  <c r="I336" i="3"/>
  <c r="I720" i="3"/>
  <c r="J720" i="3"/>
  <c r="I529" i="3"/>
  <c r="J529" i="3"/>
  <c r="J723" i="3"/>
  <c r="I723" i="3"/>
  <c r="J713" i="3"/>
  <c r="J548" i="3"/>
  <c r="I548" i="3"/>
  <c r="J532" i="3"/>
  <c r="I230" i="3"/>
  <c r="J230" i="3"/>
  <c r="I213" i="3"/>
  <c r="J213" i="3"/>
  <c r="C16" i="10"/>
  <c r="I565" i="3"/>
  <c r="J565" i="3"/>
  <c r="I270" i="3"/>
  <c r="J253" i="3"/>
  <c r="I253" i="3"/>
  <c r="I8" i="3"/>
  <c r="J8" i="3"/>
  <c r="I732" i="3"/>
  <c r="J729" i="3"/>
  <c r="I522" i="3"/>
  <c r="J287" i="3"/>
  <c r="I287" i="3"/>
  <c r="J263" i="3"/>
  <c r="I263" i="3"/>
  <c r="I758" i="3"/>
  <c r="I561" i="3"/>
  <c r="J561" i="3"/>
  <c r="I266" i="3"/>
  <c r="I179" i="3"/>
  <c r="J179" i="3"/>
  <c r="J745" i="3"/>
  <c r="I745" i="3"/>
  <c r="I310" i="3"/>
  <c r="I300" i="3"/>
  <c r="I290" i="3"/>
  <c r="I52" i="3"/>
  <c r="I45" i="3"/>
  <c r="J45" i="3"/>
  <c r="J59" i="3"/>
  <c r="I59" i="3"/>
  <c r="I761" i="3"/>
  <c r="I351" i="3"/>
  <c r="J351" i="3"/>
  <c r="I123" i="3"/>
  <c r="J123" i="3"/>
  <c r="I768" i="3"/>
  <c r="J768" i="3"/>
  <c r="I556" i="3"/>
  <c r="J556" i="3"/>
  <c r="J391" i="3"/>
  <c r="J167" i="3"/>
  <c r="J753" i="3"/>
  <c r="I753" i="3"/>
  <c r="I157" i="3"/>
  <c r="J157" i="3"/>
  <c r="J197" i="3"/>
  <c r="I197" i="3"/>
  <c r="J57" i="3"/>
  <c r="I57" i="3"/>
  <c r="J217" i="3"/>
  <c r="I217" i="3"/>
  <c r="I608" i="3"/>
  <c r="J608" i="3"/>
  <c r="I283" i="3"/>
  <c r="I273" i="3"/>
  <c r="J273" i="3"/>
  <c r="I144" i="3"/>
  <c r="J144" i="3"/>
  <c r="J774" i="3"/>
  <c r="I774" i="3"/>
  <c r="I600" i="3"/>
  <c r="J600" i="3"/>
  <c r="I385" i="3"/>
  <c r="J385" i="3"/>
  <c r="J347" i="3"/>
  <c r="I347" i="3"/>
  <c r="J371" i="3"/>
  <c r="I371" i="3"/>
  <c r="I431" i="3"/>
  <c r="J431" i="3"/>
  <c r="I411" i="3"/>
  <c r="I391" i="3"/>
  <c r="J174" i="3"/>
  <c r="I765" i="3"/>
  <c r="J765" i="3"/>
  <c r="I38" i="3"/>
  <c r="J38" i="3"/>
  <c r="J751" i="3"/>
  <c r="I751" i="3"/>
  <c r="I106" i="3"/>
  <c r="J106" i="3"/>
  <c r="I331" i="3"/>
  <c r="J331" i="3"/>
  <c r="J378" i="3"/>
  <c r="I378" i="3"/>
  <c r="J537" i="3"/>
  <c r="I537" i="3"/>
  <c r="J164" i="3"/>
  <c r="I164" i="3"/>
  <c r="J623" i="3"/>
  <c r="I623" i="3"/>
  <c r="J606" i="3"/>
  <c r="I764" i="3"/>
  <c r="I430" i="3"/>
  <c r="J407" i="3"/>
  <c r="J599" i="3"/>
  <c r="I599" i="3"/>
  <c r="J216" i="3"/>
  <c r="I216" i="3"/>
  <c r="I269" i="3"/>
  <c r="J269" i="3"/>
  <c r="J209" i="3"/>
  <c r="J206" i="3"/>
  <c r="J27" i="3"/>
  <c r="I27" i="3"/>
  <c r="I170" i="3"/>
  <c r="J170" i="3"/>
  <c r="J115" i="3"/>
  <c r="I115" i="3"/>
  <c r="J741" i="3"/>
  <c r="I757" i="3"/>
  <c r="J757" i="3"/>
  <c r="J744" i="3"/>
  <c r="J725" i="3"/>
  <c r="I693" i="3"/>
  <c r="J602" i="3"/>
  <c r="I602" i="3"/>
  <c r="J570" i="3"/>
  <c r="J567" i="3"/>
  <c r="J340" i="3"/>
  <c r="I340" i="3"/>
  <c r="J319" i="3"/>
  <c r="I206" i="3"/>
  <c r="J203" i="3"/>
  <c r="J71" i="3"/>
  <c r="I680" i="3"/>
  <c r="I560" i="3"/>
  <c r="I518" i="3"/>
  <c r="I479" i="3"/>
  <c r="J370" i="3"/>
  <c r="J212" i="3"/>
  <c r="J13" i="3"/>
  <c r="I302" i="3"/>
  <c r="J302" i="3"/>
  <c r="I282" i="3"/>
  <c r="J282" i="3"/>
  <c r="J390" i="3"/>
  <c r="I390" i="3"/>
  <c r="J265" i="3"/>
  <c r="I265" i="3"/>
  <c r="I785" i="3"/>
  <c r="J785" i="3"/>
  <c r="J715" i="3"/>
  <c r="I670" i="3"/>
  <c r="J176" i="3"/>
  <c r="I125" i="3"/>
  <c r="J760" i="3"/>
  <c r="I760" i="3"/>
  <c r="J504" i="3"/>
  <c r="I504" i="3"/>
  <c r="C13" i="10"/>
  <c r="B13" i="10"/>
  <c r="C12" i="10"/>
  <c r="B15" i="10"/>
  <c r="C15" i="10"/>
  <c r="I788" i="3"/>
  <c r="I396" i="3"/>
  <c r="I295" i="3"/>
  <c r="I192" i="3"/>
  <c r="J189" i="3"/>
  <c r="I189" i="3"/>
  <c r="I663" i="3"/>
  <c r="J663" i="3"/>
  <c r="I345" i="3"/>
  <c r="J345" i="3"/>
  <c r="I211" i="3"/>
  <c r="J211" i="3"/>
  <c r="J468" i="3"/>
  <c r="I468" i="3"/>
  <c r="I9" i="3"/>
  <c r="J9" i="3"/>
  <c r="J2" i="3"/>
  <c r="I597" i="3"/>
  <c r="I562" i="3"/>
  <c r="J536" i="3"/>
  <c r="I536" i="3"/>
  <c r="J506" i="3"/>
  <c r="I506" i="3"/>
  <c r="J224" i="3"/>
  <c r="I224" i="3"/>
  <c r="I214" i="3"/>
  <c r="J113" i="3"/>
  <c r="I113" i="3"/>
  <c r="I50" i="3"/>
  <c r="J50" i="3"/>
  <c r="J205" i="3"/>
  <c r="I205" i="3"/>
  <c r="I151" i="3"/>
  <c r="J151" i="3"/>
  <c r="J49" i="3"/>
  <c r="I2" i="3"/>
  <c r="J438" i="3"/>
  <c r="I321" i="3"/>
  <c r="J321" i="3"/>
  <c r="I338" i="3"/>
  <c r="J338" i="3"/>
  <c r="I692" i="3"/>
  <c r="J692" i="3"/>
  <c r="J148" i="3"/>
  <c r="I148" i="3"/>
  <c r="I60" i="3"/>
  <c r="B23" i="10" a="1"/>
  <c r="B23" i="10" s="1"/>
  <c r="C18" i="10"/>
  <c r="B17" i="10"/>
  <c r="C14" i="10"/>
  <c r="J676" i="3"/>
  <c r="I676" i="3"/>
  <c r="I46" i="3"/>
  <c r="J46" i="3"/>
  <c r="I141" i="3"/>
  <c r="J141" i="3"/>
  <c r="I717" i="3"/>
  <c r="J717" i="3"/>
  <c r="J526" i="3"/>
  <c r="I526" i="3"/>
  <c r="I398" i="3"/>
  <c r="J398" i="3"/>
  <c r="J127" i="3"/>
  <c r="I127" i="3"/>
  <c r="J359" i="3"/>
  <c r="I359" i="3"/>
  <c r="I4" i="3"/>
  <c r="J491" i="3"/>
  <c r="I311" i="3"/>
  <c r="J311" i="3"/>
  <c r="I80" i="3"/>
  <c r="J80" i="3"/>
  <c r="I574" i="3"/>
  <c r="J465" i="3"/>
  <c r="I377" i="3"/>
  <c r="I364" i="3"/>
  <c r="I281" i="3"/>
  <c r="J199" i="3"/>
  <c r="I66" i="3"/>
  <c r="J66" i="3"/>
  <c r="J294" i="3"/>
  <c r="I294" i="3"/>
  <c r="J56" i="3"/>
  <c r="I56" i="3"/>
  <c r="I324" i="3"/>
  <c r="J324" i="3"/>
  <c r="I143" i="3"/>
  <c r="J143" i="3"/>
  <c r="J76" i="3"/>
  <c r="I76" i="3"/>
  <c r="I202" i="3"/>
  <c r="J37" i="3"/>
  <c r="C17" i="10"/>
  <c r="B18" i="10"/>
  <c r="B19" i="10"/>
  <c r="C19" i="10"/>
  <c r="B10" i="10"/>
  <c r="B11" i="10"/>
  <c r="C11" i="10"/>
  <c r="I103" i="3"/>
  <c r="J103" i="3"/>
  <c r="J406" i="3"/>
  <c r="I406" i="3"/>
  <c r="I132" i="3"/>
  <c r="J132" i="3"/>
  <c r="I551" i="3"/>
  <c r="J551" i="3"/>
  <c r="I535" i="3"/>
  <c r="I480" i="3"/>
  <c r="J480" i="3"/>
  <c r="I355" i="3"/>
  <c r="J355" i="3"/>
  <c r="I784" i="3"/>
  <c r="J784" i="3"/>
  <c r="I183" i="3"/>
  <c r="J183" i="3"/>
  <c r="J734" i="3"/>
  <c r="J707" i="3"/>
  <c r="J701" i="3"/>
  <c r="J662" i="3"/>
  <c r="J659" i="3"/>
  <c r="I538" i="3"/>
  <c r="J538" i="3"/>
  <c r="J507" i="3"/>
  <c r="I492" i="3"/>
  <c r="J492" i="3"/>
  <c r="I470" i="3"/>
  <c r="J470" i="3"/>
  <c r="J404" i="3"/>
  <c r="I401" i="3"/>
  <c r="J395" i="3"/>
  <c r="I383" i="3"/>
  <c r="J383" i="3"/>
  <c r="I303" i="3"/>
  <c r="J303" i="3"/>
  <c r="J220" i="3"/>
  <c r="I208" i="3"/>
  <c r="J208" i="3"/>
  <c r="J150" i="3"/>
  <c r="I471" i="3"/>
  <c r="J471" i="3"/>
  <c r="I675" i="3"/>
  <c r="J675" i="3"/>
  <c r="I581" i="3"/>
  <c r="J581" i="3"/>
  <c r="I511" i="3"/>
  <c r="J511" i="3"/>
  <c r="I449" i="3"/>
  <c r="J449" i="3"/>
  <c r="I776" i="3"/>
  <c r="J704" i="3"/>
  <c r="J559" i="3"/>
  <c r="I737" i="3"/>
  <c r="I728" i="3"/>
  <c r="I674" i="3"/>
  <c r="J668" i="3"/>
  <c r="I665" i="3"/>
  <c r="J665" i="3"/>
  <c r="I580" i="3"/>
  <c r="I448" i="3"/>
  <c r="I268" i="3"/>
  <c r="J268" i="3"/>
  <c r="I318" i="3"/>
  <c r="J318" i="3"/>
  <c r="I648" i="3"/>
  <c r="J648" i="3"/>
  <c r="I487" i="3"/>
  <c r="J487" i="3"/>
  <c r="I499" i="3"/>
  <c r="J499" i="3"/>
  <c r="I349" i="3"/>
  <c r="J349" i="3"/>
  <c r="I702" i="3"/>
  <c r="J702" i="3"/>
  <c r="I421" i="3"/>
  <c r="J421" i="3"/>
  <c r="I614" i="3"/>
  <c r="J614" i="3"/>
  <c r="I584" i="3"/>
  <c r="J584" i="3"/>
  <c r="I638" i="3"/>
  <c r="J638" i="3"/>
  <c r="I514" i="3"/>
  <c r="J514" i="3"/>
  <c r="I770" i="3"/>
  <c r="J770" i="3"/>
  <c r="J420" i="3"/>
  <c r="I420" i="3"/>
  <c r="J376" i="3"/>
  <c r="I376" i="3"/>
  <c r="I223" i="3"/>
  <c r="J223" i="3"/>
  <c r="I153" i="3"/>
  <c r="J153" i="3"/>
  <c r="I172" i="3"/>
  <c r="J172" i="3"/>
  <c r="J709" i="3"/>
  <c r="I709" i="3"/>
  <c r="I450" i="3"/>
  <c r="J450" i="3"/>
  <c r="I399" i="3"/>
  <c r="J399" i="3"/>
  <c r="I374" i="3"/>
  <c r="J374" i="3"/>
  <c r="I405" i="3"/>
  <c r="J405" i="3"/>
  <c r="J455" i="3"/>
  <c r="I455" i="3"/>
  <c r="I583" i="3"/>
  <c r="I571" i="3"/>
  <c r="J571" i="3"/>
  <c r="J476" i="3"/>
  <c r="I476" i="3"/>
  <c r="I271" i="3"/>
  <c r="J271" i="3"/>
  <c r="I288" i="3"/>
  <c r="J288" i="3"/>
  <c r="I477" i="3"/>
  <c r="J477" i="3"/>
  <c r="I380" i="3"/>
  <c r="J380" i="3"/>
  <c r="J619" i="3"/>
  <c r="J616" i="3"/>
  <c r="J586" i="3"/>
  <c r="J519" i="3"/>
  <c r="J513" i="3"/>
  <c r="J457" i="3"/>
  <c r="J454" i="3"/>
  <c r="I429" i="3"/>
  <c r="J429" i="3"/>
  <c r="I379" i="3"/>
  <c r="J379" i="3"/>
  <c r="J195" i="3"/>
  <c r="I315" i="3"/>
  <c r="J315" i="3"/>
  <c r="I736" i="3"/>
  <c r="J736" i="3"/>
  <c r="J350" i="3"/>
  <c r="I350" i="3"/>
  <c r="I594" i="3"/>
  <c r="J594" i="3"/>
  <c r="I175" i="3"/>
  <c r="J175" i="3"/>
  <c r="I446" i="3"/>
  <c r="J446" i="3"/>
  <c r="J628" i="3"/>
  <c r="J604" i="3"/>
  <c r="I604" i="3"/>
  <c r="I525" i="3"/>
  <c r="J525" i="3"/>
  <c r="J516" i="3"/>
  <c r="J460" i="3"/>
  <c r="J360" i="3"/>
  <c r="J357" i="3"/>
  <c r="J354" i="3"/>
  <c r="I325" i="3"/>
  <c r="J325" i="3"/>
  <c r="I658" i="3"/>
  <c r="J658" i="3"/>
  <c r="I685" i="3"/>
  <c r="J685" i="3"/>
  <c r="I279" i="3"/>
  <c r="J279" i="3"/>
  <c r="J462" i="3"/>
  <c r="I462" i="3"/>
  <c r="I408" i="3"/>
  <c r="J408" i="3"/>
  <c r="I719" i="3"/>
  <c r="J719" i="3"/>
  <c r="I652" i="3"/>
  <c r="I631" i="3"/>
  <c r="J631" i="3"/>
  <c r="I625" i="3"/>
  <c r="J622" i="3"/>
  <c r="J463" i="3"/>
  <c r="I432" i="3"/>
  <c r="J432" i="3"/>
  <c r="J363" i="3"/>
  <c r="J322" i="3"/>
  <c r="I322" i="3"/>
  <c r="J235" i="3"/>
  <c r="I169" i="3"/>
  <c r="J169" i="3"/>
  <c r="I156" i="3"/>
  <c r="J156" i="3"/>
  <c r="I100" i="3"/>
  <c r="J100" i="3"/>
  <c r="I558" i="3"/>
  <c r="J558" i="3"/>
  <c r="J509" i="3"/>
  <c r="I509" i="3"/>
  <c r="J18" i="3"/>
  <c r="I18" i="3"/>
  <c r="J621" i="3"/>
  <c r="I621" i="3"/>
  <c r="I352" i="3"/>
  <c r="J352" i="3"/>
  <c r="I458" i="3"/>
  <c r="J458" i="3"/>
  <c r="J649" i="3"/>
  <c r="J646" i="3"/>
  <c r="J640" i="3"/>
  <c r="J469" i="3"/>
  <c r="J466" i="3"/>
  <c r="I413" i="3"/>
  <c r="J369" i="3"/>
  <c r="J366" i="3"/>
  <c r="J286" i="3"/>
  <c r="J283" i="3"/>
  <c r="I280" i="3"/>
  <c r="J201" i="3"/>
  <c r="I97" i="3"/>
  <c r="J97" i="3"/>
  <c r="I346" i="3"/>
  <c r="J346" i="3"/>
  <c r="J418" i="3"/>
  <c r="I418" i="3"/>
  <c r="I135" i="3"/>
  <c r="J135" i="3"/>
  <c r="I756" i="3"/>
  <c r="J756" i="3"/>
  <c r="J611" i="3"/>
  <c r="I611" i="3"/>
  <c r="I790" i="3"/>
  <c r="I655" i="3"/>
  <c r="J655" i="3"/>
  <c r="I543" i="3"/>
  <c r="I503" i="3"/>
  <c r="I482" i="3"/>
  <c r="J482" i="3"/>
  <c r="I435" i="3"/>
  <c r="J435" i="3"/>
  <c r="J416" i="3"/>
  <c r="I238" i="3"/>
  <c r="I5" i="3"/>
  <c r="J5" i="3"/>
  <c r="I40" i="3"/>
  <c r="J40" i="3"/>
  <c r="I259" i="3"/>
  <c r="J259" i="3"/>
  <c r="I43" i="3"/>
  <c r="J43" i="3"/>
  <c r="I131" i="3"/>
  <c r="J131" i="3"/>
  <c r="J83" i="3"/>
  <c r="J77" i="3"/>
  <c r="I11" i="3"/>
  <c r="J11" i="3"/>
  <c r="I342" i="3"/>
  <c r="J342" i="3"/>
  <c r="I219" i="3"/>
  <c r="J219" i="3"/>
  <c r="I228" i="3"/>
  <c r="J228" i="3"/>
  <c r="J140" i="3"/>
  <c r="I140" i="3"/>
  <c r="I33" i="3"/>
  <c r="J33" i="3"/>
  <c r="I231" i="3"/>
  <c r="J231" i="3"/>
  <c r="J149" i="3"/>
  <c r="J155" i="3"/>
  <c r="J121" i="3"/>
  <c r="J39" i="3"/>
  <c r="J512" i="3"/>
  <c r="J312" i="3"/>
  <c r="J309" i="3"/>
  <c r="J306" i="3"/>
  <c r="J267" i="3"/>
  <c r="J264" i="3"/>
  <c r="J261" i="3"/>
  <c r="J258" i="3"/>
  <c r="J255" i="3"/>
  <c r="I252" i="3"/>
  <c r="J240" i="3"/>
  <c r="I42" i="3"/>
  <c r="J362" i="3"/>
  <c r="I276" i="3"/>
  <c r="J243" i="3"/>
  <c r="I111" i="3"/>
  <c r="J111" i="3"/>
  <c r="I89" i="3"/>
  <c r="J89" i="3"/>
  <c r="J173" i="3"/>
  <c r="I130" i="3"/>
  <c r="J130" i="3"/>
  <c r="I133" i="3"/>
  <c r="J133" i="3"/>
  <c r="I136" i="3"/>
  <c r="J136" i="3"/>
  <c r="I101" i="3"/>
  <c r="J101" i="3"/>
  <c r="J98" i="3"/>
  <c r="I98" i="3"/>
  <c r="I82" i="3"/>
  <c r="J82" i="3"/>
  <c r="J441" i="3"/>
  <c r="J329" i="3"/>
  <c r="J323" i="3"/>
  <c r="J320" i="3"/>
  <c r="I19" i="3"/>
  <c r="J19" i="3"/>
  <c r="J326" i="3"/>
  <c r="J388" i="3"/>
  <c r="J382" i="3"/>
  <c r="I293" i="3"/>
  <c r="I236" i="3"/>
  <c r="J236" i="3"/>
  <c r="I154" i="3"/>
  <c r="I104" i="3"/>
  <c r="J104" i="3"/>
  <c r="I239" i="3"/>
  <c r="J239" i="3"/>
  <c r="I107" i="3"/>
  <c r="J107" i="3"/>
  <c r="I305" i="3"/>
  <c r="J305" i="3"/>
  <c r="I296" i="3"/>
  <c r="J296" i="3"/>
  <c r="I248" i="3"/>
  <c r="J248" i="3"/>
  <c r="I69" i="3"/>
  <c r="J69" i="3"/>
  <c r="I72" i="3"/>
  <c r="J72" i="3"/>
  <c r="J196" i="3"/>
  <c r="I196" i="3"/>
  <c r="I47" i="3"/>
  <c r="J47" i="3"/>
  <c r="J53" i="3"/>
  <c r="J24" i="3"/>
  <c r="I117" i="3"/>
  <c r="J117" i="3"/>
  <c r="J35" i="3"/>
  <c r="J32" i="3"/>
  <c r="J6" i="3"/>
  <c r="J3" i="3"/>
  <c r="I308" i="3"/>
  <c r="I168" i="3"/>
  <c r="J122" i="3"/>
  <c r="J93" i="3"/>
  <c r="J58" i="3"/>
  <c r="J29" i="3"/>
  <c r="J188" i="3"/>
  <c r="J165" i="3"/>
  <c r="J119" i="3"/>
  <c r="J116" i="3"/>
  <c r="J90" i="3"/>
  <c r="J87" i="3"/>
  <c r="J55" i="3"/>
  <c r="J26" i="3"/>
  <c r="J145" i="3"/>
  <c r="I84" i="3"/>
  <c r="I61" i="3"/>
  <c r="J61" i="3"/>
  <c r="I14" i="3"/>
  <c r="I75" i="3"/>
  <c r="J75" i="3"/>
  <c r="C5" i="9" l="1"/>
  <c r="C6" i="9"/>
  <c r="C20" i="10"/>
  <c r="B20" i="10"/>
  <c r="C7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<sst xmlns="http://schemas.openxmlformats.org/spreadsheetml/2006/main" count="3911" uniqueCount="911">
  <si>
    <t>Details</t>
  </si>
  <si>
    <t>Posting Date</t>
  </si>
  <si>
    <t>Description</t>
  </si>
  <si>
    <t>Amount</t>
  </si>
  <si>
    <t>Type</t>
  </si>
  <si>
    <t>Balance</t>
  </si>
  <si>
    <t>DEBIT</t>
  </si>
  <si>
    <t>Online Transfer to CHK ...9769 transaction#: 27532473331 12/31</t>
  </si>
  <si>
    <t>ACCT_XFER</t>
  </si>
  <si>
    <t>APPLE.COM/BILL 866-712-7753 CA               12/31</t>
  </si>
  <si>
    <t>DEBIT_CARD</t>
  </si>
  <si>
    <t>CREDIT</t>
  </si>
  <si>
    <t>Online Transfer from CHK ...3922 transaction#: 27532478452</t>
  </si>
  <si>
    <t>FOREIGN EXCHANGE RATE ADJUSTMENT FEE         12/30R PARKING</t>
  </si>
  <si>
    <t>FEE_TRANSACTION</t>
  </si>
  <si>
    <t>R PARKING  VIC VICTORIA BC                   12/30 CA DOLLAR  8.00 X 0.7325000 (EXCHG RTE)</t>
  </si>
  <si>
    <t>FOREIGN EXCHANGE RATE ADJUSTMENT FEE         12/26HARBOURVI</t>
  </si>
  <si>
    <t>FOREIGN EXCHANGE RATE ADJUSTMENT FEE         12/26SHED TOFI</t>
  </si>
  <si>
    <t>Prime Video *NV19F8ZS 888-802-3080 WA        12/29</t>
  </si>
  <si>
    <t>APPLE COM BILL CUPERTINO CA          115913  12/27</t>
  </si>
  <si>
    <t>Amazon.com*9E8JZ24W3 Amzn.com/bill WA        12/27</t>
  </si>
  <si>
    <t>SHED TOFINO BC                               12/26 CA DOLLAR  191.46 X 0.7331558 (EXCHG RTE)</t>
  </si>
  <si>
    <t>HARBOURVIEW DRUGSTORE UCLUELET BC            12/26 CA DOLLAR  180.35 X 0.7319656 (EXCHG RTE)</t>
  </si>
  <si>
    <t>Prime Video *EQ49V28H 888-802-3080 WA        12/25</t>
  </si>
  <si>
    <t>Prime Video *UL5DI8YO 888-802-3080 WA        12/25</t>
  </si>
  <si>
    <t>FOREIGN EXCHANGE RATE ADJUSTMENT FEE         12/23UKEEDOGS</t>
  </si>
  <si>
    <t>FOREIGN EXCHANGE RATE ADJUSTMENT FEE         12/23HARBOURVI</t>
  </si>
  <si>
    <t>HARBOURVIEW DRUGSTORE UCLUELET BC            12/23 CA DOLLAR  123.38 X 0.7308316 (EXCHG RTE)</t>
  </si>
  <si>
    <t>UKEEDOGS TAQUERIA UCLUELET BC                12/23 CA DOLLAR  106.46 X 0.7281608 (EXCHG RTE)</t>
  </si>
  <si>
    <t>FOREIGN EXCHANGE RATE ADJUSTMENT FEE         12/22SQ *COMMO</t>
  </si>
  <si>
    <t>SQ *COMMON LOAF BAKE SH Tofino BC            12/22 CA DOLLAR  50.27 X 0.7282674 (EXCHG RTE)</t>
  </si>
  <si>
    <t>FOREIGN EXCHANGE RATE ADJUSTMENT FEE         12/21TST-Tacof</t>
  </si>
  <si>
    <t>FOREIGN EXCHANGE RATE ADJUSTMENT FEE         12/18SHED TOFI</t>
  </si>
  <si>
    <t>FOREIGN EXCHANGE RATE ADJUSTMENT FEE         12/21TOFINO PH</t>
  </si>
  <si>
    <t>TOFINO PHARMACY TOFINO BC                    12/21 CA DOLLAR  116.79 X 0.7271170 (EXCHG RTE)</t>
  </si>
  <si>
    <t>Netflix.com netflix.com CA                   12/21</t>
  </si>
  <si>
    <t>Prime Video *JS8BT11O 888-802-3080 WA        12/21</t>
  </si>
  <si>
    <t>TST-Tacofino - Tofino Tofino BC              12/21 CA DOLLAR  76.81 X 0.7271189 (EXCHG RTE)</t>
  </si>
  <si>
    <t>APPLE.COM/BILL 866-712-7753 CA               12/21</t>
  </si>
  <si>
    <t>Prime Video *NO5MJ1I5 888-802-3080 WA        12/20</t>
  </si>
  <si>
    <t>ANGEL WWW.ANGEL.COM UT                       12/19</t>
  </si>
  <si>
    <t>SHED TOFINO BC                               12/18 CA DOLLAR  92.16 X 0.7271050 (EXCHG RTE)</t>
  </si>
  <si>
    <t>Online Transfer from CHK ...3922 transaction#: 27426858962</t>
  </si>
  <si>
    <t>DOMESTIC WIRE FEE</t>
  </si>
  <si>
    <t>ORIG CO NAME:AMERICAN EXPRESS       ORIG ID:2005032111 DESC DATE:251218 CO ENTRY DESCR:ACH PMT   SEC:CCD    TRACE#:021000020334823 EED:251218   IND ID:W9872                        IND NAME:JOHN DUNNING                                                                                                 ER AM TRN: 3520334823TC</t>
  </si>
  <si>
    <t>ACH_DEBIT</t>
  </si>
  <si>
    <t>DOMESTIC WIRE TRANSFER VIA: ZIONS BANCORP/124000054 A/C: GT TITLE SERVICES INC, REF: FILE NUMBER SL62787M: 2331 MESA ROAD #E4 &amp; E7 MOAB IMAD: 1218MMQFMP2M009181 TRN: 3781835351ES 12/18</t>
  </si>
  <si>
    <t>WIRE_OUTGOING</t>
  </si>
  <si>
    <t>Online Transfer to CHK ...3922 transaction#: 27362694361 12/17</t>
  </si>
  <si>
    <t>ORIG CO NAME:T and T Machine        ORIG ID:945440567  DESC DATE:       CO ENTRY DESCR:PAYMENT   SEC:PPD    TRACE#:273976360263333 EED:251217   IND ID:                             IND NAME:John Dunning TRN: 3510263333TC</t>
  </si>
  <si>
    <t>ACH_CREDIT</t>
  </si>
  <si>
    <t>BOOK TRANSFER B/O: GI CAPITAL GROUP RICHMOND CA 94804-5637 US REF: ATTENTION MATHIS AIRPORT INDUSTRIALLLC CLIENT MATHIS AIRPORT INDUSTRIA L LLC TRN: 1360200351ES</t>
  </si>
  <si>
    <t>WIRE_INCOMING</t>
  </si>
  <si>
    <t>ONLINE DOMESTIC WIRE FEE</t>
  </si>
  <si>
    <t>Online Transfer to CHK ...9082 transaction#: 27356230130 12/16</t>
  </si>
  <si>
    <t>ONLINE DOMESTIC WIRE TRANSFER VIA: CITIBANK NYC/021000089 A/C: MORGAN STANLEY BALTIMORE MD 21231 US REF: DAX MITCHELL ACCOUNT NUMBER 890-190608/TIME/22:32 IMAD: 1216MMQFMP2L032542 TRN: 3755585350ES 12/16</t>
  </si>
  <si>
    <t>ONLINE DOMESTIC WIRE TRANSFER A/C: GI CAPITAL GROUP RICHMOND CA 94804-5637 US TRN: 3712475350ES 12/16</t>
  </si>
  <si>
    <t>Zelle payment to Michael Paytonjian JPM99bynr7ac</t>
  </si>
  <si>
    <t>CHASE_TO_PARTNERFI</t>
  </si>
  <si>
    <t>AMAZON MKTPL*9X8D452 Amzn.com/bill WA        12/16</t>
  </si>
  <si>
    <t>Basic Online Payroll Payment 11199665711 to ######5386</t>
  </si>
  <si>
    <t>BASIC_PAYROLL</t>
  </si>
  <si>
    <t>DOMESTIC WIRE TRANSFER A/C: DD CLOVERDALE, LLC ATLANTA GA 30360-1434 US REF: 83.5K TO CHAD 16.5K TO OPERATIONAL ACCOUNT 7.5K TO LEASING OFFICE 3K F OR SIGNAG 6K SIMON MILLER TRN: 4062225349ES 12/15</t>
  </si>
  <si>
    <t>Prime Video *486IX91S 888-802-3080 WA        12/15</t>
  </si>
  <si>
    <t>SIGNAL FOUNDATION SIGNAL.ORG CA              12/15</t>
  </si>
  <si>
    <t>Prime Video *N241Z7B8 888-802-3080 WA        12/14</t>
  </si>
  <si>
    <t>APPLE.COM/BILL 866-712-7753 CA               12/13</t>
  </si>
  <si>
    <t>Prime Video *BP3N71YR 888-802-3080 WA        12/13</t>
  </si>
  <si>
    <t>Online Transfer from CHK ...9082 transaction#: 27340212103</t>
  </si>
  <si>
    <t>DOMESTIC INCOMING WIRE FEE</t>
  </si>
  <si>
    <t>Online Transfer to CHK ...3922 transaction#: 27302563714 12/12</t>
  </si>
  <si>
    <t>BLOOMBERG* 37033964 BLOOMBERG.COM NY         12/12</t>
  </si>
  <si>
    <t>Amazon.com*KH4NL97A3 Amzn.com/bill WA        12/12</t>
  </si>
  <si>
    <t>FEDWIRE CREDIT VIA: ORIGIN BANK/111102758 B/O: PRIMA TITLE GROUP LLC FORT WORTH TX 76102-2602 REF: CHASE NYC/CTR/BNF=POSEIDON ASSET GROUP, LLC LOS ANGELES CA 90066-3638 US/AC-000000007200 RFB=NOTPROVIDED OBI=/PURP/PROJECT TURBO IMAD: 1212MMQFMPQ4000274 TRN: 0539501346FF</t>
  </si>
  <si>
    <t>Online Transfer to CHK ...9082 transaction#: 27291506561 12/11</t>
  </si>
  <si>
    <t>Online Transfer to CHK ...3608 transaction#: 27290673038 12/11</t>
  </si>
  <si>
    <t>Online Transfer to CHK ...9769 transaction#: 27290695090 12/11</t>
  </si>
  <si>
    <t>AA WIFI 1-877-350-0038 Fort Worth TX         12/11</t>
  </si>
  <si>
    <t>AMAZON MKTPL*148WA20 Amzn.com/bill WA        12/11</t>
  </si>
  <si>
    <t>ORIG CO NAME:Rabourn Road Ind       ORIG ID:945440567  DESC DATE:       CO ENTRY DESCR:PAYMENT   SEC:PPD    TRACE#:273976366021989 EED:251210   IND ID:                             IND NAME:John Dunning TRN: 3446021989TC</t>
  </si>
  <si>
    <t>ORIG CO NAME:MRM Industrial P       ORIG ID:945440567  DESC DATE:       CO ENTRY DESCR:PAYMENT   SEC:PPD    TRACE#:273976366022333 EED:251210   IND ID:                             IND NAME:John Dunning TRN: 3446022333TC</t>
  </si>
  <si>
    <t>ORIG CO NAME:Austin Iron Hold       ORIG ID:945440567  DESC DATE:       CO ENTRY DESCR:PAYMENT   SEC:PPD    TRACE#:273976366021977 EED:251210   IND ID:                             IND NAME:John Dunning TRN: 3446021977TC</t>
  </si>
  <si>
    <t>ORIG CO NAME:Merit-Lancaster        ORIG ID:945440567  DESC DATE:       CO ENTRY DESCR:PAYMENT   SEC:PPD    TRACE#:273976366022018 EED:251210   IND ID:                             IND NAME:John Dunning TRN: 3446022018TC</t>
  </si>
  <si>
    <t>Online RealTime vendor payment  11198698924 Payment Id REFERENCE#: 8198698924RX  to  Simon Miller 1766</t>
  </si>
  <si>
    <t>ACH_PAYMENT</t>
  </si>
  <si>
    <t>Online RealTime vendor payment  11198710012 Payment Id REFERENCE#: 8198710012RX  to  Simon Miller 1766</t>
  </si>
  <si>
    <t>DICE.FM DICE.FM NY                           12/09</t>
  </si>
  <si>
    <t>Prime Video *838F929A 888-802-3080 WA        12/08</t>
  </si>
  <si>
    <t>BESTBUYCOM807117232087 888BESTBUY MN         12/08</t>
  </si>
  <si>
    <t>Online RealTime vendor payment  11198699171 Payment Id REFERENCE#: 8198699171RX  to  Simon Miller 1766</t>
  </si>
  <si>
    <t>UBER *ONE MEMBERSHIP SAN FRANCISCO CA684170  12/08</t>
  </si>
  <si>
    <t>Prime Video *BW92H7CP 888-802-3080 WA        12/08</t>
  </si>
  <si>
    <t>Prime Video *WH6XD44H 888-802-3080 WA        12/07</t>
  </si>
  <si>
    <t>Prime Video *543VL2CO 888-802-3080 WA        12/07</t>
  </si>
  <si>
    <t>SQ *EXECUTIVE PARKING S gosq.com GA          12/07</t>
  </si>
  <si>
    <t>AA WIFI 1-888-649-6711 Fort Worth TX         12/07</t>
  </si>
  <si>
    <t>AMAZON MKTPL*BI3JE3D Amzn.com/bill WA        12/07</t>
  </si>
  <si>
    <t>APPLE.COM/BILL 866-712-7753 CA               12/07</t>
  </si>
  <si>
    <t>APPLE.COM/BILL 866-712-7753 CA               12/06</t>
  </si>
  <si>
    <t>Prime Video *BI2OE7E7 888-802-3080 WA        12/05</t>
  </si>
  <si>
    <t>FRANKLIN PLANNER 800-654-1776 UT             12/06</t>
  </si>
  <si>
    <t>ORIG CO NAME:AMERICAN EXPRESS       ORIG ID:2005032111 DESC DATE:251205 CO ENTRY DESCR:ACH PMT   SEC:CCD    TRACE#:021000023302668 EED:251205   IND ID:A4978                        IND NAME:JOHN DUNNING                                                                                                 ER AM TRN: 3393302668TC</t>
  </si>
  <si>
    <t>ORIG CO NAME:AMERICAN EXPRESS       ORIG ID:2005032111 DESC DATE:251205 CO ENTRY DESCR:ACH PMT   SEC:CCD    TRACE#:021000023302693 EED:251205   IND ID:A1086                        IND NAME:JOHN DUNNING                                                                                                 ER AM TRN: 3393302693TC</t>
  </si>
  <si>
    <t>ONLINE DOMESTIC WIRE TRANSFER A/C: TOP SHIELD ROOFING SYSTEMS LLC ALEDO TX 76008-4318 US TRN: 3003465339ES 12/05</t>
  </si>
  <si>
    <t>Amazon.com*BI41G36X2 Amzn.com/bill WA        12/04</t>
  </si>
  <si>
    <t>ORIG CO NAME:AMERICAN EXPRESS       ORIG ID:2005032111 DESC DATE:251204 CO ENTRY DESCR:ACH PMT   SEC:CCD    TRACE#:021000022289298 EED:251204   IND ID:W0630                        IND NAME:JOHN DUNNING                                                                                                 ER AM TRN: 3382289298TC</t>
  </si>
  <si>
    <t>Zelle payment to Michael Paytonjian JPM99bx3x6mm</t>
  </si>
  <si>
    <t>Online Transfer to CHK ...1168 transaction#: 27206012968 12/04</t>
  </si>
  <si>
    <t>Online Transfer to CHK ...7753 transaction#: 27203501824 12/04</t>
  </si>
  <si>
    <t>Basic Online Payroll Payment 11198257373 to #####5026</t>
  </si>
  <si>
    <t>ONLINE DOMESTIC WIRE TRANSFER VIA: WELLS FARGO NA/121000248 A/C: KEVIN WONG HAWTHORNE CA 90250 US REF: STRYTEN ENERGY/TIME/17:21 IMAD: 1204MMQFMP2M022780 TRN: 3379325338ES 12/04</t>
  </si>
  <si>
    <t>ONLINE DOMESTIC WIRE TRANSFER A/C: EHW REAL ESTATE, LLC PHOENIX AZ 85016-5811 US REF: STRYTEN ENERGY TRN: 3095195338ES 12/04</t>
  </si>
  <si>
    <t>SP 7 FOR ALL MANKIND 7FORALLMANKIN CA        12/04</t>
  </si>
  <si>
    <t>ORIG CO NAME:AMERICAN EXPRESS       ORIG ID:2005032111 DESC DATE:251203 CO ENTRY DESCR:ACH PMT   SEC:CCD    TRACE#:021000024931761 EED:251203   IND ID:M0306                        IND NAME:JOHN DUNNING                                                                                                 ER AM TRN: 3374931761TC</t>
  </si>
  <si>
    <t>ORIG CO NAME:AMERICAN EXPRESS       ORIG ID:2005032111 DESC DATE:251203 CO ENTRY DESCR:ACH PMT   SEC:CCD    TRACE#:021000024931184 EED:251203   IND ID:M1498                        IND NAME:JOHN DUNNING                                                                                                 ER AM TRN: 3374931184TC</t>
  </si>
  <si>
    <t>Online RealTime payroll payment  11198085465 Payment Id REFERENCE#: 8198085465RX  to  6812</t>
  </si>
  <si>
    <t>ONLINE DOMESTIC WIRE TRANSFER A/C: BRAD J BEACH OR SHELBY P BEACH KAYSVILLE UT 84037-6899 US REF: STRYTEN ENERGY/ACC/212137688 BRAD BEACH 502 W PKWY DR KAYSVILLE UT 840 37 US TRN: 3561145337ES 12/03</t>
  </si>
  <si>
    <t>ONLINE DOMESTIC WIRE TRANSFER A/C: JOSEPH C WHITNER MIAMI FL 33133-3184 US REF:/ACC/309234364 JC WHITNER 2369 OVERBROOK ST MIAMI FL 33133 US TRN: 3483875337ES 12/03</t>
  </si>
  <si>
    <t>Online Transfer to CHK ...3922 transaction#: 27190267467 12/03</t>
  </si>
  <si>
    <t>APPLE.COM/BILL 866-712-7753 CA               12/03</t>
  </si>
  <si>
    <t>Amazon.com*BB83K0UV1 Amzn.com/bill WA        12/02</t>
  </si>
  <si>
    <t>Online Transfer to CHK ...3922 transaction#: 27183519742 12/02</t>
  </si>
  <si>
    <t>Basic Online Payroll Payment 11197932937 to ######5386</t>
  </si>
  <si>
    <t>ONLINE DOMESTIC WIRE TRANSFER A/C: HUGH GEHRKE LOS ANGELES CA 90025 US TRN: 3870135336ES 12/02</t>
  </si>
  <si>
    <t>POWERHOUSE PILATES WWW.POWERHOUS CA          12/02</t>
  </si>
  <si>
    <t>Zelle payment to Michael Paytonjian JPM99bwue3di</t>
  </si>
  <si>
    <t>ONLINE DOMESTIC WIRE TRANSFER VIA: BK AMER NYC/026009593 A/C: MICHAEL PAYTONJIAN HASLET TX 76052 US IMAD: 1202MMQFMP2K024346 TRN: 3524595336ES 12/02</t>
  </si>
  <si>
    <t>AMAZON MKTPL*BB3C15K Amzn.com/bill WA        12/02</t>
  </si>
  <si>
    <t>AMAZON MKTPL*BB5VX4Y Amzn.com/bill WA        12/02</t>
  </si>
  <si>
    <t>FEDWIRE CREDIT VIA: BANK OF AMERICA, N.A./026009593 B/O: CT SOCAL COMM FBSC/CT BS FXBC RIVERSIDE CA 92505 REF: CHASE NYC/CTR/BNF=POSEIDON ASSET GROUP, LLC LOS ANGELES CA 90066-3638 US/AC-000000007200 RFB=NOTPROVIDED OBI=/URI/FN-FBSC2509203 RETURN OF I NITI A/LDE POSIT ON BEHALF OF DWG C APIT A/LGROU P PRO IMAD: 1202B6B7HU2R005291 TRN: 0170361336FF</t>
  </si>
  <si>
    <t>FEDWIRE CREDIT VIA: BANK OF AMERICA, N.A./026009593 B/O: CT SOCAL COMM FBSC/CT BS FXBC RIVERSIDE CA 92505 REF: CHASE NYC/CTR/BNF=POSEIDON ASSET GROUP, LLC LOS ANGELES CA 90066-3638 US/AC-000000007200 RFB=NOTPROVIDED OBI=/URI/FN-FBSC2509203 PAYMENT OF PERS O/NAL GUARANTY FEE ON BEHALF O F JOH N/BARK ER DUN IMAD: 1202B6B7HU3R005294 TRN: 0170421336FF</t>
  </si>
  <si>
    <t>Online Transfer to CHK ...3922 transaction#: 27165554859 12/01</t>
  </si>
  <si>
    <t>Experian* Credit Repor 479-3436237 CA        12/01</t>
  </si>
  <si>
    <t>ETSY, INC. BROOKLYN NY                       11/30</t>
  </si>
  <si>
    <t>FANDANGO    * FANDANGO.COM CA                11/30</t>
  </si>
  <si>
    <t>Online Transfer to CHK ...1168 transaction#: 27139556362 12/01</t>
  </si>
  <si>
    <t>Online Transfer to CHK ...1168 transaction#: 27139532703 12/01</t>
  </si>
  <si>
    <t>SP TRUECLASSICTEES.C TRUECLASSICTE CA        11/29</t>
  </si>
  <si>
    <t>YESGLASSES* NO169440 YESGLASSES.CO DE        11/29</t>
  </si>
  <si>
    <t>YESGLASSES* NO169436 YESGLASSES.CO DE        11/29</t>
  </si>
  <si>
    <t>AMAZON MKTPL*BB0QA40 Amzn.com/bill WA        11/29</t>
  </si>
  <si>
    <t>APPLE CASH SENT MONE 1INFINITELOOP CA        11/28</t>
  </si>
  <si>
    <t>FEDWIRE CREDIT VIA: BANK OF AMERICA, N.A./026009593 B/O: CT SOCAL COMM FBSC/CT BS FXBC RIVERSIDE CA 92505 REF: CHASE NYC/CTR/BNF=POSEIDON ASSET GROUP, LLC LOS ANGELES CA 90066-3638 US/AC-000000007200 RFB=NOTPROVIDED OBI=/URI/FN-FBSC2509203 MORTGAGE BR OKER A/GEF EE FOR FORT SMITH INDUST RIAL/HOLDIN GS, LL IMAD: 1201B6B7HU2R022871 TRN: 1486331335FF</t>
  </si>
  <si>
    <t>FEDWIRE CREDIT VIA: BANK OF AMERICA, N.A./026009593 B/O: CT SOCAL COMM FBSC/CT BS FXBC RIVERSIDE CA 92505 REF: CHASE NYC/CTR/BNF=POSEIDON ASSET GROUP, LLC LOS ANGELES CA 90066-3638 US/AC-000000007200 RFB=NOTPROVIDED OBI=/URI/FN-FBSC2509203 BROKERAGE F EE F O/RFO RT SMITH INDUSTRIAL HOLD INGS ,/LLC P ROPAD IMAD: 1201B6B7HU2R022874 TRN: 1486341335FF</t>
  </si>
  <si>
    <t>ORIG CO NAME:MARICOPA COUNTY        ORIG ID:0000408976 DESC DATE:251128 CO ENTRY DESCR:TAXPAYMENTSEC:CCD    TRACE#:021000022060032 EED:251128   IND ID:9067914                      IND NAME:JOHN *DUNNING                                                                                                602-506-8511 TRN: 3322060032TC</t>
  </si>
  <si>
    <t>Online Transfer to CHK ...3922 transaction#: 27127534065 11/28</t>
  </si>
  <si>
    <t>Online Transfer to CHK ...9082 transaction#: 27127524493 11/28</t>
  </si>
  <si>
    <t>Prime Video *B20BY0BT 888-802-3080 WA        11/27</t>
  </si>
  <si>
    <t>AMAZON MKTPL*B25GO6H Amzn.com/bill WA        11/26</t>
  </si>
  <si>
    <t>ORIG CO NAME:AMERICAN EXPRESS       ORIG ID:2005032111 DESC DATE:251126 CO ENTRY DESCR:ACH PMT   SEC:CCD    TRACE#:021000021403220 EED:251126   IND ID:A9562                        IND NAME:JOHN DUNNING                                                                                                 ER AM TRN: 3301403220TC</t>
  </si>
  <si>
    <t>ORIG CO NAME:AMERICAN EXPRESS       ORIG ID:2005032111 DESC DATE:251126 CO ENTRY DESCR:ACH PMT   SEC:CCD    TRACE#:021000021403939 EED:251126   IND ID:A6396                        IND NAME:JOHN DUNNING                                                                                                 ER AM TRN: 3301403939TC</t>
  </si>
  <si>
    <t>ORIG CO NAME:AMERICAN EXPRESS       ORIG ID:2005032111 DESC DATE:251126 CO ENTRY DESCR:ACH PMT   SEC:TEL    TRACE#:021000021402990 EED:251126   IND ID:S3648                        IND NAME:JOHN DUNNING                                                                                                 ER AM TRN: 3301402990TC</t>
  </si>
  <si>
    <t>ORIG CO NAME:AMERICAN EXPRESS       ORIG ID:2005032111 DESC DATE:251126 CO ENTRY DESCR:ACH PMT   SEC:CCD    TRACE#:021000021403975 EED:251126   IND ID:A3246                        IND NAME:JOHN DUNNING                                                                                                 ER AM TRN: 3301403975TC</t>
  </si>
  <si>
    <t>Prime Video *B21HS8SW 888-802-3080 WA        11/26</t>
  </si>
  <si>
    <t>Online Transfer from CHK ...3922 transaction#: 27101422763</t>
  </si>
  <si>
    <t>APPLE COM BILL CUPERTINO CA          289656  11/25</t>
  </si>
  <si>
    <t>Prime Video *B26226V6 888-802-3080 WA        11/25</t>
  </si>
  <si>
    <t>Prime Video *B21K83CJ 888-802-3080 WA        11/24</t>
  </si>
  <si>
    <t>Prime Video *B239Y9OX 888-802-3080 WA        11/24</t>
  </si>
  <si>
    <t>EBAY O*11-13873-84344 SAN JOSE CA    144527  11/23</t>
  </si>
  <si>
    <t>Prime Video *B22RW1NH 888-802-3080 WA        11/23</t>
  </si>
  <si>
    <t>Amazon.com*B017Q1YW0 Amzn.com/bill WA        11/23</t>
  </si>
  <si>
    <t>VINEYARD CHURCH WWW.VINEYARDC CA             11/23</t>
  </si>
  <si>
    <t>APPLE COM BILL CUPERTINO CA          319474  11/22</t>
  </si>
  <si>
    <t>WAYMO 844-261-3753 CA                        11/22</t>
  </si>
  <si>
    <t>Prime Video *B03F60IX 888-802-3080 WA        11/22</t>
  </si>
  <si>
    <t>Online Transfer to CHK ...1168 transaction#: 27047021636 11/21</t>
  </si>
  <si>
    <t>Netflix.com 408-5403700 CA                   11/21</t>
  </si>
  <si>
    <t>Amazon Tips*B06PC9A5 Amzn.com/bill WA        11/19</t>
  </si>
  <si>
    <t>ANGEL WWW.ANGEL.COM UT                       11/19</t>
  </si>
  <si>
    <t>Amazon.com*B025R3ZQ2 Amzn.com/bill WA        11/18</t>
  </si>
  <si>
    <t>Amazon.com*B02OW9LO2 Amzn.com/bill WA        11/18</t>
  </si>
  <si>
    <t>Amazon.com*B03DQ1AK1 Amzn.com/bill WA        11/18</t>
  </si>
  <si>
    <t>Amazon.com*B00JT84V2 Amzn.com/bill WA        11/18</t>
  </si>
  <si>
    <t>Online Transfer to CHK ...1168 transaction#: 26997500273 11/17</t>
  </si>
  <si>
    <t>Prime Video *B88J84IP 888-802-3080 WA        11/17</t>
  </si>
  <si>
    <t>Online Transfer to CHK ...1168 transaction#: 26986352426 11/17</t>
  </si>
  <si>
    <t>Prime Video *B85K33K0 888-802-3080 WA        11/15</t>
  </si>
  <si>
    <t>APPLE.COM/BILL 866-712-7753 CA               11/16</t>
  </si>
  <si>
    <t>ORIG CO NAME:T and T Machine        ORIG ID:945440567  DESC DATE:       CO ENTRY DESCR:PAYMENT   SEC:PPD    TRACE#:273976363524379 EED:251114   IND ID:                             IND NAME:John Dunning TRN: 3183524379TC</t>
  </si>
  <si>
    <t>VENMO *Menashe Oved New York NY              11/13</t>
  </si>
  <si>
    <t>Zelle payment to Michael Paytonjian JPM99bujofvq</t>
  </si>
  <si>
    <t>Online Transfer to CHK ...3922 transaction#: 26945932671 11/13</t>
  </si>
  <si>
    <t>ORIG CO NAME:FRANCHISE TAX BO       ORIG ID:1282532045 DESC DATE:251113 CO ENTRY DESCR:PAYMENTS  SEC:CCD    TRACE#:042000014168223 EED:251113   IND ID:123335803    PM              IND NAME:DWG CAPI TRN: 3174168223TC</t>
  </si>
  <si>
    <t>BLOOMBERG* 37033964 BLOOMBERG.COM NY         11/12</t>
  </si>
  <si>
    <t>Amazon.com*B89ET8CA1 Amzn.com/bill WA        11/11</t>
  </si>
  <si>
    <t>APPLE CASH SENT MONE 1INFINITELOOP CA        11/10</t>
  </si>
  <si>
    <t>ORIG CO NAME:Rabourn Road Ind       ORIG ID:945440567  DESC DATE:       CO ENTRY DESCR:PAYMENT   SEC:PPD    TRACE#:273976367729164 EED:251112   IND ID:                             IND NAME:John Dunning TRN: 3167729164TC</t>
  </si>
  <si>
    <t>ORIG CO NAME:MRM Industrial P       ORIG ID:945440567  DESC DATE:       CO ENTRY DESCR:PAYMENT   SEC:PPD    TRACE#:273976367729109 EED:251112   IND ID:                             IND NAME:John Dunning TRN: 3167729109TC</t>
  </si>
  <si>
    <t>ORIG CO NAME:Austin Iron Hold       ORIG ID:945440567  DESC DATE:       CO ENTRY DESCR:PAYMENT   SEC:PPD    TRACE#:273976367729225 EED:251112   IND ID:                             IND NAME:John Dunning TRN: 3167729225TC</t>
  </si>
  <si>
    <t>ORIG CO NAME:Merit-Lancaster        ORIG ID:945440567  DESC DATE:       CO ENTRY DESCR:PAYMENT   SEC:PPD    TRACE#:273976367729145 EED:251112   IND ID:                             IND NAME:John Dunning TRN: 3167729145TC</t>
  </si>
  <si>
    <t>Zelle payment to Michael Paytonjian JPM99bu86iny</t>
  </si>
  <si>
    <t>Prime Video *BT0PH49O 888-802-3080 WA        11/10</t>
  </si>
  <si>
    <t>APPLE.COM/BILL 866-712-7753 CA               11/09</t>
  </si>
  <si>
    <t>UBER *ONE MEMBERSHIP SAN FRANCISCO CA613294  11/08</t>
  </si>
  <si>
    <t>Prime Video *BT8XO7EP 888-802-3080 WA        11/07</t>
  </si>
  <si>
    <t>AA WIFI 1-888-649-6711 Fort Worth TX         11/06</t>
  </si>
  <si>
    <t>APPLE COM BILL CUPERTINO CA          376104  11/06</t>
  </si>
  <si>
    <t>ORIG CO NAME:2331 Mesa Dev LL       ORIG ID:9024218048 DESC DATE:251106 CO ENTRY DESCR:ACH Pmt   SEC:CCD    TRACE#:021000025106353 EED:251106   IND ID:11194655113                  IND NAME:                           Reimbursement for E4 and E7 Propert y Appraisals TRN: 3105106353TC</t>
  </si>
  <si>
    <t>Online Transfer to CHK ...1168 transaction#: 26851553614 11/05</t>
  </si>
  <si>
    <t>Zelle payment to Michael Paytonjian JPM99btl41v8</t>
  </si>
  <si>
    <t>Zelle payment to Michael Paytonjian JPM99btcl27y</t>
  </si>
  <si>
    <t>Online Transfer to CHK ...1168 transaction#: 26805756804 11/03</t>
  </si>
  <si>
    <t>Experian* Credit Repor 479-3436237 CA        11/01</t>
  </si>
  <si>
    <t>Prime Video *NK43B00T 888-802-3080 WA        11/01</t>
  </si>
  <si>
    <t>Zelle payment to Ashley Sarshar 26772129118</t>
  </si>
  <si>
    <t>QUICKPAY_DEBIT</t>
  </si>
  <si>
    <t>Online Transfer to CHK ...3922 transaction#: 26768022537 10/30</t>
  </si>
  <si>
    <t>APPLE.COM/BILL 866-712-7753 CA               10/30</t>
  </si>
  <si>
    <t>ORIG CO NAME:AMERICAN EXPRESS       ORIG ID:2005032111 DESC DATE:251029 CO ENTRY DESCR:ACH PMT   SEC:CCD    TRACE#:021000023642105 EED:251029   IND ID:W8622                        IND NAME:JOHN DUNNING                                                                                                 ER AM TRN: 3023642105TC</t>
  </si>
  <si>
    <t>Zelle payment to Michael Paytonjian JPM99bso92by</t>
  </si>
  <si>
    <t>Online Transfer to CHK ...1168 transaction#: 26745657866 10/28</t>
  </si>
  <si>
    <t>AMAZON MKTPLACE PMTS Amzn.com/bill WA        10/28</t>
  </si>
  <si>
    <t>ORIG CO NAME:AMERICAN EXPRESS       ORIG ID:2005032111 DESC DATE:251027 CO ENTRY DESCR:ACH PMT   SEC:CCD    TRACE#:021000024159184 EED:251027   IND ID:W0030                        IND NAME:JOHN DUNNING                                                                                                 ER AM TRN: 3004159184TC</t>
  </si>
  <si>
    <t>Zelle payment to Michael Paytonjian JPM99bsg3h49</t>
  </si>
  <si>
    <t>VENMO *NUVIO 855-812-4430 NY                 10/26</t>
  </si>
  <si>
    <t>APPLE.COM/BILL 866-712-7753 CA               10/26</t>
  </si>
  <si>
    <t>Zelle payment to Ashley Sarshar 26692142938</t>
  </si>
  <si>
    <t>Zelle payment to Rami Frankl 26680409047</t>
  </si>
  <si>
    <t>Netflix.com 408-5403700 CA                   10/21</t>
  </si>
  <si>
    <t>P.SKOOL.COM/NLHLQ WWW.SKOOL.COM CA           10/21</t>
  </si>
  <si>
    <t>AMAZON MKTPLACE PMTS Amzn.com/bill WA        10/20</t>
  </si>
  <si>
    <t>ONLINE DOMESTIC WIRE TRANSFER A/C: ADMEER ADVISORY, LLC DANA POINT CA 92629-3313 US TRN: 3465325293ES 10/20</t>
  </si>
  <si>
    <t>ANGEL STUDIOS WWW.ANGEL.COM UT               10/19</t>
  </si>
  <si>
    <t>APPLE.COM/BILL 866-712-7753 CA               10/19</t>
  </si>
  <si>
    <t>ORIG CO NAME:MITCHELL ASSET G       ORIG ID:9024218048 DESC DATE:251020 CO ENTRY DESCR:ACH Pmt   SEC:CCD    TRACE#:021000029930642 EED:251020   IND ID:11192287489                  IND NAME:                           Marketing Reimbursement TRN: 2939930642TC</t>
  </si>
  <si>
    <t>ORIG CO NAME:FRANCHISE TAX BO       ORIG ID:1282532045 DESC DATE:251017 CO ENTRY DESCR:PAYMENTS  SEC:PPD    TRACE#:042000013905322 EED:251017   IND ID:                             IND NAME:DUNNING TRN: 2903905322TC</t>
  </si>
  <si>
    <t>Prime Video *NM31C1EW 888-802-3080 WA        10/17</t>
  </si>
  <si>
    <t>AMAZON MKTPL*NM9F16J Amzn.com/bill WA        10/16</t>
  </si>
  <si>
    <t>ACCREDITED INSIGHT WWW.ACCREDITE WA          10/16</t>
  </si>
  <si>
    <t>ORIG CO NAME:IRS                    ORIG ID:3387702000 DESC DATE:100925 CO ENTRY DESCR:USATAXPYMTSEC:PPD    TRACE#:061036017638799 EED:251016   IND ID:                             IND NAME:JOHN B DUNNING &amp; ANGEL TRN: 2897638799TC</t>
  </si>
  <si>
    <t>ORIG CO NAME:FRANCHISE TAX BO       ORIG ID:1282532045 DESC DATE:251016 CO ENTRY DESCR:PAYMENTS  SEC:CCD    TRACE#:042000015136126 EED:251016   IND ID:122780868    PM              IND NAME:DWG CAPI TRN: 2895136126TC</t>
  </si>
  <si>
    <t>ORIG CO NAME:FRANCHISE TAX BO       ORIG ID:1282532045 DESC DATE:251016 CO ENTRY DESCR:PAYMENTS  SEC:CCD    TRACE#:042000015132968 EED:251016   IND ID:122730299    PM              IND NAME:DWG CAPI TRN: 2895132968TC</t>
  </si>
  <si>
    <t>Audible*NM5JN7910 Amzn.com/bill NJ           10/16</t>
  </si>
  <si>
    <t>Prime Video *NM4O047U 888-802-3080 WA        10/16</t>
  </si>
  <si>
    <t>AA WIFI 1-888-649-6711 Fort Worth TX         10/16</t>
  </si>
  <si>
    <t>Whole Foods CLV 10523 866-216-1072 DE        10/15</t>
  </si>
  <si>
    <t>Zelle payment to David Goldsmith 26584853134</t>
  </si>
  <si>
    <t>Online ACH Payment 11191551135 To CalCPAGroup (_#####3767)</t>
  </si>
  <si>
    <t>Online Transfer to CHK ...3922 transaction#: 26582712162 10/14</t>
  </si>
  <si>
    <t>AMAZON MKTPL*NM4PS1V Amzn.com/bill WA        10/14</t>
  </si>
  <si>
    <t>Online Transfer to CHK ...1168 transaction#: 26575788785 10/14</t>
  </si>
  <si>
    <t>AMAZON MKTPL*NF6ZK07 Amzn.com/bill WA        10/14</t>
  </si>
  <si>
    <t>AMAZON MKTPL*NM5O19P Amzn.com/bill WA        10/13</t>
  </si>
  <si>
    <t>AMAZON MKTPL*NM3N960 Amzn.com/bill WA        10/13</t>
  </si>
  <si>
    <t>AMAZON MKTPL*NM1T42E Amzn.com/bill WA        10/13</t>
  </si>
  <si>
    <t>BLOOMBERG* 37033964 BLOOMBERG.COM NY         10/12</t>
  </si>
  <si>
    <t>AMAZON MKTPL*NF5HI0I Amzn.com/bill WA        10/12</t>
  </si>
  <si>
    <t>Prime Video *NF9VI11V 888-802-3080 WA        10/11</t>
  </si>
  <si>
    <t>AMAZON MKTPL*NF4CI8I Amzn.com/bill WA        10/12</t>
  </si>
  <si>
    <t>APPLE.COM/BILL 866-712-7753 CA               10/12</t>
  </si>
  <si>
    <t>ORIG CO NAME:Rabourn Road Ind       ORIG ID:945440567  DESC DATE:       CO ENTRY DESCR:PAYMENT   SEC:PPD    TRACE#:273976365606109 EED:251010   IND ID:                             IND NAME:John Dunning TRN: 2835606109TC</t>
  </si>
  <si>
    <t>ORIG CO NAME:T and T Machine        ORIG ID:945440567  DESC DATE:       CO ENTRY DESCR:PAYMENT   SEC:PPD    TRACE#:273976365606077 EED:251010   IND ID:                             IND NAME:John Dunning TRN: 2835606077TC</t>
  </si>
  <si>
    <t>TST*CITYO MAKEBELIEVE Denver CO              10/08</t>
  </si>
  <si>
    <t>Amazon Tips*NF1PB63F Amzn.com/bill WA        10/08</t>
  </si>
  <si>
    <t>Audible*NV5OD92B2 Amzn.com/bill NJ           10/08</t>
  </si>
  <si>
    <t>AMAZON MKTPL*NF8368N Amzn.com/bill WA        10/08</t>
  </si>
  <si>
    <t>ORIG CO NAME:Austin Iron Hold       ORIG ID:945440567  DESC DATE:       CO ENTRY DESCR:PAYMENT   SEC:PPD    TRACE#:273976365861608 EED:251009   IND ID:                             IND NAME:John Dunning TRN: 2825861608TC</t>
  </si>
  <si>
    <t>UBER *ONE MEMBERSHIP SAN FRANCISCO CA569648  10/08</t>
  </si>
  <si>
    <t>Prime Video *NF0SN8X6 888-802-3080 WA        10/08</t>
  </si>
  <si>
    <t>Amazon.com*NF0844GM0 Amzn.com/bill WA        10/08</t>
  </si>
  <si>
    <t>Amazon.com*NV5918HQ2 Amzn.com/bill WA        10/07</t>
  </si>
  <si>
    <t>ORIG CO NAME:MRM Industrial P       ORIG ID:945440567  DESC DATE:       CO ENTRY DESCR:PAYMENT   SEC:PPD    TRACE#:273976369157141 EED:251008   IND ID:                             IND NAME:John Dunning TRN: 2819157141TC</t>
  </si>
  <si>
    <t>ORIG CO NAME:Merit-Lancaster        ORIG ID:945440567  DESC DATE:       CO ENTRY DESCR:PAYMENT   SEC:PPD    TRACE#:273976369156811 EED:251008   IND ID:                             IND NAME:John Dunning TRN: 2819156811TC</t>
  </si>
  <si>
    <t>UBER * EATS PENDING SAN FRANCISCO CA 274787  10/07</t>
  </si>
  <si>
    <t>APPLE.COM/BILL 866-712-7753 CA               10/06</t>
  </si>
  <si>
    <t>UBER * EATS PENDING SAN FRANCISCO CA 962657  10/06</t>
  </si>
  <si>
    <t>AMAZON MKTPL*NV0TT16 Amzn.com/bill WA        10/06</t>
  </si>
  <si>
    <t>AMAZON MKTPL*NV2D561 Amzn.com/bill WA        10/04</t>
  </si>
  <si>
    <t>Kindle Unltd*NV6Q277F 888-802-3080 WA        10/04</t>
  </si>
  <si>
    <t>Amazon.com*NV4PU4990 Amzn.com/bill WA        10/04</t>
  </si>
  <si>
    <t>Online Transfer from CHK ...5369 transaction#: 26491659104</t>
  </si>
  <si>
    <t>ONLINE DOMESTIC WIRE TRANSFER A/C: ADMEER ADVISORY, LLC DANA POINT CA 92629-3313 US TRN: 3559695276ES 10/03</t>
  </si>
  <si>
    <t>AMAZON MKTPL*NV35926 Amzn.com/bill WA        10/03</t>
  </si>
  <si>
    <t>Amazon.com*NJ93E7WU1 Amzn.com/bill WA        10/02</t>
  </si>
  <si>
    <t>Online Transfer to CHK ...1168 transaction#: 26428342076 10/01</t>
  </si>
  <si>
    <t>Experian* Credit Repor 479-3436237 CA        10/01</t>
  </si>
  <si>
    <t>Amazon.com*NJ5L84X52 Amzn.com/bill WA        10/01</t>
  </si>
  <si>
    <t>Prime Video *NJ47U1SO 888-802-3080 WA        10/01</t>
  </si>
  <si>
    <t>APPLE.COM/BILL 866-712-7753 CA               10/01</t>
  </si>
  <si>
    <t>Amazon.com*NJ7VK51Y2 Amzn.com/bill WA        10/01</t>
  </si>
  <si>
    <t>AMAZON MKTPL*NJ65N0X Amzn.com/bill WA        10/01</t>
  </si>
  <si>
    <t>Online Transfer from CHK ...8938 transaction#: 26428351339</t>
  </si>
  <si>
    <t>AMAZON MKTPL*VB1RL37 Amzn.com/bill WA        09/29</t>
  </si>
  <si>
    <t>ORIG CO NAME:AMERICAN EXPRESS       ORIG ID:2005032111 DESC DATE:250929 CO ENTRY DESCR:ACH PMT   SEC:CCD    TRACE#:021000027372020 EED:250929   IND ID:W4664                        IND NAME:JOHN DUNNING                                                                                                 ER AM TRN: 2727372020TC</t>
  </si>
  <si>
    <t>AMAZON MKTPL*JK8TR59 Amzn.com/bill WA        09/28</t>
  </si>
  <si>
    <t>APPLE.COM/BILL 866-712-7753 CA               09/28</t>
  </si>
  <si>
    <t>Prime Video *F11316TE 888-802-3080 WA        09/27</t>
  </si>
  <si>
    <t>Amazon.com*O502K92U3 Amzn.com/bill WA        09/27</t>
  </si>
  <si>
    <t>Prime Video *NJ3IR3HQ 888-802-3080 WA        09/26</t>
  </si>
  <si>
    <t>AMAZON MKTPL*NJ6AQ85 Amzn.com/bill WA        09/25</t>
  </si>
  <si>
    <t>AMAZON MKTPL*5T05C9D Amzn.com/bill WA        09/25</t>
  </si>
  <si>
    <t>Online Transfer to CHK ...5369 transaction#: 26352971376 09/25</t>
  </si>
  <si>
    <t>WAYMO 844-261-3753 CA                        09/25</t>
  </si>
  <si>
    <t>WAYMO 8442613753 CA                          09/25</t>
  </si>
  <si>
    <t>Amazon Tips*5V3M94CN Amzn.com/bill WA        09/24</t>
  </si>
  <si>
    <t>Prime Video *NJ4M76A9 888-802-3080 WA        09/24</t>
  </si>
  <si>
    <t>Amazon.com*8Q72U0MZ3 Amzn.com/bill WA        09/23</t>
  </si>
  <si>
    <t>AMAZON MKTPL*U93TT1H Amzn.com/bill WA        09/23</t>
  </si>
  <si>
    <t>ORIG CO NAME:T and T Machine        ORIG ID:945440567  DESC DATE:       CO ENTRY DESCR:PAYMENT   SEC:PPD    TRACE#:273976361803572 EED:250923   IND ID:                             IND NAME:John Dunning TRN: 2661803572TC</t>
  </si>
  <si>
    <t>ORIG CO NAME:T and T Machine        ORIG ID:945440567  DESC DATE:       CO ENTRY DESCR:PAYMENT   SEC:PPD    TRACE#:273976361803570 EED:250923   IND ID:                             IND NAME:John Dunning TRN: 2661803570TC</t>
  </si>
  <si>
    <t>SQ *EXOTIC SERVICES Marina del Re CA         09/21</t>
  </si>
  <si>
    <t>NETFLIX.COM NETFLIX.COM CA                   09/21</t>
  </si>
  <si>
    <t>APPLE.COM/BILL 866-712-7753 CA               09/21</t>
  </si>
  <si>
    <t>AMAZON MKTPL*HH6N870 Amzn.com/bill WA        09/21</t>
  </si>
  <si>
    <t>Amazon.com*CL4AD1AY3 Amzn.com/bill WA        09/21</t>
  </si>
  <si>
    <t>AMAZON MKTPL*EH34B6I Amzn.com/bill WA        09/20</t>
  </si>
  <si>
    <t>AMAZON MKTPL*8G3IG50 Amzn.com/bill WA        09/21</t>
  </si>
  <si>
    <t>Online Transfer to CHK ...7753 transaction#: 26285213372 09/19</t>
  </si>
  <si>
    <t>AMAZON MKTPLACE PMTS Amzn.com/bill WA        09/18</t>
  </si>
  <si>
    <t>Prime Video *BK13Y5FX 888-802-3080 WA        09/18</t>
  </si>
  <si>
    <t>AMAZON MKTPL*YS8NQ8B Amzn.com/bill WA        09/17</t>
  </si>
  <si>
    <t>Audible*RV2KA97Z3 Amzn.com/bill NJ           09/16</t>
  </si>
  <si>
    <t>AMAZON MKTPL*I969I31 Amzn.com/bill WA        09/16</t>
  </si>
  <si>
    <t>AMAZON MKTPL*UO7SD7Q Amzn.com/bill WA        09/16</t>
  </si>
  <si>
    <t>AMAZON MKTPL*HV6MS3F Amzn.com/bill WA        09/15</t>
  </si>
  <si>
    <t>Online Transfer to CHK ...1168 transaction#: 26227231150 09/15</t>
  </si>
  <si>
    <t>AMAZON MKTPL*PB6ZT4W Amzn.com/bill WA        09/15</t>
  </si>
  <si>
    <t>Prime Video *FG2YJ1CH 888-802-3080 WA        09/14</t>
  </si>
  <si>
    <t>AMAZON MKTPL*KM8VJ2J Amzn.com/bill WA        09/14</t>
  </si>
  <si>
    <t>Prime Video *W349H9ST 888-802-3080 WA        09/14</t>
  </si>
  <si>
    <t>Prime Video *7Q72N48P 888-802-3080 WA        09/14</t>
  </si>
  <si>
    <t>APPLE.COM/BILL 866-712-7753 CA               09/14</t>
  </si>
  <si>
    <t>Amazon.com*Z60647DJ3 Amzn.com/bill WA        09/14</t>
  </si>
  <si>
    <t>AMAZON MKTPL*011C08U Amzn.com/bill WA        09/13</t>
  </si>
  <si>
    <t>AMAZON MKTPL*PI2UJ7B Amzn.com/bill WA        09/12</t>
  </si>
  <si>
    <t>BLOOMBERG* 37033964 BLOOMBERG.COM NY         09/12</t>
  </si>
  <si>
    <t>AMAZON MKTPL*6M58G4N Amzn.com/bill WA        09/11</t>
  </si>
  <si>
    <t>AMAZON MKTPL*EH93T1N Amzn.com/bill WA        09/11</t>
  </si>
  <si>
    <t>AMAZON MKTPL*E42I51L Amzn.com/bill WA        09/11</t>
  </si>
  <si>
    <t>AMAZON MKTPL*DD3YY9P Amzn.com/bill WA        09/10</t>
  </si>
  <si>
    <t>Online Transfer to CHK ...9082 transaction#: 26179762390 09/10</t>
  </si>
  <si>
    <t>Online Transfer to CHK ...3922 transaction#: 26176828172 09/10</t>
  </si>
  <si>
    <t>UBER   *EATS HELP.UBER.COM CA                09/10</t>
  </si>
  <si>
    <t>AMAZON MKTPL*T194W50 Amzn.com/bill WA        09/10</t>
  </si>
  <si>
    <t>Online Transfer from CHK ...0805 transaction#: 26176816064</t>
  </si>
  <si>
    <t>UBER *ONE MEMBERSHIP SAN FRANCISCO CA094563  09/09</t>
  </si>
  <si>
    <t>AMAZON MKTPL*J08D98K Amzn.com/bill WA        09/09</t>
  </si>
  <si>
    <t>AMAZON MKTPL*WT7JZ6G Amzn.com/bill WA        09/08</t>
  </si>
  <si>
    <t>AMAZON MKTPL*WK24H8S Amzn.com/bill WA        09/08</t>
  </si>
  <si>
    <t>ORIG CO NAME:Rabourn Road Ind       ORIG ID:945440567  DESC DATE:       CO ENTRY DESCR:PAYMENT   SEC:PPD    TRACE#:273976364216630 EED:250909   IND ID:                             IND NAME:John Dunning TRN: 2524216630TC</t>
  </si>
  <si>
    <t>ORIG CO NAME:MRM Industrial P       ORIG ID:945440567  DESC DATE:       CO ENTRY DESCR:PAYMENT   SEC:PPD    TRACE#:273976364218138 EED:250909   IND ID:                             IND NAME:John Dunning TRN: 2524218138TC</t>
  </si>
  <si>
    <t>ORIG CO NAME:Austin Iron Hold       ORIG ID:945440567  DESC DATE:       CO ENTRY DESCR:PAYMENT   SEC:PPD    TRACE#:273976364216742 EED:250909   IND ID:                             IND NAME:John Dunning TRN: 2524216742TC</t>
  </si>
  <si>
    <t>ORIG CO NAME:Merit-Lancaster        ORIG ID:945440567  DESC DATE:       CO ENTRY DESCR:PAYMENT   SEC:PPD    TRACE#:273976364218234 EED:250909   IND ID:                             IND NAME:John Dunning TRN: 2524218234TC</t>
  </si>
  <si>
    <t>FOREIGN EXCHANGE RATE ADJUSTMENT FEE         09/05GLOBAL VI</t>
  </si>
  <si>
    <t>Prime Video *B11057R2 888-802-3080 WA        09/07</t>
  </si>
  <si>
    <t>AMAZON MKTPL*GL8QR7Q Amzn.com/bill WA        09/07</t>
  </si>
  <si>
    <t>Online Transfer to CHK ...6975 transaction#: 26141150353 09/08</t>
  </si>
  <si>
    <t>AMAZON MKTPL*JF7A89U Amzn.com/bill WA        09/07</t>
  </si>
  <si>
    <t>LADOT METER PARKING LOS ANGELES CA           09/06</t>
  </si>
  <si>
    <t>UBER   *EATS HELP.UBER.COM CA                09/07</t>
  </si>
  <si>
    <t>APPLE.COM/BILL 866-712-7753 CA               09/06</t>
  </si>
  <si>
    <t>AMAZON MKTPL*1167E6O Amzn.com/bill WA        09/07</t>
  </si>
  <si>
    <t>GLOBAL VIA RUTA 27 SAN JOSE                  09/05 CR Colon   460.00 X 0.001978261 (EXCHG RTE)</t>
  </si>
  <si>
    <t>AMAZON MKTPL*NC8O911 Amzn.com/bill WA        09/06</t>
  </si>
  <si>
    <t>NON-CHASE ATM FEE-WITH</t>
  </si>
  <si>
    <t>FOREIGN EXCHANGE RATE ADJUSTMENT FEE 075408  09/05CASINO FI</t>
  </si>
  <si>
    <t>NON-CHASE ATM WITHDRAW               075408  09/05CASINO FI CR Colon   100000.00 X 0.001977692 (EXCHG RTE)</t>
  </si>
  <si>
    <t>ATM</t>
  </si>
  <si>
    <t>Online Transfer to CHK ...1168 transaction#: 26125670571 09/05</t>
  </si>
  <si>
    <t>Prime Video *HD3FY7HX 888-802-3080 WA        09/03</t>
  </si>
  <si>
    <t>AMAZON MKTPL*310E75R Amzn.com/bill WA        09/03</t>
  </si>
  <si>
    <t>AMAZON MKTPL*MB6SQ4N Amzn.com/bill WA        09/02</t>
  </si>
  <si>
    <t>AMAZON MKTPL*CG7HI08 Amzn.com/bill WA        09/03</t>
  </si>
  <si>
    <t>AMAZON MKTPL*CN37W58 Amzn.com/bill WA        09/02</t>
  </si>
  <si>
    <t>Amazon.com*0Z7GR8KG3 Amzn.com/bill WA        09/02</t>
  </si>
  <si>
    <t>AMAZON MKTPL*BY99B0W Amzn.com/bill WA        09/02</t>
  </si>
  <si>
    <t>Experian* Credit Repor 479-3436237 CA        09/01</t>
  </si>
  <si>
    <t>AMAZON MKTPL*ON7HM5K Amzn.com/bill WA        09/01</t>
  </si>
  <si>
    <t>AMAZON MKTPL*GN3E56C Amzn.com/bill WA        08/31</t>
  </si>
  <si>
    <t>AMAZON MKTPL*DB5PV70 Amzn.com/bill WA        08/31</t>
  </si>
  <si>
    <t>Prime Video *013Z43XL 888-802-3080 WA        08/30</t>
  </si>
  <si>
    <t>Online Transfer to CHK ...1168 transaction#: 26034115251 08/29</t>
  </si>
  <si>
    <t>APPLE.COM/BILL 866-712-7753 CA               08/29</t>
  </si>
  <si>
    <t>Amazon.com*M96T218N3 Amzn.com/bill WA        08/29</t>
  </si>
  <si>
    <t>AMAZON MKTPL*TR2PO90 Amzn.com/bill WA        08/28</t>
  </si>
  <si>
    <t>AMAZON MKTPL*VR28X8E Amzn.com/bill WA        08/28</t>
  </si>
  <si>
    <t>ORIG CO NAME:AMERICAN EXPRESS       ORIG ID:2005032111 DESC DATE:250828 CO ENTRY DESCR:ACH PMT   SEC:CCD    TRACE#:021000024368596 EED:250828   IND ID:W4720                        IND NAME:JOHN DUNNING                                                                                                 ER AM TRN: 2404368596TC</t>
  </si>
  <si>
    <t>ORIG CO NAME:AMERICAN EXPRESS       ORIG ID:2005032111 DESC DATE:250828 CO ENTRY DESCR:ACH PMT   SEC:CCD    TRACE#:021000024368479 EED:250828   IND ID:W4042                        IND NAME:JOHN DUNNING                                                                                                 ER AM TRN: 2404368479TC</t>
  </si>
  <si>
    <t>Online Transfer to CHK ...3922 transaction#: 26008386397 08/28</t>
  </si>
  <si>
    <t>Amazon.com*ZC1267JU3 Amzn.com/bill WA        08/28</t>
  </si>
  <si>
    <t>AMAZON MKTPL*1703X95 Amzn.com/bill WA        08/27</t>
  </si>
  <si>
    <t>Prime Video *2I20U3YK 888-802-3080 WA        08/26</t>
  </si>
  <si>
    <t>AMAZON MKTPL*I25EY7K Amzn.com/bill WA        08/27</t>
  </si>
  <si>
    <t>AMAZON MKTPL*374UR4Q Amzn.com/bill WA        08/27</t>
  </si>
  <si>
    <t>AMAZON MKTPL*FV06K2W Amzn.com/bill WA        08/26</t>
  </si>
  <si>
    <t>AMAZON MKTPL*0R5AE1J Amzn.com/bill WA        08/25</t>
  </si>
  <si>
    <t>Prime Video *8S7B423D 888-802-3080 WA        08/24</t>
  </si>
  <si>
    <t>AMAZON MKTPL*EK4VI2K Amzn.com/bill WA        08/24</t>
  </si>
  <si>
    <t>AMAZON MKTPL*5B6Y57W Amzn.com/bill WA        08/25</t>
  </si>
  <si>
    <t>APPLE.COM/BILL 866-712-7753 CA               08/24</t>
  </si>
  <si>
    <t>Prime Video *D45BA2HS 888-802-3080 WA        08/22</t>
  </si>
  <si>
    <t>AMAZON MKTPL*XL2IG4W Amzn.com/bill WA        08/23</t>
  </si>
  <si>
    <t>Amazon.com*025196GM3 Amzn.com/bill WA        08/22</t>
  </si>
  <si>
    <t>Zelle payment to Mark Atkins 25949277369</t>
  </si>
  <si>
    <t>AMAZON MKTPL*CB8WH9B Amzn.com/bill WA        08/22</t>
  </si>
  <si>
    <t>AA WIFI 1-888-649-6711 Fort Worth TX         08/22</t>
  </si>
  <si>
    <t>AMAZON MKTPL*K77ME6N Amzn.com/bill WA        08/22</t>
  </si>
  <si>
    <t>AMAZON MKTPL*5I0WF4T Amzn.com/bill WA        08/22</t>
  </si>
  <si>
    <t>AMAZON MKTPL*QE6T82M Amzn.com/bill WA        08/21</t>
  </si>
  <si>
    <t>AMAZON MKTPL*Q66TM6A Amzn.com/bill WA        08/21</t>
  </si>
  <si>
    <t>Netflix.com 408-5403700 CA                   08/21</t>
  </si>
  <si>
    <t>Prime Video *4B8J60Y1 888-802-3080 WA        08/21</t>
  </si>
  <si>
    <t>DSLIP</t>
  </si>
  <si>
    <t>DEPOSIT  ID NUMBER 582588</t>
  </si>
  <si>
    <t>DEPOSIT</t>
  </si>
  <si>
    <t>Prime Video *ON1OC830 888-802-3080 WA        08/19</t>
  </si>
  <si>
    <t>Prime Video *1A88F6GF 888-802-3080 WA        08/17</t>
  </si>
  <si>
    <t>Audible*T676C0GX3 Amzn.com/bill NJ           08/16</t>
  </si>
  <si>
    <t>AMAZON MKTPL*8A6OD90 Amzn.com/bill WA        08/16</t>
  </si>
  <si>
    <t>NNT VIOLET VAPOR - 000 WEATHERFORD TX017108  08/15</t>
  </si>
  <si>
    <t>FEDWIRE CREDIT VIA: FIRST HORIZON BANK/084000026 B/O: LEVERAGE EMS LLC MIAMI FL 33130 US REF: CHASE NYC/CTR/BNF=POSEIDON ASSET GROUP, LLC LOS ANGELES CA 90066-3638 US/AC-000000007200 RFB=NOTPROVIDED OBI=/URI/RE: JW IMAD: 0815MMQFMPWQ001436 TRN: 0524241227FF</t>
  </si>
  <si>
    <t>AA WIFI 1-888-649-6711 Fort Worth TX         08/14</t>
  </si>
  <si>
    <t>APPLE.COM/BILL 866-712-7753 CA               08/13</t>
  </si>
  <si>
    <t>ORIG CO NAME:Rabourn Road Ind       ORIG ID:945440567  DESC DATE:       CO ENTRY DESCR:PAYMENT   SEC:PPD    TRACE#:273976369352812 EED:250813   IND ID:                             IND NAME:John Dunning TRN: 2259352812TC</t>
  </si>
  <si>
    <t>ORIG CO NAME:T and T Machine        ORIG ID:945440567  DESC DATE:       CO ENTRY DESCR:PAYMENT   SEC:PPD    TRACE#:273976369355279 EED:250813   IND ID:                             IND NAME:John Dunning TRN: 2259355279TC</t>
  </si>
  <si>
    <t>Prime Video *I99PV41K 888-802-3080 WA        08/12</t>
  </si>
  <si>
    <t>BLOOMBERG* 37033964 BLOOMBERG.COM NY         08/12</t>
  </si>
  <si>
    <t>Prime Video *885K31AN 888-802-3080 WA        08/11</t>
  </si>
  <si>
    <t>APPLE.COM/BILL 866-712-7753 CA               08/10</t>
  </si>
  <si>
    <t>ONLINE DOMESTIC WIRE TRANSFER A/C: JOSEPH C WHITNER MIAMI FL 33133-3184 US REF:/ACC/309234364 JC WHITNER 2369 OVERBROOK ST MIAMI FL 33133 US TRN: 3767235220ES 08/08</t>
  </si>
  <si>
    <t>Zelle payment to JC Whitner 25785412339</t>
  </si>
  <si>
    <t>ORIG CO NAME:MRM Industrial P       ORIG ID:945440567  DESC DATE:       CO ENTRY DESCR:PAYMENT   SEC:PPD    TRACE#:273976362046149 EED:250808   IND ID:                             IND NAME:John Dunning TRN: 2202046149TC</t>
  </si>
  <si>
    <t>ORIG CO NAME:Austin Iron Hold       ORIG ID:945440567  DESC DATE:       CO ENTRY DESCR:PAYMENT   SEC:PPD    TRACE#:273976362046514 EED:250808   IND ID:                             IND NAME:John Dunning TRN: 2202046514TC</t>
  </si>
  <si>
    <t>ORIG CO NAME:Merit-Lancaster        ORIG ID:945440567  DESC DATE:       CO ENTRY DESCR:PAYMENT   SEC:PPD    TRACE#:273976362046505 EED:250808   IND ID:                             IND NAME:John Dunning TRN: 2202046505TC</t>
  </si>
  <si>
    <t>AMAZON MKTPL*G05SD9O Amzn.com/bill WA        08/06</t>
  </si>
  <si>
    <t>APPLE.COM/BILL 866-712-7753 CA               08/06</t>
  </si>
  <si>
    <t>VITO RESTAURANT SANTA MONICA CA              08/05</t>
  </si>
  <si>
    <t>CITY OF SANTA MONICA SANTA MONICA CA         08/05</t>
  </si>
  <si>
    <t>CVS/PHARMACY #08872 ALISO VIEJO CA   015369  08/03</t>
  </si>
  <si>
    <t>STARBUCKS STORE 1415 NEWPORT COAST CA        08/03</t>
  </si>
  <si>
    <t>CITY OF HB PARKING M HUNTINGTN BCH CA        08/03</t>
  </si>
  <si>
    <t>SQ *PAYA THAI LA LLC. LOS ANGELES CA         08/02</t>
  </si>
  <si>
    <t>TST*SNUG HARBOR - SAN Santa Monica CA        08/02</t>
  </si>
  <si>
    <t>Experian* Credit Repor 479-3436237 CA        08/01</t>
  </si>
  <si>
    <t>Amazon.com*5P1QZ3QW3 Amzn.com/bill WA        07/31</t>
  </si>
  <si>
    <t>Prime Video *W12482CA 888-802-3080 WA        07/31</t>
  </si>
  <si>
    <t>AMAZON MKTPL*HW06Y0V Amzn.com/bill WA        07/31</t>
  </si>
  <si>
    <t>STARBUCKS STORE 53803 COLTON CA              07/30</t>
  </si>
  <si>
    <t>Amazon Tips*FG31M0I5 Amzn.com/bill WA        07/29</t>
  </si>
  <si>
    <t>APPLE.COM/BILL 866-712-7753 CA               07/30</t>
  </si>
  <si>
    <t>Prime Video *CC55764O 888-802-3080 WA        07/29</t>
  </si>
  <si>
    <t>Amazon.com*564JW5VY3 Amzn.com/bill WA        07/28</t>
  </si>
  <si>
    <t>APPLE COM BILL CUPERTINO CA          025527  07/26</t>
  </si>
  <si>
    <t>Online Transfer to CHK ...1168 transaction#: 25615617302 07/25</t>
  </si>
  <si>
    <t>AMAZON MKTPL*RR87G1T Amzn.com/bill WA        07/25</t>
  </si>
  <si>
    <t>ORIG CO NAME:AMERICAN EXPRESS       ORIG ID:2005032111 DESC DATE:250724 CO ENTRY DESCR:ACH PMT   SEC:CCD    TRACE#:021000026456439 EED:250724   IND ID:W8200                        IND NAME:JOHN DUNNING                                                                                                 ER AM TRN: 2056456439TC</t>
  </si>
  <si>
    <t>Zelle payment to Sentha JPM99bguagrs</t>
  </si>
  <si>
    <t>Prime Video *B691H0GT 888-802-3080 WA        07/23</t>
  </si>
  <si>
    <t>Amazon.com*7O2TT9MP3 Amzn.com/bill WA        07/22</t>
  </si>
  <si>
    <t>Online Transfer to CHK ...1168 transaction#: 25575997996 07/22</t>
  </si>
  <si>
    <t>Prime Video *KG8Q276P 888-802-3080 WA        07/22</t>
  </si>
  <si>
    <t>Online Transfer to CHK ...3922 transaction#: 25563251227 07/21</t>
  </si>
  <si>
    <t>Netflix.com netflix.com CA                   07/21</t>
  </si>
  <si>
    <t>ParkWhiz, Inc. Chicago IL                    07/20</t>
  </si>
  <si>
    <t>APPLE.COM/BILL 866-712-7753 CA               07/20</t>
  </si>
  <si>
    <t>Amazon.com*LS3ER7Z03 Amzn.com/bill WA        07/19</t>
  </si>
  <si>
    <t>AMAZON MKTPL*C513A4P Amzn.com/bill WA        07/19</t>
  </si>
  <si>
    <t>AMAZON MKTPL*D493J9D Amzn.com/bill WA        07/19</t>
  </si>
  <si>
    <t>CITY OF B H PARKING BEVERLY HILLS CA         07/18</t>
  </si>
  <si>
    <t>Online ACH Payment 11180722695 To AstronomicInc (_###########7142)</t>
  </si>
  <si>
    <t>Prime Video *RB0IH09J 888-802-3080 WA        07/17</t>
  </si>
  <si>
    <t>Audible*IZ2OR8QI3 Amzn.com/bill NJ           07/16</t>
  </si>
  <si>
    <t>Online Transfer to CHK ...1168 transaction#: 25507535073 07/16</t>
  </si>
  <si>
    <t>MITSUWA MRKTPLACE SM LOS ANGELES CA  899750  07/15</t>
  </si>
  <si>
    <t>FEDWIRE CREDIT VIA: U S BANK NATIONAL ASSOC/091000022 B/O: OLD REPUBLIC NATIONAL TITLE INSURA+MINNEAPOLIS,MN,55401 REF: CHASE NYC/CTR/BNF=POSEIDON ASSET GROUP, LLC LOS ANGELES CA 90066-3638 US/AC-000000007200 RFB=NOTPROVIDED OBI=/URI/RETURN OF EXCESS FUNDS TO BUYE R &amp; RETURNED WIRE 8060 OLD US HWY 5 0 BRE IMAD: 0715I1Q73AGC002377 TRN: 0467871196FF</t>
  </si>
  <si>
    <t>Online Transfer to CHK ...3922 transaction#: 25482788964 07/14</t>
  </si>
  <si>
    <t>APPLE.COM/BILL 866-712-7753 CA               07/12</t>
  </si>
  <si>
    <t>BLOOMBERG* 37033964 BLOOMBERG.COM NY         07/12</t>
  </si>
  <si>
    <t>Online Transfer from CHK ...0805 transaction#: 25482772444</t>
  </si>
  <si>
    <t>ORIG CO NAME:Merit-Lancaster        ORIG ID:945440567  DESC DATE:       CO ENTRY DESCR:PAYMENT   SEC:PPD    TRACE#:273976369908784 EED:250711   IND ID:                             IND NAME:John Dunning TRN: 1929908784TC</t>
  </si>
  <si>
    <t>Amazon.com*NL2XO4MP0 Amzn.com/bill WA        07/09</t>
  </si>
  <si>
    <t>ORIG CO NAME:Austin Iron Hold       ORIG ID:945440567  DESC DATE:       CO ENTRY DESCR:PAYMENT   SEC:PPD    TRACE#:273976361401006 EED:250710   IND ID:                             IND NAME:John Dunning TRN: 1911401006TC</t>
  </si>
  <si>
    <t>FEDWIRE CREDIT VIA: U S BANK NATIONAL ASSOC/091000022 B/O: OLD REPUBLIC NATIONAL TITLE INSURANMINNEAPOLIS,MN,55401 REF: CHASE NYC/CTR/BNF=POSEIDON ASSET GROUP, LLC LOS ANGELES CA 90066-3638 US/AC-000000007200 RFB=DEBT FEE OBI =8060 OLD US HWY 50, BREESE IL SEND E R MSHUMWAY 214-239-6404 514700187 4 BBI=/C IMAD: 0710L3LF151C002826 TRN: 0692871191FF</t>
  </si>
  <si>
    <t>FEDWIRE CREDIT VIA: U S BANK NATIONAL ASSOC/091000022 B/O: OLD REPUBLIC NATIONAL TITLE INSURANMINNEAPOLIS,MN,55401 REF: CHASE NYC/CTR/BNF=POSEIDON ASSET GROUP, LLC LOS ANGELES CA 90066-3638 US/AC-000000007200 RFB=COMMISSION O BI=JAL BREESE MARKETING.COM 8060 OL D U S HWY 50, BREESE IL SENDER MSHU MWAY 214 IMAD: 0710L3LF151C002821 TRN: 0691871191FF</t>
  </si>
  <si>
    <t>ORIG CO NAME:MRM Industrial P       ORIG ID:945440567  DESC DATE:       CO ENTRY DESCR:PAYMENT   SEC:PPD    TRACE#:273976363828968 EED:250709   IND ID:                             IND NAME:John Dunning TRN: 1903828968TC</t>
  </si>
  <si>
    <t>ORIG CO NAME:T and T Machine        ORIG ID:945440567  DESC DATE:       CO ENTRY DESCR:PAYMENT   SEC:PPD    TRACE#:273976363828998 EED:250709   IND ID:                             IND NAME:John Dunning TRN: 1903828998TC</t>
  </si>
  <si>
    <t>Online Transfer to CHK ...1168 transaction#: 25394288341 07/07</t>
  </si>
  <si>
    <t>AMAZON MKTPL*NL0SX9X Amzn.com/bill WA        07/07</t>
  </si>
  <si>
    <t>APPLE.COM/BILL 866-712-7753 CA               07/06</t>
  </si>
  <si>
    <t>AMAZON MKTPL*N39EG1M Amzn.com/bill WA        07/04</t>
  </si>
  <si>
    <t>Online Transfer to CHK ...9769 transaction#: 25363874575 07/03</t>
  </si>
  <si>
    <t>APPLE.COM/BILL 866-712-7753 CA               07/02</t>
  </si>
  <si>
    <t>Online Transfer to CHK ...3922 transaction#: 25333571387 07/01</t>
  </si>
  <si>
    <t>Experian* Credit Repor 479-3436237 CA        07/01</t>
  </si>
  <si>
    <t>APPLE.COM/BILL 866-712-7753 CA               06/29</t>
  </si>
  <si>
    <t>AMAZON MKTPL*NQ63D1Z Amzn.com/bill WA        06/22</t>
  </si>
  <si>
    <t>AMAZON MKTPL*NO3YJ58 Amzn.com/bill WA        06/22</t>
  </si>
  <si>
    <t>APPLE COM BILL CUPERTINO CA          336946  06/21</t>
  </si>
  <si>
    <t>Netflix.com 408-5403700 CA                   06/21</t>
  </si>
  <si>
    <t>AMAZON MKTPL*NO0768L Amzn.com/bill WA        06/20</t>
  </si>
  <si>
    <t>ONLINE DOMESTIC WIRE TRANSFER A/C: ADMEER ADVISORY, LLC DANA POINT CA 92629-3313 US REF: LEASING ADVISORY TRN: 3271065169ES 06/18</t>
  </si>
  <si>
    <t>Prime Video *NA38T9UH 888-802-3080 WA        06/18</t>
  </si>
  <si>
    <t>Prime Video *NA9FU5DE 888-802-3080 WA        06/17</t>
  </si>
  <si>
    <t>Audible*NA2PO35A1 Amzn.com/bill NJ           06/16</t>
  </si>
  <si>
    <t>MANHATTAN BEACH PARK MANHATTAN BEA CA        06/15</t>
  </si>
  <si>
    <t>APPLE.COM/BILL 866-712-7753 CA               06/15</t>
  </si>
  <si>
    <t>DOMESTIC WIRE TRANSFER VIA: EW BK SMRINO/322070381 A/C: CHICAGO TITLE COMPANY REF: ESCROW NO. FBSC2505383-BP IMAD: 0613MMQFMP2N031957 TRN: 3718295164ES 06/13</t>
  </si>
  <si>
    <t>FEDWIRE CREDIT VIA: FIRST CITIZENS BANK AND TRUST CO./053100300 B/O: CRYSTAL ASSET MANAGEMENT INC BEVERLY HILLS, CA 90212-2904 REF: CHASE NYC/CTR/BNF=POSEIDON ASSET GROUP, LLC LOS ANGELES CA 90066-3638 US/AC-000000007200 RFB=O/B FIRST CI TZ R IMAD: 0613E3QP0A1C000987 TRN: 0548081164FF</t>
  </si>
  <si>
    <t>BLOOMBERG* 37033964 BLOOMBERG.COM NY         06/12</t>
  </si>
  <si>
    <t>ORIG CO NAME:T and T Machine        ORIG ID:945440567  DESC DATE:       CO ENTRY DESCR:PAYMENT   SEC:PPD    TRACE#:273976368246251 EED:250612   IND ID:                             IND NAME:John Dunning TRN: 1638246251TC</t>
  </si>
  <si>
    <t>Online Transfer to CHK ...1168 transaction#: 25094067351 06/11</t>
  </si>
  <si>
    <t>ORIG CO NAME:MRM Industrial P       ORIG ID:945440567  DESC DATE:       CO ENTRY DESCR:PAYMENT   SEC:PPD    TRACE#:273976366699658 EED:250610   IND ID:                             IND NAME:John Dunning TRN: 1616699658TC</t>
  </si>
  <si>
    <t>ORIG CO NAME:Merit-Lancaster        ORIG ID:945440567  DESC DATE:       CO ENTRY DESCR:PAYMENT   SEC:PPD    TRACE#:273976366700505 EED:250610   IND ID:                             IND NAME:John Dunning TRN: 1616700505TC</t>
  </si>
  <si>
    <t>APPLE.COM/BILL 866-712-7753 CA               06/08</t>
  </si>
  <si>
    <t>Prime Video *NH14P6B3 888-802-3080 WA        06/07</t>
  </si>
  <si>
    <t>APPLE.COM/BILL 866-712-7753 CA               06/06</t>
  </si>
  <si>
    <t>ORIG CO NAME:Austin Iron Hold       ORIG ID:945440567  DESC DATE:       CO ENTRY DESCR:PAYMENT   SEC:PPD    TRACE#:273976365755159 EED:250609   IND ID:                             IND NAME:John Dunning TRN: 1605755159TC</t>
  </si>
  <si>
    <t>Online Transfer to CHK ...3922 transaction#: 25043829857 06/06</t>
  </si>
  <si>
    <t>Prime Video *N68OR3SS 888-802-3080 WA        06/06</t>
  </si>
  <si>
    <t>Prime Video *NH5FJ6G6 888-802-3080 WA        06/06</t>
  </si>
  <si>
    <t>Amazon.com*N63O697Q1 Amzn.com/bill WA        06/05</t>
  </si>
  <si>
    <t>Online Transfer to CHK ...0506 transaction#: 25022807220 06/05</t>
  </si>
  <si>
    <t>Prime Video *N69CM8P5 888-802-3080 WA        06/04</t>
  </si>
  <si>
    <t>Prime Video *N68Z725U 888-802-3080 WA        06/04</t>
  </si>
  <si>
    <t>AMAZON MKTPL*N640091 Amzn.com/bill WA        06/04</t>
  </si>
  <si>
    <t>AMAZON MKTPL*N64E185 Amzn.com/bill WA        06/04</t>
  </si>
  <si>
    <t>AMAZON MKTPL*N61JN2K Amzn.com/bill WA        06/02</t>
  </si>
  <si>
    <t>Online Transfer to CHK ...1168 transaction#: 24989793317 06/02</t>
  </si>
  <si>
    <t>SANTA MONICA SOUVENIR SANTA MONICA CA110145  06/01</t>
  </si>
  <si>
    <t>Prime Video *N68SD2DA 888-802-3080 WA        06/01</t>
  </si>
  <si>
    <t>Experian* Credit Repor 479-3436237 CA        06/01</t>
  </si>
  <si>
    <t>Prime Video *N622L1XH 888-802-3080 WA        05/31</t>
  </si>
  <si>
    <t>APPLE.COM/BILL 866-712-7753 CA               05/29</t>
  </si>
  <si>
    <t>Prime Video *N66B27ZV 888-802-3080 WA        05/29</t>
  </si>
  <si>
    <t>Prime Video *NN32R69R 888-802-3080 WA        05/27</t>
  </si>
  <si>
    <t>Prime Video *NN82E6DV 888-802-3080 WA        05/26</t>
  </si>
  <si>
    <t>APPLE.COM/BILL 866-712-7753 CA               05/25</t>
  </si>
  <si>
    <t>Online Transfer to CHK ...1117 transaction#: 24883648954 05/27</t>
  </si>
  <si>
    <t>Online Transfer to CHK ...1168 transaction#: 24842589640 05/21</t>
  </si>
  <si>
    <t>Netflix.com 408-5403700 CA                   05/21</t>
  </si>
  <si>
    <t>Amazon.com*NW0396YB1 Amzn.com/bill WA        05/20</t>
  </si>
  <si>
    <t>Prime Video *NW0NF8R0 888-802-3080 WA        05/20</t>
  </si>
  <si>
    <t>Prime Video *NZ82G170 888-802-3080 WA        05/19</t>
  </si>
  <si>
    <t>Prime Video *NW3DP3SS 888-802-3080 WA        05/19</t>
  </si>
  <si>
    <t>Prime Video *NZ5XL8QO 888-802-3080 WA        05/18</t>
  </si>
  <si>
    <t>APPLE.COM/BILL 866-712-7753 CA               05/18</t>
  </si>
  <si>
    <t>Audible*NW2EX5TE1 Amzn.com/bill NJ           05/16</t>
  </si>
  <si>
    <t>Online Transfer from CHK ...9082 transaction#: 24793707316</t>
  </si>
  <si>
    <t>Online Transfer to CHK ...9082 transaction#: 24755002378 05/13</t>
  </si>
  <si>
    <t>Online Transfer to CHK ...1168 transaction#: 24752137717 05/13</t>
  </si>
  <si>
    <t>BLOOMBERG* 37033964 BLOOMBERG.COM NY         05/12</t>
  </si>
  <si>
    <t>Prime Video *NI6RH5MH 888-802-3080 WA        05/11</t>
  </si>
  <si>
    <t>APPLE.COM/BILL 866-712-7753 CA               05/11</t>
  </si>
  <si>
    <t>AMAZON MKTPL*NI8900T Amzn.com/bill WA        05/10</t>
  </si>
  <si>
    <t>CITY OF SANTA MONICA SANTA MONICA CA         05/09</t>
  </si>
  <si>
    <t>ONLINE DOMESTIC WIRE TRANSFER A/C: ADMEER ADVISORY, LLC DANA POINT CA 92629-3313 US REF: CONSULTANT FEE TRN: 3485495129ES 05/09</t>
  </si>
  <si>
    <t>Prime Video *NI7NH748 888-802-3080 WA        05/09</t>
  </si>
  <si>
    <t>AMZ*Emergent Devices pay.amazon.co PA        05/08</t>
  </si>
  <si>
    <t>ORIG CO NAME:T and T Machine        ORIG ID:945440567  DESC DATE:       CO ENTRY DESCR:PAYMENT   SEC:PPD    TRACE#:273976362881825 EED:250508   IND ID:                             IND NAME:John Dunning TRN: 1282881825TC</t>
  </si>
  <si>
    <t>Online Transfer to CHK ...1168 transaction#: 24678752814 05/07</t>
  </si>
  <si>
    <t>APPLE.COM/BILL 866-712-7753 CA               05/06</t>
  </si>
  <si>
    <t>ORIG CO NAME:MRM Industrial P       ORIG ID:945440567  DESC DATE:       CO ENTRY DESCR:PAYMENT   SEC:PPD    TRACE#:273976366395232 EED:250507   IND ID:                             IND NAME:John Dunning TRN: 1276395232TC</t>
  </si>
  <si>
    <t>ORIG CO NAME:Austin Iron Hold       ORIG ID:945440567  DESC DATE:       CO ENTRY DESCR:PAYMENT   SEC:PPD    TRACE#:273976366394948 EED:250507   IND ID:                             IND NAME:John Dunning TRN: 1276394948TC</t>
  </si>
  <si>
    <t>ORIG CO NAME:Merit-Lancaster        ORIG ID:945440567  DESC DATE:       CO ENTRY DESCR:PAYMENT   SEC:PPD    TRACE#:273976366395411 EED:250507   IND ID:                             IND NAME:John Dunning TRN: 1276395411TC</t>
  </si>
  <si>
    <t>LADOT METER PARKING LOS ANGELES CA           05/05</t>
  </si>
  <si>
    <t>ORIG CO NAME:AMERICAN EXPRESS       ORIG ID:2005032111 DESC DATE:250505 CO ENTRY DESCR:ACH PMT   SEC:CCD    TRACE#:021000025562928 EED:250505   IND ID:S0208                        IND NAME:JOHN DUNNING                                                                                                 ER AM TRN: 1255562928TC</t>
  </si>
  <si>
    <t>Prime Video *NB30Q0T2 888-802-3080 WA        05/04</t>
  </si>
  <si>
    <t>Prime Video *NB8H23LP 888-802-3080 WA        05/03</t>
  </si>
  <si>
    <t>Prime Video *NB6S59Y9 888-802-3080 WA        05/02</t>
  </si>
  <si>
    <t>Experian* Credit Repor 479-3436237 CA        05/01</t>
  </si>
  <si>
    <t>Online Transfer to CHK ...1168 transaction#: 24583994944 04/29</t>
  </si>
  <si>
    <t>APPLE COM BILL CUPERTINO CA          008063  04/29</t>
  </si>
  <si>
    <t>ORIG CO NAME:AMERICAN EXPRESS       ORIG ID:2005032111 DESC DATE:250428 CO ENTRY DESCR:ACH PMT   SEC:CCD    TRACE#:021000027961574 EED:250428   IND ID:A6472                        IND NAME:JOHN DUNNING                                                                                                 ER AM TRN: 1187961574TC</t>
  </si>
  <si>
    <t>ORIG CO NAME:AMERICAN EXPRESS       ORIG ID:2005032111 DESC DATE:250428 CO ENTRY DESCR:ACH PMT   SEC:CCD    TRACE#:021000027961472 EED:250428   IND ID:A5788                        IND NAME:JOHN DUNNING                                                                                                 ER AM TRN: 1187961472TC</t>
  </si>
  <si>
    <t>Amazon.com*NB8MS0AF2 Amzn.com/bill WA        04/28</t>
  </si>
  <si>
    <t>Prime Video *CR1K2725 888-802-3080 WA        04/27</t>
  </si>
  <si>
    <t>APPLE COM BILL CUPERTINO CA          006176  04/26</t>
  </si>
  <si>
    <t>BOOK TRANSFER CREDIT B/O: PNC BANK NATIONAL ASSOCIATION AKRON OH 44308- US ORG:/4234603259 ELISECO INC OGB: ABA/043000096 PNC BANK, N.A. REF: KALKASKA SCREW PRODUCTS/INS/ABA/043000096PNCBANK TRN: 0628591118EZ</t>
  </si>
  <si>
    <t>BOOK TRANSFER CREDIT B/O: PNC BANK NATIONAL ASSOCIATION AKRON OH 44308- US ORG:/4234603259 ELISECO INC OGB: ABA/043000096 PNC BANK, N.A. REF: PROPERTY: KALKASKA SCREW PRODUCTS/INS/ABA/043000096PNCBANK TRN: 0628271118EZ</t>
  </si>
  <si>
    <t>Prime Video *7Q9PW71S 888-802-3080 WA        04/23</t>
  </si>
  <si>
    <t>Online Transfer to CHK ...3922 transaction#: 24494689156 04/21</t>
  </si>
  <si>
    <t>Netflix.com netflix.com CA                   04/21</t>
  </si>
  <si>
    <t>AMAZON MKTPL*D84H84D Amzn.com/bill WA        04/20</t>
  </si>
  <si>
    <t>APPLE.COM/BILL 866-712-7753 CA               04/20</t>
  </si>
  <si>
    <t>Audible*N88KU1ET0 Amzn.com/bill NJ           04/16</t>
  </si>
  <si>
    <t>APPLE.COM/BILL 866-712-7753 CA               04/12</t>
  </si>
  <si>
    <t>BLOOMBERG* 37033964 BLOOMBERG.COM NY         04/12</t>
  </si>
  <si>
    <t>FOREIGN EXCHANGE RATE ADJUSTMENT FEE         04/10FLORIPA S</t>
  </si>
  <si>
    <t>FOREIGN EXCHANGE RATE ADJUSTMENT FEE         04/10SANTO FAL</t>
  </si>
  <si>
    <t>FLORIPA SOCIETA A RES FIRENZE                04/10 Euro       7.00 X 1.110000 (EXCHG RTE)</t>
  </si>
  <si>
    <t>SANTO FALAFEL FIRENZE                        04/10 Euro       73.50 X 1.109796 (EXCHG RTE)</t>
  </si>
  <si>
    <t>FOREIGN EXCHANGE RATE ADJUSTMENT FEE         04/09SUMUP  *P</t>
  </si>
  <si>
    <t>SUMUP  *PASTIFICIO ARTI SOVICILLE            04/09 Euro       5.40 X 1.100000 (EXCHG RTE)</t>
  </si>
  <si>
    <t>FOREIGN EXCHANGE RATE ADJUSTMENT FEE         04/08CAMPOBASS</t>
  </si>
  <si>
    <t>FOREIGN EXCHANGE RATE ADJUSTMENT FEE         04/08BAR IL PA</t>
  </si>
  <si>
    <t>ONLINE DOMESTIC WIRE TRANSFER VIA: US BANK MINNESOTA/091000022 A/C: US BANK MINNEAPOLIS MN 55402 US REF: GF 5147001874/BNF/ESCROW DEP/TIME/15:07 IMAD: 0409MMQFMP2L030624 TRN: 3526295099ES 04/09</t>
  </si>
  <si>
    <t>BAR IL PALIO DI GIULIAN SIENA                04/08 Euro       131.50 X 1.105171 (EXCHG RTE)</t>
  </si>
  <si>
    <t>CAMPOBASSO SIMONA SIENA                      04/08 Euro       34.70 X 1.105187 (EXCHG RTE)</t>
  </si>
  <si>
    <t>Online Transfer from CHK ...5369 transaction#: 24355470284</t>
  </si>
  <si>
    <t>FOREIGN EXCHANGE RATE ADJUSTMENT FEE         04/07ASPIT ORV</t>
  </si>
  <si>
    <t>FOREIGN EXCHANGE RATE ADJUSTMENT FEE         04/07PARCHEGGI</t>
  </si>
  <si>
    <t>FOREIGN EXCHANGE RATE ADJUSTMENT FEE         04/07ASPIT RMP</t>
  </si>
  <si>
    <t>FOREIGN EXCHANGE RATE ADJUSTMENT FEE         04/07ENZO E SO</t>
  </si>
  <si>
    <t>FOREIGN EXCHANGE RATE ADJUSTMENT FEE         04/07ACQUA DI</t>
  </si>
  <si>
    <t>ENZO E SONIA SIENA                           04/07 Euro       90.00 X 1.111000 (EXCHG RTE)</t>
  </si>
  <si>
    <t>ASPIT RMPP:4063451191- VALDICHIANA           04/07 Euro       8.20 X 1.110976 (EXCHG RTE)</t>
  </si>
  <si>
    <t>ASPIT ORVIETO        - ORTE                  04/07 Euro       3.20 X 1.112500 (EXCHG RTE)</t>
  </si>
  <si>
    <t>PARCHEGGIO CAMPO DELLA ORVIETO               04/07 Euro       4.30 X 1.111628 (EXCHG RTE)</t>
  </si>
  <si>
    <t>ACQUA DI SPELLO ORVIETO                      04/07 Euro       99.00 X 1.111010 (EXCHG RTE)</t>
  </si>
  <si>
    <t>ORIG CO NAME:MRM Industrial P       ORIG ID:945440567  DESC DATE:       CO ENTRY DESCR:PAYMENT   SEC:PPD    TRACE#:273976366956833 EED:250408   IND ID:                             IND NAME:John Dunning TRN: 0986956833TC</t>
  </si>
  <si>
    <t>ORIG CO NAME:Austin Iron Hold       ORIG ID:945440567  DESC DATE:       CO ENTRY DESCR:PAYMENT   SEC:PPD    TRACE#:273976366957231 EED:250408   IND ID:                             IND NAME:John Dunning TRN: 0986957231TC</t>
  </si>
  <si>
    <t>ORIG CO NAME:T and T Machine        ORIG ID:945440567  DESC DATE:       CO ENTRY DESCR:PAYMENT   SEC:PPD    TRACE#:273976366957240 EED:250408   IND ID:                             IND NAME:John Dunning TRN: 0986957240TC</t>
  </si>
  <si>
    <t>ORIG CO NAME:Merit-Lancaster        ORIG ID:945440567  DESC DATE:       CO ENTRY DESCR:PAYMENT   SEC:PPD    TRACE#:273976366955088 EED:250408   IND ID:                             IND NAME:John Dunning TRN: 0986955088TC</t>
  </si>
  <si>
    <t>APPLE.COM/BILL 866-712-7753 CA               04/06</t>
  </si>
  <si>
    <t>FOREIGN EXCHANGE RATE ADJUSTMENT FEE         04/02SOCIAL TA</t>
  </si>
  <si>
    <t>FOREIGN EXCHANGE RATE ADJUSTMENT FEE         04/02100PERCEN</t>
  </si>
  <si>
    <t>FOREIGN EXCHANGE RATE ADJUSTMENT FEE         04/02HONG SUWE</t>
  </si>
  <si>
    <t>100PERCENTOBIO  GEA ROM ROMA                 04/02 Euro       55.10 X 1.083122 (EXCHG RTE)</t>
  </si>
  <si>
    <t>SOCIAL TAXI ROMA                             04/02 Euro       26.00 X 1.083077 (EXCHG RTE)</t>
  </si>
  <si>
    <t>HONG SUWEI ROMA                              04/02 Euro       120.00 X 1.083167 (EXCHG RTE)</t>
  </si>
  <si>
    <t>FOREIGN EXCHANGE RATE ADJUSTMENT FEE         03/25RESTAURAN</t>
  </si>
  <si>
    <t>RESTAURANTE BAR BOWIE S PUNTARENAS           03/25 CR Colon   10228.00 X 0.002015057 (EXCHG RTE)</t>
  </si>
  <si>
    <t>Experian* Credit Repor 479-3436237 CA        04/01</t>
  </si>
  <si>
    <t>Online Transfer to CHK ...1168 transaction#: 24244376834 03/31</t>
  </si>
  <si>
    <t>ORIG CO NAME:AMERICAN EXPRESS       ORIG ID:2005032111 DESC DATE:250331 CO ENTRY DESCR:ACH PMT   SEC:CCD    TRACE#:021000029721867 EED:250331   IND ID:A5456                        IND NAME:JOHN DUNNING                                                                                                 ER AM TRN: 0909721867TC</t>
  </si>
  <si>
    <t>ORIG CO NAME:AMERICAN EXPRESS       ORIG ID:2005032111 DESC DATE:250331 CO ENTRY DESCR:ACH PMT   SEC:CCD    TRACE#:021000029721805 EED:250331   IND ID:A9090                        IND NAME:JOHN DUNNING                                                                                                 ER AM TRN: 0909721805TC</t>
  </si>
  <si>
    <t>Online Transfer to CHK ...1168 transaction#: 24237494598 03/31</t>
  </si>
  <si>
    <t>SQ *ALANA'S COFFEE ROA Los Angeles CA        03/29</t>
  </si>
  <si>
    <t>APPLE.COM/BILL 866-712-7753 CA               03/29</t>
  </si>
  <si>
    <t>Prime Video *IB8GG8VK 888-802-3080 WA        03/29</t>
  </si>
  <si>
    <t>ORIG CO NAME:AMERICAN EXPRESS       ORIG ID:2005032111 DESC DATE:250328 CO ENTRY DESCR:ACH PMT   SEC:CCD    TRACE#:021000023228679 EED:250328   IND ID:A0966                        IND NAME:JOHN DUNNING                                                                                                 ER AM TRN: 0873228679TC</t>
  </si>
  <si>
    <t>Online Transfer to CHK ...1168 transaction#: 24215691297 03/28</t>
  </si>
  <si>
    <t>FOREIGN EXCHANGE RATE ADJUSTMENT FEE         03/25GLOBAL VI</t>
  </si>
  <si>
    <t>FOREIGN EXCHANGE RATE ADJUSTMENT FEE         03/25CASINO FI</t>
  </si>
  <si>
    <t>FOREIGN EXCHANGE RATE ADJUSTMENT FEE         03/25ISHOP MAN</t>
  </si>
  <si>
    <t>FOREIGN EXCHANGE RATE ADJUSTMENT FEE         03/25KARMA CAF</t>
  </si>
  <si>
    <t>DELTA AIR   00601906358 ATLANTA GA           03/26</t>
  </si>
  <si>
    <t>GASTRO PUB 45 ALAJUELA                       03/26</t>
  </si>
  <si>
    <t>CASINO FIESTA ALAJUELA ALAJUELA              03/25 CR Colon   1600.00 X 0.002018750 (EXCHG RTE)</t>
  </si>
  <si>
    <t>RESTAURANTE DENNY S ALA ALAJUELA             03/25 CR Colon   14235.00 X 0.002018265 (EXCHG RTE)</t>
  </si>
  <si>
    <t>ISHOP MANGO PLAZA ALAJUELA                   03/25 CR Colon   12042.96 X 0.002018607 (EXCHG RTE)</t>
  </si>
  <si>
    <t>GLOBAL VIA RUTA 27 SAN JOSE                  03/25 CR Colon   620.00 X 0.002016129 (EXCHG RTE)</t>
  </si>
  <si>
    <t>GLOBAL VIA RUTA 27 SAN JOSE                  03/25 CR Colon   820.00 X 0.002012195 (EXCHG RTE)</t>
  </si>
  <si>
    <t>KARMA CAFE Y RESTAURANT PUNTARENAS           03/25 CR Colon   12200.00 X 0.002009836 (EXCHG RTE)</t>
  </si>
  <si>
    <t>FOREIGN EXCHANGE RATE ADJUSTMENT FEE         03/24ELIXIR PA</t>
  </si>
  <si>
    <t>FOREIGN EXCHANGE RATE ADJUSTMENT FEE         03/24ORANGE LI</t>
  </si>
  <si>
    <t>FOREIGN EXCHANGE RATE ADJUSTMENT FEE         03/24KARMA CAF</t>
  </si>
  <si>
    <t>ELIXIR PARRITA                               03/24 CR Colon   3300.00 X 0.002009091 (EXCHG RTE)</t>
  </si>
  <si>
    <t>ELIXIR PARRITA                               03/24 CR Colon   5500.00 X 0.002010909 (EXCHG RTE)</t>
  </si>
  <si>
    <t>ORANGE LIQUOR STORE PUNTARENAS               03/24 CR Colon   19200.00 X 0.002012500 (EXCHG RTE)</t>
  </si>
  <si>
    <t>KARMA CAFE Y RESTAURANT PUNTARENAS           03/24 CR Colon   28100.00 X 0.002012456 (EXCHG RTE)</t>
  </si>
  <si>
    <t>FOREIGN EXCHANGE RATE ADJUSTMENT FEE         03/23SUPER SOL</t>
  </si>
  <si>
    <t>FOREIGN EXCHANGE RATE ADJUSTMENT FEE         03/23ELIXIR PA</t>
  </si>
  <si>
    <t>FOREIGN EXCHANGE RATE ADJUSTMENT FEE         03/23KARMA CAF</t>
  </si>
  <si>
    <t>FOREIGN EXCHANGE RATE ADJUSTMENT FEE         03/24LINEUP GA</t>
  </si>
  <si>
    <t>FOREIGN EXCHANGE RATE ADJUSTMENT FEE 002498  03/25CASINO FI</t>
  </si>
  <si>
    <t>NON-CHASE ATM WITHDRAW               002498  03/25CASINO FI CR Colon   200000.00 X 0.002018284 (EXCHG RTE)</t>
  </si>
  <si>
    <t>LINEUP GARABITO                              03/24 CR Colon   16500.00 X 0.002012121 (EXCHG RTE)</t>
  </si>
  <si>
    <t>SUPER SOL PUNTARENAS                         03/23 CR Colon   4200.00 X 0.002011905 (EXCHG RTE)</t>
  </si>
  <si>
    <t>ELIXIR PARRITA                               03/23 CR Colon   6600.00 X 0.002012121 (EXCHG RTE)</t>
  </si>
  <si>
    <t>KARMA CAFE Y RESTAURANT PUNTARENAS           03/23 CR Colon   12700.00 X 0.002012598 (EXCHG RTE)</t>
  </si>
  <si>
    <t>FOREIGN EXCHANGE RATE ADJUSTMENT FEE         03/21MINISUPER</t>
  </si>
  <si>
    <t>FOREIGN EXCHANGE RATE ADJUSTMENT FEE         03/21DOMINICAL</t>
  </si>
  <si>
    <t>FOREIGN EXCHANGE RATE ADJUSTMENT FEE         03/22KARMA CAF</t>
  </si>
  <si>
    <t>APPLE.COM/BILL 866-712-7753 CA               03/23</t>
  </si>
  <si>
    <t>NON-CHASE ATM WITHDRAW               005190  03/22PUN-BAC-</t>
  </si>
  <si>
    <t>KARMA CAFE Y RESTAURANT PUNTARENAS           03/22 CR Colon   14900.00 X 0.002012081 (EXCHG RTE)</t>
  </si>
  <si>
    <t>CRYSTAL DENTAL CARE PUNTARENAS               03/22</t>
  </si>
  <si>
    <t>DOMINICAL SUPER MARKET PUNTARENAS            03/21 CR Colon   10725.00 X 0.002013054 (EXCHG RTE)</t>
  </si>
  <si>
    <t>MINISUPER EL PARQUE PUNTARENAS               03/21 CR Colon   9950.00 X 0.002013065 (EXCHG RTE)</t>
  </si>
  <si>
    <t>FOREIGN EXCHANGE RATE ADJUSTMENT FEE         03/19GLOBAL VI</t>
  </si>
  <si>
    <t>Netflix 1 8445052993 CA                      03/21</t>
  </si>
  <si>
    <t>GLOBAL VIA RUTA 27 SAN JOSE                  03/19 CR Colon   820.00 X 0.002012195 (EXCHG RTE)</t>
  </si>
  <si>
    <t>GLOBAL EXCHANGE ALAJUEL CENTRAL              03/19</t>
  </si>
  <si>
    <t>FOREIGN EXCHANGE RATE ADJUSTMENT FEE         03/19RESTAURAN</t>
  </si>
  <si>
    <t>RESTAURANTE NEWREST Alajuela                 03/19 CR Colon   990.00 X 0.002020202 (EXCHG RTE)</t>
  </si>
  <si>
    <t>APPLE CASH SENT MONE 1INFINITELOOP CA        03/17</t>
  </si>
  <si>
    <t>ONLINE DOMESTIC WIRE TRANSFER VIA: CY NATL BK LA/122016066 A/C: THE BINDER FAMILY TRUST LOS ANGELES CA 90210 US REF: MAGAMEN/TIME/08:05 IMAD: 0317MMQFMP2M008171 TRN: 3140455076ES 03/17</t>
  </si>
  <si>
    <t>Audible*1E90Q30L3 Amzn.com/bill NJ           03/16</t>
  </si>
  <si>
    <t>APPLE.COM/BILL 866-712-7753 CA               03/16</t>
  </si>
  <si>
    <t>Online Transfer to CHK ...3922 transaction#: 24044292950 03/13</t>
  </si>
  <si>
    <t>Online Transfer to CHK ...1168 transaction#: 24030865047 03/12</t>
  </si>
  <si>
    <t>BLOOMBERG* 37033964 BLOOMBERG.COM NY         03/12</t>
  </si>
  <si>
    <t>Prime Video *G22OL98H 888-802-3080 WA        03/12</t>
  </si>
  <si>
    <t>APPLE.COM/BILL 866-712-7753 CA               03/08</t>
  </si>
  <si>
    <t>ORIG CO NAME:MRM Industrial P       ORIG ID:945440567  DESC DATE:       CO ENTRY DESCR:PAYMENT   SEC:PPD    TRACE#:273976368147576 EED:250310   IND ID:                             IND NAME:John Dunning TRN: 0698147576TC</t>
  </si>
  <si>
    <t>ORIG CO NAME:Austin Iron Hold       ORIG ID:945440567  DESC DATE:       CO ENTRY DESCR:PAYMENT   SEC:PPD    TRACE#:273976368147680 EED:250310   IND ID:                             IND NAME:John Dunning TRN: 0698147680TC</t>
  </si>
  <si>
    <t>ORIG CO NAME:T and T Machine        ORIG ID:945440567  DESC DATE:       CO ENTRY DESCR:PAYMENT   SEC:PPD    TRACE#:273976368146923 EED:250310   IND ID:                             IND NAME:John Dunning TRN: 0698146923TC</t>
  </si>
  <si>
    <t>ORIG CO NAME:Merit-Lancaster        ORIG ID:945440567  DESC DATE:       CO ENTRY DESCR:PAYMENT   SEC:PPD    TRACE#:273976368146712 EED:250310   IND ID:                             IND NAME:John Dunning TRN: 0698146712TC</t>
  </si>
  <si>
    <t>APPLE.COM/BILL 866-712-7753 CA               03/07</t>
  </si>
  <si>
    <t>Online Transfer to CHK ...1168 transaction#: 23962559557 03/06</t>
  </si>
  <si>
    <t>AMAZON MKTPL*PZ7DC4D Amzn.com/bill WA        03/05</t>
  </si>
  <si>
    <t>Amazon.com*0V5Z14ZC3 Amzn.com/bill WA        03/05</t>
  </si>
  <si>
    <t>Experian* Credit Repor 479-3436237 CA        03/01</t>
  </si>
  <si>
    <t>APPLE.COM/BILL 866-712-7753 CA               02/28</t>
  </si>
  <si>
    <t>FEDWIRE CREDIT VIA: BANK OF AMERICA, N.A./026009593 B/O: CT SOCAL COMM FBSC/CT BS FXBC RIVERSIDE CA 92505 US REF: CHASE NYC/CTR/BNF=POSEIDON ASSET GROUP, LLC LOS ANGELES CA 90066-3638 US/AC-000000007200 RFB=1-18699994 O BI=FN-FBSC2404478 LOAN FINANCING F/EE 1 200 INDUSTRIAL BLVD. PROPADDR/-1 200 &amp; 1279 IN IMAD: 0303B6B7HU4R021630 TRN: 1548351062FF</t>
  </si>
  <si>
    <t>FEDWIRE CREDIT VIA: BANK OF AMERICA, N.A./026009593 B/O: CT SOCAL COMM FBSC/CT BS FXBC RIVERSIDE CA 92505 US REF: CHASE NYC/CTR/BNF=POSEIDON ASSET GROUP, LLC LOS ANGELES CA 90066-3638 US/AC-000000007200 RFB=1-18699985 O BI=FN-FBSC2404478 COMMISSION - BRO/KE RA GE FEE BUTLER WELDMENTS PROPA/DD R-12 00 &amp; 12 IMAD: 0303B6B7HU4R021620 TRN: 1548181062FF</t>
  </si>
  <si>
    <t>ONLINE DOMESTIC WIRE TRANSFER A/C: ADMEER ADVISORY, LLC DANA POINT CA 92629-3313 US REF: CANDY BARS TRN: 4066615059ES 02/28</t>
  </si>
  <si>
    <t>BOOK TRANSFER B/O: MITCHELL ASSET GROUP INC DALLAS TX 75219-3928 US REF: MARKETING REIMBURSEMENT TRN: 1448200059ES</t>
  </si>
  <si>
    <t>Online Transfer to CHK ...1168 transaction#: 23870501813 02/27</t>
  </si>
  <si>
    <t>Prime Video *Y82KQ9NO 888-802-3080 WA        02/25</t>
  </si>
  <si>
    <t>APPLE.COM/BILL 866-712-7753 CA               02/22</t>
  </si>
  <si>
    <t>Netflix 1 8445052993 CA                      02/21</t>
  </si>
  <si>
    <t>Online Transfer to CHK ...1168 transaction#: 23753572002 02/18</t>
  </si>
  <si>
    <t>AMAZON MKTPL*430UE5C Amzn.com/bill WA        02/16</t>
  </si>
  <si>
    <t>Audible*JS1RR41Y3 Amzn.com/bill NJ           02/16</t>
  </si>
  <si>
    <t>Amazon.com*HF84G0Y93 Amzn.com/bill WA        02/14</t>
  </si>
  <si>
    <t>BLOOMBERG* 37033964 BLOOMBERG.COM NY         02/12</t>
  </si>
  <si>
    <t>Prime Video *N845X6RQ 888-802-3080 WA        02/12</t>
  </si>
  <si>
    <t>APPLE.COM/BILL 866-712-7753 CA               02/12</t>
  </si>
  <si>
    <t>Prime Video *VE5X91GY 888-802-3080 WA        02/11</t>
  </si>
  <si>
    <t>Prime Video *TT8SF0GF 888-802-3080 WA        02/10</t>
  </si>
  <si>
    <t>Prime Video *NZ0B704H 888-802-3080 WA        02/10</t>
  </si>
  <si>
    <t>Prime Video *DO1AX6JG 888-802-3080 WA        02/09</t>
  </si>
  <si>
    <t>Prime Video *Z74BK092 888-802-3080 WA        02/09</t>
  </si>
  <si>
    <t>Amazon.com*Z77TD07Q1 Amzn.com/bill WA        02/08</t>
  </si>
  <si>
    <t>AMAZON MKTPL*6F97U56 Amzn.com/bill WA        02/08</t>
  </si>
  <si>
    <t>Prime Video *Z706D29U 888-802-3080 WA        02/06</t>
  </si>
  <si>
    <t>Prime Video *Z75532MS 888-802-3080 WA        02/06</t>
  </si>
  <si>
    <t>APPLE.COM/BILL 866-712-7753 CA               02/06</t>
  </si>
  <si>
    <t>Prime Video *Z76WL1SV 888-802-3080 WA        02/06</t>
  </si>
  <si>
    <t>ORIG CO NAME:MRM Industrial P       ORIG ID:945440567  DESC DATE:       CO ENTRY DESCR:PAYMENT   SEC:PPD    TRACE#:273976365173893 EED:250206   IND ID:                             IND NAME:John Dunning TRN: 0375173893TC</t>
  </si>
  <si>
    <t>ORIG CO NAME:Austin Iron Hold       ORIG ID:945440567  DESC DATE:       CO ENTRY DESCR:PAYMENT   SEC:PPD    TRACE#:273976365172830 EED:250206   IND ID:                             IND NAME:John Dunning TRN: 0375172830TC</t>
  </si>
  <si>
    <t>ORIG CO NAME:Merit-Lancaster        ORIG ID:945440567  DESC DATE:       CO ENTRY DESCR:PAYMENT   SEC:PPD    TRACE#:273976365172082 EED:250206   IND ID:                             IND NAME:John Dunning TRN: 0375172082TC</t>
  </si>
  <si>
    <t>Prime Video *Z763Y5NS 888-802-3080 WA        02/05</t>
  </si>
  <si>
    <t>APPLE.COM/BILL 866-712-7753 CA               02/05</t>
  </si>
  <si>
    <t>ORIG CO NAME:T and T Machine        ORIG ID:945440567  DESC DATE:       CO ENTRY DESCR:PAYMENT   SEC:PPD    TRACE#:273976365708059 EED:250205   IND ID:                             IND NAME:John Dunning TRN: 0365708059TC</t>
  </si>
  <si>
    <t>BOOK TRANSFER B/O: MITCHELL ASSET GROUP INC DALLAS TX 75219-3928 US REF: MARKETING REIMBURSEMENT TRN: 1017000036ES</t>
  </si>
  <si>
    <t>ONLINE DOMESTIC WIRE TRANSFER A/C: ADMEER ADVISORY, LLC DANA POINT CA 92629-3313 US REF: ADVISORY TRN: 3582645035ES 02/04</t>
  </si>
  <si>
    <t>Prime Video *0W8G00Z4 888-802-3080 WA        02/04</t>
  </si>
  <si>
    <t>Online Transfer to CHK ...1168 transaction#: 23608750104 02/03</t>
  </si>
  <si>
    <t>Prime Video *ZC5AO2Q7 888-802-3080 WA        02/02</t>
  </si>
  <si>
    <t>VENMO  *PRAGERUNIVE 8558124430 CA            02/01</t>
  </si>
  <si>
    <t>Online Transfer to CHK ...1168 transaction#: 23551739213 01/30</t>
  </si>
  <si>
    <t>APPLE COM BILL CUPERTINO CA          479868  01/29</t>
  </si>
  <si>
    <t>ORIG CO NAME:AMERICAN EXPRESS       ORIG ID:2005032111 DESC DATE:250128 CO ENTRY DESCR:ACH PMT   SEC:CCD    TRACE#:021000024926207 EED:250128   IND ID:W2166                        IND NAME:JOHN DUNNING                                                                                                 ER AM TRN: 0284926207TC</t>
  </si>
  <si>
    <t>APPLE COM BILL CUPERTINO CA          015837  01/28</t>
  </si>
  <si>
    <t>ORIG CO NAME:AMERICAN EXPRESS       ORIG ID:2005032111 DESC DATE:250128 CO ENTRY DESCR:ACH PMT   SEC:CCD    TRACE#:021000027389476 EED:250128   IND ID:W8478                        IND NAME:JOHN DUNNING                                                                                                 ER AM TRN: 0287389476TC</t>
  </si>
  <si>
    <t>APPLE COM BILL CUPERTINO CA          261572  01/28</t>
  </si>
  <si>
    <t>Online Transfer to CHK ...1168 transaction#: 23523543484 01/27</t>
  </si>
  <si>
    <t>APPLE COM BILL CUPERTINO CA          054888  01/25</t>
  </si>
  <si>
    <t>BOOK TRANSFER B/O: MITCHELL ASSET GROUP INC DALLAS TX 75219-3928 US REF: MARKETING REIMBURSEMENT TRN: 1363700022ES</t>
  </si>
  <si>
    <t>APPLE COM BILL CUPERTINO CA          035811  01/21</t>
  </si>
  <si>
    <t>Netflix 1 8445052993 CA                      01/21</t>
  </si>
  <si>
    <t>Prime Video *ZC4A80FH 888-802-3080 WA        01/20</t>
  </si>
  <si>
    <t>Prime Video *Z50A351X 888-802-3080 WA        01/19</t>
  </si>
  <si>
    <t>AMAZON DIGI* Z573G63 HTTPSWWW.LINK WA        01/18</t>
  </si>
  <si>
    <t>AMAZON DIGI* Z550Q3N HTTPSWWW.LINK WA        01/17</t>
  </si>
  <si>
    <t>Audible*ZD8VH0WU1 Amzn.com/bill NJ           01/16</t>
  </si>
  <si>
    <t>ONLINE DOMESTIC WIRE TRANSFER A/C: ADMEER ADVISORY, LLC DANA POINT CA 92629-3313 US REF: CANDY BARS TRN: 3557045015ES 01/15</t>
  </si>
  <si>
    <t>APPLE.COM/BILL 866-712-7753 CA               01/15</t>
  </si>
  <si>
    <t>BOOK TRANSFER B/O: MITCHELL ASSET GROUP INC DALLAS TX 75219-3928 US REF: MARKETING REIMBURSEMENT TRN: 1315000015ES</t>
  </si>
  <si>
    <t>APPLE COM BILL CUPERTINO CA          073424  01/14</t>
  </si>
  <si>
    <t>Online Transfer to CHK ...9905 transaction#: 23382915949 01/14</t>
  </si>
  <si>
    <t>BLOOMBERG* 37033964 BLOOMBERG.COM NY         01/12</t>
  </si>
  <si>
    <t>ORIG CO NAME:T and T Machine        ORIG ID:945440567  DESC DATE:       CO ENTRY DESCR:PAYMENT   SEC:PPD    TRACE#:273976368980695 EED:250113   IND ID:                             IND NAME:John Dunning TRN: 0138980695TC</t>
  </si>
  <si>
    <t>ORIG CO NAME:Merit-Lancaster        ORIG ID:945440567  DESC DATE:       CO ENTRY DESCR:PAYMENT   SEC:PPD    TRACE#:273976368981184 EED:250113   IND ID:                             IND NAME:John Dunning TRN: 0138981184TC</t>
  </si>
  <si>
    <t>ORIG CO NAME:MRM Industrial P       ORIG ID:945440567  DESC DATE:       CO ENTRY DESCR:PAYMENT   SEC:PPD    TRACE#:273976360824258 EED:250110   IND ID:                             IND NAME:John Dunning TRN: 0100824258TC</t>
  </si>
  <si>
    <t>ORIG CO NAME:Austin Iron Hold       ORIG ID:945440567  DESC DATE:       CO ENTRY DESCR:PAYMENT   SEC:PPD    TRACE#:273976360824794 EED:250110   IND ID:                             IND NAME:John Dunning TRN: 0100824794TC</t>
  </si>
  <si>
    <t>APPLE.COM/BILL 866-712-7753 CA               01/08</t>
  </si>
  <si>
    <t>Prime Video *ZD6U27NI 888-802-3080 WA        01/07</t>
  </si>
  <si>
    <t>APPLE.COM/BILL 866-712-7753 CA               01/06</t>
  </si>
  <si>
    <t>AMAZON MKTPL*ZP8K99B Amzn.com/bill WA        01/07</t>
  </si>
  <si>
    <t>Prime Video *ZP81J6PM 888-802-3080 WA        01/05</t>
  </si>
  <si>
    <t>Prime Video *ZP47L0A9 888-802-3080 WA        01/05</t>
  </si>
  <si>
    <t>Prime Video *ZP7BZ36K 888-802-3080 WA        01/04</t>
  </si>
  <si>
    <t>Prime Video *ZD7IV7PA 888-802-3080 WA        01/04</t>
  </si>
  <si>
    <t>ONLINE DOMESTIC WIRE TRANSFER VIA: WELLS FARGO NA/121000248 A/C: RYAN BILLINGS SHADOW HILLS CA 91040 US REF: DECEMBER BONUS PLUS JANUARY BONUS PLUS META ADS REIMBURSEMENT/TIME/15: 44 IMAD: 0103MMQFMP2L033217 TRN: 3714055003ES 01/03</t>
  </si>
  <si>
    <t>Prime Video *ZD05R4NU 888-802-3080 WA        01/03</t>
  </si>
  <si>
    <t>Prime Video *ZE1W29W1 888-802-3080 WA        01/02</t>
  </si>
  <si>
    <t>FEDWIRE CREDIT VIA: BANK OF AMERICA, N.A./026009593 B/O: CT SOCAL COMM FBSC/CT BS FXBC RIVERSIDE CA 92505 US REF: CHASE NYC/CTR/BNF=POSEIDON ASSET GROUP, LLC LOS ANGELES CA 90066-3638 US/AC-000000007200 RFB=1-18462074 O BI=FN-FBSC2403516 LOAN BROKER FEE/A ND DEPOSIT REIMB EDGE BUUILDERS P/R OP AD DR-1607  IMAD: 0102B6B7HU2R020214 TRN: 1195521002FF</t>
  </si>
  <si>
    <t>FEDWIRE CREDIT VIA: BANK OF AMERICA, N.A./026009593 B/O: CT SOCAL COMM FBSC/CT BS FXBC RIVERSIDE CA 92505 US REF: CHASE NYC/CTR/BNF=POSEIDON ASSET GROUP, LLC LOS ANGELES CA 90066-3638 US/AC-000000007200 RFB=1-18462071 O BI=FN-FBSC2403516 SELLING BROKER C/OM MI SSION PROPADDR-1607 PINE STRE/ET , PR ESCOTT, IMAD: 0102B6B7HU2R020217 TRN: 1195751002FF</t>
  </si>
  <si>
    <t>Categories</t>
  </si>
  <si>
    <t>Transfer to JAL Southbend</t>
  </si>
  <si>
    <t>Personal - Subscriptions</t>
  </si>
  <si>
    <t>Amazon</t>
  </si>
  <si>
    <t>American Express Credit Card PMT</t>
  </si>
  <si>
    <t>Transfer to DWG Capital Partners</t>
  </si>
  <si>
    <t>Deal Specific: T&amp;T Machine</t>
  </si>
  <si>
    <t>Office/Miscellaneous Reimbursement - Mike P.</t>
  </si>
  <si>
    <t>Personal - Travel</t>
  </si>
  <si>
    <t>Deal Specific: Rabourn Road</t>
  </si>
  <si>
    <t>Deal Specific: MRM</t>
  </si>
  <si>
    <t>Deal Specific: Austin Iron</t>
  </si>
  <si>
    <t>Deal Specific: Merit-Lancaster</t>
  </si>
  <si>
    <t>Transfer to DWG Capital Group</t>
  </si>
  <si>
    <t>Transfer to DWG Capital Group_Costar</t>
  </si>
  <si>
    <t>Personal - Health (incl. Ins.)</t>
  </si>
  <si>
    <t>Apple Payment</t>
  </si>
  <si>
    <t>MAG Marketing Reimbursement</t>
  </si>
  <si>
    <t>ACH payment to CALCPA group</t>
  </si>
  <si>
    <t>Personal - Food &amp; Dining</t>
  </si>
  <si>
    <t>Personal - Car</t>
  </si>
  <si>
    <t>Bank Fees</t>
  </si>
  <si>
    <t>Transfer to Angela Dunning</t>
  </si>
  <si>
    <t>MAG - Admeer Advisory Transfer</t>
  </si>
  <si>
    <t>Transfer to Edgebuilders</t>
  </si>
  <si>
    <t>Transfer from DWG Capital Partners</t>
  </si>
  <si>
    <t>Personal - Travel (Canada)</t>
  </si>
  <si>
    <t>Incoming Commission: Edge Builder</t>
  </si>
  <si>
    <t>Wire Out — Edge Builder Commission Payments</t>
  </si>
  <si>
    <t>Amazon Prime Video</t>
  </si>
  <si>
    <t>MAG - Admeer Advisory Reimbursement</t>
  </si>
  <si>
    <t>Incoming Commission: Butler Weldments</t>
  </si>
  <si>
    <t>Wire to Binder Family Trust - TBD</t>
  </si>
  <si>
    <t>Personal - Travel (Costa Rica Trip #1)</t>
  </si>
  <si>
    <t>Personal - Travel (Italy)</t>
  </si>
  <si>
    <t>Incoming Commission: Kalkaska Screw</t>
  </si>
  <si>
    <t>Deal Specific: JAL Breese</t>
  </si>
  <si>
    <t>Transfer to Hibbert</t>
  </si>
  <si>
    <t>Transfer from Hibbert</t>
  </si>
  <si>
    <t>Personal - Entertainment</t>
  </si>
  <si>
    <t>Transfer to T&amp;T Machine</t>
  </si>
  <si>
    <t>Incoming Crystal Asset Management Wire</t>
  </si>
  <si>
    <t>Outgoing Crystal Asset Management Wire</t>
  </si>
  <si>
    <t>Incoming Commission: Breese</t>
  </si>
  <si>
    <t>Transfer from Breese</t>
  </si>
  <si>
    <t>ACH Payment - Astronomics</t>
  </si>
  <si>
    <t>Zelle to Ashley Sarshar</t>
  </si>
  <si>
    <t>Zelle to Rami Frankl</t>
  </si>
  <si>
    <t>Zelle to David Goldsmith</t>
  </si>
  <si>
    <t>Zelle to Mark Atkins</t>
  </si>
  <si>
    <t>Zelle to Sentha</t>
  </si>
  <si>
    <t>Outgoing wire to JC Whitner</t>
  </si>
  <si>
    <t>Incoming wire from JC Whitner</t>
  </si>
  <si>
    <t>Deposit</t>
  </si>
  <si>
    <t>Personal - Travel (Costa Rica Trip #2)</t>
  </si>
  <si>
    <t>Transfer to Ava</t>
  </si>
  <si>
    <t>Transfer to Kalkaska Screw</t>
  </si>
  <si>
    <t>Transfer to MRM</t>
  </si>
  <si>
    <t>Transfer from Kalkaska Screw</t>
  </si>
  <si>
    <t>IRS Tax Payment</t>
  </si>
  <si>
    <t>AI Subscriptions</t>
  </si>
  <si>
    <t>Personal - Gift (Dax Mitchell)</t>
  </si>
  <si>
    <t>Deal Specific: Moab</t>
  </si>
  <si>
    <t>Personal - Donation</t>
  </si>
  <si>
    <t>Incoming Commission: Stryten Energy</t>
  </si>
  <si>
    <t>Deal Specific: Hibbert</t>
  </si>
  <si>
    <t>Personal - Shopping</t>
  </si>
  <si>
    <t>Employee Bonus</t>
  </si>
  <si>
    <t>Wire Out — Stryten Commission Payments</t>
  </si>
  <si>
    <t>Personal - Clothing</t>
  </si>
  <si>
    <t>MAG Capital Partners Pass-Through Wire – 70/30 Split</t>
  </si>
  <si>
    <t>Due to Andrew – MAG Pass-Through 30%</t>
  </si>
  <si>
    <t>Due to Dax – MAG Pass-Through 70%</t>
  </si>
  <si>
    <t>Deal Specific: Cloverdale</t>
  </si>
  <si>
    <t>Ben Mandel - Payroll</t>
  </si>
  <si>
    <t>DWG Operations</t>
  </si>
  <si>
    <t>Wire to Top Shield Roofing CO</t>
  </si>
  <si>
    <t>Transfer to Kecy Metals</t>
  </si>
  <si>
    <t>Raw Category</t>
  </si>
  <si>
    <t>Combined Category</t>
  </si>
  <si>
    <t>Group</t>
  </si>
  <si>
    <t>DWG Operating</t>
  </si>
  <si>
    <t>Personal — Owner</t>
  </si>
  <si>
    <t>Credit Card &amp; Loan Payments</t>
  </si>
  <si>
    <t>P2P Payments (Zelle/Venmo/PayPal)</t>
  </si>
  <si>
    <t>Payroll &amp; Contractors</t>
  </si>
  <si>
    <t>Deal-Specific</t>
  </si>
  <si>
    <t>Uncategorized — Review</t>
  </si>
  <si>
    <t>MAG Pass-Through</t>
  </si>
  <si>
    <t>Commissions — Incoming</t>
  </si>
  <si>
    <t>Wire Transfers — Incoming</t>
  </si>
  <si>
    <t>Wire Transfers — Outgoing</t>
  </si>
  <si>
    <t>Personal - Car &amp; Auto</t>
  </si>
  <si>
    <t>Intercompany &amp; Savings Transfers</t>
  </si>
  <si>
    <t>Owner / Family Distributions</t>
  </si>
  <si>
    <t>Commissions — Outgoing</t>
  </si>
  <si>
    <t>Zelle to Menashe</t>
  </si>
  <si>
    <t>Category</t>
  </si>
  <si>
    <t>Month</t>
  </si>
  <si>
    <t>Chase 9335 — 2025 Activity</t>
  </si>
  <si>
    <t>Category Summary  |  Jan 2025 – Dec 2025</t>
  </si>
  <si>
    <t>Entity</t>
  </si>
  <si>
    <t>Poseidon Asset Group</t>
  </si>
  <si>
    <t>Account</t>
  </si>
  <si>
    <t>Personal Checking — Chase 9335</t>
  </si>
  <si>
    <t>Period</t>
  </si>
  <si>
    <t>Jan 2025 – Dec 2025</t>
  </si>
  <si>
    <t>TOTALS</t>
  </si>
  <si>
    <t>Total Inflows</t>
  </si>
  <si>
    <t>Total Outflows</t>
  </si>
  <si>
    <t>Net Change</t>
  </si>
  <si>
    <t>Inflows</t>
  </si>
  <si>
    <t>Outflows</t>
  </si>
  <si>
    <t>Net</t>
  </si>
  <si>
    <t>Subtotal — Deal-Specific</t>
  </si>
  <si>
    <t>Subtotal — Commissions — Incoming</t>
  </si>
  <si>
    <t>Subtotal — Commissions — Outgoing</t>
  </si>
  <si>
    <t>Subtotal — MAG Pass-Through</t>
  </si>
  <si>
    <t>Subtotal — Wire Transfers — Incoming</t>
  </si>
  <si>
    <t>Subtotal — Wire Transfers — Outgoing</t>
  </si>
  <si>
    <t>Subtotal — Intercompany &amp; Savings Transfers</t>
  </si>
  <si>
    <t>Subtotal — Owner / Family Distributions</t>
  </si>
  <si>
    <t>Subtotal — P2P Payments (Zelle/Venmo/PayPal)</t>
  </si>
  <si>
    <t>Subtotal — Payroll &amp; Contractors</t>
  </si>
  <si>
    <t>Subtotal — Credit Card &amp; Loan Payments</t>
  </si>
  <si>
    <t>Subtotal — Personal — Owner</t>
  </si>
  <si>
    <t>Subtotal — DWG Operating</t>
  </si>
  <si>
    <t>Subtotal — Uncategorized — Review</t>
  </si>
  <si>
    <t>Monthly Breakdown  |  Net by Category  |  Jan 2025 – Dec 2025</t>
  </si>
  <si>
    <t>Total</t>
  </si>
  <si>
    <t>Monthly Detail — Spend by Individual Category  |  Jan 2025 – Dec 2025</t>
  </si>
  <si>
    <t>Chase 9335 — 2025 Activity — Transfer In</t>
  </si>
  <si>
    <t>Statement  |  Jan 2025 – Dec 2025</t>
  </si>
  <si>
    <t>SUMMARY</t>
  </si>
  <si>
    <t># Transactions</t>
  </si>
  <si>
    <t>BY COUNTERPARTY</t>
  </si>
  <si>
    <t>Counterparty</t>
  </si>
  <si>
    <t># Txns</t>
  </si>
  <si>
    <t>Subtotal</t>
  </si>
  <si>
    <t>DETAIL</t>
  </si>
  <si>
    <t>Date</t>
  </si>
  <si>
    <t>Chase 9335 — 2025 Activity — Transfer Out</t>
  </si>
  <si>
    <t>Commissions Statement  |  Jan 2025 – Dec 2025</t>
  </si>
  <si>
    <t>Commissions Earned (net)</t>
  </si>
  <si>
    <t>Commissions Paid Out</t>
  </si>
  <si>
    <t>Net Commission Kept</t>
  </si>
  <si>
    <t>Chase 9335 — 2025 Activity — Wire In</t>
  </si>
  <si>
    <t>Chase 9335 — 2025 Activity — Wire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</si>
</sst>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mm/dd/yyyy"/>
    <numFmt numFmtId="170" formatCode="&quot;$&quot;#,##0;\(&quot;$&quot;#,##0\);&quot;-&quot;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9"/>
      <color rgb="FF6B6B6B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i/>
      <sz val="11"/>
      <color rgb="FFFFFFFF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C2C2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DEDE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18" fillId="0" borderId="0" xfId="0" applyFont="1" applyAlignment="1">
      <alignment wrapText="1"/>
    </xf>
    <xf numFmtId="170" fontId="0" fillId="0" borderId="0" xfId="0" applyNumberFormat="1"/>
    <xf numFmtId="0" fontId="19" fillId="33" borderId="0" xfId="0" applyFont="1" applyFill="1"/>
    <xf numFmtId="0" fontId="20" fillId="33" borderId="0" xfId="0" applyFont="1" applyFill="1"/>
    <xf numFmtId="0" fontId="21" fillId="33" borderId="0" xfId="0" applyFont="1" applyFill="1"/>
    <xf numFmtId="0" fontId="22" fillId="0" borderId="0" xfId="0" applyFont="1"/>
    <xf numFmtId="0" fontId="23" fillId="0" borderId="0" xfId="0" applyFont="1"/>
    <xf numFmtId="0" fontId="22" fillId="34" borderId="0" xfId="0" applyFont="1" applyFill="1"/>
    <xf numFmtId="0" fontId="24" fillId="0" borderId="0" xfId="0" applyFont="1"/>
    <xf numFmtId="0" fontId="16" fillId="35" borderId="0" xfId="0" applyFont="1" applyFill="1"/>
    <xf numFmtId="0" fontId="25" fillId="35" borderId="0" xfId="0" applyFont="1" applyFill="1"/>
    <xf numFmtId="170" fontId="23" fillId="0" borderId="0" xfId="0" applyNumberFormat="1" applyFont="1"/>
    <xf numFmtId="170" fontId="24" fillId="0" borderId="0" xfId="0" applyNumberFormat="1" applyFont="1"/>
    <xf numFmtId="170" fontId="25" fillId="35" borderId="0" xfId="0" applyNumberFormat="1" applyFont="1" applyFill="1"/>
    <xf numFmtId="0" fontId="26" fillId="33" borderId="0" xfId="0" applyFont="1" applyFill="1"/>
    <xf numFmtId="17" fontId="26" fillId="33" borderId="0" xfId="0" applyNumberFormat="1" applyFont="1" applyFill="1"/>
    <xf numFmtId="0" fontId="25" fillId="36" borderId="0" xfId="0" applyFont="1" applyFill="1"/>
    <xf numFmtId="170" fontId="25" fillId="36" borderId="0" xfId="0" applyNumberFormat="1" applyFont="1" applyFill="1"/>
    <xf numFmtId="170" fontId="16" fillId="35" borderId="0" xfId="0" applyNumberFormat="1" applyFont="1" applyFill="1"/>
    <xf numFmtId="0" fontId="27" fillId="35" borderId="0" xfId="0" applyFont="1" applyFill="1"/>
    <xf numFmtId="170" fontId="27" fillId="35" borderId="0" xfId="0" applyNumberFormat="1" applyFont="1" applyFill="1"/>
    <xf numFmtId="1" fontId="23" fillId="0" borderId="0" xfId="0" applyNumberFormat="1" applyFont="1"/>
    <xf numFmtId="14" fontId="23" fillId="0" borderId="0" xfId="0" applyNumberFormat="1" applyFont="1"/>
    <xf numFmtId="0" fontId="28" fillId="33" borderId="0" xfId="0" applyFont="1" applyFill="1"/>
    <xf numFmtId="168" fontId="23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65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CF2E672-1930-491A-9BB3-37EC226A0D99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15690d27-1207-429c-8034-be46f86fd429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C1822EE-9A1F-4FD7-A1F9-C832D6439DD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3ed4a68-e31f-44e4-aa10-97c24b1760a5&quot;"/>
  </we:properties>
  <we:bindings/>
  <we:snapshot xmlns:r="http://schemas.openxmlformats.org/officeDocument/2006/relationships"/>
</we:webextension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43591-CC95-4ED9-838D-73A4A4976583}">
  <dimension ref="A1:D134"/>
  <sheetViews>
    <sheetView tabSelected="1" topLeftCell="A24" workbookViewId="0">
      <selection activeCell="I30" sqref="I30"/>
    </sheetView>
  </sheetViews>
  <sheetFormatPr defaultRowHeight="15" x14ac:dyDescent="0.25"/>
  <cols>
    <col min="1" max="1" width="48.7109375" bestFit="1" customWidth="1"/>
    <col min="2" max="2" width="34.28515625" customWidth="1"/>
    <col min="3" max="3" width="13.5703125" customWidth="1"/>
    <col min="4" max="4" width="16" customWidth="1"/>
  </cols>
  <sheetData>
    <row r="1" spans="1:4" ht="21" x14ac:dyDescent="0.35">
      <c r="A1" s="6" t="s">
        <v>862</v>
      </c>
      <c r="B1" s="6"/>
      <c r="C1" s="6"/>
      <c r="D1" s="6"/>
    </row>
    <row r="2" spans="1:4" x14ac:dyDescent="0.25">
      <c r="A2" s="4" t="s">
        <v>863</v>
      </c>
      <c r="B2" s="4"/>
      <c r="C2" s="4"/>
      <c r="D2" s="4"/>
    </row>
    <row r="4" spans="1:4" x14ac:dyDescent="0.25">
      <c r="A4" s="7" t="s">
        <v>864</v>
      </c>
      <c r="B4" s="8" t="s">
        <v>865</v>
      </c>
    </row>
    <row r="5" spans="1:4" x14ac:dyDescent="0.25">
      <c r="A5" s="7" t="s">
        <v>866</v>
      </c>
      <c r="B5" s="8" t="s">
        <v>867</v>
      </c>
    </row>
    <row r="6" spans="1:4" x14ac:dyDescent="0.25">
      <c r="A6" s="7" t="s">
        <v>868</v>
      </c>
      <c r="B6" s="8" t="s">
        <v>869</v>
      </c>
    </row>
    <row r="8" spans="1:4" x14ac:dyDescent="0.25">
      <c r="A8" s="5" t="s">
        <v>870</v>
      </c>
      <c r="B8" s="5"/>
      <c r="C8" s="5"/>
      <c r="D8" s="5"/>
    </row>
    <row r="9" spans="1:4" x14ac:dyDescent="0.25">
      <c r="A9" s="8" t="s">
        <v>871</v>
      </c>
      <c r="B9" s="13">
        <f>SUMIFS('Transaction Overview'!$D$2:$D$790,'Transaction Overview'!$D$2:$D$790,"&gt;0")</f>
        <v>2665832.7400000007</v>
      </c>
      <c r="C9" s="8"/>
      <c r="D9" s="8"/>
    </row>
    <row r="10" spans="1:4" x14ac:dyDescent="0.25">
      <c r="A10" s="8" t="s">
        <v>872</v>
      </c>
      <c r="B10" s="13">
        <f>SUMIFS('Transaction Overview'!$D$2:$D$790,'Transaction Overview'!$D$2:$D$790,"&lt;0")</f>
        <v>-2704637.9000000041</v>
      </c>
      <c r="C10" s="8"/>
      <c r="D10" s="8"/>
    </row>
    <row r="11" spans="1:4" x14ac:dyDescent="0.25">
      <c r="A11" s="8" t="s">
        <v>873</v>
      </c>
      <c r="B11" s="13">
        <f>B9+B10</f>
        <v>-38805.160000003409</v>
      </c>
      <c r="C11" s="8"/>
      <c r="D11" s="8"/>
    </row>
    <row r="14" spans="1:4" x14ac:dyDescent="0.25">
      <c r="A14" s="9" t="s">
        <v>860</v>
      </c>
      <c r="B14" s="9" t="s">
        <v>874</v>
      </c>
      <c r="C14" s="9" t="s">
        <v>875</v>
      </c>
      <c r="D14" s="9" t="s">
        <v>876</v>
      </c>
    </row>
    <row r="15" spans="1:4" x14ac:dyDescent="0.25">
      <c r="A15" s="10" t="s">
        <v>849</v>
      </c>
      <c r="B15" s="14"/>
      <c r="C15" s="14"/>
      <c r="D15" s="14"/>
    </row>
    <row r="16" spans="1:4" x14ac:dyDescent="0.25">
      <c r="A16" s="8" t="s">
        <v>774</v>
      </c>
      <c r="B16" s="13">
        <f>SUMIFS('Transaction Overview'!$D$2:$D$790,'Transaction Overview'!$G$2:$G$790,$A16,'Transaction Overview'!$D$2:$D$790,"&gt;0")</f>
        <v>4200</v>
      </c>
      <c r="C16" s="13">
        <f>SUMIFS('Transaction Overview'!$D$2:$D$790,'Transaction Overview'!$G$2:$G$790,$A16,'Transaction Overview'!$D$2:$D$790,"&lt;0")</f>
        <v>0</v>
      </c>
      <c r="D16" s="13">
        <f>B16+C16</f>
        <v>4200</v>
      </c>
    </row>
    <row r="17" spans="1:4" x14ac:dyDescent="0.25">
      <c r="A17" s="8" t="s">
        <v>836</v>
      </c>
      <c r="B17" s="13">
        <f>SUMIFS('Transaction Overview'!$D$2:$D$790,'Transaction Overview'!$G$2:$G$790,$A17,'Transaction Overview'!$D$2:$D$790,"&gt;0")</f>
        <v>0</v>
      </c>
      <c r="C17" s="13">
        <f>SUMIFS('Transaction Overview'!$D$2:$D$790,'Transaction Overview'!$G$2:$G$790,$A17,'Transaction Overview'!$D$2:$D$790,"&lt;0")</f>
        <v>-155000</v>
      </c>
      <c r="D17" s="13">
        <f>B17+C17</f>
        <v>-155000</v>
      </c>
    </row>
    <row r="18" spans="1:4" x14ac:dyDescent="0.25">
      <c r="A18" s="8" t="s">
        <v>828</v>
      </c>
      <c r="B18" s="13">
        <f>SUMIFS('Transaction Overview'!$D$2:$D$790,'Transaction Overview'!$G$2:$G$790,$A18,'Transaction Overview'!$D$2:$D$790,"&gt;0")</f>
        <v>0</v>
      </c>
      <c r="C18" s="13">
        <f>SUMIFS('Transaction Overview'!$D$2:$D$790,'Transaction Overview'!$G$2:$G$790,$A18,'Transaction Overview'!$D$2:$D$790,"&lt;0")</f>
        <v>-46528.05</v>
      </c>
      <c r="D18" s="13">
        <f>B18+C18</f>
        <v>-46528.05</v>
      </c>
    </row>
    <row r="19" spans="1:4" x14ac:dyDescent="0.25">
      <c r="A19" s="8" t="s">
        <v>799</v>
      </c>
      <c r="B19" s="13">
        <f>SUMIFS('Transaction Overview'!$D$2:$D$790,'Transaction Overview'!$G$2:$G$790,$A19,'Transaction Overview'!$D$2:$D$790,"&gt;0")</f>
        <v>0</v>
      </c>
      <c r="C19" s="13">
        <f>SUMIFS('Transaction Overview'!$D$2:$D$790,'Transaction Overview'!$G$2:$G$790,$A19,'Transaction Overview'!$D$2:$D$790,"&lt;0")</f>
        <v>-50000</v>
      </c>
      <c r="D19" s="13">
        <f>B19+C19</f>
        <v>-50000</v>
      </c>
    </row>
    <row r="20" spans="1:4" x14ac:dyDescent="0.25">
      <c r="A20" s="8" t="s">
        <v>775</v>
      </c>
      <c r="B20" s="13">
        <f>SUMIFS('Transaction Overview'!$D$2:$D$790,'Transaction Overview'!$G$2:$G$790,$A20,'Transaction Overview'!$D$2:$D$790,"&gt;0")</f>
        <v>5687.1399999999994</v>
      </c>
      <c r="C20" s="13">
        <f>SUMIFS('Transaction Overview'!$D$2:$D$790,'Transaction Overview'!$G$2:$G$790,$A20,'Transaction Overview'!$D$2:$D$790,"&lt;0")</f>
        <v>0</v>
      </c>
      <c r="D20" s="13">
        <f>B20+C20</f>
        <v>5687.1399999999994</v>
      </c>
    </row>
    <row r="21" spans="1:4" x14ac:dyDescent="0.25">
      <c r="A21" s="8" t="s">
        <v>825</v>
      </c>
      <c r="B21" s="13">
        <f>SUMIFS('Transaction Overview'!$D$2:$D$790,'Transaction Overview'!$G$2:$G$790,$A21,'Transaction Overview'!$D$2:$D$790,"&gt;0")</f>
        <v>626675</v>
      </c>
      <c r="C21" s="13">
        <f>SUMIFS('Transaction Overview'!$D$2:$D$790,'Transaction Overview'!$G$2:$G$790,$A21,'Transaction Overview'!$D$2:$D$790,"&lt;0")</f>
        <v>-620000</v>
      </c>
      <c r="D21" s="13">
        <f>B21+C21</f>
        <v>6675</v>
      </c>
    </row>
    <row r="22" spans="1:4" x14ac:dyDescent="0.25">
      <c r="A22" s="8" t="s">
        <v>773</v>
      </c>
      <c r="B22" s="13">
        <f>SUMIFS('Transaction Overview'!$D$2:$D$790,'Transaction Overview'!$G$2:$G$790,$A22,'Transaction Overview'!$D$2:$D$790,"&gt;0")</f>
        <v>2847.4399999999991</v>
      </c>
      <c r="C22" s="13">
        <f>SUMIFS('Transaction Overview'!$D$2:$D$790,'Transaction Overview'!$G$2:$G$790,$A22,'Transaction Overview'!$D$2:$D$790,"&lt;0")</f>
        <v>0</v>
      </c>
      <c r="D22" s="13">
        <f>B22+C22</f>
        <v>2847.4399999999991</v>
      </c>
    </row>
    <row r="23" spans="1:4" x14ac:dyDescent="0.25">
      <c r="A23" s="8" t="s">
        <v>772</v>
      </c>
      <c r="B23" s="13">
        <f>SUMIFS('Transaction Overview'!$D$2:$D$790,'Transaction Overview'!$G$2:$G$790,$A23,'Transaction Overview'!$D$2:$D$790,"&gt;0")</f>
        <v>1166.6500000000001</v>
      </c>
      <c r="C23" s="13">
        <f>SUMIFS('Transaction Overview'!$D$2:$D$790,'Transaction Overview'!$G$2:$G$790,$A23,'Transaction Overview'!$D$2:$D$790,"&lt;0")</f>
        <v>0</v>
      </c>
      <c r="D23" s="13">
        <f>B23+C23</f>
        <v>1166.6500000000001</v>
      </c>
    </row>
    <row r="24" spans="1:4" x14ac:dyDescent="0.25">
      <c r="A24" s="8" t="s">
        <v>769</v>
      </c>
      <c r="B24" s="13">
        <f>SUMIFS('Transaction Overview'!$D$2:$D$790,'Transaction Overview'!$G$2:$G$790,$A24,'Transaction Overview'!$D$2:$D$790,"&gt;0")</f>
        <v>4315.420000000001</v>
      </c>
      <c r="C24" s="13">
        <f>SUMIFS('Transaction Overview'!$D$2:$D$790,'Transaction Overview'!$G$2:$G$790,$A24,'Transaction Overview'!$D$2:$D$790,"&lt;0")</f>
        <v>0</v>
      </c>
      <c r="D24" s="13">
        <f>B24+C24</f>
        <v>4315.420000000001</v>
      </c>
    </row>
    <row r="25" spans="1:4" x14ac:dyDescent="0.25">
      <c r="A25" s="12" t="s">
        <v>877</v>
      </c>
      <c r="B25" s="15">
        <f>SUMIFS('Transaction Overview'!$D$2:$D$790,'Transaction Overview'!$J$2:$J$790,"Deal-Specific",'Transaction Overview'!$D$2:$D$790,"&gt;0")</f>
        <v>644891.65000000014</v>
      </c>
      <c r="C25" s="15">
        <f>SUMIFS('Transaction Overview'!$D$2:$D$790,'Transaction Overview'!$J$2:$J$790,"Deal-Specific",'Transaction Overview'!$D$2:$D$790,"&lt;0")</f>
        <v>-871528.05</v>
      </c>
      <c r="D25" s="15">
        <f>B25+C25</f>
        <v>-226636.39999999991</v>
      </c>
    </row>
    <row r="26" spans="1:4" x14ac:dyDescent="0.25">
      <c r="B26" s="3"/>
      <c r="C26" s="3"/>
      <c r="D26" s="3"/>
    </row>
    <row r="27" spans="1:4" x14ac:dyDescent="0.25">
      <c r="A27" s="10" t="s">
        <v>852</v>
      </c>
      <c r="B27" s="14"/>
      <c r="C27" s="14"/>
      <c r="D27" s="14"/>
    </row>
    <row r="28" spans="1:4" x14ac:dyDescent="0.25">
      <c r="A28" s="8" t="s">
        <v>806</v>
      </c>
      <c r="B28" s="13">
        <f>SUMIFS('Transaction Overview'!$D$2:$D$790,'Transaction Overview'!$G$2:$G$790,$A28,'Transaction Overview'!$D$2:$D$790,"&gt;0")</f>
        <v>269473.73</v>
      </c>
      <c r="C28" s="13">
        <f>SUMIFS('Transaction Overview'!$D$2:$D$790,'Transaction Overview'!$G$2:$G$790,$A28,'Transaction Overview'!$D$2:$D$790,"&lt;0")</f>
        <v>0</v>
      </c>
      <c r="D28" s="13">
        <f>B28+C28</f>
        <v>269473.73</v>
      </c>
    </row>
    <row r="29" spans="1:4" x14ac:dyDescent="0.25">
      <c r="A29" s="8" t="s">
        <v>794</v>
      </c>
      <c r="B29" s="13">
        <f>SUMIFS('Transaction Overview'!$D$2:$D$790,'Transaction Overview'!$G$2:$G$790,$A29,'Transaction Overview'!$D$2:$D$790,"&gt;0")</f>
        <v>164150.5</v>
      </c>
      <c r="C29" s="13">
        <f>SUMIFS('Transaction Overview'!$D$2:$D$790,'Transaction Overview'!$G$2:$G$790,$A29,'Transaction Overview'!$D$2:$D$790,"&lt;0")</f>
        <v>0</v>
      </c>
      <c r="D29" s="13">
        <f>B29+C29</f>
        <v>164150.5</v>
      </c>
    </row>
    <row r="30" spans="1:4" x14ac:dyDescent="0.25">
      <c r="A30" s="8" t="s">
        <v>790</v>
      </c>
      <c r="B30" s="13">
        <f>SUMIFS('Transaction Overview'!$D$2:$D$790,'Transaction Overview'!$G$2:$G$790,$A30,'Transaction Overview'!$D$2:$D$790,"&gt;0")</f>
        <v>148250</v>
      </c>
      <c r="C30" s="13">
        <f>SUMIFS('Transaction Overview'!$D$2:$D$790,'Transaction Overview'!$G$2:$G$790,$A30,'Transaction Overview'!$D$2:$D$790,"&lt;0")</f>
        <v>0</v>
      </c>
      <c r="D30" s="13">
        <f>B30+C30</f>
        <v>148250</v>
      </c>
    </row>
    <row r="31" spans="1:4" x14ac:dyDescent="0.25">
      <c r="A31" s="8" t="s">
        <v>798</v>
      </c>
      <c r="B31" s="13">
        <f>SUMIFS('Transaction Overview'!$D$2:$D$790,'Transaction Overview'!$G$2:$G$790,$A31,'Transaction Overview'!$D$2:$D$790,"&gt;0")</f>
        <v>133875</v>
      </c>
      <c r="C31" s="13">
        <f>SUMIFS('Transaction Overview'!$D$2:$D$790,'Transaction Overview'!$G$2:$G$790,$A31,'Transaction Overview'!$D$2:$D$790,"&lt;0")</f>
        <v>0</v>
      </c>
      <c r="D31" s="13">
        <f>B31+C31</f>
        <v>133875</v>
      </c>
    </row>
    <row r="32" spans="1:4" x14ac:dyDescent="0.25">
      <c r="A32" s="8" t="s">
        <v>827</v>
      </c>
      <c r="B32" s="13">
        <f>SUMIFS('Transaction Overview'!$D$2:$D$790,'Transaction Overview'!$G$2:$G$790,$A32,'Transaction Overview'!$D$2:$D$790,"&gt;0")</f>
        <v>318189.39</v>
      </c>
      <c r="C32" s="13">
        <f>SUMIFS('Transaction Overview'!$D$2:$D$790,'Transaction Overview'!$G$2:$G$790,$A32,'Transaction Overview'!$D$2:$D$790,"&lt;0")</f>
        <v>0</v>
      </c>
      <c r="D32" s="13">
        <f>B32+C32</f>
        <v>318189.39</v>
      </c>
    </row>
    <row r="33" spans="1:4" x14ac:dyDescent="0.25">
      <c r="A33" s="12" t="s">
        <v>878</v>
      </c>
      <c r="B33" s="15">
        <f>SUMIFS('Transaction Overview'!$D$2:$D$790,'Transaction Overview'!$J$2:$J$790,"Commissions — Incoming",'Transaction Overview'!$D$2:$D$790,"&gt;0")</f>
        <v>1033938.62</v>
      </c>
      <c r="C33" s="15">
        <f>SUMIFS('Transaction Overview'!$D$2:$D$790,'Transaction Overview'!$J$2:$J$790,"Commissions — Incoming",'Transaction Overview'!$D$2:$D$790,"&lt;0")</f>
        <v>0</v>
      </c>
      <c r="D33" s="15">
        <f>B33+C33</f>
        <v>1033938.62</v>
      </c>
    </row>
    <row r="34" spans="1:4" x14ac:dyDescent="0.25">
      <c r="B34" s="3"/>
      <c r="C34" s="3"/>
      <c r="D34" s="3"/>
    </row>
    <row r="35" spans="1:4" x14ac:dyDescent="0.25">
      <c r="A35" s="10" t="s">
        <v>858</v>
      </c>
      <c r="B35" s="14"/>
      <c r="C35" s="14"/>
      <c r="D35" s="14"/>
    </row>
    <row r="36" spans="1:4" x14ac:dyDescent="0.25">
      <c r="A36" s="8" t="s">
        <v>791</v>
      </c>
      <c r="B36" s="13">
        <f>SUMIFS('Transaction Overview'!$D$2:$D$790,'Transaction Overview'!$G$2:$G$790,$A36,'Transaction Overview'!$D$2:$D$790,"&gt;0")</f>
        <v>0</v>
      </c>
      <c r="C36" s="13">
        <f>SUMIFS('Transaction Overview'!$D$2:$D$790,'Transaction Overview'!$G$2:$G$790,$A36,'Transaction Overview'!$D$2:$D$790,"&lt;0")</f>
        <v>-23830</v>
      </c>
      <c r="D36" s="13">
        <f>B36+C36</f>
        <v>-23830</v>
      </c>
    </row>
    <row r="37" spans="1:4" x14ac:dyDescent="0.25">
      <c r="A37" s="8" t="s">
        <v>831</v>
      </c>
      <c r="B37" s="13">
        <f>SUMIFS('Transaction Overview'!$D$2:$D$790,'Transaction Overview'!$G$2:$G$790,$A37,'Transaction Overview'!$D$2:$D$790,"&gt;0")</f>
        <v>0</v>
      </c>
      <c r="C37" s="13">
        <f>SUMIFS('Transaction Overview'!$D$2:$D$790,'Transaction Overview'!$G$2:$G$790,$A37,'Transaction Overview'!$D$2:$D$790,"&lt;0")</f>
        <v>-47820</v>
      </c>
      <c r="D37" s="13">
        <f>B37+C37</f>
        <v>-47820</v>
      </c>
    </row>
    <row r="38" spans="1:4" x14ac:dyDescent="0.25">
      <c r="A38" s="12" t="s">
        <v>879</v>
      </c>
      <c r="B38" s="15">
        <f>SUMIFS('Transaction Overview'!$D$2:$D$790,'Transaction Overview'!$J$2:$J$790,"Commissions — Outgoing",'Transaction Overview'!$D$2:$D$790,"&gt;0")</f>
        <v>0</v>
      </c>
      <c r="C38" s="15">
        <f>SUMIFS('Transaction Overview'!$D$2:$D$790,'Transaction Overview'!$J$2:$J$790,"Commissions — Outgoing",'Transaction Overview'!$D$2:$D$790,"&lt;0")</f>
        <v>-71650</v>
      </c>
      <c r="D38" s="15">
        <f>B38+C38</f>
        <v>-71650</v>
      </c>
    </row>
    <row r="39" spans="1:4" x14ac:dyDescent="0.25">
      <c r="B39" s="3"/>
      <c r="C39" s="3"/>
      <c r="D39" s="3"/>
    </row>
    <row r="40" spans="1:4" x14ac:dyDescent="0.25">
      <c r="A40" s="10" t="s">
        <v>851</v>
      </c>
      <c r="B40" s="14"/>
      <c r="C40" s="14"/>
      <c r="D40" s="14"/>
    </row>
    <row r="41" spans="1:4" x14ac:dyDescent="0.25">
      <c r="A41" s="8" t="s">
        <v>834</v>
      </c>
      <c r="B41" s="13">
        <f>SUMIFS('Transaction Overview'!$D$2:$D$790,'Transaction Overview'!$G$2:$G$790,$A41,'Transaction Overview'!$D$2:$D$790,"&gt;0")</f>
        <v>0</v>
      </c>
      <c r="C41" s="13">
        <f>SUMIFS('Transaction Overview'!$D$2:$D$790,'Transaction Overview'!$G$2:$G$790,$A41,'Transaction Overview'!$D$2:$D$790,"&lt;0")</f>
        <v>-21000</v>
      </c>
      <c r="D41" s="13">
        <f>B41+C41</f>
        <v>-21000</v>
      </c>
    </row>
    <row r="42" spans="1:4" x14ac:dyDescent="0.25">
      <c r="A42" s="8" t="s">
        <v>835</v>
      </c>
      <c r="B42" s="13">
        <f>SUMIFS('Transaction Overview'!$D$2:$D$790,'Transaction Overview'!$G$2:$G$790,$A42,'Transaction Overview'!$D$2:$D$790,"&gt;0")</f>
        <v>0</v>
      </c>
      <c r="C42" s="13">
        <f>SUMIFS('Transaction Overview'!$D$2:$D$790,'Transaction Overview'!$G$2:$G$790,$A42,'Transaction Overview'!$D$2:$D$790,"&lt;0")</f>
        <v>-39000</v>
      </c>
      <c r="D42" s="13">
        <f>B42+C42</f>
        <v>-39000</v>
      </c>
    </row>
    <row r="43" spans="1:4" x14ac:dyDescent="0.25">
      <c r="A43" s="8" t="s">
        <v>793</v>
      </c>
      <c r="B43" s="13">
        <f>SUMIFS('Transaction Overview'!$D$2:$D$790,'Transaction Overview'!$G$2:$G$790,$A43,'Transaction Overview'!$D$2:$D$790,"&gt;0")</f>
        <v>35000</v>
      </c>
      <c r="C43" s="13">
        <f>SUMIFS('Transaction Overview'!$D$2:$D$790,'Transaction Overview'!$G$2:$G$790,$A43,'Transaction Overview'!$D$2:$D$790,"&lt;0")</f>
        <v>0</v>
      </c>
      <c r="D43" s="13">
        <f>B43+C43</f>
        <v>35000</v>
      </c>
    </row>
    <row r="44" spans="1:4" x14ac:dyDescent="0.25">
      <c r="A44" s="8" t="s">
        <v>786</v>
      </c>
      <c r="B44" s="13">
        <f>SUMIFS('Transaction Overview'!$D$2:$D$790,'Transaction Overview'!$G$2:$G$790,$A44,'Transaction Overview'!$D$2:$D$790,"&gt;0")</f>
        <v>0</v>
      </c>
      <c r="C44" s="13">
        <f>SUMIFS('Transaction Overview'!$D$2:$D$790,'Transaction Overview'!$G$2:$G$790,$A44,'Transaction Overview'!$D$2:$D$790,"&lt;0")</f>
        <v>-42450</v>
      </c>
      <c r="D44" s="13">
        <f>B44+C44</f>
        <v>-42450</v>
      </c>
    </row>
    <row r="45" spans="1:4" x14ac:dyDescent="0.25">
      <c r="A45" s="8" t="s">
        <v>833</v>
      </c>
      <c r="B45" s="13">
        <f>SUMIFS('Transaction Overview'!$D$2:$D$790,'Transaction Overview'!$G$2:$G$790,$A45,'Transaction Overview'!$D$2:$D$790,"&gt;0")</f>
        <v>75000</v>
      </c>
      <c r="C45" s="13">
        <f>SUMIFS('Transaction Overview'!$D$2:$D$790,'Transaction Overview'!$G$2:$G$790,$A45,'Transaction Overview'!$D$2:$D$790,"&lt;0")</f>
        <v>0</v>
      </c>
      <c r="D45" s="13">
        <f>B45+C45</f>
        <v>75000</v>
      </c>
    </row>
    <row r="46" spans="1:4" x14ac:dyDescent="0.25">
      <c r="A46" s="8" t="s">
        <v>780</v>
      </c>
      <c r="B46" s="13">
        <f>SUMIFS('Transaction Overview'!$D$2:$D$790,'Transaction Overview'!$G$2:$G$790,$A46,'Transaction Overview'!$D$2:$D$790,"&gt;0")</f>
        <v>15000</v>
      </c>
      <c r="C46" s="13">
        <f>SUMIFS('Transaction Overview'!$D$2:$D$790,'Transaction Overview'!$G$2:$G$790,$A46,'Transaction Overview'!$D$2:$D$790,"&lt;0")</f>
        <v>0</v>
      </c>
      <c r="D46" s="13">
        <f>B46+C46</f>
        <v>15000</v>
      </c>
    </row>
    <row r="47" spans="1:4" x14ac:dyDescent="0.25">
      <c r="A47" s="12" t="s">
        <v>880</v>
      </c>
      <c r="B47" s="15">
        <f>SUMIFS('Transaction Overview'!$D$2:$D$790,'Transaction Overview'!$J$2:$J$790,"MAG Pass-Through",'Transaction Overview'!$D$2:$D$790,"&gt;0")</f>
        <v>125000</v>
      </c>
      <c r="C47" s="15">
        <f>SUMIFS('Transaction Overview'!$D$2:$D$790,'Transaction Overview'!$J$2:$J$790,"MAG Pass-Through",'Transaction Overview'!$D$2:$D$790,"&lt;0")</f>
        <v>-102450</v>
      </c>
      <c r="D47" s="15">
        <f>B47+C47</f>
        <v>22550</v>
      </c>
    </row>
    <row r="48" spans="1:4" x14ac:dyDescent="0.25">
      <c r="B48" s="3"/>
      <c r="C48" s="3"/>
      <c r="D48" s="3"/>
    </row>
    <row r="49" spans="1:4" x14ac:dyDescent="0.25">
      <c r="A49" s="10" t="s">
        <v>853</v>
      </c>
      <c r="B49" s="14"/>
      <c r="C49" s="14"/>
      <c r="D49" s="14"/>
    </row>
    <row r="50" spans="1:4" x14ac:dyDescent="0.25">
      <c r="A50" s="8" t="s">
        <v>804</v>
      </c>
      <c r="B50" s="13">
        <f>SUMIFS('Transaction Overview'!$D$2:$D$790,'Transaction Overview'!$G$2:$G$790,$A50,'Transaction Overview'!$D$2:$D$790,"&gt;0")</f>
        <v>100000</v>
      </c>
      <c r="C50" s="13">
        <f>SUMIFS('Transaction Overview'!$D$2:$D$790,'Transaction Overview'!$G$2:$G$790,$A50,'Transaction Overview'!$D$2:$D$790,"&lt;0")</f>
        <v>0</v>
      </c>
      <c r="D50" s="13">
        <f>B50+C50</f>
        <v>100000</v>
      </c>
    </row>
    <row r="51" spans="1:4" x14ac:dyDescent="0.25">
      <c r="A51" s="8" t="s">
        <v>815</v>
      </c>
      <c r="B51" s="13">
        <f>SUMIFS('Transaction Overview'!$D$2:$D$790,'Transaction Overview'!$G$2:$G$790,$A51,'Transaction Overview'!$D$2:$D$790,"&gt;0")</f>
        <v>20000</v>
      </c>
      <c r="C51" s="13">
        <f>SUMIFS('Transaction Overview'!$D$2:$D$790,'Transaction Overview'!$G$2:$G$790,$A51,'Transaction Overview'!$D$2:$D$790,"&lt;0")</f>
        <v>0</v>
      </c>
      <c r="D51" s="13">
        <f>B51+C51</f>
        <v>20000</v>
      </c>
    </row>
    <row r="52" spans="1:4" x14ac:dyDescent="0.25">
      <c r="A52" s="12" t="s">
        <v>881</v>
      </c>
      <c r="B52" s="15">
        <f>SUMIFS('Transaction Overview'!$D$2:$D$790,'Transaction Overview'!$J$2:$J$790,"Wire Transfers — Incoming",'Transaction Overview'!$D$2:$D$790,"&gt;0")</f>
        <v>120000</v>
      </c>
      <c r="C52" s="15">
        <f>SUMIFS('Transaction Overview'!$D$2:$D$790,'Transaction Overview'!$J$2:$J$790,"Wire Transfers — Incoming",'Transaction Overview'!$D$2:$D$790,"&lt;0")</f>
        <v>0</v>
      </c>
      <c r="D52" s="15">
        <f>B52+C52</f>
        <v>120000</v>
      </c>
    </row>
    <row r="53" spans="1:4" x14ac:dyDescent="0.25">
      <c r="B53" s="3"/>
      <c r="C53" s="3"/>
      <c r="D53" s="3"/>
    </row>
    <row r="54" spans="1:4" x14ac:dyDescent="0.25">
      <c r="A54" s="10" t="s">
        <v>854</v>
      </c>
      <c r="B54" s="14"/>
      <c r="C54" s="14"/>
      <c r="D54" s="14"/>
    </row>
    <row r="55" spans="1:4" x14ac:dyDescent="0.25">
      <c r="A55" s="8" t="s">
        <v>805</v>
      </c>
      <c r="B55" s="13">
        <f>SUMIFS('Transaction Overview'!$D$2:$D$790,'Transaction Overview'!$G$2:$G$790,$A55,'Transaction Overview'!$D$2:$D$790,"&gt;0")</f>
        <v>0</v>
      </c>
      <c r="C55" s="13">
        <f>SUMIFS('Transaction Overview'!$D$2:$D$790,'Transaction Overview'!$G$2:$G$790,$A55,'Transaction Overview'!$D$2:$D$790,"&lt;0")</f>
        <v>-100000</v>
      </c>
      <c r="D55" s="13">
        <f>B55+C55</f>
        <v>-100000</v>
      </c>
    </row>
    <row r="56" spans="1:4" x14ac:dyDescent="0.25">
      <c r="A56" s="8" t="s">
        <v>814</v>
      </c>
      <c r="B56" s="13">
        <f>SUMIFS('Transaction Overview'!$D$2:$D$790,'Transaction Overview'!$G$2:$G$790,$A56,'Transaction Overview'!$D$2:$D$790,"&gt;0")</f>
        <v>0</v>
      </c>
      <c r="C56" s="13">
        <f>SUMIFS('Transaction Overview'!$D$2:$D$790,'Transaction Overview'!$G$2:$G$790,$A56,'Transaction Overview'!$D$2:$D$790,"&lt;0")</f>
        <v>-35000</v>
      </c>
      <c r="D56" s="13">
        <f>B56+C56</f>
        <v>-35000</v>
      </c>
    </row>
    <row r="57" spans="1:4" x14ac:dyDescent="0.25">
      <c r="A57" s="8" t="s">
        <v>795</v>
      </c>
      <c r="B57" s="13">
        <f>SUMIFS('Transaction Overview'!$D$2:$D$790,'Transaction Overview'!$G$2:$G$790,$A57,'Transaction Overview'!$D$2:$D$790,"&gt;0")</f>
        <v>0</v>
      </c>
      <c r="C57" s="13">
        <f>SUMIFS('Transaction Overview'!$D$2:$D$790,'Transaction Overview'!$G$2:$G$790,$A57,'Transaction Overview'!$D$2:$D$790,"&lt;0")</f>
        <v>-6000</v>
      </c>
      <c r="D57" s="13">
        <f>B57+C57</f>
        <v>-6000</v>
      </c>
    </row>
    <row r="58" spans="1:4" x14ac:dyDescent="0.25">
      <c r="A58" s="8" t="s">
        <v>839</v>
      </c>
      <c r="B58" s="13">
        <f>SUMIFS('Transaction Overview'!$D$2:$D$790,'Transaction Overview'!$G$2:$G$790,$A58,'Transaction Overview'!$D$2:$D$790,"&gt;0")</f>
        <v>0</v>
      </c>
      <c r="C58" s="13">
        <f>SUMIFS('Transaction Overview'!$D$2:$D$790,'Transaction Overview'!$G$2:$G$790,$A58,'Transaction Overview'!$D$2:$D$790,"&lt;0")</f>
        <v>-15500</v>
      </c>
      <c r="D58" s="13">
        <f>B58+C58</f>
        <v>-15500</v>
      </c>
    </row>
    <row r="59" spans="1:4" x14ac:dyDescent="0.25">
      <c r="A59" s="12" t="s">
        <v>882</v>
      </c>
      <c r="B59" s="15">
        <f>SUMIFS('Transaction Overview'!$D$2:$D$790,'Transaction Overview'!$J$2:$J$790,"Wire Transfers — Outgoing",'Transaction Overview'!$D$2:$D$790,"&gt;0")</f>
        <v>0</v>
      </c>
      <c r="C59" s="15">
        <f>SUMIFS('Transaction Overview'!$D$2:$D$790,'Transaction Overview'!$J$2:$J$790,"Wire Transfers — Outgoing",'Transaction Overview'!$D$2:$D$790,"&lt;0")</f>
        <v>-156500</v>
      </c>
      <c r="D59" s="15">
        <f>B59+C59</f>
        <v>-156500</v>
      </c>
    </row>
    <row r="60" spans="1:4" x14ac:dyDescent="0.25">
      <c r="B60" s="3"/>
      <c r="C60" s="3"/>
      <c r="D60" s="3"/>
    </row>
    <row r="61" spans="1:4" x14ac:dyDescent="0.25">
      <c r="A61" s="10" t="s">
        <v>856</v>
      </c>
      <c r="B61" s="14"/>
      <c r="C61" s="14"/>
      <c r="D61" s="14"/>
    </row>
    <row r="62" spans="1:4" x14ac:dyDescent="0.25">
      <c r="A62" s="8" t="s">
        <v>807</v>
      </c>
      <c r="B62" s="13">
        <f>SUMIFS('Transaction Overview'!$D$2:$D$790,'Transaction Overview'!$G$2:$G$790,$A62,'Transaction Overview'!$D$2:$D$790,"&gt;0")</f>
        <v>150000</v>
      </c>
      <c r="C62" s="13">
        <f>SUMIFS('Transaction Overview'!$D$2:$D$790,'Transaction Overview'!$G$2:$G$790,$A62,'Transaction Overview'!$D$2:$D$790,"&lt;0")</f>
        <v>0</v>
      </c>
      <c r="D62" s="13">
        <f>B62+C62</f>
        <v>150000</v>
      </c>
    </row>
    <row r="63" spans="1:4" x14ac:dyDescent="0.25">
      <c r="A63" s="8" t="s">
        <v>788</v>
      </c>
      <c r="B63" s="13">
        <f>SUMIFS('Transaction Overview'!$D$2:$D$790,'Transaction Overview'!$G$2:$G$790,$A63,'Transaction Overview'!$D$2:$D$790,"&gt;0")</f>
        <v>383350</v>
      </c>
      <c r="C63" s="13">
        <f>SUMIFS('Transaction Overview'!$D$2:$D$790,'Transaction Overview'!$G$2:$G$790,$A63,'Transaction Overview'!$D$2:$D$790,"&lt;0")</f>
        <v>0</v>
      </c>
      <c r="D63" s="13">
        <f>B63+C63</f>
        <v>383350</v>
      </c>
    </row>
    <row r="64" spans="1:4" x14ac:dyDescent="0.25">
      <c r="A64" s="8" t="s">
        <v>801</v>
      </c>
      <c r="B64" s="13">
        <f>SUMIFS('Transaction Overview'!$D$2:$D$790,'Transaction Overview'!$G$2:$G$790,$A64,'Transaction Overview'!$D$2:$D$790,"&gt;0")</f>
        <v>117500</v>
      </c>
      <c r="C64" s="13">
        <f>SUMIFS('Transaction Overview'!$D$2:$D$790,'Transaction Overview'!$G$2:$G$790,$A64,'Transaction Overview'!$D$2:$D$790,"&lt;0")</f>
        <v>0</v>
      </c>
      <c r="D64" s="13">
        <f>B64+C64</f>
        <v>117500</v>
      </c>
    </row>
    <row r="65" spans="1:4" x14ac:dyDescent="0.25">
      <c r="A65" s="8" t="s">
        <v>821</v>
      </c>
      <c r="B65" s="13">
        <f>SUMIFS('Transaction Overview'!$D$2:$D$790,'Transaction Overview'!$G$2:$G$790,$A65,'Transaction Overview'!$D$2:$D$790,"&gt;0")</f>
        <v>62800</v>
      </c>
      <c r="C65" s="13">
        <f>SUMIFS('Transaction Overview'!$D$2:$D$790,'Transaction Overview'!$G$2:$G$790,$A65,'Transaction Overview'!$D$2:$D$790,"&lt;0")</f>
        <v>0</v>
      </c>
      <c r="D65" s="13">
        <f>B65+C65</f>
        <v>62800</v>
      </c>
    </row>
    <row r="66" spans="1:4" x14ac:dyDescent="0.25">
      <c r="A66" s="8" t="s">
        <v>776</v>
      </c>
      <c r="B66" s="13">
        <f>SUMIFS('Transaction Overview'!$D$2:$D$790,'Transaction Overview'!$G$2:$G$790,$A66,'Transaction Overview'!$D$2:$D$790,"&gt;0")</f>
        <v>0</v>
      </c>
      <c r="C66" s="13">
        <f>SUMIFS('Transaction Overview'!$D$2:$D$790,'Transaction Overview'!$G$2:$G$790,$A66,'Transaction Overview'!$D$2:$D$790,"&lt;0")</f>
        <v>-678000</v>
      </c>
      <c r="D66" s="13">
        <f>B66+C66</f>
        <v>-678000</v>
      </c>
    </row>
    <row r="67" spans="1:4" x14ac:dyDescent="0.25">
      <c r="A67" s="8" t="s">
        <v>777</v>
      </c>
      <c r="B67" s="13">
        <f>SUMIFS('Transaction Overview'!$D$2:$D$790,'Transaction Overview'!$G$2:$G$790,$A67,'Transaction Overview'!$D$2:$D$790,"&gt;0")</f>
        <v>0</v>
      </c>
      <c r="C67" s="13">
        <f>SUMIFS('Transaction Overview'!$D$2:$D$790,'Transaction Overview'!$G$2:$G$790,$A67,'Transaction Overview'!$D$2:$D$790,"&lt;0")</f>
        <v>-6450</v>
      </c>
      <c r="D67" s="13">
        <f>B67+C67</f>
        <v>-6450</v>
      </c>
    </row>
    <row r="68" spans="1:4" x14ac:dyDescent="0.25">
      <c r="A68" s="8" t="s">
        <v>768</v>
      </c>
      <c r="B68" s="13">
        <f>SUMIFS('Transaction Overview'!$D$2:$D$790,'Transaction Overview'!$G$2:$G$790,$A68,'Transaction Overview'!$D$2:$D$790,"&gt;0")</f>
        <v>0</v>
      </c>
      <c r="C68" s="13">
        <f>SUMIFS('Transaction Overview'!$D$2:$D$790,'Transaction Overview'!$G$2:$G$790,$A68,'Transaction Overview'!$D$2:$D$790,"&lt;0")</f>
        <v>-271500</v>
      </c>
      <c r="D68" s="13">
        <f>B68+C68</f>
        <v>-271500</v>
      </c>
    </row>
    <row r="69" spans="1:4" x14ac:dyDescent="0.25">
      <c r="A69" s="8" t="s">
        <v>787</v>
      </c>
      <c r="B69" s="13">
        <f>SUMIFS('Transaction Overview'!$D$2:$D$790,'Transaction Overview'!$G$2:$G$790,$A69,'Transaction Overview'!$D$2:$D$790,"&gt;0")</f>
        <v>0</v>
      </c>
      <c r="C69" s="13">
        <f>SUMIFS('Transaction Overview'!$D$2:$D$790,'Transaction Overview'!$G$2:$G$790,$A69,'Transaction Overview'!$D$2:$D$790,"&lt;0")</f>
        <v>-50000</v>
      </c>
      <c r="D69" s="13">
        <f>B69+C69</f>
        <v>-50000</v>
      </c>
    </row>
    <row r="70" spans="1:4" x14ac:dyDescent="0.25">
      <c r="A70" s="8" t="s">
        <v>800</v>
      </c>
      <c r="B70" s="13">
        <f>SUMIFS('Transaction Overview'!$D$2:$D$790,'Transaction Overview'!$G$2:$G$790,$A70,'Transaction Overview'!$D$2:$D$790,"&gt;0")</f>
        <v>0</v>
      </c>
      <c r="C70" s="13">
        <f>SUMIFS('Transaction Overview'!$D$2:$D$790,'Transaction Overview'!$G$2:$G$790,$A70,'Transaction Overview'!$D$2:$D$790,"&lt;0")</f>
        <v>-50918.73</v>
      </c>
      <c r="D70" s="13">
        <f>B70+C70</f>
        <v>-50918.73</v>
      </c>
    </row>
    <row r="71" spans="1:4" x14ac:dyDescent="0.25">
      <c r="A71" s="8" t="s">
        <v>764</v>
      </c>
      <c r="B71" s="13">
        <f>SUMIFS('Transaction Overview'!$D$2:$D$790,'Transaction Overview'!$G$2:$G$790,$A71,'Transaction Overview'!$D$2:$D$790,"&gt;0")</f>
        <v>0</v>
      </c>
      <c r="C71" s="13">
        <f>SUMIFS('Transaction Overview'!$D$2:$D$790,'Transaction Overview'!$G$2:$G$790,$A71,'Transaction Overview'!$D$2:$D$790,"&lt;0")</f>
        <v>-57349</v>
      </c>
      <c r="D71" s="13">
        <f>B71+C71</f>
        <v>-57349</v>
      </c>
    </row>
    <row r="72" spans="1:4" x14ac:dyDescent="0.25">
      <c r="A72" s="8" t="s">
        <v>819</v>
      </c>
      <c r="B72" s="13">
        <f>SUMIFS('Transaction Overview'!$D$2:$D$790,'Transaction Overview'!$G$2:$G$790,$A72,'Transaction Overview'!$D$2:$D$790,"&gt;0")</f>
        <v>0</v>
      </c>
      <c r="C72" s="13">
        <f>SUMIFS('Transaction Overview'!$D$2:$D$790,'Transaction Overview'!$G$2:$G$790,$A72,'Transaction Overview'!$D$2:$D$790,"&lt;0")</f>
        <v>-12800</v>
      </c>
      <c r="D72" s="13">
        <f>B72+C72</f>
        <v>-12800</v>
      </c>
    </row>
    <row r="73" spans="1:4" x14ac:dyDescent="0.25">
      <c r="A73" s="8" t="s">
        <v>840</v>
      </c>
      <c r="B73" s="13">
        <f>SUMIFS('Transaction Overview'!$D$2:$D$790,'Transaction Overview'!$G$2:$G$790,$A73,'Transaction Overview'!$D$2:$D$790,"&gt;0")</f>
        <v>0</v>
      </c>
      <c r="C73" s="13">
        <f>SUMIFS('Transaction Overview'!$D$2:$D$790,'Transaction Overview'!$G$2:$G$790,$A73,'Transaction Overview'!$D$2:$D$790,"&lt;0")</f>
        <v>-17000</v>
      </c>
      <c r="D73" s="13">
        <f>B73+C73</f>
        <v>-17000</v>
      </c>
    </row>
    <row r="74" spans="1:4" x14ac:dyDescent="0.25">
      <c r="A74" s="8" t="s">
        <v>820</v>
      </c>
      <c r="B74" s="13">
        <f>SUMIFS('Transaction Overview'!$D$2:$D$790,'Transaction Overview'!$G$2:$G$790,$A74,'Transaction Overview'!$D$2:$D$790,"&gt;0")</f>
        <v>25000</v>
      </c>
      <c r="C74" s="13">
        <f>SUMIFS('Transaction Overview'!$D$2:$D$790,'Transaction Overview'!$G$2:$G$790,$A74,'Transaction Overview'!$D$2:$D$790,"&lt;0")</f>
        <v>0</v>
      </c>
      <c r="D74" s="13">
        <f>B74+C74</f>
        <v>25000</v>
      </c>
    </row>
    <row r="75" spans="1:4" x14ac:dyDescent="0.25">
      <c r="A75" s="8" t="s">
        <v>803</v>
      </c>
      <c r="B75" s="13">
        <f>SUMIFS('Transaction Overview'!$D$2:$D$790,'Transaction Overview'!$G$2:$G$790,$A75,'Transaction Overview'!$D$2:$D$790,"&gt;0")</f>
        <v>0</v>
      </c>
      <c r="C75" s="13">
        <f>SUMIFS('Transaction Overview'!$D$2:$D$790,'Transaction Overview'!$G$2:$G$790,$A75,'Transaction Overview'!$D$2:$D$790,"&lt;0")</f>
        <v>-20000</v>
      </c>
      <c r="D75" s="13">
        <f>B75+C75</f>
        <v>-20000</v>
      </c>
    </row>
    <row r="76" spans="1:4" x14ac:dyDescent="0.25">
      <c r="A76" s="12" t="s">
        <v>883</v>
      </c>
      <c r="B76" s="15">
        <f>SUMIFS('Transaction Overview'!$D$2:$D$790,'Transaction Overview'!$J$2:$J$790,"Intercompany &amp; Savings Transfers",'Transaction Overview'!$D$2:$D$790,"&gt;0")</f>
        <v>738650</v>
      </c>
      <c r="C76" s="15">
        <f>SUMIFS('Transaction Overview'!$D$2:$D$790,'Transaction Overview'!$J$2:$J$790,"Intercompany &amp; Savings Transfers",'Transaction Overview'!$D$2:$D$790,"&lt;0")</f>
        <v>-1164017.73</v>
      </c>
      <c r="D76" s="15">
        <f>B76+C76</f>
        <v>-425367.73</v>
      </c>
    </row>
    <row r="77" spans="1:4" x14ac:dyDescent="0.25">
      <c r="B77" s="3"/>
      <c r="C77" s="3"/>
      <c r="D77" s="3"/>
    </row>
    <row r="78" spans="1:4" x14ac:dyDescent="0.25">
      <c r="A78" s="10" t="s">
        <v>857</v>
      </c>
      <c r="B78" s="14"/>
      <c r="C78" s="14"/>
      <c r="D78" s="14"/>
    </row>
    <row r="79" spans="1:4" x14ac:dyDescent="0.25">
      <c r="A79" s="8" t="s">
        <v>785</v>
      </c>
      <c r="B79" s="13">
        <f>SUMIFS('Transaction Overview'!$D$2:$D$790,'Transaction Overview'!$G$2:$G$790,$A79,'Transaction Overview'!$D$2:$D$790,"&gt;0")</f>
        <v>0</v>
      </c>
      <c r="C79" s="13">
        <f>SUMIFS('Transaction Overview'!$D$2:$D$790,'Transaction Overview'!$G$2:$G$790,$A79,'Transaction Overview'!$D$2:$D$790,"&lt;0")</f>
        <v>-1000</v>
      </c>
      <c r="D79" s="13">
        <f>B79+C79</f>
        <v>-1000</v>
      </c>
    </row>
    <row r="80" spans="1:4" x14ac:dyDescent="0.25">
      <c r="A80" s="8" t="s">
        <v>818</v>
      </c>
      <c r="B80" s="13">
        <f>SUMIFS('Transaction Overview'!$D$2:$D$790,'Transaction Overview'!$G$2:$G$790,$A80,'Transaction Overview'!$D$2:$D$790,"&gt;0")</f>
        <v>0</v>
      </c>
      <c r="C80" s="13">
        <f>SUMIFS('Transaction Overview'!$D$2:$D$790,'Transaction Overview'!$G$2:$G$790,$A80,'Transaction Overview'!$D$2:$D$790,"&lt;0")</f>
        <v>-500</v>
      </c>
      <c r="D80" s="13">
        <f>B80+C80</f>
        <v>-500</v>
      </c>
    </row>
    <row r="81" spans="1:4" x14ac:dyDescent="0.25">
      <c r="A81" s="12" t="s">
        <v>884</v>
      </c>
      <c r="B81" s="15">
        <f>SUMIFS('Transaction Overview'!$D$2:$D$790,'Transaction Overview'!$J$2:$J$790,"Owner / Family Distributions",'Transaction Overview'!$D$2:$D$790,"&gt;0")</f>
        <v>0</v>
      </c>
      <c r="C81" s="15">
        <f>SUMIFS('Transaction Overview'!$D$2:$D$790,'Transaction Overview'!$J$2:$J$790,"Owner / Family Distributions",'Transaction Overview'!$D$2:$D$790,"&lt;0")</f>
        <v>-1500</v>
      </c>
      <c r="D81" s="15">
        <f>B81+C81</f>
        <v>-1500</v>
      </c>
    </row>
    <row r="82" spans="1:4" x14ac:dyDescent="0.25">
      <c r="B82" s="3"/>
      <c r="C82" s="3"/>
      <c r="D82" s="3"/>
    </row>
    <row r="83" spans="1:4" x14ac:dyDescent="0.25">
      <c r="A83" s="10" t="s">
        <v>847</v>
      </c>
      <c r="B83" s="14"/>
      <c r="C83" s="14"/>
      <c r="D83" s="14"/>
    </row>
    <row r="84" spans="1:4" x14ac:dyDescent="0.25">
      <c r="A84" s="8" t="s">
        <v>779</v>
      </c>
      <c r="B84" s="13">
        <f>SUMIFS('Transaction Overview'!$D$2:$D$790,'Transaction Overview'!$G$2:$G$790,$A84,'Transaction Overview'!$D$2:$D$790,"&gt;0")</f>
        <v>0</v>
      </c>
      <c r="C84" s="13">
        <f>SUMIFS('Transaction Overview'!$D$2:$D$790,'Transaction Overview'!$G$2:$G$790,$A84,'Transaction Overview'!$D$2:$D$790,"&lt;0")</f>
        <v>-331</v>
      </c>
      <c r="D84" s="13">
        <f>B84+C84</f>
        <v>-331</v>
      </c>
    </row>
    <row r="85" spans="1:4" x14ac:dyDescent="0.25">
      <c r="A85" s="8" t="s">
        <v>809</v>
      </c>
      <c r="B85" s="13">
        <f>SUMIFS('Transaction Overview'!$D$2:$D$790,'Transaction Overview'!$G$2:$G$790,$A85,'Transaction Overview'!$D$2:$D$790,"&gt;0")</f>
        <v>0</v>
      </c>
      <c r="C85" s="13">
        <f>SUMIFS('Transaction Overview'!$D$2:$D$790,'Transaction Overview'!$G$2:$G$790,$A85,'Transaction Overview'!$D$2:$D$790,"&lt;0")</f>
        <v>-247</v>
      </c>
      <c r="D85" s="13">
        <f>B85+C85</f>
        <v>-247</v>
      </c>
    </row>
    <row r="86" spans="1:4" x14ac:dyDescent="0.25">
      <c r="A86" s="8" t="s">
        <v>811</v>
      </c>
      <c r="B86" s="13">
        <f>SUMIFS('Transaction Overview'!$D$2:$D$790,'Transaction Overview'!$G$2:$G$790,$A86,'Transaction Overview'!$D$2:$D$790,"&gt;0")</f>
        <v>0</v>
      </c>
      <c r="C86" s="13">
        <f>SUMIFS('Transaction Overview'!$D$2:$D$790,'Transaction Overview'!$G$2:$G$790,$A86,'Transaction Overview'!$D$2:$D$790,"&lt;0")</f>
        <v>-500</v>
      </c>
      <c r="D86" s="13">
        <f>B86+C86</f>
        <v>-500</v>
      </c>
    </row>
    <row r="87" spans="1:4" x14ac:dyDescent="0.25">
      <c r="A87" s="8" t="s">
        <v>812</v>
      </c>
      <c r="B87" s="13">
        <f>SUMIFS('Transaction Overview'!$D$2:$D$790,'Transaction Overview'!$G$2:$G$790,$A87,'Transaction Overview'!$D$2:$D$790,"&gt;0")</f>
        <v>0</v>
      </c>
      <c r="C87" s="13">
        <f>SUMIFS('Transaction Overview'!$D$2:$D$790,'Transaction Overview'!$G$2:$G$790,$A87,'Transaction Overview'!$D$2:$D$790,"&lt;0")</f>
        <v>-500</v>
      </c>
      <c r="D87" s="13">
        <f>B87+C87</f>
        <v>-500</v>
      </c>
    </row>
    <row r="88" spans="1:4" x14ac:dyDescent="0.25">
      <c r="A88" s="8" t="s">
        <v>859</v>
      </c>
      <c r="B88" s="13">
        <f>SUMIFS('Transaction Overview'!$D$2:$D$790,'Transaction Overview'!$G$2:$G$790,$A88,'Transaction Overview'!$D$2:$D$790,"&gt;0")</f>
        <v>0</v>
      </c>
      <c r="C88" s="13">
        <f>SUMIFS('Transaction Overview'!$D$2:$D$790,'Transaction Overview'!$G$2:$G$790,$A88,'Transaction Overview'!$D$2:$D$790,"&lt;0")</f>
        <v>-750</v>
      </c>
      <c r="D88" s="13">
        <f>B88+C88</f>
        <v>-750</v>
      </c>
    </row>
    <row r="89" spans="1:4" x14ac:dyDescent="0.25">
      <c r="A89" s="8" t="s">
        <v>810</v>
      </c>
      <c r="B89" s="13">
        <f>SUMIFS('Transaction Overview'!$D$2:$D$790,'Transaction Overview'!$G$2:$G$790,$A89,'Transaction Overview'!$D$2:$D$790,"&gt;0")</f>
        <v>0</v>
      </c>
      <c r="C89" s="13">
        <f>SUMIFS('Transaction Overview'!$D$2:$D$790,'Transaction Overview'!$G$2:$G$790,$A89,'Transaction Overview'!$D$2:$D$790,"&lt;0")</f>
        <v>-500</v>
      </c>
      <c r="D89" s="13">
        <f>B89+C89</f>
        <v>-500</v>
      </c>
    </row>
    <row r="90" spans="1:4" x14ac:dyDescent="0.25">
      <c r="A90" s="8" t="s">
        <v>813</v>
      </c>
      <c r="B90" s="13">
        <f>SUMIFS('Transaction Overview'!$D$2:$D$790,'Transaction Overview'!$G$2:$G$790,$A90,'Transaction Overview'!$D$2:$D$790,"&gt;0")</f>
        <v>0</v>
      </c>
      <c r="C90" s="13">
        <f>SUMIFS('Transaction Overview'!$D$2:$D$790,'Transaction Overview'!$G$2:$G$790,$A90,'Transaction Overview'!$D$2:$D$790,"&lt;0")</f>
        <v>-350</v>
      </c>
      <c r="D90" s="13">
        <f>B90+C90</f>
        <v>-350</v>
      </c>
    </row>
    <row r="91" spans="1:4" x14ac:dyDescent="0.25">
      <c r="A91" s="12" t="s">
        <v>885</v>
      </c>
      <c r="B91" s="15">
        <f>SUMIFS('Transaction Overview'!$D$2:$D$790,'Transaction Overview'!$J$2:$J$790,"P2P Payments (Zelle/Venmo/PayPal)",'Transaction Overview'!$D$2:$D$790,"&gt;0")</f>
        <v>0</v>
      </c>
      <c r="C91" s="15">
        <f>SUMIFS('Transaction Overview'!$D$2:$D$790,'Transaction Overview'!$J$2:$J$790,"P2P Payments (Zelle/Venmo/PayPal)",'Transaction Overview'!$D$2:$D$790,"&lt;0")</f>
        <v>-3178</v>
      </c>
      <c r="D91" s="15">
        <f>B91+C91</f>
        <v>-3178</v>
      </c>
    </row>
    <row r="92" spans="1:4" x14ac:dyDescent="0.25">
      <c r="B92" s="3"/>
      <c r="C92" s="3"/>
      <c r="D92" s="3"/>
    </row>
    <row r="93" spans="1:4" x14ac:dyDescent="0.25">
      <c r="A93" s="10" t="s">
        <v>848</v>
      </c>
      <c r="B93" s="14"/>
      <c r="C93" s="14"/>
      <c r="D93" s="14"/>
    </row>
    <row r="94" spans="1:4" x14ac:dyDescent="0.25">
      <c r="A94" s="8" t="s">
        <v>837</v>
      </c>
      <c r="B94" s="13">
        <f>SUMIFS('Transaction Overview'!$D$2:$D$790,'Transaction Overview'!$G$2:$G$790,$A94,'Transaction Overview'!$D$2:$D$790,"&gt;0")</f>
        <v>0</v>
      </c>
      <c r="C94" s="13">
        <f>SUMIFS('Transaction Overview'!$D$2:$D$790,'Transaction Overview'!$G$2:$G$790,$A94,'Transaction Overview'!$D$2:$D$790,"&lt;0")</f>
        <v>-10000</v>
      </c>
      <c r="D94" s="13">
        <f>B94+C94</f>
        <v>-10000</v>
      </c>
    </row>
    <row r="95" spans="1:4" x14ac:dyDescent="0.25">
      <c r="A95" s="8" t="s">
        <v>830</v>
      </c>
      <c r="B95" s="13">
        <f>SUMIFS('Transaction Overview'!$D$2:$D$790,'Transaction Overview'!$G$2:$G$790,$A95,'Transaction Overview'!$D$2:$D$790,"&gt;0")</f>
        <v>0</v>
      </c>
      <c r="C95" s="13">
        <f>SUMIFS('Transaction Overview'!$D$2:$D$790,'Transaction Overview'!$G$2:$G$790,$A95,'Transaction Overview'!$D$2:$D$790,"&lt;0")</f>
        <v>-28000</v>
      </c>
      <c r="D95" s="13">
        <f>B95+C95</f>
        <v>-28000</v>
      </c>
    </row>
    <row r="96" spans="1:4" x14ac:dyDescent="0.25">
      <c r="A96" s="8" t="s">
        <v>770</v>
      </c>
      <c r="B96" s="13">
        <f>SUMIFS('Transaction Overview'!$D$2:$D$790,'Transaction Overview'!$G$2:$G$790,$A96,'Transaction Overview'!$D$2:$D$790,"&gt;0")</f>
        <v>0</v>
      </c>
      <c r="C96" s="13">
        <f>SUMIFS('Transaction Overview'!$D$2:$D$790,'Transaction Overview'!$G$2:$G$790,$A96,'Transaction Overview'!$D$2:$D$790,"&lt;0")</f>
        <v>-872</v>
      </c>
      <c r="D96" s="13">
        <f>B96+C96</f>
        <v>-872</v>
      </c>
    </row>
    <row r="97" spans="1:4" x14ac:dyDescent="0.25">
      <c r="A97" s="12" t="s">
        <v>886</v>
      </c>
      <c r="B97" s="15">
        <f>SUMIFS('Transaction Overview'!$D$2:$D$790,'Transaction Overview'!$J$2:$J$790,"Payroll &amp; Contractors",'Transaction Overview'!$D$2:$D$790,"&gt;0")</f>
        <v>0</v>
      </c>
      <c r="C97" s="15">
        <f>SUMIFS('Transaction Overview'!$D$2:$D$790,'Transaction Overview'!$J$2:$J$790,"Payroll &amp; Contractors",'Transaction Overview'!$D$2:$D$790,"&lt;0")</f>
        <v>-38872</v>
      </c>
      <c r="D97" s="15">
        <f>B97+C97</f>
        <v>-38872</v>
      </c>
    </row>
    <row r="98" spans="1:4" x14ac:dyDescent="0.25">
      <c r="B98" s="3"/>
      <c r="C98" s="3"/>
      <c r="D98" s="3"/>
    </row>
    <row r="99" spans="1:4" x14ac:dyDescent="0.25">
      <c r="A99" s="10" t="s">
        <v>846</v>
      </c>
      <c r="B99" s="14"/>
      <c r="C99" s="14"/>
      <c r="D99" s="14"/>
    </row>
    <row r="100" spans="1:4" x14ac:dyDescent="0.25">
      <c r="A100" s="8" t="s">
        <v>767</v>
      </c>
      <c r="B100" s="13">
        <f>SUMIFS('Transaction Overview'!$D$2:$D$790,'Transaction Overview'!$G$2:$G$790,$A100,'Transaction Overview'!$D$2:$D$790,"&gt;0")</f>
        <v>0</v>
      </c>
      <c r="C100" s="13">
        <f>SUMIFS('Transaction Overview'!$D$2:$D$790,'Transaction Overview'!$G$2:$G$790,$A100,'Transaction Overview'!$D$2:$D$790,"&lt;0")</f>
        <v>-231476.49000000002</v>
      </c>
      <c r="D100" s="13">
        <f>B100+C100</f>
        <v>-231476.49000000002</v>
      </c>
    </row>
    <row r="101" spans="1:4" x14ac:dyDescent="0.25">
      <c r="A101" s="12" t="s">
        <v>887</v>
      </c>
      <c r="B101" s="15">
        <f>SUMIFS('Transaction Overview'!$D$2:$D$790,'Transaction Overview'!$J$2:$J$790,"Credit Card &amp; Loan Payments",'Transaction Overview'!$D$2:$D$790,"&gt;0")</f>
        <v>0</v>
      </c>
      <c r="C101" s="15">
        <f>SUMIFS('Transaction Overview'!$D$2:$D$790,'Transaction Overview'!$J$2:$J$790,"Credit Card &amp; Loan Payments",'Transaction Overview'!$D$2:$D$790,"&lt;0")</f>
        <v>-231476.49000000002</v>
      </c>
      <c r="D101" s="15">
        <f>B101+C101</f>
        <v>-231476.49000000002</v>
      </c>
    </row>
    <row r="102" spans="1:4" x14ac:dyDescent="0.25">
      <c r="B102" s="3"/>
      <c r="C102" s="3"/>
      <c r="D102" s="3"/>
    </row>
    <row r="103" spans="1:4" x14ac:dyDescent="0.25">
      <c r="A103" s="10" t="s">
        <v>845</v>
      </c>
      <c r="B103" s="14"/>
      <c r="C103" s="14"/>
      <c r="D103" s="14"/>
    </row>
    <row r="104" spans="1:4" x14ac:dyDescent="0.25">
      <c r="A104" s="8" t="s">
        <v>823</v>
      </c>
      <c r="B104" s="13">
        <f>SUMIFS('Transaction Overview'!$D$2:$D$790,'Transaction Overview'!$G$2:$G$790,$A104,'Transaction Overview'!$D$2:$D$790,"&gt;0")</f>
        <v>0</v>
      </c>
      <c r="C104" s="13">
        <f>SUMIFS('Transaction Overview'!$D$2:$D$790,'Transaction Overview'!$G$2:$G$790,$A104,'Transaction Overview'!$D$2:$D$790,"&lt;0")</f>
        <v>-216</v>
      </c>
      <c r="D104" s="13">
        <f>B104+C104</f>
        <v>-216</v>
      </c>
    </row>
    <row r="105" spans="1:4" x14ac:dyDescent="0.25">
      <c r="A105" s="8" t="s">
        <v>766</v>
      </c>
      <c r="B105" s="13">
        <f>SUMIFS('Transaction Overview'!$D$2:$D$790,'Transaction Overview'!$G$2:$G$790,$A105,'Transaction Overview'!$D$2:$D$790,"&gt;0")</f>
        <v>352.47</v>
      </c>
      <c r="C105" s="13">
        <f>SUMIFS('Transaction Overview'!$D$2:$D$790,'Transaction Overview'!$G$2:$G$790,$A105,'Transaction Overview'!$D$2:$D$790,"&lt;0")</f>
        <v>-8378.5899999999965</v>
      </c>
      <c r="D105" s="13">
        <f>B105+C105</f>
        <v>-8026.1199999999963</v>
      </c>
    </row>
    <row r="106" spans="1:4" x14ac:dyDescent="0.25">
      <c r="A106" s="8" t="s">
        <v>792</v>
      </c>
      <c r="B106" s="13">
        <f>SUMIFS('Transaction Overview'!$D$2:$D$790,'Transaction Overview'!$G$2:$G$790,$A106,'Transaction Overview'!$D$2:$D$790,"&gt;0")</f>
        <v>0</v>
      </c>
      <c r="C106" s="13">
        <f>SUMIFS('Transaction Overview'!$D$2:$D$790,'Transaction Overview'!$G$2:$G$790,$A106,'Transaction Overview'!$D$2:$D$790,"&lt;0")</f>
        <v>-642.16</v>
      </c>
      <c r="D106" s="13">
        <f>B106+C106</f>
        <v>-642.16</v>
      </c>
    </row>
    <row r="107" spans="1:4" x14ac:dyDescent="0.25">
      <c r="A107" s="8" t="s">
        <v>783</v>
      </c>
      <c r="B107" s="13">
        <f>SUMIFS('Transaction Overview'!$D$2:$D$790,'Transaction Overview'!$G$2:$G$790,$A107,'Transaction Overview'!$D$2:$D$790,"&gt;0")</f>
        <v>0</v>
      </c>
      <c r="C107" s="13">
        <f>SUMIFS('Transaction Overview'!$D$2:$D$790,'Transaction Overview'!$G$2:$G$790,$A107,'Transaction Overview'!$D$2:$D$790,"&lt;0")</f>
        <v>-114.12</v>
      </c>
      <c r="D107" s="13">
        <f>B107+C107</f>
        <v>-114.12</v>
      </c>
    </row>
    <row r="108" spans="1:4" x14ac:dyDescent="0.25">
      <c r="A108" s="8" t="s">
        <v>832</v>
      </c>
      <c r="B108" s="13">
        <f>SUMIFS('Transaction Overview'!$D$2:$D$790,'Transaction Overview'!$G$2:$G$790,$A108,'Transaction Overview'!$D$2:$D$790,"&gt;0")</f>
        <v>0</v>
      </c>
      <c r="C108" s="13">
        <f>SUMIFS('Transaction Overview'!$D$2:$D$790,'Transaction Overview'!$G$2:$G$790,$A108,'Transaction Overview'!$D$2:$D$790,"&lt;0")</f>
        <v>-328.19</v>
      </c>
      <c r="D108" s="13">
        <f>B108+C108</f>
        <v>-328.19</v>
      </c>
    </row>
    <row r="109" spans="1:4" x14ac:dyDescent="0.25">
      <c r="A109" s="8" t="s">
        <v>826</v>
      </c>
      <c r="B109" s="13">
        <f>SUMIFS('Transaction Overview'!$D$2:$D$790,'Transaction Overview'!$G$2:$G$790,$A109,'Transaction Overview'!$D$2:$D$790,"&gt;0")</f>
        <v>0</v>
      </c>
      <c r="C109" s="13">
        <f>SUMIFS('Transaction Overview'!$D$2:$D$790,'Transaction Overview'!$G$2:$G$790,$A109,'Transaction Overview'!$D$2:$D$790,"&lt;0")</f>
        <v>-28</v>
      </c>
      <c r="D109" s="13">
        <f>B109+C109</f>
        <v>-28</v>
      </c>
    </row>
    <row r="110" spans="1:4" x14ac:dyDescent="0.25">
      <c r="A110" s="8" t="s">
        <v>802</v>
      </c>
      <c r="B110" s="13">
        <f>SUMIFS('Transaction Overview'!$D$2:$D$790,'Transaction Overview'!$G$2:$G$790,$A110,'Transaction Overview'!$D$2:$D$790,"&gt;0")</f>
        <v>0</v>
      </c>
      <c r="C110" s="13">
        <f>SUMIFS('Transaction Overview'!$D$2:$D$790,'Transaction Overview'!$G$2:$G$790,$A110,'Transaction Overview'!$D$2:$D$790,"&lt;0")</f>
        <v>-187.64</v>
      </c>
      <c r="D110" s="13">
        <f>B110+C110</f>
        <v>-187.64</v>
      </c>
    </row>
    <row r="111" spans="1:4" x14ac:dyDescent="0.25">
      <c r="A111" s="8" t="s">
        <v>782</v>
      </c>
      <c r="B111" s="13">
        <f>SUMIFS('Transaction Overview'!$D$2:$D$790,'Transaction Overview'!$G$2:$G$790,$A111,'Transaction Overview'!$D$2:$D$790,"&gt;0")</f>
        <v>0</v>
      </c>
      <c r="C111" s="13">
        <f>SUMIFS('Transaction Overview'!$D$2:$D$790,'Transaction Overview'!$G$2:$G$790,$A111,'Transaction Overview'!$D$2:$D$790,"&lt;0")</f>
        <v>-645.37</v>
      </c>
      <c r="D111" s="13">
        <f>B111+C111</f>
        <v>-645.37</v>
      </c>
    </row>
    <row r="112" spans="1:4" x14ac:dyDescent="0.25">
      <c r="A112" s="8" t="s">
        <v>824</v>
      </c>
      <c r="B112" s="13">
        <f>SUMIFS('Transaction Overview'!$D$2:$D$790,'Transaction Overview'!$G$2:$G$790,$A112,'Transaction Overview'!$D$2:$D$790,"&gt;0")</f>
        <v>0</v>
      </c>
      <c r="C112" s="13">
        <f>SUMIFS('Transaction Overview'!$D$2:$D$790,'Transaction Overview'!$G$2:$G$790,$A112,'Transaction Overview'!$D$2:$D$790,"&lt;0")</f>
        <v>-1035.46</v>
      </c>
      <c r="D112" s="13">
        <f>B112+C112</f>
        <v>-1035.46</v>
      </c>
    </row>
    <row r="113" spans="1:4" x14ac:dyDescent="0.25">
      <c r="A113" s="8" t="s">
        <v>778</v>
      </c>
      <c r="B113" s="13">
        <f>SUMIFS('Transaction Overview'!$D$2:$D$790,'Transaction Overview'!$G$2:$G$790,$A113,'Transaction Overview'!$D$2:$D$790,"&gt;0")</f>
        <v>0</v>
      </c>
      <c r="C113" s="13">
        <f>SUMIFS('Transaction Overview'!$D$2:$D$790,'Transaction Overview'!$G$2:$G$790,$A113,'Transaction Overview'!$D$2:$D$790,"&lt;0")</f>
        <v>-391.53999999999996</v>
      </c>
      <c r="D113" s="13">
        <f>B113+C113</f>
        <v>-391.53999999999996</v>
      </c>
    </row>
    <row r="114" spans="1:4" x14ac:dyDescent="0.25">
      <c r="A114" s="8" t="s">
        <v>829</v>
      </c>
      <c r="B114" s="13">
        <f>SUMIFS('Transaction Overview'!$D$2:$D$790,'Transaction Overview'!$G$2:$G$790,$A114,'Transaction Overview'!$D$2:$D$790,"&gt;0")</f>
        <v>0</v>
      </c>
      <c r="C114" s="13">
        <f>SUMIFS('Transaction Overview'!$D$2:$D$790,'Transaction Overview'!$G$2:$G$790,$A114,'Transaction Overview'!$D$2:$D$790,"&lt;0")</f>
        <v>-705.43999999999994</v>
      </c>
      <c r="D114" s="13">
        <f>B114+C114</f>
        <v>-705.43999999999994</v>
      </c>
    </row>
    <row r="115" spans="1:4" x14ac:dyDescent="0.25">
      <c r="A115" s="8" t="s">
        <v>765</v>
      </c>
      <c r="B115" s="13">
        <f>SUMIFS('Transaction Overview'!$D$2:$D$790,'Transaction Overview'!$G$2:$G$790,$A115,'Transaction Overview'!$D$2:$D$790,"&gt;0")</f>
        <v>0</v>
      </c>
      <c r="C115" s="13">
        <f>SUMIFS('Transaction Overview'!$D$2:$D$790,'Transaction Overview'!$G$2:$G$790,$A115,'Transaction Overview'!$D$2:$D$790,"&lt;0")</f>
        <v>-3178.7499999999955</v>
      </c>
      <c r="D115" s="13">
        <f>B115+C115</f>
        <v>-3178.7499999999955</v>
      </c>
    </row>
    <row r="116" spans="1:4" x14ac:dyDescent="0.25">
      <c r="A116" s="8" t="s">
        <v>771</v>
      </c>
      <c r="B116" s="13">
        <f>SUMIFS('Transaction Overview'!$D$2:$D$790,'Transaction Overview'!$G$2:$G$790,$A116,'Transaction Overview'!$D$2:$D$790,"&gt;0")</f>
        <v>0</v>
      </c>
      <c r="C116" s="13">
        <f>SUMIFS('Transaction Overview'!$D$2:$D$790,'Transaction Overview'!$G$2:$G$790,$A116,'Transaction Overview'!$D$2:$D$790,"&lt;0")</f>
        <v>-235.28</v>
      </c>
      <c r="D116" s="13">
        <f>B116+C116</f>
        <v>-235.28</v>
      </c>
    </row>
    <row r="117" spans="1:4" x14ac:dyDescent="0.25">
      <c r="A117" s="8" t="s">
        <v>789</v>
      </c>
      <c r="B117" s="13">
        <f>SUMIFS('Transaction Overview'!$D$2:$D$790,'Transaction Overview'!$G$2:$G$790,$A117,'Transaction Overview'!$D$2:$D$790,"&gt;0")</f>
        <v>0</v>
      </c>
      <c r="C117" s="13">
        <f>SUMIFS('Transaction Overview'!$D$2:$D$790,'Transaction Overview'!$G$2:$G$790,$A117,'Transaction Overview'!$D$2:$D$790,"&lt;0")</f>
        <v>-710.99</v>
      </c>
      <c r="D117" s="13">
        <f>B117+C117</f>
        <v>-710.99</v>
      </c>
    </row>
    <row r="118" spans="1:4" x14ac:dyDescent="0.25">
      <c r="A118" s="8" t="s">
        <v>796</v>
      </c>
      <c r="B118" s="13">
        <f>SUMIFS('Transaction Overview'!$D$2:$D$790,'Transaction Overview'!$G$2:$G$790,$A118,'Transaction Overview'!$D$2:$D$790,"&gt;0")</f>
        <v>0</v>
      </c>
      <c r="C118" s="13">
        <f>SUMIFS('Transaction Overview'!$D$2:$D$790,'Transaction Overview'!$G$2:$G$790,$A118,'Transaction Overview'!$D$2:$D$790,"&lt;0")</f>
        <v>-1555.92</v>
      </c>
      <c r="D118" s="13">
        <f>B118+C118</f>
        <v>-1555.92</v>
      </c>
    </row>
    <row r="119" spans="1:4" x14ac:dyDescent="0.25">
      <c r="A119" s="8" t="s">
        <v>817</v>
      </c>
      <c r="B119" s="13">
        <f>SUMIFS('Transaction Overview'!$D$2:$D$790,'Transaction Overview'!$G$2:$G$790,$A119,'Transaction Overview'!$D$2:$D$790,"&gt;0")</f>
        <v>0</v>
      </c>
      <c r="C119" s="13">
        <f>SUMIFS('Transaction Overview'!$D$2:$D$790,'Transaction Overview'!$G$2:$G$790,$A119,'Transaction Overview'!$D$2:$D$790,"&lt;0")</f>
        <v>-213.71</v>
      </c>
      <c r="D119" s="13">
        <f>B119+C119</f>
        <v>-213.71</v>
      </c>
    </row>
    <row r="120" spans="1:4" x14ac:dyDescent="0.25">
      <c r="A120" s="8" t="s">
        <v>797</v>
      </c>
      <c r="B120" s="13">
        <f>SUMIFS('Transaction Overview'!$D$2:$D$790,'Transaction Overview'!$G$2:$G$790,$A120,'Transaction Overview'!$D$2:$D$790,"&gt;0")</f>
        <v>0</v>
      </c>
      <c r="C120" s="13">
        <f>SUMIFS('Transaction Overview'!$D$2:$D$790,'Transaction Overview'!$G$2:$G$790,$A120,'Transaction Overview'!$D$2:$D$790,"&lt;0")</f>
        <v>-767.07999999999993</v>
      </c>
      <c r="D120" s="13">
        <f>B120+C120</f>
        <v>-767.07999999999993</v>
      </c>
    </row>
    <row r="121" spans="1:4" x14ac:dyDescent="0.25">
      <c r="A121" s="12" t="s">
        <v>888</v>
      </c>
      <c r="B121" s="15">
        <f>SUMIFS('Transaction Overview'!$D$2:$D$790,'Transaction Overview'!$J$2:$J$790,"Personal — Owner",'Transaction Overview'!$D$2:$D$790,"&gt;0")</f>
        <v>352.47</v>
      </c>
      <c r="C121" s="15">
        <f>SUMIFS('Transaction Overview'!$D$2:$D$790,'Transaction Overview'!$J$2:$J$790,"Personal — Owner",'Transaction Overview'!$D$2:$D$790,"&lt;0")</f>
        <v>-19334.239999999998</v>
      </c>
      <c r="D121" s="15">
        <f>B121+C121</f>
        <v>-18981.769999999997</v>
      </c>
    </row>
    <row r="122" spans="1:4" x14ac:dyDescent="0.25">
      <c r="B122" s="3"/>
      <c r="C122" s="3"/>
      <c r="D122" s="3"/>
    </row>
    <row r="123" spans="1:4" x14ac:dyDescent="0.25">
      <c r="A123" s="10" t="s">
        <v>844</v>
      </c>
      <c r="B123" s="14"/>
      <c r="C123" s="14"/>
      <c r="D123" s="14"/>
    </row>
    <row r="124" spans="1:4" x14ac:dyDescent="0.25">
      <c r="A124" s="8" t="s">
        <v>808</v>
      </c>
      <c r="B124" s="13">
        <f>SUMIFS('Transaction Overview'!$D$2:$D$790,'Transaction Overview'!$G$2:$G$790,$A124,'Transaction Overview'!$D$2:$D$790,"&gt;0")</f>
        <v>0</v>
      </c>
      <c r="C124" s="13">
        <f>SUMIFS('Transaction Overview'!$D$2:$D$790,'Transaction Overview'!$G$2:$G$790,$A124,'Transaction Overview'!$D$2:$D$790,"&lt;0")</f>
        <v>-5000</v>
      </c>
      <c r="D124" s="13">
        <f>B124+C124</f>
        <v>-5000</v>
      </c>
    </row>
    <row r="125" spans="1:4" x14ac:dyDescent="0.25">
      <c r="A125" s="8" t="s">
        <v>781</v>
      </c>
      <c r="B125" s="13">
        <f>SUMIFS('Transaction Overview'!$D$2:$D$790,'Transaction Overview'!$G$2:$G$790,$A125,'Transaction Overview'!$D$2:$D$790,"&gt;0")</f>
        <v>0</v>
      </c>
      <c r="C125" s="13">
        <f>SUMIFS('Transaction Overview'!$D$2:$D$790,'Transaction Overview'!$G$2:$G$790,$A125,'Transaction Overview'!$D$2:$D$790,"&lt;0")</f>
        <v>-10000</v>
      </c>
      <c r="D125" s="13">
        <f>B125+C125</f>
        <v>-10000</v>
      </c>
    </row>
    <row r="126" spans="1:4" x14ac:dyDescent="0.25">
      <c r="A126" s="8" t="s">
        <v>784</v>
      </c>
      <c r="B126" s="13">
        <f>SUMIFS('Transaction Overview'!$D$2:$D$790,'Transaction Overview'!$G$2:$G$790,$A126,'Transaction Overview'!$D$2:$D$790,"&gt;0")</f>
        <v>0</v>
      </c>
      <c r="C126" s="13">
        <f>SUMIFS('Transaction Overview'!$D$2:$D$790,'Transaction Overview'!$G$2:$G$790,$A126,'Transaction Overview'!$D$2:$D$790,"&lt;0")</f>
        <v>-830</v>
      </c>
      <c r="D126" s="13">
        <f>B126+C126</f>
        <v>-830</v>
      </c>
    </row>
    <row r="127" spans="1:4" x14ac:dyDescent="0.25">
      <c r="A127" s="8" t="s">
        <v>838</v>
      </c>
      <c r="B127" s="13">
        <f>SUMIFS('Transaction Overview'!$D$2:$D$790,'Transaction Overview'!$G$2:$G$790,$A127,'Transaction Overview'!$D$2:$D$790,"&gt;0")</f>
        <v>0</v>
      </c>
      <c r="C127" s="13">
        <f>SUMIFS('Transaction Overview'!$D$2:$D$790,'Transaction Overview'!$G$2:$G$790,$A127,'Transaction Overview'!$D$2:$D$790,"&lt;0")</f>
        <v>-4605.49</v>
      </c>
      <c r="D127" s="13">
        <f>B127+C127</f>
        <v>-4605.49</v>
      </c>
    </row>
    <row r="128" spans="1:4" x14ac:dyDescent="0.25">
      <c r="A128" s="8" t="s">
        <v>822</v>
      </c>
      <c r="B128" s="13">
        <f>SUMIFS('Transaction Overview'!$D$2:$D$790,'Transaction Overview'!$G$2:$G$790,$A128,'Transaction Overview'!$D$2:$D$790,"&gt;0")</f>
        <v>0</v>
      </c>
      <c r="C128" s="13">
        <f>SUMIFS('Transaction Overview'!$D$2:$D$790,'Transaction Overview'!$G$2:$G$790,$A128,'Transaction Overview'!$D$2:$D$790,"&lt;0")</f>
        <v>-23695.9</v>
      </c>
      <c r="D128" s="13">
        <f>B128+C128</f>
        <v>-23695.9</v>
      </c>
    </row>
    <row r="129" spans="1:4" x14ac:dyDescent="0.25">
      <c r="A129" s="12" t="s">
        <v>889</v>
      </c>
      <c r="B129" s="15">
        <f>SUMIFS('Transaction Overview'!$D$2:$D$790,'Transaction Overview'!$J$2:$J$790,"DWG Operating",'Transaction Overview'!$D$2:$D$790,"&gt;0")</f>
        <v>0</v>
      </c>
      <c r="C129" s="15">
        <f>SUMIFS('Transaction Overview'!$D$2:$D$790,'Transaction Overview'!$J$2:$J$790,"DWG Operating",'Transaction Overview'!$D$2:$D$790,"&lt;0")</f>
        <v>-44131.39</v>
      </c>
      <c r="D129" s="15">
        <f>B129+C129</f>
        <v>-44131.39</v>
      </c>
    </row>
    <row r="130" spans="1:4" x14ac:dyDescent="0.25">
      <c r="B130" s="3"/>
      <c r="C130" s="3"/>
      <c r="D130" s="3"/>
    </row>
    <row r="131" spans="1:4" x14ac:dyDescent="0.25">
      <c r="A131" s="10" t="s">
        <v>850</v>
      </c>
      <c r="B131" s="14"/>
      <c r="C131" s="14"/>
      <c r="D131" s="14"/>
    </row>
    <row r="132" spans="1:4" x14ac:dyDescent="0.25">
      <c r="A132" s="8" t="s">
        <v>816</v>
      </c>
      <c r="B132" s="13">
        <f>SUMIFS('Transaction Overview'!$D$2:$D$790,'Transaction Overview'!$G$2:$G$790,$A132,'Transaction Overview'!$D$2:$D$790,"&gt;0")</f>
        <v>3000</v>
      </c>
      <c r="C132" s="13">
        <f>SUMIFS('Transaction Overview'!$D$2:$D$790,'Transaction Overview'!$G$2:$G$790,$A132,'Transaction Overview'!$D$2:$D$790,"&lt;0")</f>
        <v>0</v>
      </c>
      <c r="D132" s="13">
        <f>B132+C132</f>
        <v>3000</v>
      </c>
    </row>
    <row r="133" spans="1:4" x14ac:dyDescent="0.25">
      <c r="A133" s="12" t="s">
        <v>890</v>
      </c>
      <c r="B133" s="15">
        <f>SUMIFS('Transaction Overview'!$D$2:$D$790,'Transaction Overview'!$J$2:$J$790,"Uncategorized — Review",'Transaction Overview'!$D$2:$D$790,"&gt;0")</f>
        <v>3000</v>
      </c>
      <c r="C133" s="15">
        <f>SUMIFS('Transaction Overview'!$D$2:$D$790,'Transaction Overview'!$J$2:$J$790,"Uncategorized — Review",'Transaction Overview'!$D$2:$D$790,"&lt;0")</f>
        <v>0</v>
      </c>
      <c r="D133" s="15">
        <f>B133+C133</f>
        <v>3000</v>
      </c>
    </row>
    <row r="134" spans="1:4" x14ac:dyDescent="0.25">
      <c r="B134" s="3"/>
      <c r="C134" s="3"/>
      <c r="D13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64DD-C4E1-4E4E-A961-E307B0DE11D1}">
  <dimension ref="A1:C7"/>
  <sheetViews>
    <sheetView workbookViewId="0">
      <selection activeCell="F7" sqref="F7:F8"/>
    </sheetView>
  </sheetViews>
  <sheetFormatPr defaultRowHeight="15" x14ac:dyDescent="0.25"/>
  <cols>
    <col min="1" max="1" width="43.7109375" bestFit="1" customWidth="1"/>
    <col min="3" max="3" width="15.140625" customWidth="1"/>
  </cols>
  <sheetData>
    <row r="1" spans="1:3" ht="21" x14ac:dyDescent="0.35">
      <c r="A1" s="6" t="s">
        <v>862</v>
      </c>
      <c r="B1" s="6"/>
      <c r="C1" s="6"/>
    </row>
    <row r="2" spans="1:3" x14ac:dyDescent="0.25">
      <c r="A2" s="25" t="s">
        <v>905</v>
      </c>
      <c r="B2" s="4"/>
      <c r="C2" s="4"/>
    </row>
    <row r="4" spans="1:3" x14ac:dyDescent="0.25">
      <c r="A4" s="5" t="s">
        <v>896</v>
      </c>
      <c r="B4" s="5"/>
      <c r="C4" s="5"/>
    </row>
    <row r="5" spans="1:3" x14ac:dyDescent="0.25">
      <c r="A5" s="8" t="s">
        <v>906</v>
      </c>
      <c r="B5" s="8"/>
      <c r="C5" s="13">
        <f>SUMIFS('Transaction Overview'!$D$2:$D$790,'Transaction Overview'!$J$2:$J$790,"Commissions — Incoming")</f>
        <v>1033938.62</v>
      </c>
    </row>
    <row r="6" spans="1:3" x14ac:dyDescent="0.25">
      <c r="A6" s="8" t="s">
        <v>907</v>
      </c>
      <c r="B6" s="8"/>
      <c r="C6" s="13">
        <f>SUMIFS('Transaction Overview'!$D$2:$D$790,'Transaction Overview'!$J$2:$J$790,"Commissions — Outgoing")</f>
        <v>-71650</v>
      </c>
    </row>
    <row r="7" spans="1:3" x14ac:dyDescent="0.25">
      <c r="A7" s="8" t="s">
        <v>908</v>
      </c>
      <c r="B7" s="8"/>
      <c r="C7" s="13">
        <f>C5+C6</f>
        <v>962288.62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343D-393E-4347-86CA-0F1F2AF1E39E}">
  <dimension ref="A1:N124"/>
  <sheetViews>
    <sheetView topLeftCell="A21" workbookViewId="0">
      <selection activeCell="P5" sqref="P5"/>
    </sheetView>
  </sheetViews>
  <sheetFormatPr defaultRowHeight="15" x14ac:dyDescent="0.25"/>
  <cols>
    <col min="1" max="1" width="55.5703125" bestFit="1" customWidth="1"/>
    <col min="13" max="14" width="10.140625" customWidth="1"/>
  </cols>
  <sheetData>
    <row r="1" spans="1:14" ht="21" x14ac:dyDescent="0.35">
      <c r="A1" s="6" t="s">
        <v>862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A2" s="4" t="s">
        <v>891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x14ac:dyDescent="0.25">
      <c r="A4" s="16" t="s">
        <v>860</v>
      </c>
      <c r="B4" s="17">
        <f>DATE(2025,1,1)</f>
        <v>45658</v>
      </c>
      <c r="C4" s="17">
        <f>DATE(2025,2,1)</f>
        <v>45689</v>
      </c>
      <c r="D4" s="17">
        <f>DATE(2025,3,1)</f>
        <v>45717</v>
      </c>
      <c r="E4" s="17">
        <f>DATE(2025,4,1)</f>
        <v>45748</v>
      </c>
      <c r="F4" s="17">
        <f>DATE(2025,5,1)</f>
        <v>45778</v>
      </c>
      <c r="G4" s="17">
        <f>DATE(2025,6,1)</f>
        <v>45809</v>
      </c>
      <c r="H4" s="17">
        <f>DATE(2025,7,1)</f>
        <v>45839</v>
      </c>
      <c r="I4" s="17">
        <f>DATE(2025,8,1)</f>
        <v>45870</v>
      </c>
      <c r="J4" s="17">
        <f>DATE(2025,9,1)</f>
        <v>45901</v>
      </c>
      <c r="K4" s="17">
        <f>DATE(2025,10,1)</f>
        <v>45931</v>
      </c>
      <c r="L4" s="17">
        <f>DATE(2025,11,1)</f>
        <v>45962</v>
      </c>
      <c r="M4" s="17">
        <f>DATE(2025,12,1)</f>
        <v>45992</v>
      </c>
      <c r="N4" s="16" t="s">
        <v>892</v>
      </c>
    </row>
    <row r="5" spans="1:14" x14ac:dyDescent="0.25">
      <c r="A5" s="18" t="s">
        <v>849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 x14ac:dyDescent="0.25">
      <c r="A6" s="8" t="s">
        <v>774</v>
      </c>
      <c r="B6" s="13">
        <f>SUMIFS('Transaction Overview'!$D$2:$D$790,'Transaction Overview'!$I$2:$I$790,$A6,'Transaction Overview'!$H$2:$H$790,B$4)</f>
        <v>350</v>
      </c>
      <c r="C6" s="13">
        <f>SUMIFS('Transaction Overview'!$D$2:$D$790,'Transaction Overview'!$I$2:$I$790,$A6,'Transaction Overview'!$H$2:$H$790,C$4)</f>
        <v>350</v>
      </c>
      <c r="D6" s="13">
        <f>SUMIFS('Transaction Overview'!$D$2:$D$790,'Transaction Overview'!$I$2:$I$790,$A6,'Transaction Overview'!$H$2:$H$790,D$4)</f>
        <v>350</v>
      </c>
      <c r="E6" s="13">
        <f>SUMIFS('Transaction Overview'!$D$2:$D$790,'Transaction Overview'!$I$2:$I$790,$A6,'Transaction Overview'!$H$2:$H$790,E$4)</f>
        <v>350</v>
      </c>
      <c r="F6" s="13">
        <f>SUMIFS('Transaction Overview'!$D$2:$D$790,'Transaction Overview'!$I$2:$I$790,$A6,'Transaction Overview'!$H$2:$H$790,F$4)</f>
        <v>350</v>
      </c>
      <c r="G6" s="13">
        <f>SUMIFS('Transaction Overview'!$D$2:$D$790,'Transaction Overview'!$I$2:$I$790,$A6,'Transaction Overview'!$H$2:$H$790,G$4)</f>
        <v>350</v>
      </c>
      <c r="H6" s="13">
        <f>SUMIFS('Transaction Overview'!$D$2:$D$790,'Transaction Overview'!$I$2:$I$790,$A6,'Transaction Overview'!$H$2:$H$790,H$4)</f>
        <v>350</v>
      </c>
      <c r="I6" s="13">
        <f>SUMIFS('Transaction Overview'!$D$2:$D$790,'Transaction Overview'!$I$2:$I$790,$A6,'Transaction Overview'!$H$2:$H$790,I$4)</f>
        <v>350</v>
      </c>
      <c r="J6" s="13">
        <f>SUMIFS('Transaction Overview'!$D$2:$D$790,'Transaction Overview'!$I$2:$I$790,$A6,'Transaction Overview'!$H$2:$H$790,J$4)</f>
        <v>350</v>
      </c>
      <c r="K6" s="13">
        <f>SUMIFS('Transaction Overview'!$D$2:$D$790,'Transaction Overview'!$I$2:$I$790,$A6,'Transaction Overview'!$H$2:$H$790,K$4)</f>
        <v>350</v>
      </c>
      <c r="L6" s="13">
        <f>SUMIFS('Transaction Overview'!$D$2:$D$790,'Transaction Overview'!$I$2:$I$790,$A6,'Transaction Overview'!$H$2:$H$790,L$4)</f>
        <v>350</v>
      </c>
      <c r="M6" s="13">
        <f>SUMIFS('Transaction Overview'!$D$2:$D$790,'Transaction Overview'!$I$2:$I$790,$A6,'Transaction Overview'!$H$2:$H$790,M$4)</f>
        <v>350</v>
      </c>
      <c r="N6" s="13">
        <f>SUM(B6:M6)</f>
        <v>4200</v>
      </c>
    </row>
    <row r="7" spans="1:14" x14ac:dyDescent="0.25">
      <c r="A7" s="8" t="s">
        <v>836</v>
      </c>
      <c r="B7" s="13">
        <f>SUMIFS('Transaction Overview'!$D$2:$D$790,'Transaction Overview'!$I$2:$I$790,$A7,'Transaction Overview'!$H$2:$H$790,B$4)</f>
        <v>0</v>
      </c>
      <c r="C7" s="13">
        <f>SUMIFS('Transaction Overview'!$D$2:$D$790,'Transaction Overview'!$I$2:$I$790,$A7,'Transaction Overview'!$H$2:$H$790,C$4)</f>
        <v>0</v>
      </c>
      <c r="D7" s="13">
        <f>SUMIFS('Transaction Overview'!$D$2:$D$790,'Transaction Overview'!$I$2:$I$790,$A7,'Transaction Overview'!$H$2:$H$790,D$4)</f>
        <v>0</v>
      </c>
      <c r="E7" s="13">
        <f>SUMIFS('Transaction Overview'!$D$2:$D$790,'Transaction Overview'!$I$2:$I$790,$A7,'Transaction Overview'!$H$2:$H$790,E$4)</f>
        <v>0</v>
      </c>
      <c r="F7" s="13">
        <f>SUMIFS('Transaction Overview'!$D$2:$D$790,'Transaction Overview'!$I$2:$I$790,$A7,'Transaction Overview'!$H$2:$H$790,F$4)</f>
        <v>0</v>
      </c>
      <c r="G7" s="13">
        <f>SUMIFS('Transaction Overview'!$D$2:$D$790,'Transaction Overview'!$I$2:$I$790,$A7,'Transaction Overview'!$H$2:$H$790,G$4)</f>
        <v>0</v>
      </c>
      <c r="H7" s="13">
        <f>SUMIFS('Transaction Overview'!$D$2:$D$790,'Transaction Overview'!$I$2:$I$790,$A7,'Transaction Overview'!$H$2:$H$790,H$4)</f>
        <v>0</v>
      </c>
      <c r="I7" s="13">
        <f>SUMIFS('Transaction Overview'!$D$2:$D$790,'Transaction Overview'!$I$2:$I$790,$A7,'Transaction Overview'!$H$2:$H$790,I$4)</f>
        <v>0</v>
      </c>
      <c r="J7" s="13">
        <f>SUMIFS('Transaction Overview'!$D$2:$D$790,'Transaction Overview'!$I$2:$I$790,$A7,'Transaction Overview'!$H$2:$H$790,J$4)</f>
        <v>0</v>
      </c>
      <c r="K7" s="13">
        <f>SUMIFS('Transaction Overview'!$D$2:$D$790,'Transaction Overview'!$I$2:$I$790,$A7,'Transaction Overview'!$H$2:$H$790,K$4)</f>
        <v>0</v>
      </c>
      <c r="L7" s="13">
        <f>SUMIFS('Transaction Overview'!$D$2:$D$790,'Transaction Overview'!$I$2:$I$790,$A7,'Transaction Overview'!$H$2:$H$790,L$4)</f>
        <v>0</v>
      </c>
      <c r="M7" s="13">
        <f>SUMIFS('Transaction Overview'!$D$2:$D$790,'Transaction Overview'!$I$2:$I$790,$A7,'Transaction Overview'!$H$2:$H$790,M$4)</f>
        <v>-155000</v>
      </c>
      <c r="N7" s="13">
        <f>SUM(B7:M7)</f>
        <v>-155000</v>
      </c>
    </row>
    <row r="8" spans="1:14" x14ac:dyDescent="0.25">
      <c r="A8" s="8" t="s">
        <v>828</v>
      </c>
      <c r="B8" s="13">
        <f>SUMIFS('Transaction Overview'!$D$2:$D$790,'Transaction Overview'!$I$2:$I$790,$A8,'Transaction Overview'!$H$2:$H$790,B$4)</f>
        <v>0</v>
      </c>
      <c r="C8" s="13">
        <f>SUMIFS('Transaction Overview'!$D$2:$D$790,'Transaction Overview'!$I$2:$I$790,$A8,'Transaction Overview'!$H$2:$H$790,C$4)</f>
        <v>0</v>
      </c>
      <c r="D8" s="13">
        <f>SUMIFS('Transaction Overview'!$D$2:$D$790,'Transaction Overview'!$I$2:$I$790,$A8,'Transaction Overview'!$H$2:$H$790,D$4)</f>
        <v>0</v>
      </c>
      <c r="E8" s="13">
        <f>SUMIFS('Transaction Overview'!$D$2:$D$790,'Transaction Overview'!$I$2:$I$790,$A8,'Transaction Overview'!$H$2:$H$790,E$4)</f>
        <v>0</v>
      </c>
      <c r="F8" s="13">
        <f>SUMIFS('Transaction Overview'!$D$2:$D$790,'Transaction Overview'!$I$2:$I$790,$A8,'Transaction Overview'!$H$2:$H$790,F$4)</f>
        <v>0</v>
      </c>
      <c r="G8" s="13">
        <f>SUMIFS('Transaction Overview'!$D$2:$D$790,'Transaction Overview'!$I$2:$I$790,$A8,'Transaction Overview'!$H$2:$H$790,G$4)</f>
        <v>0</v>
      </c>
      <c r="H8" s="13">
        <f>SUMIFS('Transaction Overview'!$D$2:$D$790,'Transaction Overview'!$I$2:$I$790,$A8,'Transaction Overview'!$H$2:$H$790,H$4)</f>
        <v>0</v>
      </c>
      <c r="I8" s="13">
        <f>SUMIFS('Transaction Overview'!$D$2:$D$790,'Transaction Overview'!$I$2:$I$790,$A8,'Transaction Overview'!$H$2:$H$790,I$4)</f>
        <v>0</v>
      </c>
      <c r="J8" s="13">
        <f>SUMIFS('Transaction Overview'!$D$2:$D$790,'Transaction Overview'!$I$2:$I$790,$A8,'Transaction Overview'!$H$2:$H$790,J$4)</f>
        <v>0</v>
      </c>
      <c r="K8" s="13">
        <f>SUMIFS('Transaction Overview'!$D$2:$D$790,'Transaction Overview'!$I$2:$I$790,$A8,'Transaction Overview'!$H$2:$H$790,K$4)</f>
        <v>0</v>
      </c>
      <c r="L8" s="13">
        <f>SUMIFS('Transaction Overview'!$D$2:$D$790,'Transaction Overview'!$I$2:$I$790,$A8,'Transaction Overview'!$H$2:$H$790,L$4)</f>
        <v>-46528.05</v>
      </c>
      <c r="M8" s="13">
        <f>SUMIFS('Transaction Overview'!$D$2:$D$790,'Transaction Overview'!$I$2:$I$790,$A8,'Transaction Overview'!$H$2:$H$790,M$4)</f>
        <v>0</v>
      </c>
      <c r="N8" s="13">
        <f>SUM(B8:M8)</f>
        <v>-46528.05</v>
      </c>
    </row>
    <row r="9" spans="1:14" x14ac:dyDescent="0.25">
      <c r="A9" s="8" t="s">
        <v>799</v>
      </c>
      <c r="B9" s="13">
        <f>SUMIFS('Transaction Overview'!$D$2:$D$790,'Transaction Overview'!$I$2:$I$790,$A9,'Transaction Overview'!$H$2:$H$790,B$4)</f>
        <v>0</v>
      </c>
      <c r="C9" s="13">
        <f>SUMIFS('Transaction Overview'!$D$2:$D$790,'Transaction Overview'!$I$2:$I$790,$A9,'Transaction Overview'!$H$2:$H$790,C$4)</f>
        <v>0</v>
      </c>
      <c r="D9" s="13">
        <f>SUMIFS('Transaction Overview'!$D$2:$D$790,'Transaction Overview'!$I$2:$I$790,$A9,'Transaction Overview'!$H$2:$H$790,D$4)</f>
        <v>0</v>
      </c>
      <c r="E9" s="13">
        <f>SUMIFS('Transaction Overview'!$D$2:$D$790,'Transaction Overview'!$I$2:$I$790,$A9,'Transaction Overview'!$H$2:$H$790,E$4)</f>
        <v>-50000</v>
      </c>
      <c r="F9" s="13">
        <f>SUMIFS('Transaction Overview'!$D$2:$D$790,'Transaction Overview'!$I$2:$I$790,$A9,'Transaction Overview'!$H$2:$H$790,F$4)</f>
        <v>0</v>
      </c>
      <c r="G9" s="13">
        <f>SUMIFS('Transaction Overview'!$D$2:$D$790,'Transaction Overview'!$I$2:$I$790,$A9,'Transaction Overview'!$H$2:$H$790,G$4)</f>
        <v>0</v>
      </c>
      <c r="H9" s="13">
        <f>SUMIFS('Transaction Overview'!$D$2:$D$790,'Transaction Overview'!$I$2:$I$790,$A9,'Transaction Overview'!$H$2:$H$790,H$4)</f>
        <v>0</v>
      </c>
      <c r="I9" s="13">
        <f>SUMIFS('Transaction Overview'!$D$2:$D$790,'Transaction Overview'!$I$2:$I$790,$A9,'Transaction Overview'!$H$2:$H$790,I$4)</f>
        <v>0</v>
      </c>
      <c r="J9" s="13">
        <f>SUMIFS('Transaction Overview'!$D$2:$D$790,'Transaction Overview'!$I$2:$I$790,$A9,'Transaction Overview'!$H$2:$H$790,J$4)</f>
        <v>0</v>
      </c>
      <c r="K9" s="13">
        <f>SUMIFS('Transaction Overview'!$D$2:$D$790,'Transaction Overview'!$I$2:$I$790,$A9,'Transaction Overview'!$H$2:$H$790,K$4)</f>
        <v>0</v>
      </c>
      <c r="L9" s="13">
        <f>SUMIFS('Transaction Overview'!$D$2:$D$790,'Transaction Overview'!$I$2:$I$790,$A9,'Transaction Overview'!$H$2:$H$790,L$4)</f>
        <v>0</v>
      </c>
      <c r="M9" s="13">
        <f>SUMIFS('Transaction Overview'!$D$2:$D$790,'Transaction Overview'!$I$2:$I$790,$A9,'Transaction Overview'!$H$2:$H$790,M$4)</f>
        <v>0</v>
      </c>
      <c r="N9" s="13">
        <f>SUM(B9:M9)</f>
        <v>-50000</v>
      </c>
    </row>
    <row r="10" spans="1:14" x14ac:dyDescent="0.25">
      <c r="A10" s="8" t="s">
        <v>775</v>
      </c>
      <c r="B10" s="13">
        <f>SUMIFS('Transaction Overview'!$D$2:$D$790,'Transaction Overview'!$I$2:$I$790,$A10,'Transaction Overview'!$H$2:$H$790,B$4)</f>
        <v>461.52</v>
      </c>
      <c r="C10" s="13">
        <f>SUMIFS('Transaction Overview'!$D$2:$D$790,'Transaction Overview'!$I$2:$I$790,$A10,'Transaction Overview'!$H$2:$H$790,C$4)</f>
        <v>461.52</v>
      </c>
      <c r="D10" s="13">
        <f>SUMIFS('Transaction Overview'!$D$2:$D$790,'Transaction Overview'!$I$2:$I$790,$A10,'Transaction Overview'!$H$2:$H$790,D$4)</f>
        <v>476.41</v>
      </c>
      <c r="E10" s="13">
        <f>SUMIFS('Transaction Overview'!$D$2:$D$790,'Transaction Overview'!$I$2:$I$790,$A10,'Transaction Overview'!$H$2:$H$790,E$4)</f>
        <v>476.41</v>
      </c>
      <c r="F10" s="13">
        <f>SUMIFS('Transaction Overview'!$D$2:$D$790,'Transaction Overview'!$I$2:$I$790,$A10,'Transaction Overview'!$H$2:$H$790,F$4)</f>
        <v>476.41</v>
      </c>
      <c r="G10" s="13">
        <f>SUMIFS('Transaction Overview'!$D$2:$D$790,'Transaction Overview'!$I$2:$I$790,$A10,'Transaction Overview'!$H$2:$H$790,G$4)</f>
        <v>476.41</v>
      </c>
      <c r="H10" s="13">
        <f>SUMIFS('Transaction Overview'!$D$2:$D$790,'Transaction Overview'!$I$2:$I$790,$A10,'Transaction Overview'!$H$2:$H$790,H$4)</f>
        <v>476.41</v>
      </c>
      <c r="I10" s="13">
        <f>SUMIFS('Transaction Overview'!$D$2:$D$790,'Transaction Overview'!$I$2:$I$790,$A10,'Transaction Overview'!$H$2:$H$790,I$4)</f>
        <v>476.41</v>
      </c>
      <c r="J10" s="13">
        <f>SUMIFS('Transaction Overview'!$D$2:$D$790,'Transaction Overview'!$I$2:$I$790,$A10,'Transaction Overview'!$H$2:$H$790,J$4)</f>
        <v>476.41</v>
      </c>
      <c r="K10" s="13">
        <f>SUMIFS('Transaction Overview'!$D$2:$D$790,'Transaction Overview'!$I$2:$I$790,$A10,'Transaction Overview'!$H$2:$H$790,K$4)</f>
        <v>476.41</v>
      </c>
      <c r="L10" s="13">
        <f>SUMIFS('Transaction Overview'!$D$2:$D$790,'Transaction Overview'!$I$2:$I$790,$A10,'Transaction Overview'!$H$2:$H$790,L$4)</f>
        <v>476.41</v>
      </c>
      <c r="M10" s="13">
        <f>SUMIFS('Transaction Overview'!$D$2:$D$790,'Transaction Overview'!$I$2:$I$790,$A10,'Transaction Overview'!$H$2:$H$790,M$4)</f>
        <v>476.41</v>
      </c>
      <c r="N10" s="13">
        <f>SUM(B10:M10)</f>
        <v>5687.1399999999994</v>
      </c>
    </row>
    <row r="11" spans="1:14" x14ac:dyDescent="0.25">
      <c r="A11" s="8" t="s">
        <v>825</v>
      </c>
      <c r="B11" s="13">
        <f>SUMIFS('Transaction Overview'!$D$2:$D$790,'Transaction Overview'!$I$2:$I$790,$A11,'Transaction Overview'!$H$2:$H$790,B$4)</f>
        <v>0</v>
      </c>
      <c r="C11" s="13">
        <f>SUMIFS('Transaction Overview'!$D$2:$D$790,'Transaction Overview'!$I$2:$I$790,$A11,'Transaction Overview'!$H$2:$H$790,C$4)</f>
        <v>0</v>
      </c>
      <c r="D11" s="13">
        <f>SUMIFS('Transaction Overview'!$D$2:$D$790,'Transaction Overview'!$I$2:$I$790,$A11,'Transaction Overview'!$H$2:$H$790,D$4)</f>
        <v>0</v>
      </c>
      <c r="E11" s="13">
        <f>SUMIFS('Transaction Overview'!$D$2:$D$790,'Transaction Overview'!$I$2:$I$790,$A11,'Transaction Overview'!$H$2:$H$790,E$4)</f>
        <v>0</v>
      </c>
      <c r="F11" s="13">
        <f>SUMIFS('Transaction Overview'!$D$2:$D$790,'Transaction Overview'!$I$2:$I$790,$A11,'Transaction Overview'!$H$2:$H$790,F$4)</f>
        <v>0</v>
      </c>
      <c r="G11" s="13">
        <f>SUMIFS('Transaction Overview'!$D$2:$D$790,'Transaction Overview'!$I$2:$I$790,$A11,'Transaction Overview'!$H$2:$H$790,G$4)</f>
        <v>0</v>
      </c>
      <c r="H11" s="13">
        <f>SUMIFS('Transaction Overview'!$D$2:$D$790,'Transaction Overview'!$I$2:$I$790,$A11,'Transaction Overview'!$H$2:$H$790,H$4)</f>
        <v>0</v>
      </c>
      <c r="I11" s="13">
        <f>SUMIFS('Transaction Overview'!$D$2:$D$790,'Transaction Overview'!$I$2:$I$790,$A11,'Transaction Overview'!$H$2:$H$790,I$4)</f>
        <v>0</v>
      </c>
      <c r="J11" s="13">
        <f>SUMIFS('Transaction Overview'!$D$2:$D$790,'Transaction Overview'!$I$2:$I$790,$A11,'Transaction Overview'!$H$2:$H$790,J$4)</f>
        <v>0</v>
      </c>
      <c r="K11" s="13">
        <f>SUMIFS('Transaction Overview'!$D$2:$D$790,'Transaction Overview'!$I$2:$I$790,$A11,'Transaction Overview'!$H$2:$H$790,K$4)</f>
        <v>0</v>
      </c>
      <c r="L11" s="13">
        <f>SUMIFS('Transaction Overview'!$D$2:$D$790,'Transaction Overview'!$I$2:$I$790,$A11,'Transaction Overview'!$H$2:$H$790,L$4)</f>
        <v>1675</v>
      </c>
      <c r="M11" s="13">
        <f>SUMIFS('Transaction Overview'!$D$2:$D$790,'Transaction Overview'!$I$2:$I$790,$A11,'Transaction Overview'!$H$2:$H$790,M$4)</f>
        <v>5000</v>
      </c>
      <c r="N11" s="13">
        <f>SUM(B11:M11)</f>
        <v>6675</v>
      </c>
    </row>
    <row r="12" spans="1:14" x14ac:dyDescent="0.25">
      <c r="A12" s="8" t="s">
        <v>773</v>
      </c>
      <c r="B12" s="13">
        <f>SUMIFS('Transaction Overview'!$D$2:$D$790,'Transaction Overview'!$I$2:$I$790,$A12,'Transaction Overview'!$H$2:$H$790,B$4)</f>
        <v>236.37</v>
      </c>
      <c r="C12" s="13">
        <f>SUMIFS('Transaction Overview'!$D$2:$D$790,'Transaction Overview'!$I$2:$I$790,$A12,'Transaction Overview'!$H$2:$H$790,C$4)</f>
        <v>236.37</v>
      </c>
      <c r="D12" s="13">
        <f>SUMIFS('Transaction Overview'!$D$2:$D$790,'Transaction Overview'!$I$2:$I$790,$A12,'Transaction Overview'!$H$2:$H$790,D$4)</f>
        <v>236.37</v>
      </c>
      <c r="E12" s="13">
        <f>SUMIFS('Transaction Overview'!$D$2:$D$790,'Transaction Overview'!$I$2:$I$790,$A12,'Transaction Overview'!$H$2:$H$790,E$4)</f>
        <v>236.37</v>
      </c>
      <c r="F12" s="13">
        <f>SUMIFS('Transaction Overview'!$D$2:$D$790,'Transaction Overview'!$I$2:$I$790,$A12,'Transaction Overview'!$H$2:$H$790,F$4)</f>
        <v>236.37</v>
      </c>
      <c r="G12" s="13">
        <f>SUMIFS('Transaction Overview'!$D$2:$D$790,'Transaction Overview'!$I$2:$I$790,$A12,'Transaction Overview'!$H$2:$H$790,G$4)</f>
        <v>236.37</v>
      </c>
      <c r="H12" s="13">
        <f>SUMIFS('Transaction Overview'!$D$2:$D$790,'Transaction Overview'!$I$2:$I$790,$A12,'Transaction Overview'!$H$2:$H$790,H$4)</f>
        <v>236.37</v>
      </c>
      <c r="I12" s="13">
        <f>SUMIFS('Transaction Overview'!$D$2:$D$790,'Transaction Overview'!$I$2:$I$790,$A12,'Transaction Overview'!$H$2:$H$790,I$4)</f>
        <v>236.37</v>
      </c>
      <c r="J12" s="13">
        <f>SUMIFS('Transaction Overview'!$D$2:$D$790,'Transaction Overview'!$I$2:$I$790,$A12,'Transaction Overview'!$H$2:$H$790,J$4)</f>
        <v>236.37</v>
      </c>
      <c r="K12" s="13">
        <f>SUMIFS('Transaction Overview'!$D$2:$D$790,'Transaction Overview'!$I$2:$I$790,$A12,'Transaction Overview'!$H$2:$H$790,K$4)</f>
        <v>236.37</v>
      </c>
      <c r="L12" s="13">
        <f>SUMIFS('Transaction Overview'!$D$2:$D$790,'Transaction Overview'!$I$2:$I$790,$A12,'Transaction Overview'!$H$2:$H$790,L$4)</f>
        <v>241.87</v>
      </c>
      <c r="M12" s="13">
        <f>SUMIFS('Transaction Overview'!$D$2:$D$790,'Transaction Overview'!$I$2:$I$790,$A12,'Transaction Overview'!$H$2:$H$790,M$4)</f>
        <v>241.87</v>
      </c>
      <c r="N12" s="13">
        <f>SUM(B12:M12)</f>
        <v>2847.4399999999991</v>
      </c>
    </row>
    <row r="13" spans="1:14" x14ac:dyDescent="0.25">
      <c r="A13" s="8" t="s">
        <v>772</v>
      </c>
      <c r="B13" s="13">
        <f>SUMIFS('Transaction Overview'!$D$2:$D$790,'Transaction Overview'!$I$2:$I$790,$A13,'Transaction Overview'!$H$2:$H$790,B$4)</f>
        <v>0</v>
      </c>
      <c r="C13" s="13">
        <f>SUMIFS('Transaction Overview'!$D$2:$D$790,'Transaction Overview'!$I$2:$I$790,$A13,'Transaction Overview'!$H$2:$H$790,C$4)</f>
        <v>0</v>
      </c>
      <c r="D13" s="13">
        <f>SUMIFS('Transaction Overview'!$D$2:$D$790,'Transaction Overview'!$I$2:$I$790,$A13,'Transaction Overview'!$H$2:$H$790,D$4)</f>
        <v>0</v>
      </c>
      <c r="E13" s="13">
        <f>SUMIFS('Transaction Overview'!$D$2:$D$790,'Transaction Overview'!$I$2:$I$790,$A13,'Transaction Overview'!$H$2:$H$790,E$4)</f>
        <v>0</v>
      </c>
      <c r="F13" s="13">
        <f>SUMIFS('Transaction Overview'!$D$2:$D$790,'Transaction Overview'!$I$2:$I$790,$A13,'Transaction Overview'!$H$2:$H$790,F$4)</f>
        <v>0</v>
      </c>
      <c r="G13" s="13">
        <f>SUMIFS('Transaction Overview'!$D$2:$D$790,'Transaction Overview'!$I$2:$I$790,$A13,'Transaction Overview'!$H$2:$H$790,G$4)</f>
        <v>0</v>
      </c>
      <c r="H13" s="13">
        <f>SUMIFS('Transaction Overview'!$D$2:$D$790,'Transaction Overview'!$I$2:$I$790,$A13,'Transaction Overview'!$H$2:$H$790,H$4)</f>
        <v>0</v>
      </c>
      <c r="I13" s="13">
        <f>SUMIFS('Transaction Overview'!$D$2:$D$790,'Transaction Overview'!$I$2:$I$790,$A13,'Transaction Overview'!$H$2:$H$790,I$4)</f>
        <v>233.33</v>
      </c>
      <c r="J13" s="13">
        <f>SUMIFS('Transaction Overview'!$D$2:$D$790,'Transaction Overview'!$I$2:$I$790,$A13,'Transaction Overview'!$H$2:$H$790,J$4)</f>
        <v>233.33</v>
      </c>
      <c r="K13" s="13">
        <f>SUMIFS('Transaction Overview'!$D$2:$D$790,'Transaction Overview'!$I$2:$I$790,$A13,'Transaction Overview'!$H$2:$H$790,K$4)</f>
        <v>233.33</v>
      </c>
      <c r="L13" s="13">
        <f>SUMIFS('Transaction Overview'!$D$2:$D$790,'Transaction Overview'!$I$2:$I$790,$A13,'Transaction Overview'!$H$2:$H$790,L$4)</f>
        <v>233.33</v>
      </c>
      <c r="M13" s="13">
        <f>SUMIFS('Transaction Overview'!$D$2:$D$790,'Transaction Overview'!$I$2:$I$790,$A13,'Transaction Overview'!$H$2:$H$790,M$4)</f>
        <v>233.33</v>
      </c>
      <c r="N13" s="13">
        <f>SUM(B13:M13)</f>
        <v>1166.6500000000001</v>
      </c>
    </row>
    <row r="14" spans="1:14" x14ac:dyDescent="0.25">
      <c r="A14" s="8" t="s">
        <v>769</v>
      </c>
      <c r="B14" s="13">
        <f>SUMIFS('Transaction Overview'!$D$2:$D$790,'Transaction Overview'!$I$2:$I$790,$A14,'Transaction Overview'!$H$2:$H$790,B$4)</f>
        <v>345.24</v>
      </c>
      <c r="C14" s="13">
        <f>SUMIFS('Transaction Overview'!$D$2:$D$790,'Transaction Overview'!$I$2:$I$790,$A14,'Transaction Overview'!$H$2:$H$790,C$4)</f>
        <v>356.38</v>
      </c>
      <c r="D14" s="13">
        <f>SUMIFS('Transaction Overview'!$D$2:$D$790,'Transaction Overview'!$I$2:$I$790,$A14,'Transaction Overview'!$H$2:$H$790,D$4)</f>
        <v>356.38</v>
      </c>
      <c r="E14" s="13">
        <f>SUMIFS('Transaction Overview'!$D$2:$D$790,'Transaction Overview'!$I$2:$I$790,$A14,'Transaction Overview'!$H$2:$H$790,E$4)</f>
        <v>356.38</v>
      </c>
      <c r="F14" s="13">
        <f>SUMIFS('Transaction Overview'!$D$2:$D$790,'Transaction Overview'!$I$2:$I$790,$A14,'Transaction Overview'!$H$2:$H$790,F$4)</f>
        <v>356.38</v>
      </c>
      <c r="G14" s="13">
        <f>SUMIFS('Transaction Overview'!$D$2:$D$790,'Transaction Overview'!$I$2:$I$790,$A14,'Transaction Overview'!$H$2:$H$790,G$4)</f>
        <v>356.38</v>
      </c>
      <c r="H14" s="13">
        <f>SUMIFS('Transaction Overview'!$D$2:$D$790,'Transaction Overview'!$I$2:$I$790,$A14,'Transaction Overview'!$H$2:$H$790,H$4)</f>
        <v>356.38</v>
      </c>
      <c r="I14" s="13">
        <f>SUMIFS('Transaction Overview'!$D$2:$D$790,'Transaction Overview'!$I$2:$I$790,$A14,'Transaction Overview'!$H$2:$H$790,I$4)</f>
        <v>356.38</v>
      </c>
      <c r="J14" s="13">
        <f>SUMIFS('Transaction Overview'!$D$2:$D$790,'Transaction Overview'!$I$2:$I$790,$A14,'Transaction Overview'!$H$2:$H$790,J$4)</f>
        <v>406.38</v>
      </c>
      <c r="K14" s="13">
        <f>SUMIFS('Transaction Overview'!$D$2:$D$790,'Transaction Overview'!$I$2:$I$790,$A14,'Transaction Overview'!$H$2:$H$790,K$4)</f>
        <v>356.38</v>
      </c>
      <c r="L14" s="13">
        <f>SUMIFS('Transaction Overview'!$D$2:$D$790,'Transaction Overview'!$I$2:$I$790,$A14,'Transaction Overview'!$H$2:$H$790,L$4)</f>
        <v>356.38</v>
      </c>
      <c r="M14" s="13">
        <f>SUMIFS('Transaction Overview'!$D$2:$D$790,'Transaction Overview'!$I$2:$I$790,$A14,'Transaction Overview'!$H$2:$H$790,M$4)</f>
        <v>356.38</v>
      </c>
      <c r="N14" s="13">
        <f>SUM(B14:M14)</f>
        <v>4315.420000000001</v>
      </c>
    </row>
    <row r="15" spans="1:14" x14ac:dyDescent="0.25">
      <c r="A15" s="21" t="s">
        <v>877</v>
      </c>
      <c r="B15" s="22">
        <f>SUMIFS('Transaction Overview'!$D$2:$D$790,'Transaction Overview'!$J$2:$J$790,"Deal-Specific",'Transaction Overview'!$H$2:$H$790,B$4)</f>
        <v>1393.13</v>
      </c>
      <c r="C15" s="22">
        <f>SUMIFS('Transaction Overview'!$D$2:$D$790,'Transaction Overview'!$J$2:$J$790,"Deal-Specific",'Transaction Overview'!$H$2:$H$790,C$4)</f>
        <v>1404.27</v>
      </c>
      <c r="D15" s="22">
        <f>SUMIFS('Transaction Overview'!$D$2:$D$790,'Transaction Overview'!$J$2:$J$790,"Deal-Specific",'Transaction Overview'!$H$2:$H$790,D$4)</f>
        <v>1419.16</v>
      </c>
      <c r="E15" s="22">
        <f>SUMIFS('Transaction Overview'!$D$2:$D$790,'Transaction Overview'!$J$2:$J$790,"Deal-Specific",'Transaction Overview'!$H$2:$H$790,E$4)</f>
        <v>-48580.84</v>
      </c>
      <c r="F15" s="22">
        <f>SUMIFS('Transaction Overview'!$D$2:$D$790,'Transaction Overview'!$J$2:$J$790,"Deal-Specific",'Transaction Overview'!$H$2:$H$790,F$4)</f>
        <v>1419.16</v>
      </c>
      <c r="G15" s="22">
        <f>SUMIFS('Transaction Overview'!$D$2:$D$790,'Transaction Overview'!$J$2:$J$790,"Deal-Specific",'Transaction Overview'!$H$2:$H$790,G$4)</f>
        <v>1419.16</v>
      </c>
      <c r="H15" s="22">
        <f>SUMIFS('Transaction Overview'!$D$2:$D$790,'Transaction Overview'!$J$2:$J$790,"Deal-Specific",'Transaction Overview'!$H$2:$H$790,H$4)</f>
        <v>1419.1600000000003</v>
      </c>
      <c r="I15" s="22">
        <f>SUMIFS('Transaction Overview'!$D$2:$D$790,'Transaction Overview'!$J$2:$J$790,"Deal-Specific",'Transaction Overview'!$H$2:$H$790,I$4)</f>
        <v>1652.49</v>
      </c>
      <c r="J15" s="22">
        <f>SUMIFS('Transaction Overview'!$D$2:$D$790,'Transaction Overview'!$J$2:$J$790,"Deal-Specific",'Transaction Overview'!$H$2:$H$790,J$4)</f>
        <v>1702.49</v>
      </c>
      <c r="K15" s="22">
        <f>SUMIFS('Transaction Overview'!$D$2:$D$790,'Transaction Overview'!$J$2:$J$790,"Deal-Specific",'Transaction Overview'!$H$2:$H$790,K$4)</f>
        <v>1652.49</v>
      </c>
      <c r="L15" s="22">
        <f>SUMIFS('Transaction Overview'!$D$2:$D$790,'Transaction Overview'!$J$2:$J$790,"Deal-Specific",'Transaction Overview'!$H$2:$H$790,L$4)</f>
        <v>-43195.06</v>
      </c>
      <c r="M15" s="22">
        <f>SUMIFS('Transaction Overview'!$D$2:$D$790,'Transaction Overview'!$J$2:$J$790,"Deal-Specific",'Transaction Overview'!$H$2:$H$790,M$4)</f>
        <v>-148342.01</v>
      </c>
      <c r="N15" s="22">
        <f>SUM(B15:M15)</f>
        <v>-226636.4</v>
      </c>
    </row>
    <row r="16" spans="1:14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18" t="s">
        <v>852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1:14" x14ac:dyDescent="0.25">
      <c r="A18" s="8" t="s">
        <v>806</v>
      </c>
      <c r="B18" s="13">
        <f>SUMIFS('Transaction Overview'!$D$2:$D$790,'Transaction Overview'!$I$2:$I$790,$A18,'Transaction Overview'!$H$2:$H$790,B$4)</f>
        <v>0</v>
      </c>
      <c r="C18" s="13">
        <f>SUMIFS('Transaction Overview'!$D$2:$D$790,'Transaction Overview'!$I$2:$I$790,$A18,'Transaction Overview'!$H$2:$H$790,C$4)</f>
        <v>0</v>
      </c>
      <c r="D18" s="13">
        <f>SUMIFS('Transaction Overview'!$D$2:$D$790,'Transaction Overview'!$I$2:$I$790,$A18,'Transaction Overview'!$H$2:$H$790,D$4)</f>
        <v>0</v>
      </c>
      <c r="E18" s="13">
        <f>SUMIFS('Transaction Overview'!$D$2:$D$790,'Transaction Overview'!$I$2:$I$790,$A18,'Transaction Overview'!$H$2:$H$790,E$4)</f>
        <v>0</v>
      </c>
      <c r="F18" s="13">
        <f>SUMIFS('Transaction Overview'!$D$2:$D$790,'Transaction Overview'!$I$2:$I$790,$A18,'Transaction Overview'!$H$2:$H$790,F$4)</f>
        <v>0</v>
      </c>
      <c r="G18" s="13">
        <f>SUMIFS('Transaction Overview'!$D$2:$D$790,'Transaction Overview'!$I$2:$I$790,$A18,'Transaction Overview'!$H$2:$H$790,G$4)</f>
        <v>0</v>
      </c>
      <c r="H18" s="13">
        <f>SUMIFS('Transaction Overview'!$D$2:$D$790,'Transaction Overview'!$I$2:$I$790,$A18,'Transaction Overview'!$H$2:$H$790,H$4)</f>
        <v>269473.73</v>
      </c>
      <c r="I18" s="13">
        <f>SUMIFS('Transaction Overview'!$D$2:$D$790,'Transaction Overview'!$I$2:$I$790,$A18,'Transaction Overview'!$H$2:$H$790,I$4)</f>
        <v>0</v>
      </c>
      <c r="J18" s="13">
        <f>SUMIFS('Transaction Overview'!$D$2:$D$790,'Transaction Overview'!$I$2:$I$790,$A18,'Transaction Overview'!$H$2:$H$790,J$4)</f>
        <v>0</v>
      </c>
      <c r="K18" s="13">
        <f>SUMIFS('Transaction Overview'!$D$2:$D$790,'Transaction Overview'!$I$2:$I$790,$A18,'Transaction Overview'!$H$2:$H$790,K$4)</f>
        <v>0</v>
      </c>
      <c r="L18" s="13">
        <f>SUMIFS('Transaction Overview'!$D$2:$D$790,'Transaction Overview'!$I$2:$I$790,$A18,'Transaction Overview'!$H$2:$H$790,L$4)</f>
        <v>0</v>
      </c>
      <c r="M18" s="13">
        <f>SUMIFS('Transaction Overview'!$D$2:$D$790,'Transaction Overview'!$I$2:$I$790,$A18,'Transaction Overview'!$H$2:$H$790,M$4)</f>
        <v>0</v>
      </c>
      <c r="N18" s="13">
        <f>SUM(B18:M18)</f>
        <v>269473.73</v>
      </c>
    </row>
    <row r="19" spans="1:14" x14ac:dyDescent="0.25">
      <c r="A19" s="8" t="s">
        <v>794</v>
      </c>
      <c r="B19" s="13">
        <f>SUMIFS('Transaction Overview'!$D$2:$D$790,'Transaction Overview'!$I$2:$I$790,$A19,'Transaction Overview'!$H$2:$H$790,B$4)</f>
        <v>0</v>
      </c>
      <c r="C19" s="13">
        <f>SUMIFS('Transaction Overview'!$D$2:$D$790,'Transaction Overview'!$I$2:$I$790,$A19,'Transaction Overview'!$H$2:$H$790,C$4)</f>
        <v>0</v>
      </c>
      <c r="D19" s="13">
        <f>SUMIFS('Transaction Overview'!$D$2:$D$790,'Transaction Overview'!$I$2:$I$790,$A19,'Transaction Overview'!$H$2:$H$790,D$4)</f>
        <v>164150.5</v>
      </c>
      <c r="E19" s="13">
        <f>SUMIFS('Transaction Overview'!$D$2:$D$790,'Transaction Overview'!$I$2:$I$790,$A19,'Transaction Overview'!$H$2:$H$790,E$4)</f>
        <v>0</v>
      </c>
      <c r="F19" s="13">
        <f>SUMIFS('Transaction Overview'!$D$2:$D$790,'Transaction Overview'!$I$2:$I$790,$A19,'Transaction Overview'!$H$2:$H$790,F$4)</f>
        <v>0</v>
      </c>
      <c r="G19" s="13">
        <f>SUMIFS('Transaction Overview'!$D$2:$D$790,'Transaction Overview'!$I$2:$I$790,$A19,'Transaction Overview'!$H$2:$H$790,G$4)</f>
        <v>0</v>
      </c>
      <c r="H19" s="13">
        <f>SUMIFS('Transaction Overview'!$D$2:$D$790,'Transaction Overview'!$I$2:$I$790,$A19,'Transaction Overview'!$H$2:$H$790,H$4)</f>
        <v>0</v>
      </c>
      <c r="I19" s="13">
        <f>SUMIFS('Transaction Overview'!$D$2:$D$790,'Transaction Overview'!$I$2:$I$790,$A19,'Transaction Overview'!$H$2:$H$790,I$4)</f>
        <v>0</v>
      </c>
      <c r="J19" s="13">
        <f>SUMIFS('Transaction Overview'!$D$2:$D$790,'Transaction Overview'!$I$2:$I$790,$A19,'Transaction Overview'!$H$2:$H$790,J$4)</f>
        <v>0</v>
      </c>
      <c r="K19" s="13">
        <f>SUMIFS('Transaction Overview'!$D$2:$D$790,'Transaction Overview'!$I$2:$I$790,$A19,'Transaction Overview'!$H$2:$H$790,K$4)</f>
        <v>0</v>
      </c>
      <c r="L19" s="13">
        <f>SUMIFS('Transaction Overview'!$D$2:$D$790,'Transaction Overview'!$I$2:$I$790,$A19,'Transaction Overview'!$H$2:$H$790,L$4)</f>
        <v>0</v>
      </c>
      <c r="M19" s="13">
        <f>SUMIFS('Transaction Overview'!$D$2:$D$790,'Transaction Overview'!$I$2:$I$790,$A19,'Transaction Overview'!$H$2:$H$790,M$4)</f>
        <v>0</v>
      </c>
      <c r="N19" s="13">
        <f>SUM(B19:M19)</f>
        <v>164150.5</v>
      </c>
    </row>
    <row r="20" spans="1:14" x14ac:dyDescent="0.25">
      <c r="A20" s="8" t="s">
        <v>790</v>
      </c>
      <c r="B20" s="13">
        <f>SUMIFS('Transaction Overview'!$D$2:$D$790,'Transaction Overview'!$I$2:$I$790,$A20,'Transaction Overview'!$H$2:$H$790,B$4)</f>
        <v>148250</v>
      </c>
      <c r="C20" s="13">
        <f>SUMIFS('Transaction Overview'!$D$2:$D$790,'Transaction Overview'!$I$2:$I$790,$A20,'Transaction Overview'!$H$2:$H$790,C$4)</f>
        <v>0</v>
      </c>
      <c r="D20" s="13">
        <f>SUMIFS('Transaction Overview'!$D$2:$D$790,'Transaction Overview'!$I$2:$I$790,$A20,'Transaction Overview'!$H$2:$H$790,D$4)</f>
        <v>0</v>
      </c>
      <c r="E20" s="13">
        <f>SUMIFS('Transaction Overview'!$D$2:$D$790,'Transaction Overview'!$I$2:$I$790,$A20,'Transaction Overview'!$H$2:$H$790,E$4)</f>
        <v>0</v>
      </c>
      <c r="F20" s="13">
        <f>SUMIFS('Transaction Overview'!$D$2:$D$790,'Transaction Overview'!$I$2:$I$790,$A20,'Transaction Overview'!$H$2:$H$790,F$4)</f>
        <v>0</v>
      </c>
      <c r="G20" s="13">
        <f>SUMIFS('Transaction Overview'!$D$2:$D$790,'Transaction Overview'!$I$2:$I$790,$A20,'Transaction Overview'!$H$2:$H$790,G$4)</f>
        <v>0</v>
      </c>
      <c r="H20" s="13">
        <f>SUMIFS('Transaction Overview'!$D$2:$D$790,'Transaction Overview'!$I$2:$I$790,$A20,'Transaction Overview'!$H$2:$H$790,H$4)</f>
        <v>0</v>
      </c>
      <c r="I20" s="13">
        <f>SUMIFS('Transaction Overview'!$D$2:$D$790,'Transaction Overview'!$I$2:$I$790,$A20,'Transaction Overview'!$H$2:$H$790,I$4)</f>
        <v>0</v>
      </c>
      <c r="J20" s="13">
        <f>SUMIFS('Transaction Overview'!$D$2:$D$790,'Transaction Overview'!$I$2:$I$790,$A20,'Transaction Overview'!$H$2:$H$790,J$4)</f>
        <v>0</v>
      </c>
      <c r="K20" s="13">
        <f>SUMIFS('Transaction Overview'!$D$2:$D$790,'Transaction Overview'!$I$2:$I$790,$A20,'Transaction Overview'!$H$2:$H$790,K$4)</f>
        <v>0</v>
      </c>
      <c r="L20" s="13">
        <f>SUMIFS('Transaction Overview'!$D$2:$D$790,'Transaction Overview'!$I$2:$I$790,$A20,'Transaction Overview'!$H$2:$H$790,L$4)</f>
        <v>0</v>
      </c>
      <c r="M20" s="13">
        <f>SUMIFS('Transaction Overview'!$D$2:$D$790,'Transaction Overview'!$I$2:$I$790,$A20,'Transaction Overview'!$H$2:$H$790,M$4)</f>
        <v>0</v>
      </c>
      <c r="N20" s="13">
        <f>SUM(B20:M20)</f>
        <v>148250</v>
      </c>
    </row>
    <row r="21" spans="1:14" x14ac:dyDescent="0.25">
      <c r="A21" s="8" t="s">
        <v>798</v>
      </c>
      <c r="B21" s="13">
        <f>SUMIFS('Transaction Overview'!$D$2:$D$790,'Transaction Overview'!$I$2:$I$790,$A21,'Transaction Overview'!$H$2:$H$790,B$4)</f>
        <v>0</v>
      </c>
      <c r="C21" s="13">
        <f>SUMIFS('Transaction Overview'!$D$2:$D$790,'Transaction Overview'!$I$2:$I$790,$A21,'Transaction Overview'!$H$2:$H$790,C$4)</f>
        <v>0</v>
      </c>
      <c r="D21" s="13">
        <f>SUMIFS('Transaction Overview'!$D$2:$D$790,'Transaction Overview'!$I$2:$I$790,$A21,'Transaction Overview'!$H$2:$H$790,D$4)</f>
        <v>0</v>
      </c>
      <c r="E21" s="13">
        <f>SUMIFS('Transaction Overview'!$D$2:$D$790,'Transaction Overview'!$I$2:$I$790,$A21,'Transaction Overview'!$H$2:$H$790,E$4)</f>
        <v>133875</v>
      </c>
      <c r="F21" s="13">
        <f>SUMIFS('Transaction Overview'!$D$2:$D$790,'Transaction Overview'!$I$2:$I$790,$A21,'Transaction Overview'!$H$2:$H$790,F$4)</f>
        <v>0</v>
      </c>
      <c r="G21" s="13">
        <f>SUMIFS('Transaction Overview'!$D$2:$D$790,'Transaction Overview'!$I$2:$I$790,$A21,'Transaction Overview'!$H$2:$H$790,G$4)</f>
        <v>0</v>
      </c>
      <c r="H21" s="13">
        <f>SUMIFS('Transaction Overview'!$D$2:$D$790,'Transaction Overview'!$I$2:$I$790,$A21,'Transaction Overview'!$H$2:$H$790,H$4)</f>
        <v>0</v>
      </c>
      <c r="I21" s="13">
        <f>SUMIFS('Transaction Overview'!$D$2:$D$790,'Transaction Overview'!$I$2:$I$790,$A21,'Transaction Overview'!$H$2:$H$790,I$4)</f>
        <v>0</v>
      </c>
      <c r="J21" s="13">
        <f>SUMIFS('Transaction Overview'!$D$2:$D$790,'Transaction Overview'!$I$2:$I$790,$A21,'Transaction Overview'!$H$2:$H$790,J$4)</f>
        <v>0</v>
      </c>
      <c r="K21" s="13">
        <f>SUMIFS('Transaction Overview'!$D$2:$D$790,'Transaction Overview'!$I$2:$I$790,$A21,'Transaction Overview'!$H$2:$H$790,K$4)</f>
        <v>0</v>
      </c>
      <c r="L21" s="13">
        <f>SUMIFS('Transaction Overview'!$D$2:$D$790,'Transaction Overview'!$I$2:$I$790,$A21,'Transaction Overview'!$H$2:$H$790,L$4)</f>
        <v>0</v>
      </c>
      <c r="M21" s="13">
        <f>SUMIFS('Transaction Overview'!$D$2:$D$790,'Transaction Overview'!$I$2:$I$790,$A21,'Transaction Overview'!$H$2:$H$790,M$4)</f>
        <v>0</v>
      </c>
      <c r="N21" s="13">
        <f>SUM(B21:M21)</f>
        <v>133875</v>
      </c>
    </row>
    <row r="22" spans="1:14" x14ac:dyDescent="0.25">
      <c r="A22" s="8" t="s">
        <v>827</v>
      </c>
      <c r="B22" s="13">
        <f>SUMIFS('Transaction Overview'!$D$2:$D$790,'Transaction Overview'!$I$2:$I$790,$A22,'Transaction Overview'!$H$2:$H$790,B$4)</f>
        <v>0</v>
      </c>
      <c r="C22" s="13">
        <f>SUMIFS('Transaction Overview'!$D$2:$D$790,'Transaction Overview'!$I$2:$I$790,$A22,'Transaction Overview'!$H$2:$H$790,C$4)</f>
        <v>0</v>
      </c>
      <c r="D22" s="13">
        <f>SUMIFS('Transaction Overview'!$D$2:$D$790,'Transaction Overview'!$I$2:$I$790,$A22,'Transaction Overview'!$H$2:$H$790,D$4)</f>
        <v>0</v>
      </c>
      <c r="E22" s="13">
        <f>SUMIFS('Transaction Overview'!$D$2:$D$790,'Transaction Overview'!$I$2:$I$790,$A22,'Transaction Overview'!$H$2:$H$790,E$4)</f>
        <v>0</v>
      </c>
      <c r="F22" s="13">
        <f>SUMIFS('Transaction Overview'!$D$2:$D$790,'Transaction Overview'!$I$2:$I$790,$A22,'Transaction Overview'!$H$2:$H$790,F$4)</f>
        <v>0</v>
      </c>
      <c r="G22" s="13">
        <f>SUMIFS('Transaction Overview'!$D$2:$D$790,'Transaction Overview'!$I$2:$I$790,$A22,'Transaction Overview'!$H$2:$H$790,G$4)</f>
        <v>0</v>
      </c>
      <c r="H22" s="13">
        <f>SUMIFS('Transaction Overview'!$D$2:$D$790,'Transaction Overview'!$I$2:$I$790,$A22,'Transaction Overview'!$H$2:$H$790,H$4)</f>
        <v>0</v>
      </c>
      <c r="I22" s="13">
        <f>SUMIFS('Transaction Overview'!$D$2:$D$790,'Transaction Overview'!$I$2:$I$790,$A22,'Transaction Overview'!$H$2:$H$790,I$4)</f>
        <v>0</v>
      </c>
      <c r="J22" s="13">
        <f>SUMIFS('Transaction Overview'!$D$2:$D$790,'Transaction Overview'!$I$2:$I$790,$A22,'Transaction Overview'!$H$2:$H$790,J$4)</f>
        <v>0</v>
      </c>
      <c r="K22" s="13">
        <f>SUMIFS('Transaction Overview'!$D$2:$D$790,'Transaction Overview'!$I$2:$I$790,$A22,'Transaction Overview'!$H$2:$H$790,K$4)</f>
        <v>0</v>
      </c>
      <c r="L22" s="13">
        <f>SUMIFS('Transaction Overview'!$D$2:$D$790,'Transaction Overview'!$I$2:$I$790,$A22,'Transaction Overview'!$H$2:$H$790,L$4)</f>
        <v>0</v>
      </c>
      <c r="M22" s="13">
        <f>SUMIFS('Transaction Overview'!$D$2:$D$790,'Transaction Overview'!$I$2:$I$790,$A22,'Transaction Overview'!$H$2:$H$790,M$4)</f>
        <v>318189.39</v>
      </c>
      <c r="N22" s="13">
        <f>SUM(B22:M22)</f>
        <v>318189.39</v>
      </c>
    </row>
    <row r="23" spans="1:14" x14ac:dyDescent="0.25">
      <c r="A23" s="21" t="s">
        <v>878</v>
      </c>
      <c r="B23" s="22">
        <f>SUMIFS('Transaction Overview'!$D$2:$D$790,'Transaction Overview'!$J$2:$J$790,"Commissions — Incoming",'Transaction Overview'!$H$2:$H$790,B$4)</f>
        <v>148250</v>
      </c>
      <c r="C23" s="22">
        <f>SUMIFS('Transaction Overview'!$D$2:$D$790,'Transaction Overview'!$J$2:$J$790,"Commissions — Incoming",'Transaction Overview'!$H$2:$H$790,C$4)</f>
        <v>0</v>
      </c>
      <c r="D23" s="22">
        <f>SUMIFS('Transaction Overview'!$D$2:$D$790,'Transaction Overview'!$J$2:$J$790,"Commissions — Incoming",'Transaction Overview'!$H$2:$H$790,D$4)</f>
        <v>164150.5</v>
      </c>
      <c r="E23" s="22">
        <f>SUMIFS('Transaction Overview'!$D$2:$D$790,'Transaction Overview'!$J$2:$J$790,"Commissions — Incoming",'Transaction Overview'!$H$2:$H$790,E$4)</f>
        <v>133875</v>
      </c>
      <c r="F23" s="22">
        <f>SUMIFS('Transaction Overview'!$D$2:$D$790,'Transaction Overview'!$J$2:$J$790,"Commissions — Incoming",'Transaction Overview'!$H$2:$H$790,F$4)</f>
        <v>0</v>
      </c>
      <c r="G23" s="22">
        <f>SUMIFS('Transaction Overview'!$D$2:$D$790,'Transaction Overview'!$J$2:$J$790,"Commissions — Incoming",'Transaction Overview'!$H$2:$H$790,G$4)</f>
        <v>0</v>
      </c>
      <c r="H23" s="22">
        <f>SUMIFS('Transaction Overview'!$D$2:$D$790,'Transaction Overview'!$J$2:$J$790,"Commissions — Incoming",'Transaction Overview'!$H$2:$H$790,H$4)</f>
        <v>269473.73</v>
      </c>
      <c r="I23" s="22">
        <f>SUMIFS('Transaction Overview'!$D$2:$D$790,'Transaction Overview'!$J$2:$J$790,"Commissions — Incoming",'Transaction Overview'!$H$2:$H$790,I$4)</f>
        <v>0</v>
      </c>
      <c r="J23" s="22">
        <f>SUMIFS('Transaction Overview'!$D$2:$D$790,'Transaction Overview'!$J$2:$J$790,"Commissions — Incoming",'Transaction Overview'!$H$2:$H$790,J$4)</f>
        <v>0</v>
      </c>
      <c r="K23" s="22">
        <f>SUMIFS('Transaction Overview'!$D$2:$D$790,'Transaction Overview'!$J$2:$J$790,"Commissions — Incoming",'Transaction Overview'!$H$2:$H$790,K$4)</f>
        <v>0</v>
      </c>
      <c r="L23" s="22">
        <f>SUMIFS('Transaction Overview'!$D$2:$D$790,'Transaction Overview'!$J$2:$J$790,"Commissions — Incoming",'Transaction Overview'!$H$2:$H$790,L$4)</f>
        <v>0</v>
      </c>
      <c r="M23" s="22">
        <f>SUMIFS('Transaction Overview'!$D$2:$D$790,'Transaction Overview'!$J$2:$J$790,"Commissions — Incoming",'Transaction Overview'!$H$2:$H$790,M$4)</f>
        <v>318189.39</v>
      </c>
      <c r="N23" s="22">
        <f>SUM(B23:M23)</f>
        <v>1033938.62</v>
      </c>
    </row>
    <row r="24" spans="1:14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18" t="s">
        <v>858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1:14" x14ac:dyDescent="0.25">
      <c r="A26" s="8" t="s">
        <v>791</v>
      </c>
      <c r="B26" s="13">
        <f>SUMIFS('Transaction Overview'!$D$2:$D$790,'Transaction Overview'!$I$2:$I$790,$A26,'Transaction Overview'!$H$2:$H$790,B$4)</f>
        <v>-23830</v>
      </c>
      <c r="C26" s="13">
        <f>SUMIFS('Transaction Overview'!$D$2:$D$790,'Transaction Overview'!$I$2:$I$790,$A26,'Transaction Overview'!$H$2:$H$790,C$4)</f>
        <v>0</v>
      </c>
      <c r="D26" s="13">
        <f>SUMIFS('Transaction Overview'!$D$2:$D$790,'Transaction Overview'!$I$2:$I$790,$A26,'Transaction Overview'!$H$2:$H$790,D$4)</f>
        <v>0</v>
      </c>
      <c r="E26" s="13">
        <f>SUMIFS('Transaction Overview'!$D$2:$D$790,'Transaction Overview'!$I$2:$I$790,$A26,'Transaction Overview'!$H$2:$H$790,E$4)</f>
        <v>0</v>
      </c>
      <c r="F26" s="13">
        <f>SUMIFS('Transaction Overview'!$D$2:$D$790,'Transaction Overview'!$I$2:$I$790,$A26,'Transaction Overview'!$H$2:$H$790,F$4)</f>
        <v>0</v>
      </c>
      <c r="G26" s="13">
        <f>SUMIFS('Transaction Overview'!$D$2:$D$790,'Transaction Overview'!$I$2:$I$790,$A26,'Transaction Overview'!$H$2:$H$790,G$4)</f>
        <v>0</v>
      </c>
      <c r="H26" s="13">
        <f>SUMIFS('Transaction Overview'!$D$2:$D$790,'Transaction Overview'!$I$2:$I$790,$A26,'Transaction Overview'!$H$2:$H$790,H$4)</f>
        <v>0</v>
      </c>
      <c r="I26" s="13">
        <f>SUMIFS('Transaction Overview'!$D$2:$D$790,'Transaction Overview'!$I$2:$I$790,$A26,'Transaction Overview'!$H$2:$H$790,I$4)</f>
        <v>0</v>
      </c>
      <c r="J26" s="13">
        <f>SUMIFS('Transaction Overview'!$D$2:$D$790,'Transaction Overview'!$I$2:$I$790,$A26,'Transaction Overview'!$H$2:$H$790,J$4)</f>
        <v>0</v>
      </c>
      <c r="K26" s="13">
        <f>SUMIFS('Transaction Overview'!$D$2:$D$790,'Transaction Overview'!$I$2:$I$790,$A26,'Transaction Overview'!$H$2:$H$790,K$4)</f>
        <v>0</v>
      </c>
      <c r="L26" s="13">
        <f>SUMIFS('Transaction Overview'!$D$2:$D$790,'Transaction Overview'!$I$2:$I$790,$A26,'Transaction Overview'!$H$2:$H$790,L$4)</f>
        <v>0</v>
      </c>
      <c r="M26" s="13">
        <f>SUMIFS('Transaction Overview'!$D$2:$D$790,'Transaction Overview'!$I$2:$I$790,$A26,'Transaction Overview'!$H$2:$H$790,M$4)</f>
        <v>0</v>
      </c>
      <c r="N26" s="13">
        <f>SUM(B26:M26)</f>
        <v>-23830</v>
      </c>
    </row>
    <row r="27" spans="1:14" x14ac:dyDescent="0.25">
      <c r="A27" s="8" t="s">
        <v>831</v>
      </c>
      <c r="B27" s="13">
        <f>SUMIFS('Transaction Overview'!$D$2:$D$790,'Transaction Overview'!$I$2:$I$790,$A27,'Transaction Overview'!$H$2:$H$790,B$4)</f>
        <v>0</v>
      </c>
      <c r="C27" s="13">
        <f>SUMIFS('Transaction Overview'!$D$2:$D$790,'Transaction Overview'!$I$2:$I$790,$A27,'Transaction Overview'!$H$2:$H$790,C$4)</f>
        <v>0</v>
      </c>
      <c r="D27" s="13">
        <f>SUMIFS('Transaction Overview'!$D$2:$D$790,'Transaction Overview'!$I$2:$I$790,$A27,'Transaction Overview'!$H$2:$H$790,D$4)</f>
        <v>0</v>
      </c>
      <c r="E27" s="13">
        <f>SUMIFS('Transaction Overview'!$D$2:$D$790,'Transaction Overview'!$I$2:$I$790,$A27,'Transaction Overview'!$H$2:$H$790,E$4)</f>
        <v>0</v>
      </c>
      <c r="F27" s="13">
        <f>SUMIFS('Transaction Overview'!$D$2:$D$790,'Transaction Overview'!$I$2:$I$790,$A27,'Transaction Overview'!$H$2:$H$790,F$4)</f>
        <v>0</v>
      </c>
      <c r="G27" s="13">
        <f>SUMIFS('Transaction Overview'!$D$2:$D$790,'Transaction Overview'!$I$2:$I$790,$A27,'Transaction Overview'!$H$2:$H$790,G$4)</f>
        <v>0</v>
      </c>
      <c r="H27" s="13">
        <f>SUMIFS('Transaction Overview'!$D$2:$D$790,'Transaction Overview'!$I$2:$I$790,$A27,'Transaction Overview'!$H$2:$H$790,H$4)</f>
        <v>0</v>
      </c>
      <c r="I27" s="13">
        <f>SUMIFS('Transaction Overview'!$D$2:$D$790,'Transaction Overview'!$I$2:$I$790,$A27,'Transaction Overview'!$H$2:$H$790,I$4)</f>
        <v>0</v>
      </c>
      <c r="J27" s="13">
        <f>SUMIFS('Transaction Overview'!$D$2:$D$790,'Transaction Overview'!$I$2:$I$790,$A27,'Transaction Overview'!$H$2:$H$790,J$4)</f>
        <v>0</v>
      </c>
      <c r="K27" s="13">
        <f>SUMIFS('Transaction Overview'!$D$2:$D$790,'Transaction Overview'!$I$2:$I$790,$A27,'Transaction Overview'!$H$2:$H$790,K$4)</f>
        <v>0</v>
      </c>
      <c r="L27" s="13">
        <f>SUMIFS('Transaction Overview'!$D$2:$D$790,'Transaction Overview'!$I$2:$I$790,$A27,'Transaction Overview'!$H$2:$H$790,L$4)</f>
        <v>0</v>
      </c>
      <c r="M27" s="13">
        <f>SUMIFS('Transaction Overview'!$D$2:$D$790,'Transaction Overview'!$I$2:$I$790,$A27,'Transaction Overview'!$H$2:$H$790,M$4)</f>
        <v>-47820</v>
      </c>
      <c r="N27" s="13">
        <f>SUM(B27:M27)</f>
        <v>-47820</v>
      </c>
    </row>
    <row r="28" spans="1:14" x14ac:dyDescent="0.25">
      <c r="A28" s="21" t="s">
        <v>879</v>
      </c>
      <c r="B28" s="22">
        <f>SUMIFS('Transaction Overview'!$D$2:$D$790,'Transaction Overview'!$J$2:$J$790,"Commissions — Outgoing",'Transaction Overview'!$H$2:$H$790,B$4)</f>
        <v>-23830</v>
      </c>
      <c r="C28" s="22">
        <f>SUMIFS('Transaction Overview'!$D$2:$D$790,'Transaction Overview'!$J$2:$J$790,"Commissions — Outgoing",'Transaction Overview'!$H$2:$H$790,C$4)</f>
        <v>0</v>
      </c>
      <c r="D28" s="22">
        <f>SUMIFS('Transaction Overview'!$D$2:$D$790,'Transaction Overview'!$J$2:$J$790,"Commissions — Outgoing",'Transaction Overview'!$H$2:$H$790,D$4)</f>
        <v>0</v>
      </c>
      <c r="E28" s="22">
        <f>SUMIFS('Transaction Overview'!$D$2:$D$790,'Transaction Overview'!$J$2:$J$790,"Commissions — Outgoing",'Transaction Overview'!$H$2:$H$790,E$4)</f>
        <v>0</v>
      </c>
      <c r="F28" s="22">
        <f>SUMIFS('Transaction Overview'!$D$2:$D$790,'Transaction Overview'!$J$2:$J$790,"Commissions — Outgoing",'Transaction Overview'!$H$2:$H$790,F$4)</f>
        <v>0</v>
      </c>
      <c r="G28" s="22">
        <f>SUMIFS('Transaction Overview'!$D$2:$D$790,'Transaction Overview'!$J$2:$J$790,"Commissions — Outgoing",'Transaction Overview'!$H$2:$H$790,G$4)</f>
        <v>0</v>
      </c>
      <c r="H28" s="22">
        <f>SUMIFS('Transaction Overview'!$D$2:$D$790,'Transaction Overview'!$J$2:$J$790,"Commissions — Outgoing",'Transaction Overview'!$H$2:$H$790,H$4)</f>
        <v>0</v>
      </c>
      <c r="I28" s="22">
        <f>SUMIFS('Transaction Overview'!$D$2:$D$790,'Transaction Overview'!$J$2:$J$790,"Commissions — Outgoing",'Transaction Overview'!$H$2:$H$790,I$4)</f>
        <v>0</v>
      </c>
      <c r="J28" s="22">
        <f>SUMIFS('Transaction Overview'!$D$2:$D$790,'Transaction Overview'!$J$2:$J$790,"Commissions — Outgoing",'Transaction Overview'!$H$2:$H$790,J$4)</f>
        <v>0</v>
      </c>
      <c r="K28" s="22">
        <f>SUMIFS('Transaction Overview'!$D$2:$D$790,'Transaction Overview'!$J$2:$J$790,"Commissions — Outgoing",'Transaction Overview'!$H$2:$H$790,K$4)</f>
        <v>0</v>
      </c>
      <c r="L28" s="22">
        <f>SUMIFS('Transaction Overview'!$D$2:$D$790,'Transaction Overview'!$J$2:$J$790,"Commissions — Outgoing",'Transaction Overview'!$H$2:$H$790,L$4)</f>
        <v>0</v>
      </c>
      <c r="M28" s="22">
        <f>SUMIFS('Transaction Overview'!$D$2:$D$790,'Transaction Overview'!$J$2:$J$790,"Commissions — Outgoing",'Transaction Overview'!$H$2:$H$790,M$4)</f>
        <v>-47820</v>
      </c>
      <c r="N28" s="22">
        <f>SUM(B28:M28)</f>
        <v>-71650</v>
      </c>
    </row>
    <row r="29" spans="1:14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25">
      <c r="A30" s="18" t="s">
        <v>851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1:14" x14ac:dyDescent="0.25">
      <c r="A31" s="8" t="s">
        <v>834</v>
      </c>
      <c r="B31" s="13">
        <f>SUMIFS('Transaction Overview'!$D$2:$D$790,'Transaction Overview'!$I$2:$I$790,$A31,'Transaction Overview'!$H$2:$H$790,B$4)</f>
        <v>0</v>
      </c>
      <c r="C31" s="13">
        <f>SUMIFS('Transaction Overview'!$D$2:$D$790,'Transaction Overview'!$I$2:$I$790,$A31,'Transaction Overview'!$H$2:$H$790,C$4)</f>
        <v>0</v>
      </c>
      <c r="D31" s="13">
        <f>SUMIFS('Transaction Overview'!$D$2:$D$790,'Transaction Overview'!$I$2:$I$790,$A31,'Transaction Overview'!$H$2:$H$790,D$4)</f>
        <v>0</v>
      </c>
      <c r="E31" s="13">
        <f>SUMIFS('Transaction Overview'!$D$2:$D$790,'Transaction Overview'!$I$2:$I$790,$A31,'Transaction Overview'!$H$2:$H$790,E$4)</f>
        <v>0</v>
      </c>
      <c r="F31" s="13">
        <f>SUMIFS('Transaction Overview'!$D$2:$D$790,'Transaction Overview'!$I$2:$I$790,$A31,'Transaction Overview'!$H$2:$H$790,F$4)</f>
        <v>0</v>
      </c>
      <c r="G31" s="13">
        <f>SUMIFS('Transaction Overview'!$D$2:$D$790,'Transaction Overview'!$I$2:$I$790,$A31,'Transaction Overview'!$H$2:$H$790,G$4)</f>
        <v>0</v>
      </c>
      <c r="H31" s="13">
        <f>SUMIFS('Transaction Overview'!$D$2:$D$790,'Transaction Overview'!$I$2:$I$790,$A31,'Transaction Overview'!$H$2:$H$790,H$4)</f>
        <v>0</v>
      </c>
      <c r="I31" s="13">
        <f>SUMIFS('Transaction Overview'!$D$2:$D$790,'Transaction Overview'!$I$2:$I$790,$A31,'Transaction Overview'!$H$2:$H$790,I$4)</f>
        <v>0</v>
      </c>
      <c r="J31" s="13">
        <f>SUMIFS('Transaction Overview'!$D$2:$D$790,'Transaction Overview'!$I$2:$I$790,$A31,'Transaction Overview'!$H$2:$H$790,J$4)</f>
        <v>0</v>
      </c>
      <c r="K31" s="13">
        <f>SUMIFS('Transaction Overview'!$D$2:$D$790,'Transaction Overview'!$I$2:$I$790,$A31,'Transaction Overview'!$H$2:$H$790,K$4)</f>
        <v>0</v>
      </c>
      <c r="L31" s="13">
        <f>SUMIFS('Transaction Overview'!$D$2:$D$790,'Transaction Overview'!$I$2:$I$790,$A31,'Transaction Overview'!$H$2:$H$790,L$4)</f>
        <v>0</v>
      </c>
      <c r="M31" s="13">
        <f>SUMIFS('Transaction Overview'!$D$2:$D$790,'Transaction Overview'!$I$2:$I$790,$A31,'Transaction Overview'!$H$2:$H$790,M$4)</f>
        <v>-21000</v>
      </c>
      <c r="N31" s="13">
        <f>SUM(B31:M31)</f>
        <v>-21000</v>
      </c>
    </row>
    <row r="32" spans="1:14" x14ac:dyDescent="0.25">
      <c r="A32" s="8" t="s">
        <v>835</v>
      </c>
      <c r="B32" s="13">
        <f>SUMIFS('Transaction Overview'!$D$2:$D$790,'Transaction Overview'!$I$2:$I$790,$A32,'Transaction Overview'!$H$2:$H$790,B$4)</f>
        <v>0</v>
      </c>
      <c r="C32" s="13">
        <f>SUMIFS('Transaction Overview'!$D$2:$D$790,'Transaction Overview'!$I$2:$I$790,$A32,'Transaction Overview'!$H$2:$H$790,C$4)</f>
        <v>0</v>
      </c>
      <c r="D32" s="13">
        <f>SUMIFS('Transaction Overview'!$D$2:$D$790,'Transaction Overview'!$I$2:$I$790,$A32,'Transaction Overview'!$H$2:$H$790,D$4)</f>
        <v>0</v>
      </c>
      <c r="E32" s="13">
        <f>SUMIFS('Transaction Overview'!$D$2:$D$790,'Transaction Overview'!$I$2:$I$790,$A32,'Transaction Overview'!$H$2:$H$790,E$4)</f>
        <v>0</v>
      </c>
      <c r="F32" s="13">
        <f>SUMIFS('Transaction Overview'!$D$2:$D$790,'Transaction Overview'!$I$2:$I$790,$A32,'Transaction Overview'!$H$2:$H$790,F$4)</f>
        <v>0</v>
      </c>
      <c r="G32" s="13">
        <f>SUMIFS('Transaction Overview'!$D$2:$D$790,'Transaction Overview'!$I$2:$I$790,$A32,'Transaction Overview'!$H$2:$H$790,G$4)</f>
        <v>0</v>
      </c>
      <c r="H32" s="13">
        <f>SUMIFS('Transaction Overview'!$D$2:$D$790,'Transaction Overview'!$I$2:$I$790,$A32,'Transaction Overview'!$H$2:$H$790,H$4)</f>
        <v>0</v>
      </c>
      <c r="I32" s="13">
        <f>SUMIFS('Transaction Overview'!$D$2:$D$790,'Transaction Overview'!$I$2:$I$790,$A32,'Transaction Overview'!$H$2:$H$790,I$4)</f>
        <v>0</v>
      </c>
      <c r="J32" s="13">
        <f>SUMIFS('Transaction Overview'!$D$2:$D$790,'Transaction Overview'!$I$2:$I$790,$A32,'Transaction Overview'!$H$2:$H$790,J$4)</f>
        <v>0</v>
      </c>
      <c r="K32" s="13">
        <f>SUMIFS('Transaction Overview'!$D$2:$D$790,'Transaction Overview'!$I$2:$I$790,$A32,'Transaction Overview'!$H$2:$H$790,K$4)</f>
        <v>0</v>
      </c>
      <c r="L32" s="13">
        <f>SUMIFS('Transaction Overview'!$D$2:$D$790,'Transaction Overview'!$I$2:$I$790,$A32,'Transaction Overview'!$H$2:$H$790,L$4)</f>
        <v>0</v>
      </c>
      <c r="M32" s="13">
        <f>SUMIFS('Transaction Overview'!$D$2:$D$790,'Transaction Overview'!$I$2:$I$790,$A32,'Transaction Overview'!$H$2:$H$790,M$4)</f>
        <v>-39000</v>
      </c>
      <c r="N32" s="13">
        <f>SUM(B32:M32)</f>
        <v>-39000</v>
      </c>
    </row>
    <row r="33" spans="1:14" x14ac:dyDescent="0.25">
      <c r="A33" s="8" t="s">
        <v>793</v>
      </c>
      <c r="B33" s="13">
        <f>SUMIFS('Transaction Overview'!$D$2:$D$790,'Transaction Overview'!$I$2:$I$790,$A33,'Transaction Overview'!$H$2:$H$790,B$4)</f>
        <v>15000</v>
      </c>
      <c r="C33" s="13">
        <f>SUMIFS('Transaction Overview'!$D$2:$D$790,'Transaction Overview'!$I$2:$I$790,$A33,'Transaction Overview'!$H$2:$H$790,C$4)</f>
        <v>20000</v>
      </c>
      <c r="D33" s="13">
        <f>SUMIFS('Transaction Overview'!$D$2:$D$790,'Transaction Overview'!$I$2:$I$790,$A33,'Transaction Overview'!$H$2:$H$790,D$4)</f>
        <v>0</v>
      </c>
      <c r="E33" s="13">
        <f>SUMIFS('Transaction Overview'!$D$2:$D$790,'Transaction Overview'!$I$2:$I$790,$A33,'Transaction Overview'!$H$2:$H$790,E$4)</f>
        <v>0</v>
      </c>
      <c r="F33" s="13">
        <f>SUMIFS('Transaction Overview'!$D$2:$D$790,'Transaction Overview'!$I$2:$I$790,$A33,'Transaction Overview'!$H$2:$H$790,F$4)</f>
        <v>0</v>
      </c>
      <c r="G33" s="13">
        <f>SUMIFS('Transaction Overview'!$D$2:$D$790,'Transaction Overview'!$I$2:$I$790,$A33,'Transaction Overview'!$H$2:$H$790,G$4)</f>
        <v>0</v>
      </c>
      <c r="H33" s="13">
        <f>SUMIFS('Transaction Overview'!$D$2:$D$790,'Transaction Overview'!$I$2:$I$790,$A33,'Transaction Overview'!$H$2:$H$790,H$4)</f>
        <v>0</v>
      </c>
      <c r="I33" s="13">
        <f>SUMIFS('Transaction Overview'!$D$2:$D$790,'Transaction Overview'!$I$2:$I$790,$A33,'Transaction Overview'!$H$2:$H$790,I$4)</f>
        <v>0</v>
      </c>
      <c r="J33" s="13">
        <f>SUMIFS('Transaction Overview'!$D$2:$D$790,'Transaction Overview'!$I$2:$I$790,$A33,'Transaction Overview'!$H$2:$H$790,J$4)</f>
        <v>0</v>
      </c>
      <c r="K33" s="13">
        <f>SUMIFS('Transaction Overview'!$D$2:$D$790,'Transaction Overview'!$I$2:$I$790,$A33,'Transaction Overview'!$H$2:$H$790,K$4)</f>
        <v>0</v>
      </c>
      <c r="L33" s="13">
        <f>SUMIFS('Transaction Overview'!$D$2:$D$790,'Transaction Overview'!$I$2:$I$790,$A33,'Transaction Overview'!$H$2:$H$790,L$4)</f>
        <v>0</v>
      </c>
      <c r="M33" s="13">
        <f>SUMIFS('Transaction Overview'!$D$2:$D$790,'Transaction Overview'!$I$2:$I$790,$A33,'Transaction Overview'!$H$2:$H$790,M$4)</f>
        <v>0</v>
      </c>
      <c r="N33" s="13">
        <f>SUM(B33:M33)</f>
        <v>35000</v>
      </c>
    </row>
    <row r="34" spans="1:14" x14ac:dyDescent="0.25">
      <c r="A34" s="8" t="s">
        <v>786</v>
      </c>
      <c r="B34" s="13">
        <f>SUMIFS('Transaction Overview'!$D$2:$D$790,'Transaction Overview'!$I$2:$I$790,$A34,'Transaction Overview'!$H$2:$H$790,B$4)</f>
        <v>-9950</v>
      </c>
      <c r="C34" s="13">
        <f>SUMIFS('Transaction Overview'!$D$2:$D$790,'Transaction Overview'!$I$2:$I$790,$A34,'Transaction Overview'!$H$2:$H$790,C$4)</f>
        <v>-15000</v>
      </c>
      <c r="D34" s="13">
        <f>SUMIFS('Transaction Overview'!$D$2:$D$790,'Transaction Overview'!$I$2:$I$790,$A34,'Transaction Overview'!$H$2:$H$790,D$4)</f>
        <v>0</v>
      </c>
      <c r="E34" s="13">
        <f>SUMIFS('Transaction Overview'!$D$2:$D$790,'Transaction Overview'!$I$2:$I$790,$A34,'Transaction Overview'!$H$2:$H$790,E$4)</f>
        <v>0</v>
      </c>
      <c r="F34" s="13">
        <f>SUMIFS('Transaction Overview'!$D$2:$D$790,'Transaction Overview'!$I$2:$I$790,$A34,'Transaction Overview'!$H$2:$H$790,F$4)</f>
        <v>-2500</v>
      </c>
      <c r="G34" s="13">
        <f>SUMIFS('Transaction Overview'!$D$2:$D$790,'Transaction Overview'!$I$2:$I$790,$A34,'Transaction Overview'!$H$2:$H$790,G$4)</f>
        <v>-5000</v>
      </c>
      <c r="H34" s="13">
        <f>SUMIFS('Transaction Overview'!$D$2:$D$790,'Transaction Overview'!$I$2:$I$790,$A34,'Transaction Overview'!$H$2:$H$790,H$4)</f>
        <v>0</v>
      </c>
      <c r="I34" s="13">
        <f>SUMIFS('Transaction Overview'!$D$2:$D$790,'Transaction Overview'!$I$2:$I$790,$A34,'Transaction Overview'!$H$2:$H$790,I$4)</f>
        <v>0</v>
      </c>
      <c r="J34" s="13">
        <f>SUMIFS('Transaction Overview'!$D$2:$D$790,'Transaction Overview'!$I$2:$I$790,$A34,'Transaction Overview'!$H$2:$H$790,J$4)</f>
        <v>0</v>
      </c>
      <c r="K34" s="13">
        <f>SUMIFS('Transaction Overview'!$D$2:$D$790,'Transaction Overview'!$I$2:$I$790,$A34,'Transaction Overview'!$H$2:$H$790,K$4)</f>
        <v>-10000</v>
      </c>
      <c r="L34" s="13">
        <f>SUMIFS('Transaction Overview'!$D$2:$D$790,'Transaction Overview'!$I$2:$I$790,$A34,'Transaction Overview'!$H$2:$H$790,L$4)</f>
        <v>0</v>
      </c>
      <c r="M34" s="13">
        <f>SUMIFS('Transaction Overview'!$D$2:$D$790,'Transaction Overview'!$I$2:$I$790,$A34,'Transaction Overview'!$H$2:$H$790,M$4)</f>
        <v>0</v>
      </c>
      <c r="N34" s="13">
        <f>SUM(B34:M34)</f>
        <v>-42450</v>
      </c>
    </row>
    <row r="35" spans="1:14" x14ac:dyDescent="0.25">
      <c r="A35" s="8" t="s">
        <v>833</v>
      </c>
      <c r="B35" s="13">
        <f>SUMIFS('Transaction Overview'!$D$2:$D$790,'Transaction Overview'!$I$2:$I$790,$A35,'Transaction Overview'!$H$2:$H$790,B$4)</f>
        <v>0</v>
      </c>
      <c r="C35" s="13">
        <f>SUMIFS('Transaction Overview'!$D$2:$D$790,'Transaction Overview'!$I$2:$I$790,$A35,'Transaction Overview'!$H$2:$H$790,C$4)</f>
        <v>0</v>
      </c>
      <c r="D35" s="13">
        <f>SUMIFS('Transaction Overview'!$D$2:$D$790,'Transaction Overview'!$I$2:$I$790,$A35,'Transaction Overview'!$H$2:$H$790,D$4)</f>
        <v>0</v>
      </c>
      <c r="E35" s="13">
        <f>SUMIFS('Transaction Overview'!$D$2:$D$790,'Transaction Overview'!$I$2:$I$790,$A35,'Transaction Overview'!$H$2:$H$790,E$4)</f>
        <v>0</v>
      </c>
      <c r="F35" s="13">
        <f>SUMIFS('Transaction Overview'!$D$2:$D$790,'Transaction Overview'!$I$2:$I$790,$A35,'Transaction Overview'!$H$2:$H$790,F$4)</f>
        <v>0</v>
      </c>
      <c r="G35" s="13">
        <f>SUMIFS('Transaction Overview'!$D$2:$D$790,'Transaction Overview'!$I$2:$I$790,$A35,'Transaction Overview'!$H$2:$H$790,G$4)</f>
        <v>0</v>
      </c>
      <c r="H35" s="13">
        <f>SUMIFS('Transaction Overview'!$D$2:$D$790,'Transaction Overview'!$I$2:$I$790,$A35,'Transaction Overview'!$H$2:$H$790,H$4)</f>
        <v>0</v>
      </c>
      <c r="I35" s="13">
        <f>SUMIFS('Transaction Overview'!$D$2:$D$790,'Transaction Overview'!$I$2:$I$790,$A35,'Transaction Overview'!$H$2:$H$790,I$4)</f>
        <v>0</v>
      </c>
      <c r="J35" s="13">
        <f>SUMIFS('Transaction Overview'!$D$2:$D$790,'Transaction Overview'!$I$2:$I$790,$A35,'Transaction Overview'!$H$2:$H$790,J$4)</f>
        <v>0</v>
      </c>
      <c r="K35" s="13">
        <f>SUMIFS('Transaction Overview'!$D$2:$D$790,'Transaction Overview'!$I$2:$I$790,$A35,'Transaction Overview'!$H$2:$H$790,K$4)</f>
        <v>0</v>
      </c>
      <c r="L35" s="13">
        <f>SUMIFS('Transaction Overview'!$D$2:$D$790,'Transaction Overview'!$I$2:$I$790,$A35,'Transaction Overview'!$H$2:$H$790,L$4)</f>
        <v>0</v>
      </c>
      <c r="M35" s="13">
        <f>SUMIFS('Transaction Overview'!$D$2:$D$790,'Transaction Overview'!$I$2:$I$790,$A35,'Transaction Overview'!$H$2:$H$790,M$4)</f>
        <v>75000</v>
      </c>
      <c r="N35" s="13">
        <f>SUM(B35:M35)</f>
        <v>75000</v>
      </c>
    </row>
    <row r="36" spans="1:14" x14ac:dyDescent="0.25">
      <c r="A36" s="8" t="s">
        <v>780</v>
      </c>
      <c r="B36" s="13">
        <f>SUMIFS('Transaction Overview'!$D$2:$D$790,'Transaction Overview'!$I$2:$I$790,$A36,'Transaction Overview'!$H$2:$H$790,B$4)</f>
        <v>0</v>
      </c>
      <c r="C36" s="13">
        <f>SUMIFS('Transaction Overview'!$D$2:$D$790,'Transaction Overview'!$I$2:$I$790,$A36,'Transaction Overview'!$H$2:$H$790,C$4)</f>
        <v>0</v>
      </c>
      <c r="D36" s="13">
        <f>SUMIFS('Transaction Overview'!$D$2:$D$790,'Transaction Overview'!$I$2:$I$790,$A36,'Transaction Overview'!$H$2:$H$790,D$4)</f>
        <v>0</v>
      </c>
      <c r="E36" s="13">
        <f>SUMIFS('Transaction Overview'!$D$2:$D$790,'Transaction Overview'!$I$2:$I$790,$A36,'Transaction Overview'!$H$2:$H$790,E$4)</f>
        <v>0</v>
      </c>
      <c r="F36" s="13">
        <f>SUMIFS('Transaction Overview'!$D$2:$D$790,'Transaction Overview'!$I$2:$I$790,$A36,'Transaction Overview'!$H$2:$H$790,F$4)</f>
        <v>0</v>
      </c>
      <c r="G36" s="13">
        <f>SUMIFS('Transaction Overview'!$D$2:$D$790,'Transaction Overview'!$I$2:$I$790,$A36,'Transaction Overview'!$H$2:$H$790,G$4)</f>
        <v>0</v>
      </c>
      <c r="H36" s="13">
        <f>SUMIFS('Transaction Overview'!$D$2:$D$790,'Transaction Overview'!$I$2:$I$790,$A36,'Transaction Overview'!$H$2:$H$790,H$4)</f>
        <v>0</v>
      </c>
      <c r="I36" s="13">
        <f>SUMIFS('Transaction Overview'!$D$2:$D$790,'Transaction Overview'!$I$2:$I$790,$A36,'Transaction Overview'!$H$2:$H$790,I$4)</f>
        <v>0</v>
      </c>
      <c r="J36" s="13">
        <f>SUMIFS('Transaction Overview'!$D$2:$D$790,'Transaction Overview'!$I$2:$I$790,$A36,'Transaction Overview'!$H$2:$H$790,J$4)</f>
        <v>0</v>
      </c>
      <c r="K36" s="13">
        <f>SUMIFS('Transaction Overview'!$D$2:$D$790,'Transaction Overview'!$I$2:$I$790,$A36,'Transaction Overview'!$H$2:$H$790,K$4)</f>
        <v>15000</v>
      </c>
      <c r="L36" s="13">
        <f>SUMIFS('Transaction Overview'!$D$2:$D$790,'Transaction Overview'!$I$2:$I$790,$A36,'Transaction Overview'!$H$2:$H$790,L$4)</f>
        <v>0</v>
      </c>
      <c r="M36" s="13">
        <f>SUMIFS('Transaction Overview'!$D$2:$D$790,'Transaction Overview'!$I$2:$I$790,$A36,'Transaction Overview'!$H$2:$H$790,M$4)</f>
        <v>0</v>
      </c>
      <c r="N36" s="13">
        <f>SUM(B36:M36)</f>
        <v>15000</v>
      </c>
    </row>
    <row r="37" spans="1:14" x14ac:dyDescent="0.25">
      <c r="A37" s="21" t="s">
        <v>880</v>
      </c>
      <c r="B37" s="22">
        <f>SUMIFS('Transaction Overview'!$D$2:$D$790,'Transaction Overview'!$J$2:$J$790,"MAG Pass-Through",'Transaction Overview'!$H$2:$H$790,B$4)</f>
        <v>5050</v>
      </c>
      <c r="C37" s="22">
        <f>SUMIFS('Transaction Overview'!$D$2:$D$790,'Transaction Overview'!$J$2:$J$790,"MAG Pass-Through",'Transaction Overview'!$H$2:$H$790,C$4)</f>
        <v>5000</v>
      </c>
      <c r="D37" s="22">
        <f>SUMIFS('Transaction Overview'!$D$2:$D$790,'Transaction Overview'!$J$2:$J$790,"MAG Pass-Through",'Transaction Overview'!$H$2:$H$790,D$4)</f>
        <v>0</v>
      </c>
      <c r="E37" s="22">
        <f>SUMIFS('Transaction Overview'!$D$2:$D$790,'Transaction Overview'!$J$2:$J$790,"MAG Pass-Through",'Transaction Overview'!$H$2:$H$790,E$4)</f>
        <v>0</v>
      </c>
      <c r="F37" s="22">
        <f>SUMIFS('Transaction Overview'!$D$2:$D$790,'Transaction Overview'!$J$2:$J$790,"MAG Pass-Through",'Transaction Overview'!$H$2:$H$790,F$4)</f>
        <v>-2500</v>
      </c>
      <c r="G37" s="22">
        <f>SUMIFS('Transaction Overview'!$D$2:$D$790,'Transaction Overview'!$J$2:$J$790,"MAG Pass-Through",'Transaction Overview'!$H$2:$H$790,G$4)</f>
        <v>-5000</v>
      </c>
      <c r="H37" s="22">
        <f>SUMIFS('Transaction Overview'!$D$2:$D$790,'Transaction Overview'!$J$2:$J$790,"MAG Pass-Through",'Transaction Overview'!$H$2:$H$790,H$4)</f>
        <v>0</v>
      </c>
      <c r="I37" s="22">
        <f>SUMIFS('Transaction Overview'!$D$2:$D$790,'Transaction Overview'!$J$2:$J$790,"MAG Pass-Through",'Transaction Overview'!$H$2:$H$790,I$4)</f>
        <v>0</v>
      </c>
      <c r="J37" s="22">
        <f>SUMIFS('Transaction Overview'!$D$2:$D$790,'Transaction Overview'!$J$2:$J$790,"MAG Pass-Through",'Transaction Overview'!$H$2:$H$790,J$4)</f>
        <v>0</v>
      </c>
      <c r="K37" s="22">
        <f>SUMIFS('Transaction Overview'!$D$2:$D$790,'Transaction Overview'!$J$2:$J$790,"MAG Pass-Through",'Transaction Overview'!$H$2:$H$790,K$4)</f>
        <v>5000</v>
      </c>
      <c r="L37" s="22">
        <f>SUMIFS('Transaction Overview'!$D$2:$D$790,'Transaction Overview'!$J$2:$J$790,"MAG Pass-Through",'Transaction Overview'!$H$2:$H$790,L$4)</f>
        <v>0</v>
      </c>
      <c r="M37" s="22">
        <f>SUMIFS('Transaction Overview'!$D$2:$D$790,'Transaction Overview'!$J$2:$J$790,"MAG Pass-Through",'Transaction Overview'!$H$2:$H$790,M$4)</f>
        <v>15000</v>
      </c>
      <c r="N37" s="22">
        <f>SUM(B37:M37)</f>
        <v>22550</v>
      </c>
    </row>
    <row r="38" spans="1:14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18" t="s">
        <v>853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1:14" x14ac:dyDescent="0.25">
      <c r="A40" s="8" t="s">
        <v>804</v>
      </c>
      <c r="B40" s="13">
        <f>SUMIFS('Transaction Overview'!$D$2:$D$790,'Transaction Overview'!$I$2:$I$790,$A40,'Transaction Overview'!$H$2:$H$790,B$4)</f>
        <v>0</v>
      </c>
      <c r="C40" s="13">
        <f>SUMIFS('Transaction Overview'!$D$2:$D$790,'Transaction Overview'!$I$2:$I$790,$A40,'Transaction Overview'!$H$2:$H$790,C$4)</f>
        <v>0</v>
      </c>
      <c r="D40" s="13">
        <f>SUMIFS('Transaction Overview'!$D$2:$D$790,'Transaction Overview'!$I$2:$I$790,$A40,'Transaction Overview'!$H$2:$H$790,D$4)</f>
        <v>0</v>
      </c>
      <c r="E40" s="13">
        <f>SUMIFS('Transaction Overview'!$D$2:$D$790,'Transaction Overview'!$I$2:$I$790,$A40,'Transaction Overview'!$H$2:$H$790,E$4)</f>
        <v>0</v>
      </c>
      <c r="F40" s="13">
        <f>SUMIFS('Transaction Overview'!$D$2:$D$790,'Transaction Overview'!$I$2:$I$790,$A40,'Transaction Overview'!$H$2:$H$790,F$4)</f>
        <v>0</v>
      </c>
      <c r="G40" s="13">
        <f>SUMIFS('Transaction Overview'!$D$2:$D$790,'Transaction Overview'!$I$2:$I$790,$A40,'Transaction Overview'!$H$2:$H$790,G$4)</f>
        <v>100000</v>
      </c>
      <c r="H40" s="13">
        <f>SUMIFS('Transaction Overview'!$D$2:$D$790,'Transaction Overview'!$I$2:$I$790,$A40,'Transaction Overview'!$H$2:$H$790,H$4)</f>
        <v>0</v>
      </c>
      <c r="I40" s="13">
        <f>SUMIFS('Transaction Overview'!$D$2:$D$790,'Transaction Overview'!$I$2:$I$790,$A40,'Transaction Overview'!$H$2:$H$790,I$4)</f>
        <v>0</v>
      </c>
      <c r="J40" s="13">
        <f>SUMIFS('Transaction Overview'!$D$2:$D$790,'Transaction Overview'!$I$2:$I$790,$A40,'Transaction Overview'!$H$2:$H$790,J$4)</f>
        <v>0</v>
      </c>
      <c r="K40" s="13">
        <f>SUMIFS('Transaction Overview'!$D$2:$D$790,'Transaction Overview'!$I$2:$I$790,$A40,'Transaction Overview'!$H$2:$H$790,K$4)</f>
        <v>0</v>
      </c>
      <c r="L40" s="13">
        <f>SUMIFS('Transaction Overview'!$D$2:$D$790,'Transaction Overview'!$I$2:$I$790,$A40,'Transaction Overview'!$H$2:$H$790,L$4)</f>
        <v>0</v>
      </c>
      <c r="M40" s="13">
        <f>SUMIFS('Transaction Overview'!$D$2:$D$790,'Transaction Overview'!$I$2:$I$790,$A40,'Transaction Overview'!$H$2:$H$790,M$4)</f>
        <v>0</v>
      </c>
      <c r="N40" s="13">
        <f>SUM(B40:M40)</f>
        <v>100000</v>
      </c>
    </row>
    <row r="41" spans="1:14" x14ac:dyDescent="0.25">
      <c r="A41" s="8" t="s">
        <v>815</v>
      </c>
      <c r="B41" s="13">
        <f>SUMIFS('Transaction Overview'!$D$2:$D$790,'Transaction Overview'!$I$2:$I$790,$A41,'Transaction Overview'!$H$2:$H$790,B$4)</f>
        <v>0</v>
      </c>
      <c r="C41" s="13">
        <f>SUMIFS('Transaction Overview'!$D$2:$D$790,'Transaction Overview'!$I$2:$I$790,$A41,'Transaction Overview'!$H$2:$H$790,C$4)</f>
        <v>0</v>
      </c>
      <c r="D41" s="13">
        <f>SUMIFS('Transaction Overview'!$D$2:$D$790,'Transaction Overview'!$I$2:$I$790,$A41,'Transaction Overview'!$H$2:$H$790,D$4)</f>
        <v>0</v>
      </c>
      <c r="E41" s="13">
        <f>SUMIFS('Transaction Overview'!$D$2:$D$790,'Transaction Overview'!$I$2:$I$790,$A41,'Transaction Overview'!$H$2:$H$790,E$4)</f>
        <v>0</v>
      </c>
      <c r="F41" s="13">
        <f>SUMIFS('Transaction Overview'!$D$2:$D$790,'Transaction Overview'!$I$2:$I$790,$A41,'Transaction Overview'!$H$2:$H$790,F$4)</f>
        <v>0</v>
      </c>
      <c r="G41" s="13">
        <f>SUMIFS('Transaction Overview'!$D$2:$D$790,'Transaction Overview'!$I$2:$I$790,$A41,'Transaction Overview'!$H$2:$H$790,G$4)</f>
        <v>0</v>
      </c>
      <c r="H41" s="13">
        <f>SUMIFS('Transaction Overview'!$D$2:$D$790,'Transaction Overview'!$I$2:$I$790,$A41,'Transaction Overview'!$H$2:$H$790,H$4)</f>
        <v>0</v>
      </c>
      <c r="I41" s="13">
        <f>SUMIFS('Transaction Overview'!$D$2:$D$790,'Transaction Overview'!$I$2:$I$790,$A41,'Transaction Overview'!$H$2:$H$790,I$4)</f>
        <v>20000</v>
      </c>
      <c r="J41" s="13">
        <f>SUMIFS('Transaction Overview'!$D$2:$D$790,'Transaction Overview'!$I$2:$I$790,$A41,'Transaction Overview'!$H$2:$H$790,J$4)</f>
        <v>0</v>
      </c>
      <c r="K41" s="13">
        <f>SUMIFS('Transaction Overview'!$D$2:$D$790,'Transaction Overview'!$I$2:$I$790,$A41,'Transaction Overview'!$H$2:$H$790,K$4)</f>
        <v>0</v>
      </c>
      <c r="L41" s="13">
        <f>SUMIFS('Transaction Overview'!$D$2:$D$790,'Transaction Overview'!$I$2:$I$790,$A41,'Transaction Overview'!$H$2:$H$790,L$4)</f>
        <v>0</v>
      </c>
      <c r="M41" s="13">
        <f>SUMIFS('Transaction Overview'!$D$2:$D$790,'Transaction Overview'!$I$2:$I$790,$A41,'Transaction Overview'!$H$2:$H$790,M$4)</f>
        <v>0</v>
      </c>
      <c r="N41" s="13">
        <f>SUM(B41:M41)</f>
        <v>20000</v>
      </c>
    </row>
    <row r="42" spans="1:14" x14ac:dyDescent="0.25">
      <c r="A42" s="21" t="s">
        <v>881</v>
      </c>
      <c r="B42" s="22">
        <f>SUMIFS('Transaction Overview'!$D$2:$D$790,'Transaction Overview'!$J$2:$J$790,"Wire Transfers — Incoming",'Transaction Overview'!$H$2:$H$790,B$4)</f>
        <v>0</v>
      </c>
      <c r="C42" s="22">
        <f>SUMIFS('Transaction Overview'!$D$2:$D$790,'Transaction Overview'!$J$2:$J$790,"Wire Transfers — Incoming",'Transaction Overview'!$H$2:$H$790,C$4)</f>
        <v>0</v>
      </c>
      <c r="D42" s="22">
        <f>SUMIFS('Transaction Overview'!$D$2:$D$790,'Transaction Overview'!$J$2:$J$790,"Wire Transfers — Incoming",'Transaction Overview'!$H$2:$H$790,D$4)</f>
        <v>0</v>
      </c>
      <c r="E42" s="22">
        <f>SUMIFS('Transaction Overview'!$D$2:$D$790,'Transaction Overview'!$J$2:$J$790,"Wire Transfers — Incoming",'Transaction Overview'!$H$2:$H$790,E$4)</f>
        <v>0</v>
      </c>
      <c r="F42" s="22">
        <f>SUMIFS('Transaction Overview'!$D$2:$D$790,'Transaction Overview'!$J$2:$J$790,"Wire Transfers — Incoming",'Transaction Overview'!$H$2:$H$790,F$4)</f>
        <v>0</v>
      </c>
      <c r="G42" s="22">
        <f>SUMIFS('Transaction Overview'!$D$2:$D$790,'Transaction Overview'!$J$2:$J$790,"Wire Transfers — Incoming",'Transaction Overview'!$H$2:$H$790,G$4)</f>
        <v>100000</v>
      </c>
      <c r="H42" s="22">
        <f>SUMIFS('Transaction Overview'!$D$2:$D$790,'Transaction Overview'!$J$2:$J$790,"Wire Transfers — Incoming",'Transaction Overview'!$H$2:$H$790,H$4)</f>
        <v>0</v>
      </c>
      <c r="I42" s="22">
        <f>SUMIFS('Transaction Overview'!$D$2:$D$790,'Transaction Overview'!$J$2:$J$790,"Wire Transfers — Incoming",'Transaction Overview'!$H$2:$H$790,I$4)</f>
        <v>20000</v>
      </c>
      <c r="J42" s="22">
        <f>SUMIFS('Transaction Overview'!$D$2:$D$790,'Transaction Overview'!$J$2:$J$790,"Wire Transfers — Incoming",'Transaction Overview'!$H$2:$H$790,J$4)</f>
        <v>0</v>
      </c>
      <c r="K42" s="22">
        <f>SUMIFS('Transaction Overview'!$D$2:$D$790,'Transaction Overview'!$J$2:$J$790,"Wire Transfers — Incoming",'Transaction Overview'!$H$2:$H$790,K$4)</f>
        <v>0</v>
      </c>
      <c r="L42" s="22">
        <f>SUMIFS('Transaction Overview'!$D$2:$D$790,'Transaction Overview'!$J$2:$J$790,"Wire Transfers — Incoming",'Transaction Overview'!$H$2:$H$790,L$4)</f>
        <v>0</v>
      </c>
      <c r="M42" s="22">
        <f>SUMIFS('Transaction Overview'!$D$2:$D$790,'Transaction Overview'!$J$2:$J$790,"Wire Transfers — Incoming",'Transaction Overview'!$H$2:$H$790,M$4)</f>
        <v>0</v>
      </c>
      <c r="N42" s="22">
        <f>SUM(B42:M42)</f>
        <v>120000</v>
      </c>
    </row>
    <row r="43" spans="1:14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5">
      <c r="A44" s="18" t="s">
        <v>854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x14ac:dyDescent="0.25">
      <c r="A45" s="8" t="s">
        <v>805</v>
      </c>
      <c r="B45" s="13">
        <f>SUMIFS('Transaction Overview'!$D$2:$D$790,'Transaction Overview'!$I$2:$I$790,$A45,'Transaction Overview'!$H$2:$H$790,B$4)</f>
        <v>0</v>
      </c>
      <c r="C45" s="13">
        <f>SUMIFS('Transaction Overview'!$D$2:$D$790,'Transaction Overview'!$I$2:$I$790,$A45,'Transaction Overview'!$H$2:$H$790,C$4)</f>
        <v>0</v>
      </c>
      <c r="D45" s="13">
        <f>SUMIFS('Transaction Overview'!$D$2:$D$790,'Transaction Overview'!$I$2:$I$790,$A45,'Transaction Overview'!$H$2:$H$790,D$4)</f>
        <v>0</v>
      </c>
      <c r="E45" s="13">
        <f>SUMIFS('Transaction Overview'!$D$2:$D$790,'Transaction Overview'!$I$2:$I$790,$A45,'Transaction Overview'!$H$2:$H$790,E$4)</f>
        <v>0</v>
      </c>
      <c r="F45" s="13">
        <f>SUMIFS('Transaction Overview'!$D$2:$D$790,'Transaction Overview'!$I$2:$I$790,$A45,'Transaction Overview'!$H$2:$H$790,F$4)</f>
        <v>0</v>
      </c>
      <c r="G45" s="13">
        <f>SUMIFS('Transaction Overview'!$D$2:$D$790,'Transaction Overview'!$I$2:$I$790,$A45,'Transaction Overview'!$H$2:$H$790,G$4)</f>
        <v>-100000</v>
      </c>
      <c r="H45" s="13">
        <f>SUMIFS('Transaction Overview'!$D$2:$D$790,'Transaction Overview'!$I$2:$I$790,$A45,'Transaction Overview'!$H$2:$H$790,H$4)</f>
        <v>0</v>
      </c>
      <c r="I45" s="13">
        <f>SUMIFS('Transaction Overview'!$D$2:$D$790,'Transaction Overview'!$I$2:$I$790,$A45,'Transaction Overview'!$H$2:$H$790,I$4)</f>
        <v>0</v>
      </c>
      <c r="J45" s="13">
        <f>SUMIFS('Transaction Overview'!$D$2:$D$790,'Transaction Overview'!$I$2:$I$790,$A45,'Transaction Overview'!$H$2:$H$790,J$4)</f>
        <v>0</v>
      </c>
      <c r="K45" s="13">
        <f>SUMIFS('Transaction Overview'!$D$2:$D$790,'Transaction Overview'!$I$2:$I$790,$A45,'Transaction Overview'!$H$2:$H$790,K$4)</f>
        <v>0</v>
      </c>
      <c r="L45" s="13">
        <f>SUMIFS('Transaction Overview'!$D$2:$D$790,'Transaction Overview'!$I$2:$I$790,$A45,'Transaction Overview'!$H$2:$H$790,L$4)</f>
        <v>0</v>
      </c>
      <c r="M45" s="13">
        <f>SUMIFS('Transaction Overview'!$D$2:$D$790,'Transaction Overview'!$I$2:$I$790,$A45,'Transaction Overview'!$H$2:$H$790,M$4)</f>
        <v>0</v>
      </c>
      <c r="N45" s="13">
        <f>SUM(B45:M45)</f>
        <v>-100000</v>
      </c>
    </row>
    <row r="46" spans="1:14" x14ac:dyDescent="0.25">
      <c r="A46" s="8" t="s">
        <v>814</v>
      </c>
      <c r="B46" s="13">
        <f>SUMIFS('Transaction Overview'!$D$2:$D$790,'Transaction Overview'!$I$2:$I$790,$A46,'Transaction Overview'!$H$2:$H$790,B$4)</f>
        <v>0</v>
      </c>
      <c r="C46" s="13">
        <f>SUMIFS('Transaction Overview'!$D$2:$D$790,'Transaction Overview'!$I$2:$I$790,$A46,'Transaction Overview'!$H$2:$H$790,C$4)</f>
        <v>0</v>
      </c>
      <c r="D46" s="13">
        <f>SUMIFS('Transaction Overview'!$D$2:$D$790,'Transaction Overview'!$I$2:$I$790,$A46,'Transaction Overview'!$H$2:$H$790,D$4)</f>
        <v>0</v>
      </c>
      <c r="E46" s="13">
        <f>SUMIFS('Transaction Overview'!$D$2:$D$790,'Transaction Overview'!$I$2:$I$790,$A46,'Transaction Overview'!$H$2:$H$790,E$4)</f>
        <v>0</v>
      </c>
      <c r="F46" s="13">
        <f>SUMIFS('Transaction Overview'!$D$2:$D$790,'Transaction Overview'!$I$2:$I$790,$A46,'Transaction Overview'!$H$2:$H$790,F$4)</f>
        <v>0</v>
      </c>
      <c r="G46" s="13">
        <f>SUMIFS('Transaction Overview'!$D$2:$D$790,'Transaction Overview'!$I$2:$I$790,$A46,'Transaction Overview'!$H$2:$H$790,G$4)</f>
        <v>0</v>
      </c>
      <c r="H46" s="13">
        <f>SUMIFS('Transaction Overview'!$D$2:$D$790,'Transaction Overview'!$I$2:$I$790,$A46,'Transaction Overview'!$H$2:$H$790,H$4)</f>
        <v>0</v>
      </c>
      <c r="I46" s="13">
        <f>SUMIFS('Transaction Overview'!$D$2:$D$790,'Transaction Overview'!$I$2:$I$790,$A46,'Transaction Overview'!$H$2:$H$790,I$4)</f>
        <v>-25000</v>
      </c>
      <c r="J46" s="13">
        <f>SUMIFS('Transaction Overview'!$D$2:$D$790,'Transaction Overview'!$I$2:$I$790,$A46,'Transaction Overview'!$H$2:$H$790,J$4)</f>
        <v>0</v>
      </c>
      <c r="K46" s="13">
        <f>SUMIFS('Transaction Overview'!$D$2:$D$790,'Transaction Overview'!$I$2:$I$790,$A46,'Transaction Overview'!$H$2:$H$790,K$4)</f>
        <v>0</v>
      </c>
      <c r="L46" s="13">
        <f>SUMIFS('Transaction Overview'!$D$2:$D$790,'Transaction Overview'!$I$2:$I$790,$A46,'Transaction Overview'!$H$2:$H$790,L$4)</f>
        <v>0</v>
      </c>
      <c r="M46" s="13">
        <f>SUMIFS('Transaction Overview'!$D$2:$D$790,'Transaction Overview'!$I$2:$I$790,$A46,'Transaction Overview'!$H$2:$H$790,M$4)</f>
        <v>-10000</v>
      </c>
      <c r="N46" s="13">
        <f>SUM(B46:M46)</f>
        <v>-35000</v>
      </c>
    </row>
    <row r="47" spans="1:14" x14ac:dyDescent="0.25">
      <c r="A47" s="8" t="s">
        <v>795</v>
      </c>
      <c r="B47" s="13">
        <f>SUMIFS('Transaction Overview'!$D$2:$D$790,'Transaction Overview'!$I$2:$I$790,$A47,'Transaction Overview'!$H$2:$H$790,B$4)</f>
        <v>0</v>
      </c>
      <c r="C47" s="13">
        <f>SUMIFS('Transaction Overview'!$D$2:$D$790,'Transaction Overview'!$I$2:$I$790,$A47,'Transaction Overview'!$H$2:$H$790,C$4)</f>
        <v>0</v>
      </c>
      <c r="D47" s="13">
        <f>SUMIFS('Transaction Overview'!$D$2:$D$790,'Transaction Overview'!$I$2:$I$790,$A47,'Transaction Overview'!$H$2:$H$790,D$4)</f>
        <v>-6000</v>
      </c>
      <c r="E47" s="13">
        <f>SUMIFS('Transaction Overview'!$D$2:$D$790,'Transaction Overview'!$I$2:$I$790,$A47,'Transaction Overview'!$H$2:$H$790,E$4)</f>
        <v>0</v>
      </c>
      <c r="F47" s="13">
        <f>SUMIFS('Transaction Overview'!$D$2:$D$790,'Transaction Overview'!$I$2:$I$790,$A47,'Transaction Overview'!$H$2:$H$790,F$4)</f>
        <v>0</v>
      </c>
      <c r="G47" s="13">
        <f>SUMIFS('Transaction Overview'!$D$2:$D$790,'Transaction Overview'!$I$2:$I$790,$A47,'Transaction Overview'!$H$2:$H$790,G$4)</f>
        <v>0</v>
      </c>
      <c r="H47" s="13">
        <f>SUMIFS('Transaction Overview'!$D$2:$D$790,'Transaction Overview'!$I$2:$I$790,$A47,'Transaction Overview'!$H$2:$H$790,H$4)</f>
        <v>0</v>
      </c>
      <c r="I47" s="13">
        <f>SUMIFS('Transaction Overview'!$D$2:$D$790,'Transaction Overview'!$I$2:$I$790,$A47,'Transaction Overview'!$H$2:$H$790,I$4)</f>
        <v>0</v>
      </c>
      <c r="J47" s="13">
        <f>SUMIFS('Transaction Overview'!$D$2:$D$790,'Transaction Overview'!$I$2:$I$790,$A47,'Transaction Overview'!$H$2:$H$790,J$4)</f>
        <v>0</v>
      </c>
      <c r="K47" s="13">
        <f>SUMIFS('Transaction Overview'!$D$2:$D$790,'Transaction Overview'!$I$2:$I$790,$A47,'Transaction Overview'!$H$2:$H$790,K$4)</f>
        <v>0</v>
      </c>
      <c r="L47" s="13">
        <f>SUMIFS('Transaction Overview'!$D$2:$D$790,'Transaction Overview'!$I$2:$I$790,$A47,'Transaction Overview'!$H$2:$H$790,L$4)</f>
        <v>0</v>
      </c>
      <c r="M47" s="13">
        <f>SUMIFS('Transaction Overview'!$D$2:$D$790,'Transaction Overview'!$I$2:$I$790,$A47,'Transaction Overview'!$H$2:$H$790,M$4)</f>
        <v>0</v>
      </c>
      <c r="N47" s="13">
        <f>SUM(B47:M47)</f>
        <v>-6000</v>
      </c>
    </row>
    <row r="48" spans="1:14" x14ac:dyDescent="0.25">
      <c r="A48" s="8" t="s">
        <v>839</v>
      </c>
      <c r="B48" s="13">
        <f>SUMIFS('Transaction Overview'!$D$2:$D$790,'Transaction Overview'!$I$2:$I$790,$A48,'Transaction Overview'!$H$2:$H$790,B$4)</f>
        <v>0</v>
      </c>
      <c r="C48" s="13">
        <f>SUMIFS('Transaction Overview'!$D$2:$D$790,'Transaction Overview'!$I$2:$I$790,$A48,'Transaction Overview'!$H$2:$H$790,C$4)</f>
        <v>0</v>
      </c>
      <c r="D48" s="13">
        <f>SUMIFS('Transaction Overview'!$D$2:$D$790,'Transaction Overview'!$I$2:$I$790,$A48,'Transaction Overview'!$H$2:$H$790,D$4)</f>
        <v>0</v>
      </c>
      <c r="E48" s="13">
        <f>SUMIFS('Transaction Overview'!$D$2:$D$790,'Transaction Overview'!$I$2:$I$790,$A48,'Transaction Overview'!$H$2:$H$790,E$4)</f>
        <v>0</v>
      </c>
      <c r="F48" s="13">
        <f>SUMIFS('Transaction Overview'!$D$2:$D$790,'Transaction Overview'!$I$2:$I$790,$A48,'Transaction Overview'!$H$2:$H$790,F$4)</f>
        <v>0</v>
      </c>
      <c r="G48" s="13">
        <f>SUMIFS('Transaction Overview'!$D$2:$D$790,'Transaction Overview'!$I$2:$I$790,$A48,'Transaction Overview'!$H$2:$H$790,G$4)</f>
        <v>0</v>
      </c>
      <c r="H48" s="13">
        <f>SUMIFS('Transaction Overview'!$D$2:$D$790,'Transaction Overview'!$I$2:$I$790,$A48,'Transaction Overview'!$H$2:$H$790,H$4)</f>
        <v>0</v>
      </c>
      <c r="I48" s="13">
        <f>SUMIFS('Transaction Overview'!$D$2:$D$790,'Transaction Overview'!$I$2:$I$790,$A48,'Transaction Overview'!$H$2:$H$790,I$4)</f>
        <v>0</v>
      </c>
      <c r="J48" s="13">
        <f>SUMIFS('Transaction Overview'!$D$2:$D$790,'Transaction Overview'!$I$2:$I$790,$A48,'Transaction Overview'!$H$2:$H$790,J$4)</f>
        <v>0</v>
      </c>
      <c r="K48" s="13">
        <f>SUMIFS('Transaction Overview'!$D$2:$D$790,'Transaction Overview'!$I$2:$I$790,$A48,'Transaction Overview'!$H$2:$H$790,K$4)</f>
        <v>0</v>
      </c>
      <c r="L48" s="13">
        <f>SUMIFS('Transaction Overview'!$D$2:$D$790,'Transaction Overview'!$I$2:$I$790,$A48,'Transaction Overview'!$H$2:$H$790,L$4)</f>
        <v>0</v>
      </c>
      <c r="M48" s="13">
        <f>SUMIFS('Transaction Overview'!$D$2:$D$790,'Transaction Overview'!$I$2:$I$790,$A48,'Transaction Overview'!$H$2:$H$790,M$4)</f>
        <v>-15500</v>
      </c>
      <c r="N48" s="13">
        <f>SUM(B48:M48)</f>
        <v>-15500</v>
      </c>
    </row>
    <row r="49" spans="1:14" x14ac:dyDescent="0.25">
      <c r="A49" s="21" t="s">
        <v>882</v>
      </c>
      <c r="B49" s="22">
        <f>SUMIFS('Transaction Overview'!$D$2:$D$790,'Transaction Overview'!$J$2:$J$790,"Wire Transfers — Outgoing",'Transaction Overview'!$H$2:$H$790,B$4)</f>
        <v>0</v>
      </c>
      <c r="C49" s="22">
        <f>SUMIFS('Transaction Overview'!$D$2:$D$790,'Transaction Overview'!$J$2:$J$790,"Wire Transfers — Outgoing",'Transaction Overview'!$H$2:$H$790,C$4)</f>
        <v>0</v>
      </c>
      <c r="D49" s="22">
        <f>SUMIFS('Transaction Overview'!$D$2:$D$790,'Transaction Overview'!$J$2:$J$790,"Wire Transfers — Outgoing",'Transaction Overview'!$H$2:$H$790,D$4)</f>
        <v>-6000</v>
      </c>
      <c r="E49" s="22">
        <f>SUMIFS('Transaction Overview'!$D$2:$D$790,'Transaction Overview'!$J$2:$J$790,"Wire Transfers — Outgoing",'Transaction Overview'!$H$2:$H$790,E$4)</f>
        <v>0</v>
      </c>
      <c r="F49" s="22">
        <f>SUMIFS('Transaction Overview'!$D$2:$D$790,'Transaction Overview'!$J$2:$J$790,"Wire Transfers — Outgoing",'Transaction Overview'!$H$2:$H$790,F$4)</f>
        <v>0</v>
      </c>
      <c r="G49" s="22">
        <f>SUMIFS('Transaction Overview'!$D$2:$D$790,'Transaction Overview'!$J$2:$J$790,"Wire Transfers — Outgoing",'Transaction Overview'!$H$2:$H$790,G$4)</f>
        <v>-100000</v>
      </c>
      <c r="H49" s="22">
        <f>SUMIFS('Transaction Overview'!$D$2:$D$790,'Transaction Overview'!$J$2:$J$790,"Wire Transfers — Outgoing",'Transaction Overview'!$H$2:$H$790,H$4)</f>
        <v>0</v>
      </c>
      <c r="I49" s="22">
        <f>SUMIFS('Transaction Overview'!$D$2:$D$790,'Transaction Overview'!$J$2:$J$790,"Wire Transfers — Outgoing",'Transaction Overview'!$H$2:$H$790,I$4)</f>
        <v>-25000</v>
      </c>
      <c r="J49" s="22">
        <f>SUMIFS('Transaction Overview'!$D$2:$D$790,'Transaction Overview'!$J$2:$J$790,"Wire Transfers — Outgoing",'Transaction Overview'!$H$2:$H$790,J$4)</f>
        <v>0</v>
      </c>
      <c r="K49" s="22">
        <f>SUMIFS('Transaction Overview'!$D$2:$D$790,'Transaction Overview'!$J$2:$J$790,"Wire Transfers — Outgoing",'Transaction Overview'!$H$2:$H$790,K$4)</f>
        <v>0</v>
      </c>
      <c r="L49" s="22">
        <f>SUMIFS('Transaction Overview'!$D$2:$D$790,'Transaction Overview'!$J$2:$J$790,"Wire Transfers — Outgoing",'Transaction Overview'!$H$2:$H$790,L$4)</f>
        <v>0</v>
      </c>
      <c r="M49" s="22">
        <f>SUMIFS('Transaction Overview'!$D$2:$D$790,'Transaction Overview'!$J$2:$J$790,"Wire Transfers — Outgoing",'Transaction Overview'!$H$2:$H$790,M$4)</f>
        <v>-25500</v>
      </c>
      <c r="N49" s="22">
        <f>SUM(B49:M49)</f>
        <v>-156500</v>
      </c>
    </row>
    <row r="50" spans="1:14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x14ac:dyDescent="0.25">
      <c r="A51" s="18" t="s">
        <v>856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1:14" x14ac:dyDescent="0.25">
      <c r="A52" s="8" t="s">
        <v>807</v>
      </c>
      <c r="B52" s="13">
        <f>SUMIFS('Transaction Overview'!$D$2:$D$790,'Transaction Overview'!$I$2:$I$790,$A52,'Transaction Overview'!$H$2:$H$790,B$4)</f>
        <v>0</v>
      </c>
      <c r="C52" s="13">
        <f>SUMIFS('Transaction Overview'!$D$2:$D$790,'Transaction Overview'!$I$2:$I$790,$A52,'Transaction Overview'!$H$2:$H$790,C$4)</f>
        <v>0</v>
      </c>
      <c r="D52" s="13">
        <f>SUMIFS('Transaction Overview'!$D$2:$D$790,'Transaction Overview'!$I$2:$I$790,$A52,'Transaction Overview'!$H$2:$H$790,D$4)</f>
        <v>0</v>
      </c>
      <c r="E52" s="13">
        <f>SUMIFS('Transaction Overview'!$D$2:$D$790,'Transaction Overview'!$I$2:$I$790,$A52,'Transaction Overview'!$H$2:$H$790,E$4)</f>
        <v>0</v>
      </c>
      <c r="F52" s="13">
        <f>SUMIFS('Transaction Overview'!$D$2:$D$790,'Transaction Overview'!$I$2:$I$790,$A52,'Transaction Overview'!$H$2:$H$790,F$4)</f>
        <v>0</v>
      </c>
      <c r="G52" s="13">
        <f>SUMIFS('Transaction Overview'!$D$2:$D$790,'Transaction Overview'!$I$2:$I$790,$A52,'Transaction Overview'!$H$2:$H$790,G$4)</f>
        <v>0</v>
      </c>
      <c r="H52" s="13">
        <f>SUMIFS('Transaction Overview'!$D$2:$D$790,'Transaction Overview'!$I$2:$I$790,$A52,'Transaction Overview'!$H$2:$H$790,H$4)</f>
        <v>100000</v>
      </c>
      <c r="I52" s="13">
        <f>SUMIFS('Transaction Overview'!$D$2:$D$790,'Transaction Overview'!$I$2:$I$790,$A52,'Transaction Overview'!$H$2:$H$790,I$4)</f>
        <v>0</v>
      </c>
      <c r="J52" s="13">
        <f>SUMIFS('Transaction Overview'!$D$2:$D$790,'Transaction Overview'!$I$2:$I$790,$A52,'Transaction Overview'!$H$2:$H$790,J$4)</f>
        <v>50000</v>
      </c>
      <c r="K52" s="13">
        <f>SUMIFS('Transaction Overview'!$D$2:$D$790,'Transaction Overview'!$I$2:$I$790,$A52,'Transaction Overview'!$H$2:$H$790,K$4)</f>
        <v>0</v>
      </c>
      <c r="L52" s="13">
        <f>SUMIFS('Transaction Overview'!$D$2:$D$790,'Transaction Overview'!$I$2:$I$790,$A52,'Transaction Overview'!$H$2:$H$790,L$4)</f>
        <v>0</v>
      </c>
      <c r="M52" s="13">
        <f>SUMIFS('Transaction Overview'!$D$2:$D$790,'Transaction Overview'!$I$2:$I$790,$A52,'Transaction Overview'!$H$2:$H$790,M$4)</f>
        <v>0</v>
      </c>
      <c r="N52" s="13">
        <f>SUM(B52:M52)</f>
        <v>150000</v>
      </c>
    </row>
    <row r="53" spans="1:14" x14ac:dyDescent="0.25">
      <c r="A53" s="8" t="s">
        <v>788</v>
      </c>
      <c r="B53" s="13">
        <f>SUMIFS('Transaction Overview'!$D$2:$D$790,'Transaction Overview'!$I$2:$I$790,$A53,'Transaction Overview'!$H$2:$H$790,B$4)</f>
        <v>0</v>
      </c>
      <c r="C53" s="13">
        <f>SUMIFS('Transaction Overview'!$D$2:$D$790,'Transaction Overview'!$I$2:$I$790,$A53,'Transaction Overview'!$H$2:$H$790,C$4)</f>
        <v>0</v>
      </c>
      <c r="D53" s="13">
        <f>SUMIFS('Transaction Overview'!$D$2:$D$790,'Transaction Overview'!$I$2:$I$790,$A53,'Transaction Overview'!$H$2:$H$790,D$4)</f>
        <v>0</v>
      </c>
      <c r="E53" s="13">
        <f>SUMIFS('Transaction Overview'!$D$2:$D$790,'Transaction Overview'!$I$2:$I$790,$A53,'Transaction Overview'!$H$2:$H$790,E$4)</f>
        <v>0</v>
      </c>
      <c r="F53" s="13">
        <f>SUMIFS('Transaction Overview'!$D$2:$D$790,'Transaction Overview'!$I$2:$I$790,$A53,'Transaction Overview'!$H$2:$H$790,F$4)</f>
        <v>0</v>
      </c>
      <c r="G53" s="13">
        <f>SUMIFS('Transaction Overview'!$D$2:$D$790,'Transaction Overview'!$I$2:$I$790,$A53,'Transaction Overview'!$H$2:$H$790,G$4)</f>
        <v>0</v>
      </c>
      <c r="H53" s="13">
        <f>SUMIFS('Transaction Overview'!$D$2:$D$790,'Transaction Overview'!$I$2:$I$790,$A53,'Transaction Overview'!$H$2:$H$790,H$4)</f>
        <v>0</v>
      </c>
      <c r="I53" s="13">
        <f>SUMIFS('Transaction Overview'!$D$2:$D$790,'Transaction Overview'!$I$2:$I$790,$A53,'Transaction Overview'!$H$2:$H$790,I$4)</f>
        <v>0</v>
      </c>
      <c r="J53" s="13">
        <f>SUMIFS('Transaction Overview'!$D$2:$D$790,'Transaction Overview'!$I$2:$I$790,$A53,'Transaction Overview'!$H$2:$H$790,J$4)</f>
        <v>0</v>
      </c>
      <c r="K53" s="13">
        <f>SUMIFS('Transaction Overview'!$D$2:$D$790,'Transaction Overview'!$I$2:$I$790,$A53,'Transaction Overview'!$H$2:$H$790,K$4)</f>
        <v>0</v>
      </c>
      <c r="L53" s="13">
        <f>SUMIFS('Transaction Overview'!$D$2:$D$790,'Transaction Overview'!$I$2:$I$790,$A53,'Transaction Overview'!$H$2:$H$790,L$4)</f>
        <v>270000</v>
      </c>
      <c r="M53" s="13">
        <f>SUMIFS('Transaction Overview'!$D$2:$D$790,'Transaction Overview'!$I$2:$I$790,$A53,'Transaction Overview'!$H$2:$H$790,M$4)</f>
        <v>113350</v>
      </c>
      <c r="N53" s="13">
        <f>SUM(B53:M53)</f>
        <v>383350</v>
      </c>
    </row>
    <row r="54" spans="1:14" x14ac:dyDescent="0.25">
      <c r="A54" s="8" t="s">
        <v>801</v>
      </c>
      <c r="B54" s="13">
        <f>SUMIFS('Transaction Overview'!$D$2:$D$790,'Transaction Overview'!$I$2:$I$790,$A54,'Transaction Overview'!$H$2:$H$790,B$4)</f>
        <v>0</v>
      </c>
      <c r="C54" s="13">
        <f>SUMIFS('Transaction Overview'!$D$2:$D$790,'Transaction Overview'!$I$2:$I$790,$A54,'Transaction Overview'!$H$2:$H$790,C$4)</f>
        <v>0</v>
      </c>
      <c r="D54" s="13">
        <f>SUMIFS('Transaction Overview'!$D$2:$D$790,'Transaction Overview'!$I$2:$I$790,$A54,'Transaction Overview'!$H$2:$H$790,D$4)</f>
        <v>0</v>
      </c>
      <c r="E54" s="13">
        <f>SUMIFS('Transaction Overview'!$D$2:$D$790,'Transaction Overview'!$I$2:$I$790,$A54,'Transaction Overview'!$H$2:$H$790,E$4)</f>
        <v>0</v>
      </c>
      <c r="F54" s="13">
        <f>SUMIFS('Transaction Overview'!$D$2:$D$790,'Transaction Overview'!$I$2:$I$790,$A54,'Transaction Overview'!$H$2:$H$790,F$4)</f>
        <v>17500</v>
      </c>
      <c r="G54" s="13">
        <f>SUMIFS('Transaction Overview'!$D$2:$D$790,'Transaction Overview'!$I$2:$I$790,$A54,'Transaction Overview'!$H$2:$H$790,G$4)</f>
        <v>0</v>
      </c>
      <c r="H54" s="13">
        <f>SUMIFS('Transaction Overview'!$D$2:$D$790,'Transaction Overview'!$I$2:$I$790,$A54,'Transaction Overview'!$H$2:$H$790,H$4)</f>
        <v>0</v>
      </c>
      <c r="I54" s="13">
        <f>SUMIFS('Transaction Overview'!$D$2:$D$790,'Transaction Overview'!$I$2:$I$790,$A54,'Transaction Overview'!$H$2:$H$790,I$4)</f>
        <v>0</v>
      </c>
      <c r="J54" s="13">
        <f>SUMIFS('Transaction Overview'!$D$2:$D$790,'Transaction Overview'!$I$2:$I$790,$A54,'Transaction Overview'!$H$2:$H$790,J$4)</f>
        <v>0</v>
      </c>
      <c r="K54" s="13">
        <f>SUMIFS('Transaction Overview'!$D$2:$D$790,'Transaction Overview'!$I$2:$I$790,$A54,'Transaction Overview'!$H$2:$H$790,K$4)</f>
        <v>0</v>
      </c>
      <c r="L54" s="13">
        <f>SUMIFS('Transaction Overview'!$D$2:$D$790,'Transaction Overview'!$I$2:$I$790,$A54,'Transaction Overview'!$H$2:$H$790,L$4)</f>
        <v>0</v>
      </c>
      <c r="M54" s="13">
        <f>SUMIFS('Transaction Overview'!$D$2:$D$790,'Transaction Overview'!$I$2:$I$790,$A54,'Transaction Overview'!$H$2:$H$790,M$4)</f>
        <v>100000</v>
      </c>
      <c r="N54" s="13">
        <f>SUM(B54:M54)</f>
        <v>117500</v>
      </c>
    </row>
    <row r="55" spans="1:14" x14ac:dyDescent="0.25">
      <c r="A55" s="8" t="s">
        <v>821</v>
      </c>
      <c r="B55" s="13">
        <f>SUMIFS('Transaction Overview'!$D$2:$D$790,'Transaction Overview'!$I$2:$I$790,$A55,'Transaction Overview'!$H$2:$H$790,B$4)</f>
        <v>0</v>
      </c>
      <c r="C55" s="13">
        <f>SUMIFS('Transaction Overview'!$D$2:$D$790,'Transaction Overview'!$I$2:$I$790,$A55,'Transaction Overview'!$H$2:$H$790,C$4)</f>
        <v>0</v>
      </c>
      <c r="D55" s="13">
        <f>SUMIFS('Transaction Overview'!$D$2:$D$790,'Transaction Overview'!$I$2:$I$790,$A55,'Transaction Overview'!$H$2:$H$790,D$4)</f>
        <v>0</v>
      </c>
      <c r="E55" s="13">
        <f>SUMIFS('Transaction Overview'!$D$2:$D$790,'Transaction Overview'!$I$2:$I$790,$A55,'Transaction Overview'!$H$2:$H$790,E$4)</f>
        <v>50000</v>
      </c>
      <c r="F55" s="13">
        <f>SUMIFS('Transaction Overview'!$D$2:$D$790,'Transaction Overview'!$I$2:$I$790,$A55,'Transaction Overview'!$H$2:$H$790,F$4)</f>
        <v>0</v>
      </c>
      <c r="G55" s="13">
        <f>SUMIFS('Transaction Overview'!$D$2:$D$790,'Transaction Overview'!$I$2:$I$790,$A55,'Transaction Overview'!$H$2:$H$790,G$4)</f>
        <v>0</v>
      </c>
      <c r="H55" s="13">
        <f>SUMIFS('Transaction Overview'!$D$2:$D$790,'Transaction Overview'!$I$2:$I$790,$A55,'Transaction Overview'!$H$2:$H$790,H$4)</f>
        <v>0</v>
      </c>
      <c r="I55" s="13">
        <f>SUMIFS('Transaction Overview'!$D$2:$D$790,'Transaction Overview'!$I$2:$I$790,$A55,'Transaction Overview'!$H$2:$H$790,I$4)</f>
        <v>0</v>
      </c>
      <c r="J55" s="13">
        <f>SUMIFS('Transaction Overview'!$D$2:$D$790,'Transaction Overview'!$I$2:$I$790,$A55,'Transaction Overview'!$H$2:$H$790,J$4)</f>
        <v>0</v>
      </c>
      <c r="K55" s="13">
        <f>SUMIFS('Transaction Overview'!$D$2:$D$790,'Transaction Overview'!$I$2:$I$790,$A55,'Transaction Overview'!$H$2:$H$790,K$4)</f>
        <v>12800</v>
      </c>
      <c r="L55" s="13">
        <f>SUMIFS('Transaction Overview'!$D$2:$D$790,'Transaction Overview'!$I$2:$I$790,$A55,'Transaction Overview'!$H$2:$H$790,L$4)</f>
        <v>0</v>
      </c>
      <c r="M55" s="13">
        <f>SUMIFS('Transaction Overview'!$D$2:$D$790,'Transaction Overview'!$I$2:$I$790,$A55,'Transaction Overview'!$H$2:$H$790,M$4)</f>
        <v>0</v>
      </c>
      <c r="N55" s="13">
        <f>SUM(B55:M55)</f>
        <v>62800</v>
      </c>
    </row>
    <row r="56" spans="1:14" x14ac:dyDescent="0.25">
      <c r="A56" s="8" t="s">
        <v>776</v>
      </c>
      <c r="B56" s="13">
        <f>SUMIFS('Transaction Overview'!$D$2:$D$790,'Transaction Overview'!$I$2:$I$790,$A56,'Transaction Overview'!$H$2:$H$790,B$4)</f>
        <v>-30000</v>
      </c>
      <c r="C56" s="13">
        <f>SUMIFS('Transaction Overview'!$D$2:$D$790,'Transaction Overview'!$I$2:$I$790,$A56,'Transaction Overview'!$H$2:$H$790,C$4)</f>
        <v>-50000</v>
      </c>
      <c r="D56" s="13">
        <f>SUMIFS('Transaction Overview'!$D$2:$D$790,'Transaction Overview'!$I$2:$I$790,$A56,'Transaction Overview'!$H$2:$H$790,D$4)</f>
        <v>-105000</v>
      </c>
      <c r="E56" s="13">
        <f>SUMIFS('Transaction Overview'!$D$2:$D$790,'Transaction Overview'!$I$2:$I$790,$A56,'Transaction Overview'!$H$2:$H$790,E$4)</f>
        <v>-30000</v>
      </c>
      <c r="F56" s="13">
        <f>SUMIFS('Transaction Overview'!$D$2:$D$790,'Transaction Overview'!$I$2:$I$790,$A56,'Transaction Overview'!$H$2:$H$790,F$4)</f>
        <v>-40000</v>
      </c>
      <c r="G56" s="13">
        <f>SUMIFS('Transaction Overview'!$D$2:$D$790,'Transaction Overview'!$I$2:$I$790,$A56,'Transaction Overview'!$H$2:$H$790,G$4)</f>
        <v>-63000</v>
      </c>
      <c r="H56" s="13">
        <f>SUMIFS('Transaction Overview'!$D$2:$D$790,'Transaction Overview'!$I$2:$I$790,$A56,'Transaction Overview'!$H$2:$H$790,H$4)</f>
        <v>-80000</v>
      </c>
      <c r="I56" s="13">
        <f>SUMIFS('Transaction Overview'!$D$2:$D$790,'Transaction Overview'!$I$2:$I$790,$A56,'Transaction Overview'!$H$2:$H$790,I$4)</f>
        <v>-30000</v>
      </c>
      <c r="J56" s="13">
        <f>SUMIFS('Transaction Overview'!$D$2:$D$790,'Transaction Overview'!$I$2:$I$790,$A56,'Transaction Overview'!$H$2:$H$790,J$4)</f>
        <v>-50000</v>
      </c>
      <c r="K56" s="13">
        <f>SUMIFS('Transaction Overview'!$D$2:$D$790,'Transaction Overview'!$I$2:$I$790,$A56,'Transaction Overview'!$H$2:$H$790,K$4)</f>
        <v>-85000</v>
      </c>
      <c r="L56" s="13">
        <f>SUMIFS('Transaction Overview'!$D$2:$D$790,'Transaction Overview'!$I$2:$I$790,$A56,'Transaction Overview'!$H$2:$H$790,L$4)</f>
        <v>-65000</v>
      </c>
      <c r="M56" s="13">
        <f>SUMIFS('Transaction Overview'!$D$2:$D$790,'Transaction Overview'!$I$2:$I$790,$A56,'Transaction Overview'!$H$2:$H$790,M$4)</f>
        <v>-50000</v>
      </c>
      <c r="N56" s="13">
        <f>SUM(B56:M56)</f>
        <v>-678000</v>
      </c>
    </row>
    <row r="57" spans="1:14" x14ac:dyDescent="0.25">
      <c r="A57" s="8" t="s">
        <v>777</v>
      </c>
      <c r="B57" s="13">
        <f>SUMIFS('Transaction Overview'!$D$2:$D$790,'Transaction Overview'!$I$2:$I$790,$A57,'Transaction Overview'!$H$2:$H$790,B$4)</f>
        <v>0</v>
      </c>
      <c r="C57" s="13">
        <f>SUMIFS('Transaction Overview'!$D$2:$D$790,'Transaction Overview'!$I$2:$I$790,$A57,'Transaction Overview'!$H$2:$H$790,C$4)</f>
        <v>0</v>
      </c>
      <c r="D57" s="13">
        <f>SUMIFS('Transaction Overview'!$D$2:$D$790,'Transaction Overview'!$I$2:$I$790,$A57,'Transaction Overview'!$H$2:$H$790,D$4)</f>
        <v>0</v>
      </c>
      <c r="E57" s="13">
        <f>SUMIFS('Transaction Overview'!$D$2:$D$790,'Transaction Overview'!$I$2:$I$790,$A57,'Transaction Overview'!$H$2:$H$790,E$4)</f>
        <v>0</v>
      </c>
      <c r="F57" s="13">
        <f>SUMIFS('Transaction Overview'!$D$2:$D$790,'Transaction Overview'!$I$2:$I$790,$A57,'Transaction Overview'!$H$2:$H$790,F$4)</f>
        <v>0</v>
      </c>
      <c r="G57" s="13">
        <f>SUMIFS('Transaction Overview'!$D$2:$D$790,'Transaction Overview'!$I$2:$I$790,$A57,'Transaction Overview'!$H$2:$H$790,G$4)</f>
        <v>0</v>
      </c>
      <c r="H57" s="13">
        <f>SUMIFS('Transaction Overview'!$D$2:$D$790,'Transaction Overview'!$I$2:$I$790,$A57,'Transaction Overview'!$H$2:$H$790,H$4)</f>
        <v>0</v>
      </c>
      <c r="I57" s="13">
        <f>SUMIFS('Transaction Overview'!$D$2:$D$790,'Transaction Overview'!$I$2:$I$790,$A57,'Transaction Overview'!$H$2:$H$790,I$4)</f>
        <v>0</v>
      </c>
      <c r="J57" s="13">
        <f>SUMIFS('Transaction Overview'!$D$2:$D$790,'Transaction Overview'!$I$2:$I$790,$A57,'Transaction Overview'!$H$2:$H$790,J$4)</f>
        <v>-5150</v>
      </c>
      <c r="K57" s="13">
        <f>SUMIFS('Transaction Overview'!$D$2:$D$790,'Transaction Overview'!$I$2:$I$790,$A57,'Transaction Overview'!$H$2:$H$790,K$4)</f>
        <v>0</v>
      </c>
      <c r="L57" s="13">
        <f>SUMIFS('Transaction Overview'!$D$2:$D$790,'Transaction Overview'!$I$2:$I$790,$A57,'Transaction Overview'!$H$2:$H$790,L$4)</f>
        <v>0</v>
      </c>
      <c r="M57" s="13">
        <f>SUMIFS('Transaction Overview'!$D$2:$D$790,'Transaction Overview'!$I$2:$I$790,$A57,'Transaction Overview'!$H$2:$H$790,M$4)</f>
        <v>-1300</v>
      </c>
      <c r="N57" s="13">
        <f>SUM(B57:M57)</f>
        <v>-6450</v>
      </c>
    </row>
    <row r="58" spans="1:14" x14ac:dyDescent="0.25">
      <c r="A58" s="8" t="s">
        <v>768</v>
      </c>
      <c r="B58" s="13">
        <f>SUMIFS('Transaction Overview'!$D$2:$D$790,'Transaction Overview'!$I$2:$I$790,$A58,'Transaction Overview'!$H$2:$H$790,B$4)</f>
        <v>0</v>
      </c>
      <c r="C58" s="13">
        <f>SUMIFS('Transaction Overview'!$D$2:$D$790,'Transaction Overview'!$I$2:$I$790,$A58,'Transaction Overview'!$H$2:$H$790,C$4)</f>
        <v>0</v>
      </c>
      <c r="D58" s="13">
        <f>SUMIFS('Transaction Overview'!$D$2:$D$790,'Transaction Overview'!$I$2:$I$790,$A58,'Transaction Overview'!$H$2:$H$790,D$4)</f>
        <v>-40000</v>
      </c>
      <c r="E58" s="13">
        <f>SUMIFS('Transaction Overview'!$D$2:$D$790,'Transaction Overview'!$I$2:$I$790,$A58,'Transaction Overview'!$H$2:$H$790,E$4)</f>
        <v>-30000</v>
      </c>
      <c r="F58" s="13">
        <f>SUMIFS('Transaction Overview'!$D$2:$D$790,'Transaction Overview'!$I$2:$I$790,$A58,'Transaction Overview'!$H$2:$H$790,F$4)</f>
        <v>0</v>
      </c>
      <c r="G58" s="13">
        <f>SUMIFS('Transaction Overview'!$D$2:$D$790,'Transaction Overview'!$I$2:$I$790,$A58,'Transaction Overview'!$H$2:$H$790,G$4)</f>
        <v>-20000</v>
      </c>
      <c r="H58" s="13">
        <f>SUMIFS('Transaction Overview'!$D$2:$D$790,'Transaction Overview'!$I$2:$I$790,$A58,'Transaction Overview'!$H$2:$H$790,H$4)</f>
        <v>-65000</v>
      </c>
      <c r="I58" s="13">
        <f>SUMIFS('Transaction Overview'!$D$2:$D$790,'Transaction Overview'!$I$2:$I$790,$A58,'Transaction Overview'!$H$2:$H$790,I$4)</f>
        <v>-20000</v>
      </c>
      <c r="J58" s="13">
        <f>SUMIFS('Transaction Overview'!$D$2:$D$790,'Transaction Overview'!$I$2:$I$790,$A58,'Transaction Overview'!$H$2:$H$790,J$4)</f>
        <v>-50000</v>
      </c>
      <c r="K58" s="13">
        <f>SUMIFS('Transaction Overview'!$D$2:$D$790,'Transaction Overview'!$I$2:$I$790,$A58,'Transaction Overview'!$H$2:$H$790,K$4)</f>
        <v>-10000</v>
      </c>
      <c r="L58" s="13">
        <f>SUMIFS('Transaction Overview'!$D$2:$D$790,'Transaction Overview'!$I$2:$I$790,$A58,'Transaction Overview'!$H$2:$H$790,L$4)</f>
        <v>-10000</v>
      </c>
      <c r="M58" s="13">
        <f>SUMIFS('Transaction Overview'!$D$2:$D$790,'Transaction Overview'!$I$2:$I$790,$A58,'Transaction Overview'!$H$2:$H$790,M$4)</f>
        <v>-26500</v>
      </c>
      <c r="N58" s="13">
        <f>SUM(B58:M58)</f>
        <v>-271500</v>
      </c>
    </row>
    <row r="59" spans="1:14" x14ac:dyDescent="0.25">
      <c r="A59" s="8" t="s">
        <v>787</v>
      </c>
      <c r="B59" s="13">
        <f>SUMIFS('Transaction Overview'!$D$2:$D$790,'Transaction Overview'!$I$2:$I$790,$A59,'Transaction Overview'!$H$2:$H$790,B$4)</f>
        <v>-50000</v>
      </c>
      <c r="C59" s="13">
        <f>SUMIFS('Transaction Overview'!$D$2:$D$790,'Transaction Overview'!$I$2:$I$790,$A59,'Transaction Overview'!$H$2:$H$790,C$4)</f>
        <v>0</v>
      </c>
      <c r="D59" s="13">
        <f>SUMIFS('Transaction Overview'!$D$2:$D$790,'Transaction Overview'!$I$2:$I$790,$A59,'Transaction Overview'!$H$2:$H$790,D$4)</f>
        <v>0</v>
      </c>
      <c r="E59" s="13">
        <f>SUMIFS('Transaction Overview'!$D$2:$D$790,'Transaction Overview'!$I$2:$I$790,$A59,'Transaction Overview'!$H$2:$H$790,E$4)</f>
        <v>0</v>
      </c>
      <c r="F59" s="13">
        <f>SUMIFS('Transaction Overview'!$D$2:$D$790,'Transaction Overview'!$I$2:$I$790,$A59,'Transaction Overview'!$H$2:$H$790,F$4)</f>
        <v>0</v>
      </c>
      <c r="G59" s="13">
        <f>SUMIFS('Transaction Overview'!$D$2:$D$790,'Transaction Overview'!$I$2:$I$790,$A59,'Transaction Overview'!$H$2:$H$790,G$4)</f>
        <v>0</v>
      </c>
      <c r="H59" s="13">
        <f>SUMIFS('Transaction Overview'!$D$2:$D$790,'Transaction Overview'!$I$2:$I$790,$A59,'Transaction Overview'!$H$2:$H$790,H$4)</f>
        <v>0</v>
      </c>
      <c r="I59" s="13">
        <f>SUMIFS('Transaction Overview'!$D$2:$D$790,'Transaction Overview'!$I$2:$I$790,$A59,'Transaction Overview'!$H$2:$H$790,I$4)</f>
        <v>0</v>
      </c>
      <c r="J59" s="13">
        <f>SUMIFS('Transaction Overview'!$D$2:$D$790,'Transaction Overview'!$I$2:$I$790,$A59,'Transaction Overview'!$H$2:$H$790,J$4)</f>
        <v>0</v>
      </c>
      <c r="K59" s="13">
        <f>SUMIFS('Transaction Overview'!$D$2:$D$790,'Transaction Overview'!$I$2:$I$790,$A59,'Transaction Overview'!$H$2:$H$790,K$4)</f>
        <v>0</v>
      </c>
      <c r="L59" s="13">
        <f>SUMIFS('Transaction Overview'!$D$2:$D$790,'Transaction Overview'!$I$2:$I$790,$A59,'Transaction Overview'!$H$2:$H$790,L$4)</f>
        <v>0</v>
      </c>
      <c r="M59" s="13">
        <f>SUMIFS('Transaction Overview'!$D$2:$D$790,'Transaction Overview'!$I$2:$I$790,$A59,'Transaction Overview'!$H$2:$H$790,M$4)</f>
        <v>0</v>
      </c>
      <c r="N59" s="13">
        <f>SUM(B59:M59)</f>
        <v>-50000</v>
      </c>
    </row>
    <row r="60" spans="1:14" x14ac:dyDescent="0.25">
      <c r="A60" s="8" t="s">
        <v>800</v>
      </c>
      <c r="B60" s="13">
        <f>SUMIFS('Transaction Overview'!$D$2:$D$790,'Transaction Overview'!$I$2:$I$790,$A60,'Transaction Overview'!$H$2:$H$790,B$4)</f>
        <v>0</v>
      </c>
      <c r="C60" s="13">
        <f>SUMIFS('Transaction Overview'!$D$2:$D$790,'Transaction Overview'!$I$2:$I$790,$A60,'Transaction Overview'!$H$2:$H$790,C$4)</f>
        <v>0</v>
      </c>
      <c r="D60" s="13">
        <f>SUMIFS('Transaction Overview'!$D$2:$D$790,'Transaction Overview'!$I$2:$I$790,$A60,'Transaction Overview'!$H$2:$H$790,D$4)</f>
        <v>0</v>
      </c>
      <c r="E60" s="13">
        <f>SUMIFS('Transaction Overview'!$D$2:$D$790,'Transaction Overview'!$I$2:$I$790,$A60,'Transaction Overview'!$H$2:$H$790,E$4)</f>
        <v>0</v>
      </c>
      <c r="F60" s="13">
        <f>SUMIFS('Transaction Overview'!$D$2:$D$790,'Transaction Overview'!$I$2:$I$790,$A60,'Transaction Overview'!$H$2:$H$790,F$4)</f>
        <v>-17500</v>
      </c>
      <c r="G60" s="13">
        <f>SUMIFS('Transaction Overview'!$D$2:$D$790,'Transaction Overview'!$I$2:$I$790,$A60,'Transaction Overview'!$H$2:$H$790,G$4)</f>
        <v>0</v>
      </c>
      <c r="H60" s="13">
        <f>SUMIFS('Transaction Overview'!$D$2:$D$790,'Transaction Overview'!$I$2:$I$790,$A60,'Transaction Overview'!$H$2:$H$790,H$4)</f>
        <v>0</v>
      </c>
      <c r="I60" s="13">
        <f>SUMIFS('Transaction Overview'!$D$2:$D$790,'Transaction Overview'!$I$2:$I$790,$A60,'Transaction Overview'!$H$2:$H$790,I$4)</f>
        <v>0</v>
      </c>
      <c r="J60" s="13">
        <f>SUMIFS('Transaction Overview'!$D$2:$D$790,'Transaction Overview'!$I$2:$I$790,$A60,'Transaction Overview'!$H$2:$H$790,J$4)</f>
        <v>-418.73</v>
      </c>
      <c r="K60" s="13">
        <f>SUMIFS('Transaction Overview'!$D$2:$D$790,'Transaction Overview'!$I$2:$I$790,$A60,'Transaction Overview'!$H$2:$H$790,K$4)</f>
        <v>0</v>
      </c>
      <c r="L60" s="13">
        <f>SUMIFS('Transaction Overview'!$D$2:$D$790,'Transaction Overview'!$I$2:$I$790,$A60,'Transaction Overview'!$H$2:$H$790,L$4)</f>
        <v>-5000</v>
      </c>
      <c r="M60" s="13">
        <f>SUMIFS('Transaction Overview'!$D$2:$D$790,'Transaction Overview'!$I$2:$I$790,$A60,'Transaction Overview'!$H$2:$H$790,M$4)</f>
        <v>-28000</v>
      </c>
      <c r="N60" s="13">
        <f>SUM(B60:M60)</f>
        <v>-50918.729999999996</v>
      </c>
    </row>
    <row r="61" spans="1:14" x14ac:dyDescent="0.25">
      <c r="A61" s="8" t="s">
        <v>764</v>
      </c>
      <c r="B61" s="13">
        <f>SUMIFS('Transaction Overview'!$D$2:$D$790,'Transaction Overview'!$I$2:$I$790,$A61,'Transaction Overview'!$H$2:$H$790,B$4)</f>
        <v>0</v>
      </c>
      <c r="C61" s="13">
        <f>SUMIFS('Transaction Overview'!$D$2:$D$790,'Transaction Overview'!$I$2:$I$790,$A61,'Transaction Overview'!$H$2:$H$790,C$4)</f>
        <v>0</v>
      </c>
      <c r="D61" s="13">
        <f>SUMIFS('Transaction Overview'!$D$2:$D$790,'Transaction Overview'!$I$2:$I$790,$A61,'Transaction Overview'!$H$2:$H$790,D$4)</f>
        <v>0</v>
      </c>
      <c r="E61" s="13">
        <f>SUMIFS('Transaction Overview'!$D$2:$D$790,'Transaction Overview'!$I$2:$I$790,$A61,'Transaction Overview'!$H$2:$H$790,E$4)</f>
        <v>0</v>
      </c>
      <c r="F61" s="13">
        <f>SUMIFS('Transaction Overview'!$D$2:$D$790,'Transaction Overview'!$I$2:$I$790,$A61,'Transaction Overview'!$H$2:$H$790,F$4)</f>
        <v>0</v>
      </c>
      <c r="G61" s="13">
        <f>SUMIFS('Transaction Overview'!$D$2:$D$790,'Transaction Overview'!$I$2:$I$790,$A61,'Transaction Overview'!$H$2:$H$790,G$4)</f>
        <v>0</v>
      </c>
      <c r="H61" s="13">
        <f>SUMIFS('Transaction Overview'!$D$2:$D$790,'Transaction Overview'!$I$2:$I$790,$A61,'Transaction Overview'!$H$2:$H$790,H$4)</f>
        <v>-10000</v>
      </c>
      <c r="I61" s="13">
        <f>SUMIFS('Transaction Overview'!$D$2:$D$790,'Transaction Overview'!$I$2:$I$790,$A61,'Transaction Overview'!$H$2:$H$790,I$4)</f>
        <v>0</v>
      </c>
      <c r="J61" s="13">
        <f>SUMIFS('Transaction Overview'!$D$2:$D$790,'Transaction Overview'!$I$2:$I$790,$A61,'Transaction Overview'!$H$2:$H$790,J$4)</f>
        <v>0</v>
      </c>
      <c r="K61" s="13">
        <f>SUMIFS('Transaction Overview'!$D$2:$D$790,'Transaction Overview'!$I$2:$I$790,$A61,'Transaction Overview'!$H$2:$H$790,K$4)</f>
        <v>0</v>
      </c>
      <c r="L61" s="13">
        <f>SUMIFS('Transaction Overview'!$D$2:$D$790,'Transaction Overview'!$I$2:$I$790,$A61,'Transaction Overview'!$H$2:$H$790,L$4)</f>
        <v>0</v>
      </c>
      <c r="M61" s="13">
        <f>SUMIFS('Transaction Overview'!$D$2:$D$790,'Transaction Overview'!$I$2:$I$790,$A61,'Transaction Overview'!$H$2:$H$790,M$4)</f>
        <v>-47349</v>
      </c>
      <c r="N61" s="13">
        <f>SUM(B61:M61)</f>
        <v>-57349</v>
      </c>
    </row>
    <row r="62" spans="1:14" x14ac:dyDescent="0.25">
      <c r="A62" s="8" t="s">
        <v>819</v>
      </c>
      <c r="B62" s="13">
        <f>SUMIFS('Transaction Overview'!$D$2:$D$790,'Transaction Overview'!$I$2:$I$790,$A62,'Transaction Overview'!$H$2:$H$790,B$4)</f>
        <v>0</v>
      </c>
      <c r="C62" s="13">
        <f>SUMIFS('Transaction Overview'!$D$2:$D$790,'Transaction Overview'!$I$2:$I$790,$A62,'Transaction Overview'!$H$2:$H$790,C$4)</f>
        <v>0</v>
      </c>
      <c r="D62" s="13">
        <f>SUMIFS('Transaction Overview'!$D$2:$D$790,'Transaction Overview'!$I$2:$I$790,$A62,'Transaction Overview'!$H$2:$H$790,D$4)</f>
        <v>0</v>
      </c>
      <c r="E62" s="13">
        <f>SUMIFS('Transaction Overview'!$D$2:$D$790,'Transaction Overview'!$I$2:$I$790,$A62,'Transaction Overview'!$H$2:$H$790,E$4)</f>
        <v>0</v>
      </c>
      <c r="F62" s="13">
        <f>SUMIFS('Transaction Overview'!$D$2:$D$790,'Transaction Overview'!$I$2:$I$790,$A62,'Transaction Overview'!$H$2:$H$790,F$4)</f>
        <v>0</v>
      </c>
      <c r="G62" s="13">
        <f>SUMIFS('Transaction Overview'!$D$2:$D$790,'Transaction Overview'!$I$2:$I$790,$A62,'Transaction Overview'!$H$2:$H$790,G$4)</f>
        <v>0</v>
      </c>
      <c r="H62" s="13">
        <f>SUMIFS('Transaction Overview'!$D$2:$D$790,'Transaction Overview'!$I$2:$I$790,$A62,'Transaction Overview'!$H$2:$H$790,H$4)</f>
        <v>0</v>
      </c>
      <c r="I62" s="13">
        <f>SUMIFS('Transaction Overview'!$D$2:$D$790,'Transaction Overview'!$I$2:$I$790,$A62,'Transaction Overview'!$H$2:$H$790,I$4)</f>
        <v>0</v>
      </c>
      <c r="J62" s="13">
        <f>SUMIFS('Transaction Overview'!$D$2:$D$790,'Transaction Overview'!$I$2:$I$790,$A62,'Transaction Overview'!$H$2:$H$790,J$4)</f>
        <v>-12800</v>
      </c>
      <c r="K62" s="13">
        <f>SUMIFS('Transaction Overview'!$D$2:$D$790,'Transaction Overview'!$I$2:$I$790,$A62,'Transaction Overview'!$H$2:$H$790,K$4)</f>
        <v>0</v>
      </c>
      <c r="L62" s="13">
        <f>SUMIFS('Transaction Overview'!$D$2:$D$790,'Transaction Overview'!$I$2:$I$790,$A62,'Transaction Overview'!$H$2:$H$790,L$4)</f>
        <v>0</v>
      </c>
      <c r="M62" s="13">
        <f>SUMIFS('Transaction Overview'!$D$2:$D$790,'Transaction Overview'!$I$2:$I$790,$A62,'Transaction Overview'!$H$2:$H$790,M$4)</f>
        <v>0</v>
      </c>
      <c r="N62" s="13">
        <f>SUM(B62:M62)</f>
        <v>-12800</v>
      </c>
    </row>
    <row r="63" spans="1:14" x14ac:dyDescent="0.25">
      <c r="A63" s="8" t="s">
        <v>840</v>
      </c>
      <c r="B63" s="13">
        <f>SUMIFS('Transaction Overview'!$D$2:$D$790,'Transaction Overview'!$I$2:$I$790,$A63,'Transaction Overview'!$H$2:$H$790,B$4)</f>
        <v>0</v>
      </c>
      <c r="C63" s="13">
        <f>SUMIFS('Transaction Overview'!$D$2:$D$790,'Transaction Overview'!$I$2:$I$790,$A63,'Transaction Overview'!$H$2:$H$790,C$4)</f>
        <v>0</v>
      </c>
      <c r="D63" s="13">
        <f>SUMIFS('Transaction Overview'!$D$2:$D$790,'Transaction Overview'!$I$2:$I$790,$A63,'Transaction Overview'!$H$2:$H$790,D$4)</f>
        <v>0</v>
      </c>
      <c r="E63" s="13">
        <f>SUMIFS('Transaction Overview'!$D$2:$D$790,'Transaction Overview'!$I$2:$I$790,$A63,'Transaction Overview'!$H$2:$H$790,E$4)</f>
        <v>0</v>
      </c>
      <c r="F63" s="13">
        <f>SUMIFS('Transaction Overview'!$D$2:$D$790,'Transaction Overview'!$I$2:$I$790,$A63,'Transaction Overview'!$H$2:$H$790,F$4)</f>
        <v>0</v>
      </c>
      <c r="G63" s="13">
        <f>SUMIFS('Transaction Overview'!$D$2:$D$790,'Transaction Overview'!$I$2:$I$790,$A63,'Transaction Overview'!$H$2:$H$790,G$4)</f>
        <v>0</v>
      </c>
      <c r="H63" s="13">
        <f>SUMIFS('Transaction Overview'!$D$2:$D$790,'Transaction Overview'!$I$2:$I$790,$A63,'Transaction Overview'!$H$2:$H$790,H$4)</f>
        <v>0</v>
      </c>
      <c r="I63" s="13">
        <f>SUMIFS('Transaction Overview'!$D$2:$D$790,'Transaction Overview'!$I$2:$I$790,$A63,'Transaction Overview'!$H$2:$H$790,I$4)</f>
        <v>0</v>
      </c>
      <c r="J63" s="13">
        <f>SUMIFS('Transaction Overview'!$D$2:$D$790,'Transaction Overview'!$I$2:$I$790,$A63,'Transaction Overview'!$H$2:$H$790,J$4)</f>
        <v>0</v>
      </c>
      <c r="K63" s="13">
        <f>SUMIFS('Transaction Overview'!$D$2:$D$790,'Transaction Overview'!$I$2:$I$790,$A63,'Transaction Overview'!$H$2:$H$790,K$4)</f>
        <v>0</v>
      </c>
      <c r="L63" s="13">
        <f>SUMIFS('Transaction Overview'!$D$2:$D$790,'Transaction Overview'!$I$2:$I$790,$A63,'Transaction Overview'!$H$2:$H$790,L$4)</f>
        <v>0</v>
      </c>
      <c r="M63" s="13">
        <f>SUMIFS('Transaction Overview'!$D$2:$D$790,'Transaction Overview'!$I$2:$I$790,$A63,'Transaction Overview'!$H$2:$H$790,M$4)</f>
        <v>-17000</v>
      </c>
      <c r="N63" s="13">
        <f>SUM(B63:M63)</f>
        <v>-17000</v>
      </c>
    </row>
    <row r="64" spans="1:14" x14ac:dyDescent="0.25">
      <c r="A64" s="8" t="s">
        <v>820</v>
      </c>
      <c r="B64" s="13">
        <f>SUMIFS('Transaction Overview'!$D$2:$D$790,'Transaction Overview'!$I$2:$I$790,$A64,'Transaction Overview'!$H$2:$H$790,B$4)</f>
        <v>0</v>
      </c>
      <c r="C64" s="13">
        <f>SUMIFS('Transaction Overview'!$D$2:$D$790,'Transaction Overview'!$I$2:$I$790,$A64,'Transaction Overview'!$H$2:$H$790,C$4)</f>
        <v>0</v>
      </c>
      <c r="D64" s="13">
        <f>SUMIFS('Transaction Overview'!$D$2:$D$790,'Transaction Overview'!$I$2:$I$790,$A64,'Transaction Overview'!$H$2:$H$790,D$4)</f>
        <v>0</v>
      </c>
      <c r="E64" s="13">
        <f>SUMIFS('Transaction Overview'!$D$2:$D$790,'Transaction Overview'!$I$2:$I$790,$A64,'Transaction Overview'!$H$2:$H$790,E$4)</f>
        <v>0</v>
      </c>
      <c r="F64" s="13">
        <f>SUMIFS('Transaction Overview'!$D$2:$D$790,'Transaction Overview'!$I$2:$I$790,$A64,'Transaction Overview'!$H$2:$H$790,F$4)</f>
        <v>0</v>
      </c>
      <c r="G64" s="13">
        <f>SUMIFS('Transaction Overview'!$D$2:$D$790,'Transaction Overview'!$I$2:$I$790,$A64,'Transaction Overview'!$H$2:$H$790,G$4)</f>
        <v>0</v>
      </c>
      <c r="H64" s="13">
        <f>SUMIFS('Transaction Overview'!$D$2:$D$790,'Transaction Overview'!$I$2:$I$790,$A64,'Transaction Overview'!$H$2:$H$790,H$4)</f>
        <v>0</v>
      </c>
      <c r="I64" s="13">
        <f>SUMIFS('Transaction Overview'!$D$2:$D$790,'Transaction Overview'!$I$2:$I$790,$A64,'Transaction Overview'!$H$2:$H$790,I$4)</f>
        <v>0</v>
      </c>
      <c r="J64" s="13">
        <f>SUMIFS('Transaction Overview'!$D$2:$D$790,'Transaction Overview'!$I$2:$I$790,$A64,'Transaction Overview'!$H$2:$H$790,J$4)</f>
        <v>0</v>
      </c>
      <c r="K64" s="13">
        <f>SUMIFS('Transaction Overview'!$D$2:$D$790,'Transaction Overview'!$I$2:$I$790,$A64,'Transaction Overview'!$H$2:$H$790,K$4)</f>
        <v>25000</v>
      </c>
      <c r="L64" s="13">
        <f>SUMIFS('Transaction Overview'!$D$2:$D$790,'Transaction Overview'!$I$2:$I$790,$A64,'Transaction Overview'!$H$2:$H$790,L$4)</f>
        <v>0</v>
      </c>
      <c r="M64" s="13">
        <f>SUMIFS('Transaction Overview'!$D$2:$D$790,'Transaction Overview'!$I$2:$I$790,$A64,'Transaction Overview'!$H$2:$H$790,M$4)</f>
        <v>0</v>
      </c>
      <c r="N64" s="13">
        <f>SUM(B64:M64)</f>
        <v>25000</v>
      </c>
    </row>
    <row r="65" spans="1:14" x14ac:dyDescent="0.25">
      <c r="A65" s="8" t="s">
        <v>803</v>
      </c>
      <c r="B65" s="13">
        <f>SUMIFS('Transaction Overview'!$D$2:$D$790,'Transaction Overview'!$I$2:$I$790,$A65,'Transaction Overview'!$H$2:$H$790,B$4)</f>
        <v>0</v>
      </c>
      <c r="C65" s="13">
        <f>SUMIFS('Transaction Overview'!$D$2:$D$790,'Transaction Overview'!$I$2:$I$790,$A65,'Transaction Overview'!$H$2:$H$790,C$4)</f>
        <v>0</v>
      </c>
      <c r="D65" s="13">
        <f>SUMIFS('Transaction Overview'!$D$2:$D$790,'Transaction Overview'!$I$2:$I$790,$A65,'Transaction Overview'!$H$2:$H$790,D$4)</f>
        <v>0</v>
      </c>
      <c r="E65" s="13">
        <f>SUMIFS('Transaction Overview'!$D$2:$D$790,'Transaction Overview'!$I$2:$I$790,$A65,'Transaction Overview'!$H$2:$H$790,E$4)</f>
        <v>0</v>
      </c>
      <c r="F65" s="13">
        <f>SUMIFS('Transaction Overview'!$D$2:$D$790,'Transaction Overview'!$I$2:$I$790,$A65,'Transaction Overview'!$H$2:$H$790,F$4)</f>
        <v>0</v>
      </c>
      <c r="G65" s="13">
        <f>SUMIFS('Transaction Overview'!$D$2:$D$790,'Transaction Overview'!$I$2:$I$790,$A65,'Transaction Overview'!$H$2:$H$790,G$4)</f>
        <v>-20000</v>
      </c>
      <c r="H65" s="13">
        <f>SUMIFS('Transaction Overview'!$D$2:$D$790,'Transaction Overview'!$I$2:$I$790,$A65,'Transaction Overview'!$H$2:$H$790,H$4)</f>
        <v>0</v>
      </c>
      <c r="I65" s="13">
        <f>SUMIFS('Transaction Overview'!$D$2:$D$790,'Transaction Overview'!$I$2:$I$790,$A65,'Transaction Overview'!$H$2:$H$790,I$4)</f>
        <v>0</v>
      </c>
      <c r="J65" s="13">
        <f>SUMIFS('Transaction Overview'!$D$2:$D$790,'Transaction Overview'!$I$2:$I$790,$A65,'Transaction Overview'!$H$2:$H$790,J$4)</f>
        <v>0</v>
      </c>
      <c r="K65" s="13">
        <f>SUMIFS('Transaction Overview'!$D$2:$D$790,'Transaction Overview'!$I$2:$I$790,$A65,'Transaction Overview'!$H$2:$H$790,K$4)</f>
        <v>0</v>
      </c>
      <c r="L65" s="13">
        <f>SUMIFS('Transaction Overview'!$D$2:$D$790,'Transaction Overview'!$I$2:$I$790,$A65,'Transaction Overview'!$H$2:$H$790,L$4)</f>
        <v>0</v>
      </c>
      <c r="M65" s="13">
        <f>SUMIFS('Transaction Overview'!$D$2:$D$790,'Transaction Overview'!$I$2:$I$790,$A65,'Transaction Overview'!$H$2:$H$790,M$4)</f>
        <v>0</v>
      </c>
      <c r="N65" s="13">
        <f>SUM(B65:M65)</f>
        <v>-20000</v>
      </c>
    </row>
    <row r="66" spans="1:14" x14ac:dyDescent="0.25">
      <c r="A66" s="21" t="s">
        <v>883</v>
      </c>
      <c r="B66" s="22">
        <f>SUMIFS('Transaction Overview'!$D$2:$D$790,'Transaction Overview'!$J$2:$J$790,"Intercompany &amp; Savings Transfers",'Transaction Overview'!$H$2:$H$790,B$4)</f>
        <v>-80000</v>
      </c>
      <c r="C66" s="22">
        <f>SUMIFS('Transaction Overview'!$D$2:$D$790,'Transaction Overview'!$J$2:$J$790,"Intercompany &amp; Savings Transfers",'Transaction Overview'!$H$2:$H$790,C$4)</f>
        <v>-50000</v>
      </c>
      <c r="D66" s="22">
        <f>SUMIFS('Transaction Overview'!$D$2:$D$790,'Transaction Overview'!$J$2:$J$790,"Intercompany &amp; Savings Transfers",'Transaction Overview'!$H$2:$H$790,D$4)</f>
        <v>-145000</v>
      </c>
      <c r="E66" s="22">
        <f>SUMIFS('Transaction Overview'!$D$2:$D$790,'Transaction Overview'!$J$2:$J$790,"Intercompany &amp; Savings Transfers",'Transaction Overview'!$H$2:$H$790,E$4)</f>
        <v>-10000</v>
      </c>
      <c r="F66" s="22">
        <f>SUMIFS('Transaction Overview'!$D$2:$D$790,'Transaction Overview'!$J$2:$J$790,"Intercompany &amp; Savings Transfers",'Transaction Overview'!$H$2:$H$790,F$4)</f>
        <v>-40000</v>
      </c>
      <c r="G66" s="22">
        <f>SUMIFS('Transaction Overview'!$D$2:$D$790,'Transaction Overview'!$J$2:$J$790,"Intercompany &amp; Savings Transfers",'Transaction Overview'!$H$2:$H$790,G$4)</f>
        <v>-103000</v>
      </c>
      <c r="H66" s="22">
        <f>SUMIFS('Transaction Overview'!$D$2:$D$790,'Transaction Overview'!$J$2:$J$790,"Intercompany &amp; Savings Transfers",'Transaction Overview'!$H$2:$H$790,H$4)</f>
        <v>-55000</v>
      </c>
      <c r="I66" s="22">
        <f>SUMIFS('Transaction Overview'!$D$2:$D$790,'Transaction Overview'!$J$2:$J$790,"Intercompany &amp; Savings Transfers",'Transaction Overview'!$H$2:$H$790,I$4)</f>
        <v>-50000</v>
      </c>
      <c r="J66" s="22">
        <f>SUMIFS('Transaction Overview'!$D$2:$D$790,'Transaction Overview'!$J$2:$J$790,"Intercompany &amp; Savings Transfers",'Transaction Overview'!$H$2:$H$790,J$4)</f>
        <v>-68368.73000000001</v>
      </c>
      <c r="K66" s="22">
        <f>SUMIFS('Transaction Overview'!$D$2:$D$790,'Transaction Overview'!$J$2:$J$790,"Intercompany &amp; Savings Transfers",'Transaction Overview'!$H$2:$H$790,K$4)</f>
        <v>-57200</v>
      </c>
      <c r="L66" s="22">
        <f>SUMIFS('Transaction Overview'!$D$2:$D$790,'Transaction Overview'!$J$2:$J$790,"Intercompany &amp; Savings Transfers",'Transaction Overview'!$H$2:$H$790,L$4)</f>
        <v>190000</v>
      </c>
      <c r="M66" s="22">
        <f>SUMIFS('Transaction Overview'!$D$2:$D$790,'Transaction Overview'!$J$2:$J$790,"Intercompany &amp; Savings Transfers",'Transaction Overview'!$H$2:$H$790,M$4)</f>
        <v>43201</v>
      </c>
      <c r="N66" s="22">
        <f>SUM(B66:M66)</f>
        <v>-425367.73</v>
      </c>
    </row>
    <row r="67" spans="1:14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x14ac:dyDescent="0.25">
      <c r="A68" s="18" t="s">
        <v>857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</row>
    <row r="69" spans="1:14" x14ac:dyDescent="0.25">
      <c r="A69" s="8" t="s">
        <v>785</v>
      </c>
      <c r="B69" s="13">
        <f>SUMIFS('Transaction Overview'!$D$2:$D$790,'Transaction Overview'!$I$2:$I$790,$A69,'Transaction Overview'!$H$2:$H$790,B$4)</f>
        <v>0</v>
      </c>
      <c r="C69" s="13">
        <f>SUMIFS('Transaction Overview'!$D$2:$D$790,'Transaction Overview'!$I$2:$I$790,$A69,'Transaction Overview'!$H$2:$H$790,C$4)</f>
        <v>0</v>
      </c>
      <c r="D69" s="13">
        <f>SUMIFS('Transaction Overview'!$D$2:$D$790,'Transaction Overview'!$I$2:$I$790,$A69,'Transaction Overview'!$H$2:$H$790,D$4)</f>
        <v>0</v>
      </c>
      <c r="E69" s="13">
        <f>SUMIFS('Transaction Overview'!$D$2:$D$790,'Transaction Overview'!$I$2:$I$790,$A69,'Transaction Overview'!$H$2:$H$790,E$4)</f>
        <v>0</v>
      </c>
      <c r="F69" s="13">
        <f>SUMIFS('Transaction Overview'!$D$2:$D$790,'Transaction Overview'!$I$2:$I$790,$A69,'Transaction Overview'!$H$2:$H$790,F$4)</f>
        <v>-1000</v>
      </c>
      <c r="G69" s="13">
        <f>SUMIFS('Transaction Overview'!$D$2:$D$790,'Transaction Overview'!$I$2:$I$790,$A69,'Transaction Overview'!$H$2:$H$790,G$4)</f>
        <v>0</v>
      </c>
      <c r="H69" s="13">
        <f>SUMIFS('Transaction Overview'!$D$2:$D$790,'Transaction Overview'!$I$2:$I$790,$A69,'Transaction Overview'!$H$2:$H$790,H$4)</f>
        <v>0</v>
      </c>
      <c r="I69" s="13">
        <f>SUMIFS('Transaction Overview'!$D$2:$D$790,'Transaction Overview'!$I$2:$I$790,$A69,'Transaction Overview'!$H$2:$H$790,I$4)</f>
        <v>0</v>
      </c>
      <c r="J69" s="13">
        <f>SUMIFS('Transaction Overview'!$D$2:$D$790,'Transaction Overview'!$I$2:$I$790,$A69,'Transaction Overview'!$H$2:$H$790,J$4)</f>
        <v>0</v>
      </c>
      <c r="K69" s="13">
        <f>SUMIFS('Transaction Overview'!$D$2:$D$790,'Transaction Overview'!$I$2:$I$790,$A69,'Transaction Overview'!$H$2:$H$790,K$4)</f>
        <v>0</v>
      </c>
      <c r="L69" s="13">
        <f>SUMIFS('Transaction Overview'!$D$2:$D$790,'Transaction Overview'!$I$2:$I$790,$A69,'Transaction Overview'!$H$2:$H$790,L$4)</f>
        <v>0</v>
      </c>
      <c r="M69" s="13">
        <f>SUMIFS('Transaction Overview'!$D$2:$D$790,'Transaction Overview'!$I$2:$I$790,$A69,'Transaction Overview'!$H$2:$H$790,M$4)</f>
        <v>0</v>
      </c>
      <c r="N69" s="13">
        <f>SUM(B69:M69)</f>
        <v>-1000</v>
      </c>
    </row>
    <row r="70" spans="1:14" x14ac:dyDescent="0.25">
      <c r="A70" s="8" t="s">
        <v>818</v>
      </c>
      <c r="B70" s="13">
        <f>SUMIFS('Transaction Overview'!$D$2:$D$790,'Transaction Overview'!$I$2:$I$790,$A70,'Transaction Overview'!$H$2:$H$790,B$4)</f>
        <v>0</v>
      </c>
      <c r="C70" s="13">
        <f>SUMIFS('Transaction Overview'!$D$2:$D$790,'Transaction Overview'!$I$2:$I$790,$A70,'Transaction Overview'!$H$2:$H$790,C$4)</f>
        <v>0</v>
      </c>
      <c r="D70" s="13">
        <f>SUMIFS('Transaction Overview'!$D$2:$D$790,'Transaction Overview'!$I$2:$I$790,$A70,'Transaction Overview'!$H$2:$H$790,D$4)</f>
        <v>0</v>
      </c>
      <c r="E70" s="13">
        <f>SUMIFS('Transaction Overview'!$D$2:$D$790,'Transaction Overview'!$I$2:$I$790,$A70,'Transaction Overview'!$H$2:$H$790,E$4)</f>
        <v>0</v>
      </c>
      <c r="F70" s="13">
        <f>SUMIFS('Transaction Overview'!$D$2:$D$790,'Transaction Overview'!$I$2:$I$790,$A70,'Transaction Overview'!$H$2:$H$790,F$4)</f>
        <v>0</v>
      </c>
      <c r="G70" s="13">
        <f>SUMIFS('Transaction Overview'!$D$2:$D$790,'Transaction Overview'!$I$2:$I$790,$A70,'Transaction Overview'!$H$2:$H$790,G$4)</f>
        <v>0</v>
      </c>
      <c r="H70" s="13">
        <f>SUMIFS('Transaction Overview'!$D$2:$D$790,'Transaction Overview'!$I$2:$I$790,$A70,'Transaction Overview'!$H$2:$H$790,H$4)</f>
        <v>0</v>
      </c>
      <c r="I70" s="13">
        <f>SUMIFS('Transaction Overview'!$D$2:$D$790,'Transaction Overview'!$I$2:$I$790,$A70,'Transaction Overview'!$H$2:$H$790,I$4)</f>
        <v>0</v>
      </c>
      <c r="J70" s="13">
        <f>SUMIFS('Transaction Overview'!$D$2:$D$790,'Transaction Overview'!$I$2:$I$790,$A70,'Transaction Overview'!$H$2:$H$790,J$4)</f>
        <v>-500</v>
      </c>
      <c r="K70" s="13">
        <f>SUMIFS('Transaction Overview'!$D$2:$D$790,'Transaction Overview'!$I$2:$I$790,$A70,'Transaction Overview'!$H$2:$H$790,K$4)</f>
        <v>0</v>
      </c>
      <c r="L70" s="13">
        <f>SUMIFS('Transaction Overview'!$D$2:$D$790,'Transaction Overview'!$I$2:$I$790,$A70,'Transaction Overview'!$H$2:$H$790,L$4)</f>
        <v>0</v>
      </c>
      <c r="M70" s="13">
        <f>SUMIFS('Transaction Overview'!$D$2:$D$790,'Transaction Overview'!$I$2:$I$790,$A70,'Transaction Overview'!$H$2:$H$790,M$4)</f>
        <v>0</v>
      </c>
      <c r="N70" s="13">
        <f>SUM(B70:M70)</f>
        <v>-500</v>
      </c>
    </row>
    <row r="71" spans="1:14" x14ac:dyDescent="0.25">
      <c r="A71" s="21" t="s">
        <v>884</v>
      </c>
      <c r="B71" s="22">
        <f>SUMIFS('Transaction Overview'!$D$2:$D$790,'Transaction Overview'!$J$2:$J$790,"Owner / Family Distributions",'Transaction Overview'!$H$2:$H$790,B$4)</f>
        <v>0</v>
      </c>
      <c r="C71" s="22">
        <f>SUMIFS('Transaction Overview'!$D$2:$D$790,'Transaction Overview'!$J$2:$J$790,"Owner / Family Distributions",'Transaction Overview'!$H$2:$H$790,C$4)</f>
        <v>0</v>
      </c>
      <c r="D71" s="22">
        <f>SUMIFS('Transaction Overview'!$D$2:$D$790,'Transaction Overview'!$J$2:$J$790,"Owner / Family Distributions",'Transaction Overview'!$H$2:$H$790,D$4)</f>
        <v>0</v>
      </c>
      <c r="E71" s="22">
        <f>SUMIFS('Transaction Overview'!$D$2:$D$790,'Transaction Overview'!$J$2:$J$790,"Owner / Family Distributions",'Transaction Overview'!$H$2:$H$790,E$4)</f>
        <v>0</v>
      </c>
      <c r="F71" s="22">
        <f>SUMIFS('Transaction Overview'!$D$2:$D$790,'Transaction Overview'!$J$2:$J$790,"Owner / Family Distributions",'Transaction Overview'!$H$2:$H$790,F$4)</f>
        <v>-1000</v>
      </c>
      <c r="G71" s="22">
        <f>SUMIFS('Transaction Overview'!$D$2:$D$790,'Transaction Overview'!$J$2:$J$790,"Owner / Family Distributions",'Transaction Overview'!$H$2:$H$790,G$4)</f>
        <v>0</v>
      </c>
      <c r="H71" s="22">
        <f>SUMIFS('Transaction Overview'!$D$2:$D$790,'Transaction Overview'!$J$2:$J$790,"Owner / Family Distributions",'Transaction Overview'!$H$2:$H$790,H$4)</f>
        <v>0</v>
      </c>
      <c r="I71" s="22">
        <f>SUMIFS('Transaction Overview'!$D$2:$D$790,'Transaction Overview'!$J$2:$J$790,"Owner / Family Distributions",'Transaction Overview'!$H$2:$H$790,I$4)</f>
        <v>0</v>
      </c>
      <c r="J71" s="22">
        <f>SUMIFS('Transaction Overview'!$D$2:$D$790,'Transaction Overview'!$J$2:$J$790,"Owner / Family Distributions",'Transaction Overview'!$H$2:$H$790,J$4)</f>
        <v>-500</v>
      </c>
      <c r="K71" s="22">
        <f>SUMIFS('Transaction Overview'!$D$2:$D$790,'Transaction Overview'!$J$2:$J$790,"Owner / Family Distributions",'Transaction Overview'!$H$2:$H$790,K$4)</f>
        <v>0</v>
      </c>
      <c r="L71" s="22">
        <f>SUMIFS('Transaction Overview'!$D$2:$D$790,'Transaction Overview'!$J$2:$J$790,"Owner / Family Distributions",'Transaction Overview'!$H$2:$H$790,L$4)</f>
        <v>0</v>
      </c>
      <c r="M71" s="22">
        <f>SUMIFS('Transaction Overview'!$D$2:$D$790,'Transaction Overview'!$J$2:$J$790,"Owner / Family Distributions",'Transaction Overview'!$H$2:$H$790,M$4)</f>
        <v>0</v>
      </c>
      <c r="N71" s="22">
        <f>SUM(B71:M71)</f>
        <v>-1500</v>
      </c>
    </row>
    <row r="72" spans="1:14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25">
      <c r="A73" s="18" t="s">
        <v>847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</row>
    <row r="74" spans="1:14" x14ac:dyDescent="0.25">
      <c r="A74" s="8" t="s">
        <v>779</v>
      </c>
      <c r="B74" s="13">
        <f>SUMIFS('Transaction Overview'!$D$2:$D$790,'Transaction Overview'!$I$2:$I$790,$A74,'Transaction Overview'!$H$2:$H$790,B$4)</f>
        <v>0</v>
      </c>
      <c r="C74" s="13">
        <f>SUMIFS('Transaction Overview'!$D$2:$D$790,'Transaction Overview'!$I$2:$I$790,$A74,'Transaction Overview'!$H$2:$H$790,C$4)</f>
        <v>0</v>
      </c>
      <c r="D74" s="13">
        <f>SUMIFS('Transaction Overview'!$D$2:$D$790,'Transaction Overview'!$I$2:$I$790,$A74,'Transaction Overview'!$H$2:$H$790,D$4)</f>
        <v>-100</v>
      </c>
      <c r="E74" s="13">
        <f>SUMIFS('Transaction Overview'!$D$2:$D$790,'Transaction Overview'!$I$2:$I$790,$A74,'Transaction Overview'!$H$2:$H$790,E$4)</f>
        <v>0</v>
      </c>
      <c r="F74" s="13">
        <f>SUMIFS('Transaction Overview'!$D$2:$D$790,'Transaction Overview'!$I$2:$I$790,$A74,'Transaction Overview'!$H$2:$H$790,F$4)</f>
        <v>0</v>
      </c>
      <c r="G74" s="13">
        <f>SUMIFS('Transaction Overview'!$D$2:$D$790,'Transaction Overview'!$I$2:$I$790,$A74,'Transaction Overview'!$H$2:$H$790,G$4)</f>
        <v>0</v>
      </c>
      <c r="H74" s="13">
        <f>SUMIFS('Transaction Overview'!$D$2:$D$790,'Transaction Overview'!$I$2:$I$790,$A74,'Transaction Overview'!$H$2:$H$790,H$4)</f>
        <v>0</v>
      </c>
      <c r="I74" s="13">
        <f>SUMIFS('Transaction Overview'!$D$2:$D$790,'Transaction Overview'!$I$2:$I$790,$A74,'Transaction Overview'!$H$2:$H$790,I$4)</f>
        <v>0</v>
      </c>
      <c r="J74" s="13">
        <f>SUMIFS('Transaction Overview'!$D$2:$D$790,'Transaction Overview'!$I$2:$I$790,$A74,'Transaction Overview'!$H$2:$H$790,J$4)</f>
        <v>0</v>
      </c>
      <c r="K74" s="13">
        <f>SUMIFS('Transaction Overview'!$D$2:$D$790,'Transaction Overview'!$I$2:$I$790,$A74,'Transaction Overview'!$H$2:$H$790,K$4)</f>
        <v>0</v>
      </c>
      <c r="L74" s="13">
        <f>SUMIFS('Transaction Overview'!$D$2:$D$790,'Transaction Overview'!$I$2:$I$790,$A74,'Transaction Overview'!$H$2:$H$790,L$4)</f>
        <v>-200</v>
      </c>
      <c r="M74" s="13">
        <f>SUMIFS('Transaction Overview'!$D$2:$D$790,'Transaction Overview'!$I$2:$I$790,$A74,'Transaction Overview'!$H$2:$H$790,M$4)</f>
        <v>-31</v>
      </c>
      <c r="N74" s="13">
        <f>SUM(B74:M74)</f>
        <v>-331</v>
      </c>
    </row>
    <row r="75" spans="1:14" x14ac:dyDescent="0.25">
      <c r="A75" s="8" t="s">
        <v>809</v>
      </c>
      <c r="B75" s="13">
        <f>SUMIFS('Transaction Overview'!$D$2:$D$790,'Transaction Overview'!$I$2:$I$790,$A75,'Transaction Overview'!$H$2:$H$790,B$4)</f>
        <v>0</v>
      </c>
      <c r="C75" s="13">
        <f>SUMIFS('Transaction Overview'!$D$2:$D$790,'Transaction Overview'!$I$2:$I$790,$A75,'Transaction Overview'!$H$2:$H$790,C$4)</f>
        <v>0</v>
      </c>
      <c r="D75" s="13">
        <f>SUMIFS('Transaction Overview'!$D$2:$D$790,'Transaction Overview'!$I$2:$I$790,$A75,'Transaction Overview'!$H$2:$H$790,D$4)</f>
        <v>0</v>
      </c>
      <c r="E75" s="13">
        <f>SUMIFS('Transaction Overview'!$D$2:$D$790,'Transaction Overview'!$I$2:$I$790,$A75,'Transaction Overview'!$H$2:$H$790,E$4)</f>
        <v>0</v>
      </c>
      <c r="F75" s="13">
        <f>SUMIFS('Transaction Overview'!$D$2:$D$790,'Transaction Overview'!$I$2:$I$790,$A75,'Transaction Overview'!$H$2:$H$790,F$4)</f>
        <v>0</v>
      </c>
      <c r="G75" s="13">
        <f>SUMIFS('Transaction Overview'!$D$2:$D$790,'Transaction Overview'!$I$2:$I$790,$A75,'Transaction Overview'!$H$2:$H$790,G$4)</f>
        <v>0</v>
      </c>
      <c r="H75" s="13">
        <f>SUMIFS('Transaction Overview'!$D$2:$D$790,'Transaction Overview'!$I$2:$I$790,$A75,'Transaction Overview'!$H$2:$H$790,H$4)</f>
        <v>0</v>
      </c>
      <c r="I75" s="13">
        <f>SUMIFS('Transaction Overview'!$D$2:$D$790,'Transaction Overview'!$I$2:$I$790,$A75,'Transaction Overview'!$H$2:$H$790,I$4)</f>
        <v>0</v>
      </c>
      <c r="J75" s="13">
        <f>SUMIFS('Transaction Overview'!$D$2:$D$790,'Transaction Overview'!$I$2:$I$790,$A75,'Transaction Overview'!$H$2:$H$790,J$4)</f>
        <v>0</v>
      </c>
      <c r="K75" s="13">
        <f>SUMIFS('Transaction Overview'!$D$2:$D$790,'Transaction Overview'!$I$2:$I$790,$A75,'Transaction Overview'!$H$2:$H$790,K$4)</f>
        <v>-247</v>
      </c>
      <c r="L75" s="13">
        <f>SUMIFS('Transaction Overview'!$D$2:$D$790,'Transaction Overview'!$I$2:$I$790,$A75,'Transaction Overview'!$H$2:$H$790,L$4)</f>
        <v>0</v>
      </c>
      <c r="M75" s="13">
        <f>SUMIFS('Transaction Overview'!$D$2:$D$790,'Transaction Overview'!$I$2:$I$790,$A75,'Transaction Overview'!$H$2:$H$790,M$4)</f>
        <v>0</v>
      </c>
      <c r="N75" s="13">
        <f>SUM(B75:M75)</f>
        <v>-247</v>
      </c>
    </row>
    <row r="76" spans="1:14" x14ac:dyDescent="0.25">
      <c r="A76" s="8" t="s">
        <v>811</v>
      </c>
      <c r="B76" s="13">
        <f>SUMIFS('Transaction Overview'!$D$2:$D$790,'Transaction Overview'!$I$2:$I$790,$A76,'Transaction Overview'!$H$2:$H$790,B$4)</f>
        <v>0</v>
      </c>
      <c r="C76" s="13">
        <f>SUMIFS('Transaction Overview'!$D$2:$D$790,'Transaction Overview'!$I$2:$I$790,$A76,'Transaction Overview'!$H$2:$H$790,C$4)</f>
        <v>0</v>
      </c>
      <c r="D76" s="13">
        <f>SUMIFS('Transaction Overview'!$D$2:$D$790,'Transaction Overview'!$I$2:$I$790,$A76,'Transaction Overview'!$H$2:$H$790,D$4)</f>
        <v>0</v>
      </c>
      <c r="E76" s="13">
        <f>SUMIFS('Transaction Overview'!$D$2:$D$790,'Transaction Overview'!$I$2:$I$790,$A76,'Transaction Overview'!$H$2:$H$790,E$4)</f>
        <v>0</v>
      </c>
      <c r="F76" s="13">
        <f>SUMIFS('Transaction Overview'!$D$2:$D$790,'Transaction Overview'!$I$2:$I$790,$A76,'Transaction Overview'!$H$2:$H$790,F$4)</f>
        <v>0</v>
      </c>
      <c r="G76" s="13">
        <f>SUMIFS('Transaction Overview'!$D$2:$D$790,'Transaction Overview'!$I$2:$I$790,$A76,'Transaction Overview'!$H$2:$H$790,G$4)</f>
        <v>0</v>
      </c>
      <c r="H76" s="13">
        <f>SUMIFS('Transaction Overview'!$D$2:$D$790,'Transaction Overview'!$I$2:$I$790,$A76,'Transaction Overview'!$H$2:$H$790,H$4)</f>
        <v>0</v>
      </c>
      <c r="I76" s="13">
        <f>SUMIFS('Transaction Overview'!$D$2:$D$790,'Transaction Overview'!$I$2:$I$790,$A76,'Transaction Overview'!$H$2:$H$790,I$4)</f>
        <v>0</v>
      </c>
      <c r="J76" s="13">
        <f>SUMIFS('Transaction Overview'!$D$2:$D$790,'Transaction Overview'!$I$2:$I$790,$A76,'Transaction Overview'!$H$2:$H$790,J$4)</f>
        <v>0</v>
      </c>
      <c r="K76" s="13">
        <f>SUMIFS('Transaction Overview'!$D$2:$D$790,'Transaction Overview'!$I$2:$I$790,$A76,'Transaction Overview'!$H$2:$H$790,K$4)</f>
        <v>-500</v>
      </c>
      <c r="L76" s="13">
        <f>SUMIFS('Transaction Overview'!$D$2:$D$790,'Transaction Overview'!$I$2:$I$790,$A76,'Transaction Overview'!$H$2:$H$790,L$4)</f>
        <v>0</v>
      </c>
      <c r="M76" s="13">
        <f>SUMIFS('Transaction Overview'!$D$2:$D$790,'Transaction Overview'!$I$2:$I$790,$A76,'Transaction Overview'!$H$2:$H$790,M$4)</f>
        <v>0</v>
      </c>
      <c r="N76" s="13">
        <f>SUM(B76:M76)</f>
        <v>-500</v>
      </c>
    </row>
    <row r="77" spans="1:14" x14ac:dyDescent="0.25">
      <c r="A77" s="8" t="s">
        <v>812</v>
      </c>
      <c r="B77" s="13">
        <f>SUMIFS('Transaction Overview'!$D$2:$D$790,'Transaction Overview'!$I$2:$I$790,$A77,'Transaction Overview'!$H$2:$H$790,B$4)</f>
        <v>0</v>
      </c>
      <c r="C77" s="13">
        <f>SUMIFS('Transaction Overview'!$D$2:$D$790,'Transaction Overview'!$I$2:$I$790,$A77,'Transaction Overview'!$H$2:$H$790,C$4)</f>
        <v>0</v>
      </c>
      <c r="D77" s="13">
        <f>SUMIFS('Transaction Overview'!$D$2:$D$790,'Transaction Overview'!$I$2:$I$790,$A77,'Transaction Overview'!$H$2:$H$790,D$4)</f>
        <v>0</v>
      </c>
      <c r="E77" s="13">
        <f>SUMIFS('Transaction Overview'!$D$2:$D$790,'Transaction Overview'!$I$2:$I$790,$A77,'Transaction Overview'!$H$2:$H$790,E$4)</f>
        <v>0</v>
      </c>
      <c r="F77" s="13">
        <f>SUMIFS('Transaction Overview'!$D$2:$D$790,'Transaction Overview'!$I$2:$I$790,$A77,'Transaction Overview'!$H$2:$H$790,F$4)</f>
        <v>0</v>
      </c>
      <c r="G77" s="13">
        <f>SUMIFS('Transaction Overview'!$D$2:$D$790,'Transaction Overview'!$I$2:$I$790,$A77,'Transaction Overview'!$H$2:$H$790,G$4)</f>
        <v>0</v>
      </c>
      <c r="H77" s="13">
        <f>SUMIFS('Transaction Overview'!$D$2:$D$790,'Transaction Overview'!$I$2:$I$790,$A77,'Transaction Overview'!$H$2:$H$790,H$4)</f>
        <v>0</v>
      </c>
      <c r="I77" s="13">
        <f>SUMIFS('Transaction Overview'!$D$2:$D$790,'Transaction Overview'!$I$2:$I$790,$A77,'Transaction Overview'!$H$2:$H$790,I$4)</f>
        <v>-500</v>
      </c>
      <c r="J77" s="13">
        <f>SUMIFS('Transaction Overview'!$D$2:$D$790,'Transaction Overview'!$I$2:$I$790,$A77,'Transaction Overview'!$H$2:$H$790,J$4)</f>
        <v>0</v>
      </c>
      <c r="K77" s="13">
        <f>SUMIFS('Transaction Overview'!$D$2:$D$790,'Transaction Overview'!$I$2:$I$790,$A77,'Transaction Overview'!$H$2:$H$790,K$4)</f>
        <v>0</v>
      </c>
      <c r="L77" s="13">
        <f>SUMIFS('Transaction Overview'!$D$2:$D$790,'Transaction Overview'!$I$2:$I$790,$A77,'Transaction Overview'!$H$2:$H$790,L$4)</f>
        <v>0</v>
      </c>
      <c r="M77" s="13">
        <f>SUMIFS('Transaction Overview'!$D$2:$D$790,'Transaction Overview'!$I$2:$I$790,$A77,'Transaction Overview'!$H$2:$H$790,M$4)</f>
        <v>0</v>
      </c>
      <c r="N77" s="13">
        <f>SUM(B77:M77)</f>
        <v>-500</v>
      </c>
    </row>
    <row r="78" spans="1:14" x14ac:dyDescent="0.25">
      <c r="A78" s="8" t="s">
        <v>859</v>
      </c>
      <c r="B78" s="13">
        <f>SUMIFS('Transaction Overview'!$D$2:$D$790,'Transaction Overview'!$I$2:$I$790,$A78,'Transaction Overview'!$H$2:$H$790,B$4)</f>
        <v>0</v>
      </c>
      <c r="C78" s="13">
        <f>SUMIFS('Transaction Overview'!$D$2:$D$790,'Transaction Overview'!$I$2:$I$790,$A78,'Transaction Overview'!$H$2:$H$790,C$4)</f>
        <v>0</v>
      </c>
      <c r="D78" s="13">
        <f>SUMIFS('Transaction Overview'!$D$2:$D$790,'Transaction Overview'!$I$2:$I$790,$A78,'Transaction Overview'!$H$2:$H$790,D$4)</f>
        <v>0</v>
      </c>
      <c r="E78" s="13">
        <f>SUMIFS('Transaction Overview'!$D$2:$D$790,'Transaction Overview'!$I$2:$I$790,$A78,'Transaction Overview'!$H$2:$H$790,E$4)</f>
        <v>0</v>
      </c>
      <c r="F78" s="13">
        <f>SUMIFS('Transaction Overview'!$D$2:$D$790,'Transaction Overview'!$I$2:$I$790,$A78,'Transaction Overview'!$H$2:$H$790,F$4)</f>
        <v>0</v>
      </c>
      <c r="G78" s="13">
        <f>SUMIFS('Transaction Overview'!$D$2:$D$790,'Transaction Overview'!$I$2:$I$790,$A78,'Transaction Overview'!$H$2:$H$790,G$4)</f>
        <v>0</v>
      </c>
      <c r="H78" s="13">
        <f>SUMIFS('Transaction Overview'!$D$2:$D$790,'Transaction Overview'!$I$2:$I$790,$A78,'Transaction Overview'!$H$2:$H$790,H$4)</f>
        <v>0</v>
      </c>
      <c r="I78" s="13">
        <f>SUMIFS('Transaction Overview'!$D$2:$D$790,'Transaction Overview'!$I$2:$I$790,$A78,'Transaction Overview'!$H$2:$H$790,I$4)</f>
        <v>0</v>
      </c>
      <c r="J78" s="13">
        <f>SUMIFS('Transaction Overview'!$D$2:$D$790,'Transaction Overview'!$I$2:$I$790,$A78,'Transaction Overview'!$H$2:$H$790,J$4)</f>
        <v>0</v>
      </c>
      <c r="K78" s="13">
        <f>SUMIFS('Transaction Overview'!$D$2:$D$790,'Transaction Overview'!$I$2:$I$790,$A78,'Transaction Overview'!$H$2:$H$790,K$4)</f>
        <v>0</v>
      </c>
      <c r="L78" s="13">
        <f>SUMIFS('Transaction Overview'!$D$2:$D$790,'Transaction Overview'!$I$2:$I$790,$A78,'Transaction Overview'!$H$2:$H$790,L$4)</f>
        <v>-750</v>
      </c>
      <c r="M78" s="13">
        <f>SUMIFS('Transaction Overview'!$D$2:$D$790,'Transaction Overview'!$I$2:$I$790,$A78,'Transaction Overview'!$H$2:$H$790,M$4)</f>
        <v>0</v>
      </c>
      <c r="N78" s="13">
        <f>SUM(B78:M78)</f>
        <v>-750</v>
      </c>
    </row>
    <row r="79" spans="1:14" x14ac:dyDescent="0.25">
      <c r="A79" s="8" t="s">
        <v>810</v>
      </c>
      <c r="B79" s="13">
        <f>SUMIFS('Transaction Overview'!$D$2:$D$790,'Transaction Overview'!$I$2:$I$790,$A79,'Transaction Overview'!$H$2:$H$790,B$4)</f>
        <v>0</v>
      </c>
      <c r="C79" s="13">
        <f>SUMIFS('Transaction Overview'!$D$2:$D$790,'Transaction Overview'!$I$2:$I$790,$A79,'Transaction Overview'!$H$2:$H$790,C$4)</f>
        <v>0</v>
      </c>
      <c r="D79" s="13">
        <f>SUMIFS('Transaction Overview'!$D$2:$D$790,'Transaction Overview'!$I$2:$I$790,$A79,'Transaction Overview'!$H$2:$H$790,D$4)</f>
        <v>0</v>
      </c>
      <c r="E79" s="13">
        <f>SUMIFS('Transaction Overview'!$D$2:$D$790,'Transaction Overview'!$I$2:$I$790,$A79,'Transaction Overview'!$H$2:$H$790,E$4)</f>
        <v>0</v>
      </c>
      <c r="F79" s="13">
        <f>SUMIFS('Transaction Overview'!$D$2:$D$790,'Transaction Overview'!$I$2:$I$790,$A79,'Transaction Overview'!$H$2:$H$790,F$4)</f>
        <v>0</v>
      </c>
      <c r="G79" s="13">
        <f>SUMIFS('Transaction Overview'!$D$2:$D$790,'Transaction Overview'!$I$2:$I$790,$A79,'Transaction Overview'!$H$2:$H$790,G$4)</f>
        <v>0</v>
      </c>
      <c r="H79" s="13">
        <f>SUMIFS('Transaction Overview'!$D$2:$D$790,'Transaction Overview'!$I$2:$I$790,$A79,'Transaction Overview'!$H$2:$H$790,H$4)</f>
        <v>0</v>
      </c>
      <c r="I79" s="13">
        <f>SUMIFS('Transaction Overview'!$D$2:$D$790,'Transaction Overview'!$I$2:$I$790,$A79,'Transaction Overview'!$H$2:$H$790,I$4)</f>
        <v>0</v>
      </c>
      <c r="J79" s="13">
        <f>SUMIFS('Transaction Overview'!$D$2:$D$790,'Transaction Overview'!$I$2:$I$790,$A79,'Transaction Overview'!$H$2:$H$790,J$4)</f>
        <v>0</v>
      </c>
      <c r="K79" s="13">
        <f>SUMIFS('Transaction Overview'!$D$2:$D$790,'Transaction Overview'!$I$2:$I$790,$A79,'Transaction Overview'!$H$2:$H$790,K$4)</f>
        <v>-500</v>
      </c>
      <c r="L79" s="13">
        <f>SUMIFS('Transaction Overview'!$D$2:$D$790,'Transaction Overview'!$I$2:$I$790,$A79,'Transaction Overview'!$H$2:$H$790,L$4)</f>
        <v>0</v>
      </c>
      <c r="M79" s="13">
        <f>SUMIFS('Transaction Overview'!$D$2:$D$790,'Transaction Overview'!$I$2:$I$790,$A79,'Transaction Overview'!$H$2:$H$790,M$4)</f>
        <v>0</v>
      </c>
      <c r="N79" s="13">
        <f>SUM(B79:M79)</f>
        <v>-500</v>
      </c>
    </row>
    <row r="80" spans="1:14" x14ac:dyDescent="0.25">
      <c r="A80" s="8" t="s">
        <v>813</v>
      </c>
      <c r="B80" s="13">
        <f>SUMIFS('Transaction Overview'!$D$2:$D$790,'Transaction Overview'!$I$2:$I$790,$A80,'Transaction Overview'!$H$2:$H$790,B$4)</f>
        <v>0</v>
      </c>
      <c r="C80" s="13">
        <f>SUMIFS('Transaction Overview'!$D$2:$D$790,'Transaction Overview'!$I$2:$I$790,$A80,'Transaction Overview'!$H$2:$H$790,C$4)</f>
        <v>0</v>
      </c>
      <c r="D80" s="13">
        <f>SUMIFS('Transaction Overview'!$D$2:$D$790,'Transaction Overview'!$I$2:$I$790,$A80,'Transaction Overview'!$H$2:$H$790,D$4)</f>
        <v>0</v>
      </c>
      <c r="E80" s="13">
        <f>SUMIFS('Transaction Overview'!$D$2:$D$790,'Transaction Overview'!$I$2:$I$790,$A80,'Transaction Overview'!$H$2:$H$790,E$4)</f>
        <v>0</v>
      </c>
      <c r="F80" s="13">
        <f>SUMIFS('Transaction Overview'!$D$2:$D$790,'Transaction Overview'!$I$2:$I$790,$A80,'Transaction Overview'!$H$2:$H$790,F$4)</f>
        <v>0</v>
      </c>
      <c r="G80" s="13">
        <f>SUMIFS('Transaction Overview'!$D$2:$D$790,'Transaction Overview'!$I$2:$I$790,$A80,'Transaction Overview'!$H$2:$H$790,G$4)</f>
        <v>0</v>
      </c>
      <c r="H80" s="13">
        <f>SUMIFS('Transaction Overview'!$D$2:$D$790,'Transaction Overview'!$I$2:$I$790,$A80,'Transaction Overview'!$H$2:$H$790,H$4)</f>
        <v>-350</v>
      </c>
      <c r="I80" s="13">
        <f>SUMIFS('Transaction Overview'!$D$2:$D$790,'Transaction Overview'!$I$2:$I$790,$A80,'Transaction Overview'!$H$2:$H$790,I$4)</f>
        <v>0</v>
      </c>
      <c r="J80" s="13">
        <f>SUMIFS('Transaction Overview'!$D$2:$D$790,'Transaction Overview'!$I$2:$I$790,$A80,'Transaction Overview'!$H$2:$H$790,J$4)</f>
        <v>0</v>
      </c>
      <c r="K80" s="13">
        <f>SUMIFS('Transaction Overview'!$D$2:$D$790,'Transaction Overview'!$I$2:$I$790,$A80,'Transaction Overview'!$H$2:$H$790,K$4)</f>
        <v>0</v>
      </c>
      <c r="L80" s="13">
        <f>SUMIFS('Transaction Overview'!$D$2:$D$790,'Transaction Overview'!$I$2:$I$790,$A80,'Transaction Overview'!$H$2:$H$790,L$4)</f>
        <v>0</v>
      </c>
      <c r="M80" s="13">
        <f>SUMIFS('Transaction Overview'!$D$2:$D$790,'Transaction Overview'!$I$2:$I$790,$A80,'Transaction Overview'!$H$2:$H$790,M$4)</f>
        <v>0</v>
      </c>
      <c r="N80" s="13">
        <f>SUM(B80:M80)</f>
        <v>-350</v>
      </c>
    </row>
    <row r="81" spans="1:14" x14ac:dyDescent="0.25">
      <c r="A81" s="21" t="s">
        <v>885</v>
      </c>
      <c r="B81" s="22">
        <f>SUMIFS('Transaction Overview'!$D$2:$D$790,'Transaction Overview'!$J$2:$J$790,"P2P Payments (Zelle/Venmo/PayPal)",'Transaction Overview'!$H$2:$H$790,B$4)</f>
        <v>0</v>
      </c>
      <c r="C81" s="22">
        <f>SUMIFS('Transaction Overview'!$D$2:$D$790,'Transaction Overview'!$J$2:$J$790,"P2P Payments (Zelle/Venmo/PayPal)",'Transaction Overview'!$H$2:$H$790,C$4)</f>
        <v>0</v>
      </c>
      <c r="D81" s="22">
        <f>SUMIFS('Transaction Overview'!$D$2:$D$790,'Transaction Overview'!$J$2:$J$790,"P2P Payments (Zelle/Venmo/PayPal)",'Transaction Overview'!$H$2:$H$790,D$4)</f>
        <v>-100</v>
      </c>
      <c r="E81" s="22">
        <f>SUMIFS('Transaction Overview'!$D$2:$D$790,'Transaction Overview'!$J$2:$J$790,"P2P Payments (Zelle/Venmo/PayPal)",'Transaction Overview'!$H$2:$H$790,E$4)</f>
        <v>0</v>
      </c>
      <c r="F81" s="22">
        <f>SUMIFS('Transaction Overview'!$D$2:$D$790,'Transaction Overview'!$J$2:$J$790,"P2P Payments (Zelle/Venmo/PayPal)",'Transaction Overview'!$H$2:$H$790,F$4)</f>
        <v>0</v>
      </c>
      <c r="G81" s="22">
        <f>SUMIFS('Transaction Overview'!$D$2:$D$790,'Transaction Overview'!$J$2:$J$790,"P2P Payments (Zelle/Venmo/PayPal)",'Transaction Overview'!$H$2:$H$790,G$4)</f>
        <v>0</v>
      </c>
      <c r="H81" s="22">
        <f>SUMIFS('Transaction Overview'!$D$2:$D$790,'Transaction Overview'!$J$2:$J$790,"P2P Payments (Zelle/Venmo/PayPal)",'Transaction Overview'!$H$2:$H$790,H$4)</f>
        <v>-350</v>
      </c>
      <c r="I81" s="22">
        <f>SUMIFS('Transaction Overview'!$D$2:$D$790,'Transaction Overview'!$J$2:$J$790,"P2P Payments (Zelle/Venmo/PayPal)",'Transaction Overview'!$H$2:$H$790,I$4)</f>
        <v>-500</v>
      </c>
      <c r="J81" s="22">
        <f>SUMIFS('Transaction Overview'!$D$2:$D$790,'Transaction Overview'!$J$2:$J$790,"P2P Payments (Zelle/Venmo/PayPal)",'Transaction Overview'!$H$2:$H$790,J$4)</f>
        <v>0</v>
      </c>
      <c r="K81" s="22">
        <f>SUMIFS('Transaction Overview'!$D$2:$D$790,'Transaction Overview'!$J$2:$J$790,"P2P Payments (Zelle/Venmo/PayPal)",'Transaction Overview'!$H$2:$H$790,K$4)</f>
        <v>-1247</v>
      </c>
      <c r="L81" s="22">
        <f>SUMIFS('Transaction Overview'!$D$2:$D$790,'Transaction Overview'!$J$2:$J$790,"P2P Payments (Zelle/Venmo/PayPal)",'Transaction Overview'!$H$2:$H$790,L$4)</f>
        <v>-950</v>
      </c>
      <c r="M81" s="22">
        <f>SUMIFS('Transaction Overview'!$D$2:$D$790,'Transaction Overview'!$J$2:$J$790,"P2P Payments (Zelle/Venmo/PayPal)",'Transaction Overview'!$H$2:$H$790,M$4)</f>
        <v>-31</v>
      </c>
      <c r="N81" s="22">
        <f>SUM(B81:M81)</f>
        <v>-3178</v>
      </c>
    </row>
    <row r="82" spans="1:14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25">
      <c r="A83" s="18" t="s">
        <v>848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</row>
    <row r="84" spans="1:14" x14ac:dyDescent="0.25">
      <c r="A84" s="8" t="s">
        <v>837</v>
      </c>
      <c r="B84" s="13">
        <f>SUMIFS('Transaction Overview'!$D$2:$D$790,'Transaction Overview'!$I$2:$I$790,$A84,'Transaction Overview'!$H$2:$H$790,B$4)</f>
        <v>0</v>
      </c>
      <c r="C84" s="13">
        <f>SUMIFS('Transaction Overview'!$D$2:$D$790,'Transaction Overview'!$I$2:$I$790,$A84,'Transaction Overview'!$H$2:$H$790,C$4)</f>
        <v>0</v>
      </c>
      <c r="D84" s="13">
        <f>SUMIFS('Transaction Overview'!$D$2:$D$790,'Transaction Overview'!$I$2:$I$790,$A84,'Transaction Overview'!$H$2:$H$790,D$4)</f>
        <v>0</v>
      </c>
      <c r="E84" s="13">
        <f>SUMIFS('Transaction Overview'!$D$2:$D$790,'Transaction Overview'!$I$2:$I$790,$A84,'Transaction Overview'!$H$2:$H$790,E$4)</f>
        <v>0</v>
      </c>
      <c r="F84" s="13">
        <f>SUMIFS('Transaction Overview'!$D$2:$D$790,'Transaction Overview'!$I$2:$I$790,$A84,'Transaction Overview'!$H$2:$H$790,F$4)</f>
        <v>0</v>
      </c>
      <c r="G84" s="13">
        <f>SUMIFS('Transaction Overview'!$D$2:$D$790,'Transaction Overview'!$I$2:$I$790,$A84,'Transaction Overview'!$H$2:$H$790,G$4)</f>
        <v>0</v>
      </c>
      <c r="H84" s="13">
        <f>SUMIFS('Transaction Overview'!$D$2:$D$790,'Transaction Overview'!$I$2:$I$790,$A84,'Transaction Overview'!$H$2:$H$790,H$4)</f>
        <v>0</v>
      </c>
      <c r="I84" s="13">
        <f>SUMIFS('Transaction Overview'!$D$2:$D$790,'Transaction Overview'!$I$2:$I$790,$A84,'Transaction Overview'!$H$2:$H$790,I$4)</f>
        <v>0</v>
      </c>
      <c r="J84" s="13">
        <f>SUMIFS('Transaction Overview'!$D$2:$D$790,'Transaction Overview'!$I$2:$I$790,$A84,'Transaction Overview'!$H$2:$H$790,J$4)</f>
        <v>0</v>
      </c>
      <c r="K84" s="13">
        <f>SUMIFS('Transaction Overview'!$D$2:$D$790,'Transaction Overview'!$I$2:$I$790,$A84,'Transaction Overview'!$H$2:$H$790,K$4)</f>
        <v>0</v>
      </c>
      <c r="L84" s="13">
        <f>SUMIFS('Transaction Overview'!$D$2:$D$790,'Transaction Overview'!$I$2:$I$790,$A84,'Transaction Overview'!$H$2:$H$790,L$4)</f>
        <v>0</v>
      </c>
      <c r="M84" s="13">
        <f>SUMIFS('Transaction Overview'!$D$2:$D$790,'Transaction Overview'!$I$2:$I$790,$A84,'Transaction Overview'!$H$2:$H$790,M$4)</f>
        <v>-10000</v>
      </c>
      <c r="N84" s="13">
        <f>SUM(B84:M84)</f>
        <v>-10000</v>
      </c>
    </row>
    <row r="85" spans="1:14" x14ac:dyDescent="0.25">
      <c r="A85" s="8" t="s">
        <v>830</v>
      </c>
      <c r="B85" s="13">
        <f>SUMIFS('Transaction Overview'!$D$2:$D$790,'Transaction Overview'!$I$2:$I$790,$A85,'Transaction Overview'!$H$2:$H$790,B$4)</f>
        <v>0</v>
      </c>
      <c r="C85" s="13">
        <f>SUMIFS('Transaction Overview'!$D$2:$D$790,'Transaction Overview'!$I$2:$I$790,$A85,'Transaction Overview'!$H$2:$H$790,C$4)</f>
        <v>0</v>
      </c>
      <c r="D85" s="13">
        <f>SUMIFS('Transaction Overview'!$D$2:$D$790,'Transaction Overview'!$I$2:$I$790,$A85,'Transaction Overview'!$H$2:$H$790,D$4)</f>
        <v>0</v>
      </c>
      <c r="E85" s="13">
        <f>SUMIFS('Transaction Overview'!$D$2:$D$790,'Transaction Overview'!$I$2:$I$790,$A85,'Transaction Overview'!$H$2:$H$790,E$4)</f>
        <v>0</v>
      </c>
      <c r="F85" s="13">
        <f>SUMIFS('Transaction Overview'!$D$2:$D$790,'Transaction Overview'!$I$2:$I$790,$A85,'Transaction Overview'!$H$2:$H$790,F$4)</f>
        <v>0</v>
      </c>
      <c r="G85" s="13">
        <f>SUMIFS('Transaction Overview'!$D$2:$D$790,'Transaction Overview'!$I$2:$I$790,$A85,'Transaction Overview'!$H$2:$H$790,G$4)</f>
        <v>0</v>
      </c>
      <c r="H85" s="13">
        <f>SUMIFS('Transaction Overview'!$D$2:$D$790,'Transaction Overview'!$I$2:$I$790,$A85,'Transaction Overview'!$H$2:$H$790,H$4)</f>
        <v>0</v>
      </c>
      <c r="I85" s="13">
        <f>SUMIFS('Transaction Overview'!$D$2:$D$790,'Transaction Overview'!$I$2:$I$790,$A85,'Transaction Overview'!$H$2:$H$790,I$4)</f>
        <v>0</v>
      </c>
      <c r="J85" s="13">
        <f>SUMIFS('Transaction Overview'!$D$2:$D$790,'Transaction Overview'!$I$2:$I$790,$A85,'Transaction Overview'!$H$2:$H$790,J$4)</f>
        <v>0</v>
      </c>
      <c r="K85" s="13">
        <f>SUMIFS('Transaction Overview'!$D$2:$D$790,'Transaction Overview'!$I$2:$I$790,$A85,'Transaction Overview'!$H$2:$H$790,K$4)</f>
        <v>0</v>
      </c>
      <c r="L85" s="13">
        <f>SUMIFS('Transaction Overview'!$D$2:$D$790,'Transaction Overview'!$I$2:$I$790,$A85,'Transaction Overview'!$H$2:$H$790,L$4)</f>
        <v>0</v>
      </c>
      <c r="M85" s="13">
        <f>SUMIFS('Transaction Overview'!$D$2:$D$790,'Transaction Overview'!$I$2:$I$790,$A85,'Transaction Overview'!$H$2:$H$790,M$4)</f>
        <v>-28000</v>
      </c>
      <c r="N85" s="13">
        <f>SUM(B85:M85)</f>
        <v>-28000</v>
      </c>
    </row>
    <row r="86" spans="1:14" x14ac:dyDescent="0.25">
      <c r="A86" s="8" t="s">
        <v>770</v>
      </c>
      <c r="B86" s="13">
        <f>SUMIFS('Transaction Overview'!$D$2:$D$790,'Transaction Overview'!$I$2:$I$790,$A86,'Transaction Overview'!$H$2:$H$790,B$4)</f>
        <v>0</v>
      </c>
      <c r="C86" s="13">
        <f>SUMIFS('Transaction Overview'!$D$2:$D$790,'Transaction Overview'!$I$2:$I$790,$A86,'Transaction Overview'!$H$2:$H$790,C$4)</f>
        <v>0</v>
      </c>
      <c r="D86" s="13">
        <f>SUMIFS('Transaction Overview'!$D$2:$D$790,'Transaction Overview'!$I$2:$I$790,$A86,'Transaction Overview'!$H$2:$H$790,D$4)</f>
        <v>0</v>
      </c>
      <c r="E86" s="13">
        <f>SUMIFS('Transaction Overview'!$D$2:$D$790,'Transaction Overview'!$I$2:$I$790,$A86,'Transaction Overview'!$H$2:$H$790,E$4)</f>
        <v>0</v>
      </c>
      <c r="F86" s="13">
        <f>SUMIFS('Transaction Overview'!$D$2:$D$790,'Transaction Overview'!$I$2:$I$790,$A86,'Transaction Overview'!$H$2:$H$790,F$4)</f>
        <v>0</v>
      </c>
      <c r="G86" s="13">
        <f>SUMIFS('Transaction Overview'!$D$2:$D$790,'Transaction Overview'!$I$2:$I$790,$A86,'Transaction Overview'!$H$2:$H$790,G$4)</f>
        <v>0</v>
      </c>
      <c r="H86" s="13">
        <f>SUMIFS('Transaction Overview'!$D$2:$D$790,'Transaction Overview'!$I$2:$I$790,$A86,'Transaction Overview'!$H$2:$H$790,H$4)</f>
        <v>0</v>
      </c>
      <c r="I86" s="13">
        <f>SUMIFS('Transaction Overview'!$D$2:$D$790,'Transaction Overview'!$I$2:$I$790,$A86,'Transaction Overview'!$H$2:$H$790,I$4)</f>
        <v>0</v>
      </c>
      <c r="J86" s="13">
        <f>SUMIFS('Transaction Overview'!$D$2:$D$790,'Transaction Overview'!$I$2:$I$790,$A86,'Transaction Overview'!$H$2:$H$790,J$4)</f>
        <v>0</v>
      </c>
      <c r="K86" s="13">
        <f>SUMIFS('Transaction Overview'!$D$2:$D$790,'Transaction Overview'!$I$2:$I$790,$A86,'Transaction Overview'!$H$2:$H$790,K$4)</f>
        <v>-275</v>
      </c>
      <c r="L86" s="13">
        <f>SUMIFS('Transaction Overview'!$D$2:$D$790,'Transaction Overview'!$I$2:$I$790,$A86,'Transaction Overview'!$H$2:$H$790,L$4)</f>
        <v>-397</v>
      </c>
      <c r="M86" s="13">
        <f>SUMIFS('Transaction Overview'!$D$2:$D$790,'Transaction Overview'!$I$2:$I$790,$A86,'Transaction Overview'!$H$2:$H$790,M$4)</f>
        <v>-200</v>
      </c>
      <c r="N86" s="13">
        <f>SUM(B86:M86)</f>
        <v>-872</v>
      </c>
    </row>
    <row r="87" spans="1:14" x14ac:dyDescent="0.25">
      <c r="A87" s="21" t="s">
        <v>886</v>
      </c>
      <c r="B87" s="22">
        <f>SUMIFS('Transaction Overview'!$D$2:$D$790,'Transaction Overview'!$J$2:$J$790,"Payroll &amp; Contractors",'Transaction Overview'!$H$2:$H$790,B$4)</f>
        <v>0</v>
      </c>
      <c r="C87" s="22">
        <f>SUMIFS('Transaction Overview'!$D$2:$D$790,'Transaction Overview'!$J$2:$J$790,"Payroll &amp; Contractors",'Transaction Overview'!$H$2:$H$790,C$4)</f>
        <v>0</v>
      </c>
      <c r="D87" s="22">
        <f>SUMIFS('Transaction Overview'!$D$2:$D$790,'Transaction Overview'!$J$2:$J$790,"Payroll &amp; Contractors",'Transaction Overview'!$H$2:$H$790,D$4)</f>
        <v>0</v>
      </c>
      <c r="E87" s="22">
        <f>SUMIFS('Transaction Overview'!$D$2:$D$790,'Transaction Overview'!$J$2:$J$790,"Payroll &amp; Contractors",'Transaction Overview'!$H$2:$H$790,E$4)</f>
        <v>0</v>
      </c>
      <c r="F87" s="22">
        <f>SUMIFS('Transaction Overview'!$D$2:$D$790,'Transaction Overview'!$J$2:$J$790,"Payroll &amp; Contractors",'Transaction Overview'!$H$2:$H$790,F$4)</f>
        <v>0</v>
      </c>
      <c r="G87" s="22">
        <f>SUMIFS('Transaction Overview'!$D$2:$D$790,'Transaction Overview'!$J$2:$J$790,"Payroll &amp; Contractors",'Transaction Overview'!$H$2:$H$790,G$4)</f>
        <v>0</v>
      </c>
      <c r="H87" s="22">
        <f>SUMIFS('Transaction Overview'!$D$2:$D$790,'Transaction Overview'!$J$2:$J$790,"Payroll &amp; Contractors",'Transaction Overview'!$H$2:$H$790,H$4)</f>
        <v>0</v>
      </c>
      <c r="I87" s="22">
        <f>SUMIFS('Transaction Overview'!$D$2:$D$790,'Transaction Overview'!$J$2:$J$790,"Payroll &amp; Contractors",'Transaction Overview'!$H$2:$H$790,I$4)</f>
        <v>0</v>
      </c>
      <c r="J87" s="22">
        <f>SUMIFS('Transaction Overview'!$D$2:$D$790,'Transaction Overview'!$J$2:$J$790,"Payroll &amp; Contractors",'Transaction Overview'!$H$2:$H$790,J$4)</f>
        <v>0</v>
      </c>
      <c r="K87" s="22">
        <f>SUMIFS('Transaction Overview'!$D$2:$D$790,'Transaction Overview'!$J$2:$J$790,"Payroll &amp; Contractors",'Transaction Overview'!$H$2:$H$790,K$4)</f>
        <v>-275</v>
      </c>
      <c r="L87" s="22">
        <f>SUMIFS('Transaction Overview'!$D$2:$D$790,'Transaction Overview'!$J$2:$J$790,"Payroll &amp; Contractors",'Transaction Overview'!$H$2:$H$790,L$4)</f>
        <v>-397</v>
      </c>
      <c r="M87" s="22">
        <f>SUMIFS('Transaction Overview'!$D$2:$D$790,'Transaction Overview'!$J$2:$J$790,"Payroll &amp; Contractors",'Transaction Overview'!$H$2:$H$790,M$4)</f>
        <v>-38200</v>
      </c>
      <c r="N87" s="22">
        <f>SUM(B87:M87)</f>
        <v>-38872</v>
      </c>
    </row>
    <row r="88" spans="1:14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x14ac:dyDescent="0.25">
      <c r="A89" s="18" t="s">
        <v>846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</row>
    <row r="90" spans="1:14" x14ac:dyDescent="0.25">
      <c r="A90" s="8" t="s">
        <v>767</v>
      </c>
      <c r="B90" s="13">
        <f>SUMIFS('Transaction Overview'!$D$2:$D$790,'Transaction Overview'!$I$2:$I$790,$A90,'Transaction Overview'!$H$2:$H$790,B$4)</f>
        <v>-27459.41</v>
      </c>
      <c r="C90" s="13">
        <f>SUMIFS('Transaction Overview'!$D$2:$D$790,'Transaction Overview'!$I$2:$I$790,$A90,'Transaction Overview'!$H$2:$H$790,C$4)</f>
        <v>0</v>
      </c>
      <c r="D90" s="13">
        <f>SUMIFS('Transaction Overview'!$D$2:$D$790,'Transaction Overview'!$I$2:$I$790,$A90,'Transaction Overview'!$H$2:$H$790,D$4)</f>
        <v>-32874.619999999995</v>
      </c>
      <c r="E90" s="13">
        <f>SUMIFS('Transaction Overview'!$D$2:$D$790,'Transaction Overview'!$I$2:$I$790,$A90,'Transaction Overview'!$H$2:$H$790,E$4)</f>
        <v>-42222.92</v>
      </c>
      <c r="F90" s="13">
        <f>SUMIFS('Transaction Overview'!$D$2:$D$790,'Transaction Overview'!$I$2:$I$790,$A90,'Transaction Overview'!$H$2:$H$790,F$4)</f>
        <v>-8226.61</v>
      </c>
      <c r="G90" s="13">
        <f>SUMIFS('Transaction Overview'!$D$2:$D$790,'Transaction Overview'!$I$2:$I$790,$A90,'Transaction Overview'!$H$2:$H$790,G$4)</f>
        <v>0</v>
      </c>
      <c r="H90" s="13">
        <f>SUMIFS('Transaction Overview'!$D$2:$D$790,'Transaction Overview'!$I$2:$I$790,$A90,'Transaction Overview'!$H$2:$H$790,H$4)</f>
        <v>-23574.61</v>
      </c>
      <c r="I90" s="13">
        <f>SUMIFS('Transaction Overview'!$D$2:$D$790,'Transaction Overview'!$I$2:$I$790,$A90,'Transaction Overview'!$H$2:$H$790,I$4)</f>
        <v>-19118.349999999999</v>
      </c>
      <c r="J90" s="13">
        <f>SUMIFS('Transaction Overview'!$D$2:$D$790,'Transaction Overview'!$I$2:$I$790,$A90,'Transaction Overview'!$H$2:$H$790,J$4)</f>
        <v>-14871.34</v>
      </c>
      <c r="K90" s="13">
        <f>SUMIFS('Transaction Overview'!$D$2:$D$790,'Transaction Overview'!$I$2:$I$790,$A90,'Transaction Overview'!$H$2:$H$790,K$4)</f>
        <v>-1623.81</v>
      </c>
      <c r="L90" s="13">
        <f>SUMIFS('Transaction Overview'!$D$2:$D$790,'Transaction Overview'!$I$2:$I$790,$A90,'Transaction Overview'!$H$2:$H$790,L$4)</f>
        <v>-8872.91</v>
      </c>
      <c r="M90" s="13">
        <f>SUMIFS('Transaction Overview'!$D$2:$D$790,'Transaction Overview'!$I$2:$I$790,$A90,'Transaction Overview'!$H$2:$H$790,M$4)</f>
        <v>-52631.91</v>
      </c>
      <c r="N90" s="13">
        <f>SUM(B90:M90)</f>
        <v>-231476.49</v>
      </c>
    </row>
    <row r="91" spans="1:14" x14ac:dyDescent="0.25">
      <c r="A91" s="21" t="s">
        <v>887</v>
      </c>
      <c r="B91" s="22">
        <f>SUMIFS('Transaction Overview'!$D$2:$D$790,'Transaction Overview'!$J$2:$J$790,"Credit Card &amp; Loan Payments",'Transaction Overview'!$H$2:$H$790,B$4)</f>
        <v>-27459.41</v>
      </c>
      <c r="C91" s="22">
        <f>SUMIFS('Transaction Overview'!$D$2:$D$790,'Transaction Overview'!$J$2:$J$790,"Credit Card &amp; Loan Payments",'Transaction Overview'!$H$2:$H$790,C$4)</f>
        <v>0</v>
      </c>
      <c r="D91" s="22">
        <f>SUMIFS('Transaction Overview'!$D$2:$D$790,'Transaction Overview'!$J$2:$J$790,"Credit Card &amp; Loan Payments",'Transaction Overview'!$H$2:$H$790,D$4)</f>
        <v>-32874.619999999995</v>
      </c>
      <c r="E91" s="22">
        <f>SUMIFS('Transaction Overview'!$D$2:$D$790,'Transaction Overview'!$J$2:$J$790,"Credit Card &amp; Loan Payments",'Transaction Overview'!$H$2:$H$790,E$4)</f>
        <v>-42222.92</v>
      </c>
      <c r="F91" s="22">
        <f>SUMIFS('Transaction Overview'!$D$2:$D$790,'Transaction Overview'!$J$2:$J$790,"Credit Card &amp; Loan Payments",'Transaction Overview'!$H$2:$H$790,F$4)</f>
        <v>-8226.61</v>
      </c>
      <c r="G91" s="22">
        <f>SUMIFS('Transaction Overview'!$D$2:$D$790,'Transaction Overview'!$J$2:$J$790,"Credit Card &amp; Loan Payments",'Transaction Overview'!$H$2:$H$790,G$4)</f>
        <v>0</v>
      </c>
      <c r="H91" s="22">
        <f>SUMIFS('Transaction Overview'!$D$2:$D$790,'Transaction Overview'!$J$2:$J$790,"Credit Card &amp; Loan Payments",'Transaction Overview'!$H$2:$H$790,H$4)</f>
        <v>-23574.61</v>
      </c>
      <c r="I91" s="22">
        <f>SUMIFS('Transaction Overview'!$D$2:$D$790,'Transaction Overview'!$J$2:$J$790,"Credit Card &amp; Loan Payments",'Transaction Overview'!$H$2:$H$790,I$4)</f>
        <v>-19118.349999999999</v>
      </c>
      <c r="J91" s="22">
        <f>SUMIFS('Transaction Overview'!$D$2:$D$790,'Transaction Overview'!$J$2:$J$790,"Credit Card &amp; Loan Payments",'Transaction Overview'!$H$2:$H$790,J$4)</f>
        <v>-14871.34</v>
      </c>
      <c r="K91" s="22">
        <f>SUMIFS('Transaction Overview'!$D$2:$D$790,'Transaction Overview'!$J$2:$J$790,"Credit Card &amp; Loan Payments",'Transaction Overview'!$H$2:$H$790,K$4)</f>
        <v>-1623.81</v>
      </c>
      <c r="L91" s="22">
        <f>SUMIFS('Transaction Overview'!$D$2:$D$790,'Transaction Overview'!$J$2:$J$790,"Credit Card &amp; Loan Payments",'Transaction Overview'!$H$2:$H$790,L$4)</f>
        <v>-8872.91</v>
      </c>
      <c r="M91" s="22">
        <f>SUMIFS('Transaction Overview'!$D$2:$D$790,'Transaction Overview'!$J$2:$J$790,"Credit Card &amp; Loan Payments",'Transaction Overview'!$H$2:$H$790,M$4)</f>
        <v>-52631.91</v>
      </c>
      <c r="N91" s="22">
        <f>SUM(B91:M91)</f>
        <v>-231476.49</v>
      </c>
    </row>
    <row r="92" spans="1:14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x14ac:dyDescent="0.25">
      <c r="A93" s="18" t="s">
        <v>845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</row>
    <row r="94" spans="1:14" x14ac:dyDescent="0.25">
      <c r="A94" s="8" t="s">
        <v>823</v>
      </c>
      <c r="B94" s="13">
        <f>SUMIFS('Transaction Overview'!$D$2:$D$790,'Transaction Overview'!$I$2:$I$790,$A94,'Transaction Overview'!$H$2:$H$790,B$4)</f>
        <v>0</v>
      </c>
      <c r="C94" s="13">
        <f>SUMIFS('Transaction Overview'!$D$2:$D$790,'Transaction Overview'!$I$2:$I$790,$A94,'Transaction Overview'!$H$2:$H$790,C$4)</f>
        <v>0</v>
      </c>
      <c r="D94" s="13">
        <f>SUMIFS('Transaction Overview'!$D$2:$D$790,'Transaction Overview'!$I$2:$I$790,$A94,'Transaction Overview'!$H$2:$H$790,D$4)</f>
        <v>0</v>
      </c>
      <c r="E94" s="13">
        <f>SUMIFS('Transaction Overview'!$D$2:$D$790,'Transaction Overview'!$I$2:$I$790,$A94,'Transaction Overview'!$H$2:$H$790,E$4)</f>
        <v>0</v>
      </c>
      <c r="F94" s="13">
        <f>SUMIFS('Transaction Overview'!$D$2:$D$790,'Transaction Overview'!$I$2:$I$790,$A94,'Transaction Overview'!$H$2:$H$790,F$4)</f>
        <v>0</v>
      </c>
      <c r="G94" s="13">
        <f>SUMIFS('Transaction Overview'!$D$2:$D$790,'Transaction Overview'!$I$2:$I$790,$A94,'Transaction Overview'!$H$2:$H$790,G$4)</f>
        <v>0</v>
      </c>
      <c r="H94" s="13">
        <f>SUMIFS('Transaction Overview'!$D$2:$D$790,'Transaction Overview'!$I$2:$I$790,$A94,'Transaction Overview'!$H$2:$H$790,H$4)</f>
        <v>0</v>
      </c>
      <c r="I94" s="13">
        <f>SUMIFS('Transaction Overview'!$D$2:$D$790,'Transaction Overview'!$I$2:$I$790,$A94,'Transaction Overview'!$H$2:$H$790,I$4)</f>
        <v>0</v>
      </c>
      <c r="J94" s="13">
        <f>SUMIFS('Transaction Overview'!$D$2:$D$790,'Transaction Overview'!$I$2:$I$790,$A94,'Transaction Overview'!$H$2:$H$790,J$4)</f>
        <v>0</v>
      </c>
      <c r="K94" s="13">
        <f>SUMIFS('Transaction Overview'!$D$2:$D$790,'Transaction Overview'!$I$2:$I$790,$A94,'Transaction Overview'!$H$2:$H$790,K$4)</f>
        <v>-216</v>
      </c>
      <c r="L94" s="13">
        <f>SUMIFS('Transaction Overview'!$D$2:$D$790,'Transaction Overview'!$I$2:$I$790,$A94,'Transaction Overview'!$H$2:$H$790,L$4)</f>
        <v>0</v>
      </c>
      <c r="M94" s="13">
        <f>SUMIFS('Transaction Overview'!$D$2:$D$790,'Transaction Overview'!$I$2:$I$790,$A94,'Transaction Overview'!$H$2:$H$790,M$4)</f>
        <v>0</v>
      </c>
      <c r="N94" s="13">
        <f>SUM(B94:M94)</f>
        <v>-216</v>
      </c>
    </row>
    <row r="95" spans="1:14" x14ac:dyDescent="0.25">
      <c r="A95" s="8" t="s">
        <v>766</v>
      </c>
      <c r="B95" s="13">
        <f>SUMIFS('Transaction Overview'!$D$2:$D$790,'Transaction Overview'!$I$2:$I$790,$A95,'Transaction Overview'!$H$2:$H$790,B$4)</f>
        <v>-67.240000000000009</v>
      </c>
      <c r="C95" s="13">
        <f>SUMIFS('Transaction Overview'!$D$2:$D$790,'Transaction Overview'!$I$2:$I$790,$A95,'Transaction Overview'!$H$2:$H$790,C$4)</f>
        <v>-116.28999999999999</v>
      </c>
      <c r="D95" s="13">
        <f>SUMIFS('Transaction Overview'!$D$2:$D$790,'Transaction Overview'!$I$2:$I$790,$A95,'Transaction Overview'!$H$2:$H$790,D$4)</f>
        <v>-62.94</v>
      </c>
      <c r="E95" s="13">
        <f>SUMIFS('Transaction Overview'!$D$2:$D$790,'Transaction Overview'!$I$2:$I$790,$A95,'Transaction Overview'!$H$2:$H$790,E$4)</f>
        <v>-196.91000000000003</v>
      </c>
      <c r="F95" s="13">
        <f>SUMIFS('Transaction Overview'!$D$2:$D$790,'Transaction Overview'!$I$2:$I$790,$A95,'Transaction Overview'!$H$2:$H$790,F$4)</f>
        <v>-226.7</v>
      </c>
      <c r="G95" s="13">
        <f>SUMIFS('Transaction Overview'!$D$2:$D$790,'Transaction Overview'!$I$2:$I$790,$A95,'Transaction Overview'!$H$2:$H$790,G$4)</f>
        <v>-257.89000000000004</v>
      </c>
      <c r="H95" s="13">
        <f>SUMIFS('Transaction Overview'!$D$2:$D$790,'Transaction Overview'!$I$2:$I$790,$A95,'Transaction Overview'!$H$2:$H$790,H$4)</f>
        <v>-543.28000000000009</v>
      </c>
      <c r="I95" s="13">
        <f>SUMIFS('Transaction Overview'!$D$2:$D$790,'Transaction Overview'!$I$2:$I$790,$A95,'Transaction Overview'!$H$2:$H$790,I$4)</f>
        <v>-1763.9100000000003</v>
      </c>
      <c r="J95" s="13">
        <f>SUMIFS('Transaction Overview'!$D$2:$D$790,'Transaction Overview'!$I$2:$I$790,$A95,'Transaction Overview'!$H$2:$H$790,J$4)</f>
        <v>-2682.2</v>
      </c>
      <c r="K95" s="13">
        <f>SUMIFS('Transaction Overview'!$D$2:$D$790,'Transaction Overview'!$I$2:$I$790,$A95,'Transaction Overview'!$H$2:$H$790,K$4)</f>
        <v>-1035.22</v>
      </c>
      <c r="L95" s="13">
        <f>SUMIFS('Transaction Overview'!$D$2:$D$790,'Transaction Overview'!$I$2:$I$790,$A95,'Transaction Overview'!$H$2:$H$790,L$4)</f>
        <v>-259.24</v>
      </c>
      <c r="M95" s="13">
        <f>SUMIFS('Transaction Overview'!$D$2:$D$790,'Transaction Overview'!$I$2:$I$790,$A95,'Transaction Overview'!$H$2:$H$790,M$4)</f>
        <v>-814.30000000000007</v>
      </c>
      <c r="N95" s="13">
        <f>SUM(B95:M95)</f>
        <v>-8026.1200000000008</v>
      </c>
    </row>
    <row r="96" spans="1:14" x14ac:dyDescent="0.25">
      <c r="A96" s="8" t="s">
        <v>792</v>
      </c>
      <c r="B96" s="13">
        <f>SUMIFS('Transaction Overview'!$D$2:$D$790,'Transaction Overview'!$I$2:$I$790,$A96,'Transaction Overview'!$H$2:$H$790,B$4)</f>
        <v>-43.649999999999984</v>
      </c>
      <c r="C96" s="13">
        <f>SUMIFS('Transaction Overview'!$D$2:$D$790,'Transaction Overview'!$I$2:$I$790,$A96,'Transaction Overview'!$H$2:$H$790,C$4)</f>
        <v>-56.449999999999989</v>
      </c>
      <c r="D96" s="13">
        <f>SUMIFS('Transaction Overview'!$D$2:$D$790,'Transaction Overview'!$I$2:$I$790,$A96,'Transaction Overview'!$H$2:$H$790,D$4)</f>
        <v>-14.92</v>
      </c>
      <c r="E96" s="13">
        <f>SUMIFS('Transaction Overview'!$D$2:$D$790,'Transaction Overview'!$I$2:$I$790,$A96,'Transaction Overview'!$H$2:$H$790,E$4)</f>
        <v>-19.190000000000001</v>
      </c>
      <c r="F96" s="13">
        <f>SUMIFS('Transaction Overview'!$D$2:$D$790,'Transaction Overview'!$I$2:$I$790,$A96,'Transaction Overview'!$H$2:$H$790,F$4)</f>
        <v>-129.69</v>
      </c>
      <c r="G96" s="13">
        <f>SUMIFS('Transaction Overview'!$D$2:$D$790,'Transaction Overview'!$I$2:$I$790,$A96,'Transaction Overview'!$H$2:$H$790,G$4)</f>
        <v>-61.179999999999993</v>
      </c>
      <c r="H96" s="13">
        <f>SUMIFS('Transaction Overview'!$D$2:$D$790,'Transaction Overview'!$I$2:$I$790,$A96,'Transaction Overview'!$H$2:$H$790,H$4)</f>
        <v>-20.67</v>
      </c>
      <c r="I96" s="13">
        <f>SUMIFS('Transaction Overview'!$D$2:$D$790,'Transaction Overview'!$I$2:$I$790,$A96,'Transaction Overview'!$H$2:$H$790,I$4)</f>
        <v>-31.290000000000003</v>
      </c>
      <c r="J96" s="13">
        <f>SUMIFS('Transaction Overview'!$D$2:$D$790,'Transaction Overview'!$I$2:$I$790,$A96,'Transaction Overview'!$H$2:$H$790,J$4)</f>
        <v>-75.91</v>
      </c>
      <c r="K96" s="13">
        <f>SUMIFS('Transaction Overview'!$D$2:$D$790,'Transaction Overview'!$I$2:$I$790,$A96,'Transaction Overview'!$H$2:$H$790,K$4)</f>
        <v>-20.669999999999995</v>
      </c>
      <c r="L96" s="13">
        <f>SUMIFS('Transaction Overview'!$D$2:$D$790,'Transaction Overview'!$I$2:$I$790,$A96,'Transaction Overview'!$H$2:$H$790,L$4)</f>
        <v>-69.069999999999993</v>
      </c>
      <c r="M96" s="13">
        <f>SUMIFS('Transaction Overview'!$D$2:$D$790,'Transaction Overview'!$I$2:$I$790,$A96,'Transaction Overview'!$H$2:$H$790,M$4)</f>
        <v>-99.470000000000013</v>
      </c>
      <c r="N96" s="13">
        <f>SUM(B96:M96)</f>
        <v>-642.16000000000008</v>
      </c>
    </row>
    <row r="97" spans="1:14" x14ac:dyDescent="0.25">
      <c r="A97" s="8" t="s">
        <v>855</v>
      </c>
      <c r="B97" s="13">
        <f>SUMIFS('Transaction Overview'!$D$2:$D$790,'Transaction Overview'!$I$2:$I$790,$A97,'Transaction Overview'!$H$2:$H$790,B$4)</f>
        <v>0</v>
      </c>
      <c r="C97" s="13">
        <f>SUMIFS('Transaction Overview'!$D$2:$D$790,'Transaction Overview'!$I$2:$I$790,$A97,'Transaction Overview'!$H$2:$H$790,C$4)</f>
        <v>0</v>
      </c>
      <c r="D97" s="13">
        <f>SUMIFS('Transaction Overview'!$D$2:$D$790,'Transaction Overview'!$I$2:$I$790,$A97,'Transaction Overview'!$H$2:$H$790,D$4)</f>
        <v>0</v>
      </c>
      <c r="E97" s="13">
        <f>SUMIFS('Transaction Overview'!$D$2:$D$790,'Transaction Overview'!$I$2:$I$790,$A97,'Transaction Overview'!$H$2:$H$790,E$4)</f>
        <v>0</v>
      </c>
      <c r="F97" s="13">
        <f>SUMIFS('Transaction Overview'!$D$2:$D$790,'Transaction Overview'!$I$2:$I$790,$A97,'Transaction Overview'!$H$2:$H$790,F$4)</f>
        <v>-3.25</v>
      </c>
      <c r="G97" s="13">
        <f>SUMIFS('Transaction Overview'!$D$2:$D$790,'Transaction Overview'!$I$2:$I$790,$A97,'Transaction Overview'!$H$2:$H$790,G$4)</f>
        <v>-4.75</v>
      </c>
      <c r="H97" s="13">
        <f>SUMIFS('Transaction Overview'!$D$2:$D$790,'Transaction Overview'!$I$2:$I$790,$A97,'Transaction Overview'!$H$2:$H$790,H$4)</f>
        <v>-12</v>
      </c>
      <c r="I97" s="13">
        <f>SUMIFS('Transaction Overview'!$D$2:$D$790,'Transaction Overview'!$I$2:$I$790,$A97,'Transaction Overview'!$H$2:$H$790,I$4)</f>
        <v>-17.12</v>
      </c>
      <c r="J97" s="13">
        <f>SUMIFS('Transaction Overview'!$D$2:$D$790,'Transaction Overview'!$I$2:$I$790,$A97,'Transaction Overview'!$H$2:$H$790,J$4)</f>
        <v>-19.55</v>
      </c>
      <c r="K97" s="13">
        <f>SUMIFS('Transaction Overview'!$D$2:$D$790,'Transaction Overview'!$I$2:$I$790,$A97,'Transaction Overview'!$H$2:$H$790,K$4)</f>
        <v>0</v>
      </c>
      <c r="L97" s="13">
        <f>SUMIFS('Transaction Overview'!$D$2:$D$790,'Transaction Overview'!$I$2:$I$790,$A97,'Transaction Overview'!$H$2:$H$790,L$4)</f>
        <v>-50.45</v>
      </c>
      <c r="M97" s="13">
        <f>SUMIFS('Transaction Overview'!$D$2:$D$790,'Transaction Overview'!$I$2:$I$790,$A97,'Transaction Overview'!$H$2:$H$790,M$4)</f>
        <v>-7</v>
      </c>
      <c r="N97" s="13">
        <f>SUM(B97:M97)</f>
        <v>-114.12</v>
      </c>
    </row>
    <row r="98" spans="1:14" x14ac:dyDescent="0.25">
      <c r="A98" s="8" t="s">
        <v>832</v>
      </c>
      <c r="B98" s="13">
        <f>SUMIFS('Transaction Overview'!$D$2:$D$790,'Transaction Overview'!$I$2:$I$790,$A98,'Transaction Overview'!$H$2:$H$790,B$4)</f>
        <v>0</v>
      </c>
      <c r="C98" s="13">
        <f>SUMIFS('Transaction Overview'!$D$2:$D$790,'Transaction Overview'!$I$2:$I$790,$A98,'Transaction Overview'!$H$2:$H$790,C$4)</f>
        <v>0</v>
      </c>
      <c r="D98" s="13">
        <f>SUMIFS('Transaction Overview'!$D$2:$D$790,'Transaction Overview'!$I$2:$I$790,$A98,'Transaction Overview'!$H$2:$H$790,D$4)</f>
        <v>0</v>
      </c>
      <c r="E98" s="13">
        <f>SUMIFS('Transaction Overview'!$D$2:$D$790,'Transaction Overview'!$I$2:$I$790,$A98,'Transaction Overview'!$H$2:$H$790,E$4)</f>
        <v>0</v>
      </c>
      <c r="F98" s="13">
        <f>SUMIFS('Transaction Overview'!$D$2:$D$790,'Transaction Overview'!$I$2:$I$790,$A98,'Transaction Overview'!$H$2:$H$790,F$4)</f>
        <v>0</v>
      </c>
      <c r="G98" s="13">
        <f>SUMIFS('Transaction Overview'!$D$2:$D$790,'Transaction Overview'!$I$2:$I$790,$A98,'Transaction Overview'!$H$2:$H$790,G$4)</f>
        <v>0</v>
      </c>
      <c r="H98" s="13">
        <f>SUMIFS('Transaction Overview'!$D$2:$D$790,'Transaction Overview'!$I$2:$I$790,$A98,'Transaction Overview'!$H$2:$H$790,H$4)</f>
        <v>0</v>
      </c>
      <c r="I98" s="13">
        <f>SUMIFS('Transaction Overview'!$D$2:$D$790,'Transaction Overview'!$I$2:$I$790,$A98,'Transaction Overview'!$H$2:$H$790,I$4)</f>
        <v>0</v>
      </c>
      <c r="J98" s="13">
        <f>SUMIFS('Transaction Overview'!$D$2:$D$790,'Transaction Overview'!$I$2:$I$790,$A98,'Transaction Overview'!$H$2:$H$790,J$4)</f>
        <v>0</v>
      </c>
      <c r="K98" s="13">
        <f>SUMIFS('Transaction Overview'!$D$2:$D$790,'Transaction Overview'!$I$2:$I$790,$A98,'Transaction Overview'!$H$2:$H$790,K$4)</f>
        <v>0</v>
      </c>
      <c r="L98" s="13">
        <f>SUMIFS('Transaction Overview'!$D$2:$D$790,'Transaction Overview'!$I$2:$I$790,$A98,'Transaction Overview'!$H$2:$H$790,L$4)</f>
        <v>0</v>
      </c>
      <c r="M98" s="13">
        <f>SUMIFS('Transaction Overview'!$D$2:$D$790,'Transaction Overview'!$I$2:$I$790,$A98,'Transaction Overview'!$H$2:$H$790,M$4)</f>
        <v>-328.19</v>
      </c>
      <c r="N98" s="13">
        <f>SUM(B98:M98)</f>
        <v>-328.19</v>
      </c>
    </row>
    <row r="99" spans="1:14" x14ac:dyDescent="0.25">
      <c r="A99" s="8" t="s">
        <v>826</v>
      </c>
      <c r="B99" s="13">
        <f>SUMIFS('Transaction Overview'!$D$2:$D$790,'Transaction Overview'!$I$2:$I$790,$A99,'Transaction Overview'!$H$2:$H$790,B$4)</f>
        <v>0</v>
      </c>
      <c r="C99" s="13">
        <f>SUMIFS('Transaction Overview'!$D$2:$D$790,'Transaction Overview'!$I$2:$I$790,$A99,'Transaction Overview'!$H$2:$H$790,C$4)</f>
        <v>0</v>
      </c>
      <c r="D99" s="13">
        <f>SUMIFS('Transaction Overview'!$D$2:$D$790,'Transaction Overview'!$I$2:$I$790,$A99,'Transaction Overview'!$H$2:$H$790,D$4)</f>
        <v>0</v>
      </c>
      <c r="E99" s="13">
        <f>SUMIFS('Transaction Overview'!$D$2:$D$790,'Transaction Overview'!$I$2:$I$790,$A99,'Transaction Overview'!$H$2:$H$790,E$4)</f>
        <v>0</v>
      </c>
      <c r="F99" s="13">
        <f>SUMIFS('Transaction Overview'!$D$2:$D$790,'Transaction Overview'!$I$2:$I$790,$A99,'Transaction Overview'!$H$2:$H$790,F$4)</f>
        <v>0</v>
      </c>
      <c r="G99" s="13">
        <f>SUMIFS('Transaction Overview'!$D$2:$D$790,'Transaction Overview'!$I$2:$I$790,$A99,'Transaction Overview'!$H$2:$H$790,G$4)</f>
        <v>0</v>
      </c>
      <c r="H99" s="13">
        <f>SUMIFS('Transaction Overview'!$D$2:$D$790,'Transaction Overview'!$I$2:$I$790,$A99,'Transaction Overview'!$H$2:$H$790,H$4)</f>
        <v>0</v>
      </c>
      <c r="I99" s="13">
        <f>SUMIFS('Transaction Overview'!$D$2:$D$790,'Transaction Overview'!$I$2:$I$790,$A99,'Transaction Overview'!$H$2:$H$790,I$4)</f>
        <v>0</v>
      </c>
      <c r="J99" s="13">
        <f>SUMIFS('Transaction Overview'!$D$2:$D$790,'Transaction Overview'!$I$2:$I$790,$A99,'Transaction Overview'!$H$2:$H$790,J$4)</f>
        <v>0</v>
      </c>
      <c r="K99" s="13">
        <f>SUMIFS('Transaction Overview'!$D$2:$D$790,'Transaction Overview'!$I$2:$I$790,$A99,'Transaction Overview'!$H$2:$H$790,K$4)</f>
        <v>0</v>
      </c>
      <c r="L99" s="13">
        <f>SUMIFS('Transaction Overview'!$D$2:$D$790,'Transaction Overview'!$I$2:$I$790,$A99,'Transaction Overview'!$H$2:$H$790,L$4)</f>
        <v>-23</v>
      </c>
      <c r="M99" s="13">
        <f>SUMIFS('Transaction Overview'!$D$2:$D$790,'Transaction Overview'!$I$2:$I$790,$A99,'Transaction Overview'!$H$2:$H$790,M$4)</f>
        <v>-5</v>
      </c>
      <c r="N99" s="13">
        <f>SUM(B99:M99)</f>
        <v>-28</v>
      </c>
    </row>
    <row r="100" spans="1:14" x14ac:dyDescent="0.25">
      <c r="A100" s="8" t="s">
        <v>802</v>
      </c>
      <c r="B100" s="13">
        <f>SUMIFS('Transaction Overview'!$D$2:$D$790,'Transaction Overview'!$I$2:$I$790,$A100,'Transaction Overview'!$H$2:$H$790,B$4)</f>
        <v>0</v>
      </c>
      <c r="C100" s="13">
        <f>SUMIFS('Transaction Overview'!$D$2:$D$790,'Transaction Overview'!$I$2:$I$790,$A100,'Transaction Overview'!$H$2:$H$790,C$4)</f>
        <v>0</v>
      </c>
      <c r="D100" s="13">
        <f>SUMIFS('Transaction Overview'!$D$2:$D$790,'Transaction Overview'!$I$2:$I$790,$A100,'Transaction Overview'!$H$2:$H$790,D$4)</f>
        <v>0</v>
      </c>
      <c r="E100" s="13">
        <f>SUMIFS('Transaction Overview'!$D$2:$D$790,'Transaction Overview'!$I$2:$I$790,$A100,'Transaction Overview'!$H$2:$H$790,E$4)</f>
        <v>0</v>
      </c>
      <c r="F100" s="13">
        <f>SUMIFS('Transaction Overview'!$D$2:$D$790,'Transaction Overview'!$I$2:$I$790,$A100,'Transaction Overview'!$H$2:$H$790,F$4)</f>
        <v>0</v>
      </c>
      <c r="G100" s="13">
        <f>SUMIFS('Transaction Overview'!$D$2:$D$790,'Transaction Overview'!$I$2:$I$790,$A100,'Transaction Overview'!$H$2:$H$790,G$4)</f>
        <v>-33.17</v>
      </c>
      <c r="H100" s="13">
        <f>SUMIFS('Transaction Overview'!$D$2:$D$790,'Transaction Overview'!$I$2:$I$790,$A100,'Transaction Overview'!$H$2:$H$790,H$4)</f>
        <v>0</v>
      </c>
      <c r="I100" s="13">
        <f>SUMIFS('Transaction Overview'!$D$2:$D$790,'Transaction Overview'!$I$2:$I$790,$A100,'Transaction Overview'!$H$2:$H$790,I$4)</f>
        <v>-10.77</v>
      </c>
      <c r="J100" s="13">
        <f>SUMIFS('Transaction Overview'!$D$2:$D$790,'Transaction Overview'!$I$2:$I$790,$A100,'Transaction Overview'!$H$2:$H$790,J$4)</f>
        <v>0</v>
      </c>
      <c r="K100" s="13">
        <f>SUMIFS('Transaction Overview'!$D$2:$D$790,'Transaction Overview'!$I$2:$I$790,$A100,'Transaction Overview'!$H$2:$H$790,K$4)</f>
        <v>-72.98</v>
      </c>
      <c r="L100" s="13">
        <f>SUMIFS('Transaction Overview'!$D$2:$D$790,'Transaction Overview'!$I$2:$I$790,$A100,'Transaction Overview'!$H$2:$H$790,L$4)</f>
        <v>0</v>
      </c>
      <c r="M100" s="13">
        <f>SUMIFS('Transaction Overview'!$D$2:$D$790,'Transaction Overview'!$I$2:$I$790,$A100,'Transaction Overview'!$H$2:$H$790,M$4)</f>
        <v>-70.72</v>
      </c>
      <c r="N100" s="13">
        <f>SUM(B100:M100)</f>
        <v>-187.64</v>
      </c>
    </row>
    <row r="101" spans="1:14" x14ac:dyDescent="0.25">
      <c r="A101" s="8" t="s">
        <v>782</v>
      </c>
      <c r="B101" s="13">
        <f>SUMIFS('Transaction Overview'!$D$2:$D$790,'Transaction Overview'!$I$2:$I$790,$A101,'Transaction Overview'!$H$2:$H$790,B$4)</f>
        <v>0</v>
      </c>
      <c r="C101" s="13">
        <f>SUMIFS('Transaction Overview'!$D$2:$D$790,'Transaction Overview'!$I$2:$I$790,$A101,'Transaction Overview'!$H$2:$H$790,C$4)</f>
        <v>0</v>
      </c>
      <c r="D101" s="13">
        <f>SUMIFS('Transaction Overview'!$D$2:$D$790,'Transaction Overview'!$I$2:$I$790,$A101,'Transaction Overview'!$H$2:$H$790,D$4)</f>
        <v>-13.2</v>
      </c>
      <c r="E101" s="13">
        <f>SUMIFS('Transaction Overview'!$D$2:$D$790,'Transaction Overview'!$I$2:$I$790,$A101,'Transaction Overview'!$H$2:$H$790,E$4)</f>
        <v>0</v>
      </c>
      <c r="F101" s="13">
        <f>SUMIFS('Transaction Overview'!$D$2:$D$790,'Transaction Overview'!$I$2:$I$790,$A101,'Transaction Overview'!$H$2:$H$790,F$4)</f>
        <v>0</v>
      </c>
      <c r="G101" s="13">
        <f>SUMIFS('Transaction Overview'!$D$2:$D$790,'Transaction Overview'!$I$2:$I$790,$A101,'Transaction Overview'!$H$2:$H$790,G$4)</f>
        <v>0</v>
      </c>
      <c r="H101" s="13">
        <f>SUMIFS('Transaction Overview'!$D$2:$D$790,'Transaction Overview'!$I$2:$I$790,$A101,'Transaction Overview'!$H$2:$H$790,H$4)</f>
        <v>-13.719999999999999</v>
      </c>
      <c r="I101" s="13">
        <f>SUMIFS('Transaction Overview'!$D$2:$D$790,'Transaction Overview'!$I$2:$I$790,$A101,'Transaction Overview'!$H$2:$H$790,I$4)</f>
        <v>-97.12</v>
      </c>
      <c r="J101" s="13">
        <f>SUMIFS('Transaction Overview'!$D$2:$D$790,'Transaction Overview'!$I$2:$I$790,$A101,'Transaction Overview'!$H$2:$H$790,J$4)</f>
        <v>-383.82000000000005</v>
      </c>
      <c r="K101" s="13">
        <f>SUMIFS('Transaction Overview'!$D$2:$D$790,'Transaction Overview'!$I$2:$I$790,$A101,'Transaction Overview'!$H$2:$H$790,K$4)</f>
        <v>-137.51000000000002</v>
      </c>
      <c r="L101" s="13">
        <f>SUMIFS('Transaction Overview'!$D$2:$D$790,'Transaction Overview'!$I$2:$I$790,$A101,'Transaction Overview'!$H$2:$H$790,L$4)</f>
        <v>0</v>
      </c>
      <c r="M101" s="13">
        <f>SUMIFS('Transaction Overview'!$D$2:$D$790,'Transaction Overview'!$I$2:$I$790,$A101,'Transaction Overview'!$H$2:$H$790,M$4)</f>
        <v>0</v>
      </c>
      <c r="N101" s="13">
        <f>SUM(B101:M101)</f>
        <v>-645.37000000000012</v>
      </c>
    </row>
    <row r="102" spans="1:14" x14ac:dyDescent="0.25">
      <c r="A102" s="8" t="s">
        <v>824</v>
      </c>
      <c r="B102" s="13">
        <f>SUMIFS('Transaction Overview'!$D$2:$D$790,'Transaction Overview'!$I$2:$I$790,$A102,'Transaction Overview'!$H$2:$H$790,B$4)</f>
        <v>0</v>
      </c>
      <c r="C102" s="13">
        <f>SUMIFS('Transaction Overview'!$D$2:$D$790,'Transaction Overview'!$I$2:$I$790,$A102,'Transaction Overview'!$H$2:$H$790,C$4)</f>
        <v>0</v>
      </c>
      <c r="D102" s="13">
        <f>SUMIFS('Transaction Overview'!$D$2:$D$790,'Transaction Overview'!$I$2:$I$790,$A102,'Transaction Overview'!$H$2:$H$790,D$4)</f>
        <v>0</v>
      </c>
      <c r="E102" s="13">
        <f>SUMIFS('Transaction Overview'!$D$2:$D$790,'Transaction Overview'!$I$2:$I$790,$A102,'Transaction Overview'!$H$2:$H$790,E$4)</f>
        <v>0</v>
      </c>
      <c r="F102" s="13">
        <f>SUMIFS('Transaction Overview'!$D$2:$D$790,'Transaction Overview'!$I$2:$I$790,$A102,'Transaction Overview'!$H$2:$H$790,F$4)</f>
        <v>0</v>
      </c>
      <c r="G102" s="13">
        <f>SUMIFS('Transaction Overview'!$D$2:$D$790,'Transaction Overview'!$I$2:$I$790,$A102,'Transaction Overview'!$H$2:$H$790,G$4)</f>
        <v>0</v>
      </c>
      <c r="H102" s="13">
        <f>SUMIFS('Transaction Overview'!$D$2:$D$790,'Transaction Overview'!$I$2:$I$790,$A102,'Transaction Overview'!$H$2:$H$790,H$4)</f>
        <v>0</v>
      </c>
      <c r="I102" s="13">
        <f>SUMIFS('Transaction Overview'!$D$2:$D$790,'Transaction Overview'!$I$2:$I$790,$A102,'Transaction Overview'!$H$2:$H$790,I$4)</f>
        <v>0</v>
      </c>
      <c r="J102" s="13">
        <f>SUMIFS('Transaction Overview'!$D$2:$D$790,'Transaction Overview'!$I$2:$I$790,$A102,'Transaction Overview'!$H$2:$H$790,J$4)</f>
        <v>0</v>
      </c>
      <c r="K102" s="13">
        <f>SUMIFS('Transaction Overview'!$D$2:$D$790,'Transaction Overview'!$I$2:$I$790,$A102,'Transaction Overview'!$H$2:$H$790,K$4)</f>
        <v>-1035.46</v>
      </c>
      <c r="L102" s="13">
        <f>SUMIFS('Transaction Overview'!$D$2:$D$790,'Transaction Overview'!$I$2:$I$790,$A102,'Transaction Overview'!$H$2:$H$790,L$4)</f>
        <v>0</v>
      </c>
      <c r="M102" s="13">
        <f>SUMIFS('Transaction Overview'!$D$2:$D$790,'Transaction Overview'!$I$2:$I$790,$A102,'Transaction Overview'!$H$2:$H$790,M$4)</f>
        <v>0</v>
      </c>
      <c r="N102" s="13">
        <f>SUM(B102:M102)</f>
        <v>-1035.46</v>
      </c>
    </row>
    <row r="103" spans="1:14" x14ac:dyDescent="0.25">
      <c r="A103" s="8" t="s">
        <v>778</v>
      </c>
      <c r="B103" s="13">
        <f>SUMIFS('Transaction Overview'!$D$2:$D$790,'Transaction Overview'!$I$2:$I$790,$A103,'Transaction Overview'!$H$2:$H$790,B$4)</f>
        <v>0</v>
      </c>
      <c r="C103" s="13">
        <f>SUMIFS('Transaction Overview'!$D$2:$D$790,'Transaction Overview'!$I$2:$I$790,$A103,'Transaction Overview'!$H$2:$H$790,C$4)</f>
        <v>0</v>
      </c>
      <c r="D103" s="13">
        <f>SUMIFS('Transaction Overview'!$D$2:$D$790,'Transaction Overview'!$I$2:$I$790,$A103,'Transaction Overview'!$H$2:$H$790,D$4)</f>
        <v>0</v>
      </c>
      <c r="E103" s="13">
        <f>SUMIFS('Transaction Overview'!$D$2:$D$790,'Transaction Overview'!$I$2:$I$790,$A103,'Transaction Overview'!$H$2:$H$790,E$4)</f>
        <v>0</v>
      </c>
      <c r="F103" s="13">
        <f>SUMIFS('Transaction Overview'!$D$2:$D$790,'Transaction Overview'!$I$2:$I$790,$A103,'Transaction Overview'!$H$2:$H$790,F$4)</f>
        <v>0</v>
      </c>
      <c r="G103" s="13">
        <f>SUMIFS('Transaction Overview'!$D$2:$D$790,'Transaction Overview'!$I$2:$I$790,$A103,'Transaction Overview'!$H$2:$H$790,G$4)</f>
        <v>0</v>
      </c>
      <c r="H103" s="13">
        <f>SUMIFS('Transaction Overview'!$D$2:$D$790,'Transaction Overview'!$I$2:$I$790,$A103,'Transaction Overview'!$H$2:$H$790,H$4)</f>
        <v>0</v>
      </c>
      <c r="I103" s="13">
        <f>SUMIFS('Transaction Overview'!$D$2:$D$790,'Transaction Overview'!$I$2:$I$790,$A103,'Transaction Overview'!$H$2:$H$790,I$4)</f>
        <v>-171.54</v>
      </c>
      <c r="J103" s="13">
        <f>SUMIFS('Transaction Overview'!$D$2:$D$790,'Transaction Overview'!$I$2:$I$790,$A103,'Transaction Overview'!$H$2:$H$790,J$4)</f>
        <v>0</v>
      </c>
      <c r="K103" s="13">
        <f>SUMIFS('Transaction Overview'!$D$2:$D$790,'Transaction Overview'!$I$2:$I$790,$A103,'Transaction Overview'!$H$2:$H$790,K$4)</f>
        <v>0</v>
      </c>
      <c r="L103" s="13">
        <f>SUMIFS('Transaction Overview'!$D$2:$D$790,'Transaction Overview'!$I$2:$I$790,$A103,'Transaction Overview'!$H$2:$H$790,L$4)</f>
        <v>0</v>
      </c>
      <c r="M103" s="13">
        <f>SUMIFS('Transaction Overview'!$D$2:$D$790,'Transaction Overview'!$I$2:$I$790,$A103,'Transaction Overview'!$H$2:$H$790,M$4)</f>
        <v>-220</v>
      </c>
      <c r="N103" s="13">
        <f>SUM(B103:M103)</f>
        <v>-391.53999999999996</v>
      </c>
    </row>
    <row r="104" spans="1:14" x14ac:dyDescent="0.25">
      <c r="A104" s="8" t="s">
        <v>829</v>
      </c>
      <c r="B104" s="13">
        <f>SUMIFS('Transaction Overview'!$D$2:$D$790,'Transaction Overview'!$I$2:$I$790,$A104,'Transaction Overview'!$H$2:$H$790,B$4)</f>
        <v>0</v>
      </c>
      <c r="C104" s="13">
        <f>SUMIFS('Transaction Overview'!$D$2:$D$790,'Transaction Overview'!$I$2:$I$790,$A104,'Transaction Overview'!$H$2:$H$790,C$4)</f>
        <v>0</v>
      </c>
      <c r="D104" s="13">
        <f>SUMIFS('Transaction Overview'!$D$2:$D$790,'Transaction Overview'!$I$2:$I$790,$A104,'Transaction Overview'!$H$2:$H$790,D$4)</f>
        <v>0</v>
      </c>
      <c r="E104" s="13">
        <f>SUMIFS('Transaction Overview'!$D$2:$D$790,'Transaction Overview'!$I$2:$I$790,$A104,'Transaction Overview'!$H$2:$H$790,E$4)</f>
        <v>0</v>
      </c>
      <c r="F104" s="13">
        <f>SUMIFS('Transaction Overview'!$D$2:$D$790,'Transaction Overview'!$I$2:$I$790,$A104,'Transaction Overview'!$H$2:$H$790,F$4)</f>
        <v>0</v>
      </c>
      <c r="G104" s="13">
        <f>SUMIFS('Transaction Overview'!$D$2:$D$790,'Transaction Overview'!$I$2:$I$790,$A104,'Transaction Overview'!$H$2:$H$790,G$4)</f>
        <v>0</v>
      </c>
      <c r="H104" s="13">
        <f>SUMIFS('Transaction Overview'!$D$2:$D$790,'Transaction Overview'!$I$2:$I$790,$A104,'Transaction Overview'!$H$2:$H$790,H$4)</f>
        <v>0</v>
      </c>
      <c r="I104" s="13">
        <f>SUMIFS('Transaction Overview'!$D$2:$D$790,'Transaction Overview'!$I$2:$I$790,$A104,'Transaction Overview'!$H$2:$H$790,I$4)</f>
        <v>0</v>
      </c>
      <c r="J104" s="13">
        <f>SUMIFS('Transaction Overview'!$D$2:$D$790,'Transaction Overview'!$I$2:$I$790,$A104,'Transaction Overview'!$H$2:$H$790,J$4)</f>
        <v>0</v>
      </c>
      <c r="K104" s="13">
        <f>SUMIFS('Transaction Overview'!$D$2:$D$790,'Transaction Overview'!$I$2:$I$790,$A104,'Transaction Overview'!$H$2:$H$790,K$4)</f>
        <v>0</v>
      </c>
      <c r="L104" s="13">
        <f>SUMIFS('Transaction Overview'!$D$2:$D$790,'Transaction Overview'!$I$2:$I$790,$A104,'Transaction Overview'!$H$2:$H$790,L$4)</f>
        <v>-28.54</v>
      </c>
      <c r="M104" s="13">
        <f>SUMIFS('Transaction Overview'!$D$2:$D$790,'Transaction Overview'!$I$2:$I$790,$A104,'Transaction Overview'!$H$2:$H$790,M$4)</f>
        <v>-676.9</v>
      </c>
      <c r="N104" s="13">
        <f>SUM(B104:M104)</f>
        <v>-705.43999999999994</v>
      </c>
    </row>
    <row r="105" spans="1:14" x14ac:dyDescent="0.25">
      <c r="A105" s="8" t="s">
        <v>765</v>
      </c>
      <c r="B105" s="13">
        <f>SUMIFS('Transaction Overview'!$D$2:$D$790,'Transaction Overview'!$I$2:$I$790,$A105,'Transaction Overview'!$H$2:$H$790,B$4)</f>
        <v>-218.41</v>
      </c>
      <c r="C105" s="13">
        <f>SUMIFS('Transaction Overview'!$D$2:$D$790,'Transaction Overview'!$I$2:$I$790,$A105,'Transaction Overview'!$H$2:$H$790,C$4)</f>
        <v>-166.91</v>
      </c>
      <c r="D105" s="13">
        <f>SUMIFS('Transaction Overview'!$D$2:$D$790,'Transaction Overview'!$I$2:$I$790,$A105,'Transaction Overview'!$H$2:$H$790,D$4)</f>
        <v>-277.59000000000003</v>
      </c>
      <c r="E105" s="13">
        <f>SUMIFS('Transaction Overview'!$D$2:$D$790,'Transaction Overview'!$I$2:$I$790,$A105,'Transaction Overview'!$H$2:$H$790,E$4)</f>
        <v>-257.03000000000003</v>
      </c>
      <c r="F105" s="13">
        <f>SUMIFS('Transaction Overview'!$D$2:$D$790,'Transaction Overview'!$I$2:$I$790,$A105,'Transaction Overview'!$H$2:$H$790,F$4)</f>
        <v>-226.14000000000004</v>
      </c>
      <c r="G105" s="13">
        <f>SUMIFS('Transaction Overview'!$D$2:$D$790,'Transaction Overview'!$I$2:$I$790,$A105,'Transaction Overview'!$H$2:$H$790,G$4)</f>
        <v>-205.58000000000004</v>
      </c>
      <c r="H105" s="13">
        <f>SUMIFS('Transaction Overview'!$D$2:$D$790,'Transaction Overview'!$I$2:$I$790,$A105,'Transaction Overview'!$H$2:$H$790,H$4)</f>
        <v>-292.59000000000003</v>
      </c>
      <c r="I105" s="13">
        <f>SUMIFS('Transaction Overview'!$D$2:$D$790,'Transaction Overview'!$I$2:$I$790,$A105,'Transaction Overview'!$H$2:$H$790,I$4)</f>
        <v>-241.14000000000004</v>
      </c>
      <c r="J105" s="13">
        <f>SUMIFS('Transaction Overview'!$D$2:$D$790,'Transaction Overview'!$I$2:$I$790,$A105,'Transaction Overview'!$H$2:$H$790,J$4)</f>
        <v>-230.57000000000005</v>
      </c>
      <c r="K105" s="13">
        <f>SUMIFS('Transaction Overview'!$D$2:$D$790,'Transaction Overview'!$I$2:$I$790,$A105,'Transaction Overview'!$H$2:$H$790,K$4)</f>
        <v>-402.58</v>
      </c>
      <c r="L105" s="13">
        <f>SUMIFS('Transaction Overview'!$D$2:$D$790,'Transaction Overview'!$I$2:$I$790,$A105,'Transaction Overview'!$H$2:$H$790,L$4)</f>
        <v>-250.57000000000005</v>
      </c>
      <c r="M105" s="13">
        <f>SUMIFS('Transaction Overview'!$D$2:$D$790,'Transaction Overview'!$I$2:$I$790,$A105,'Transaction Overview'!$H$2:$H$790,M$4)</f>
        <v>-409.64000000000004</v>
      </c>
      <c r="N105" s="13">
        <f>SUM(B105:M105)</f>
        <v>-3178.7500000000005</v>
      </c>
    </row>
    <row r="106" spans="1:14" x14ac:dyDescent="0.25">
      <c r="A106" s="8" t="s">
        <v>771</v>
      </c>
      <c r="B106" s="13">
        <f>SUMIFS('Transaction Overview'!$D$2:$D$790,'Transaction Overview'!$I$2:$I$790,$A106,'Transaction Overview'!$H$2:$H$790,B$4)</f>
        <v>0</v>
      </c>
      <c r="C106" s="13">
        <f>SUMIFS('Transaction Overview'!$D$2:$D$790,'Transaction Overview'!$I$2:$I$790,$A106,'Transaction Overview'!$H$2:$H$790,C$4)</f>
        <v>0</v>
      </c>
      <c r="D106" s="13">
        <f>SUMIFS('Transaction Overview'!$D$2:$D$790,'Transaction Overview'!$I$2:$I$790,$A106,'Transaction Overview'!$H$2:$H$790,D$4)</f>
        <v>0</v>
      </c>
      <c r="E106" s="13">
        <f>SUMIFS('Transaction Overview'!$D$2:$D$790,'Transaction Overview'!$I$2:$I$790,$A106,'Transaction Overview'!$H$2:$H$790,E$4)</f>
        <v>0</v>
      </c>
      <c r="F106" s="13">
        <f>SUMIFS('Transaction Overview'!$D$2:$D$790,'Transaction Overview'!$I$2:$I$790,$A106,'Transaction Overview'!$H$2:$H$790,F$4)</f>
        <v>0</v>
      </c>
      <c r="G106" s="13">
        <f>SUMIFS('Transaction Overview'!$D$2:$D$790,'Transaction Overview'!$I$2:$I$790,$A106,'Transaction Overview'!$H$2:$H$790,G$4)</f>
        <v>0</v>
      </c>
      <c r="H106" s="13">
        <f>SUMIFS('Transaction Overview'!$D$2:$D$790,'Transaction Overview'!$I$2:$I$790,$A106,'Transaction Overview'!$H$2:$H$790,H$4)</f>
        <v>0</v>
      </c>
      <c r="I106" s="13">
        <f>SUMIFS('Transaction Overview'!$D$2:$D$790,'Transaction Overview'!$I$2:$I$790,$A106,'Transaction Overview'!$H$2:$H$790,I$4)</f>
        <v>-44</v>
      </c>
      <c r="J106" s="13">
        <f>SUMIFS('Transaction Overview'!$D$2:$D$790,'Transaction Overview'!$I$2:$I$790,$A106,'Transaction Overview'!$H$2:$H$790,J$4)</f>
        <v>0</v>
      </c>
      <c r="K106" s="13">
        <f>SUMIFS('Transaction Overview'!$D$2:$D$790,'Transaction Overview'!$I$2:$I$790,$A106,'Transaction Overview'!$H$2:$H$790,K$4)</f>
        <v>-127.28</v>
      </c>
      <c r="L106" s="13">
        <f>SUMIFS('Transaction Overview'!$D$2:$D$790,'Transaction Overview'!$I$2:$I$790,$A106,'Transaction Overview'!$H$2:$H$790,L$4)</f>
        <v>-24</v>
      </c>
      <c r="M106" s="13">
        <f>SUMIFS('Transaction Overview'!$D$2:$D$790,'Transaction Overview'!$I$2:$I$790,$A106,'Transaction Overview'!$H$2:$H$790,M$4)</f>
        <v>-40</v>
      </c>
      <c r="N106" s="13">
        <f>SUM(B106:M106)</f>
        <v>-235.28</v>
      </c>
    </row>
    <row r="107" spans="1:14" x14ac:dyDescent="0.25">
      <c r="A107" s="8" t="s">
        <v>789</v>
      </c>
      <c r="B107" s="13">
        <f>SUMIFS('Transaction Overview'!$D$2:$D$790,'Transaction Overview'!$I$2:$I$790,$A107,'Transaction Overview'!$H$2:$H$790,B$4)</f>
        <v>0</v>
      </c>
      <c r="C107" s="13">
        <f>SUMIFS('Transaction Overview'!$D$2:$D$790,'Transaction Overview'!$I$2:$I$790,$A107,'Transaction Overview'!$H$2:$H$790,C$4)</f>
        <v>0</v>
      </c>
      <c r="D107" s="13">
        <f>SUMIFS('Transaction Overview'!$D$2:$D$790,'Transaction Overview'!$I$2:$I$790,$A107,'Transaction Overview'!$H$2:$H$790,D$4)</f>
        <v>0</v>
      </c>
      <c r="E107" s="13">
        <f>SUMIFS('Transaction Overview'!$D$2:$D$790,'Transaction Overview'!$I$2:$I$790,$A107,'Transaction Overview'!$H$2:$H$790,E$4)</f>
        <v>0</v>
      </c>
      <c r="F107" s="13">
        <f>SUMIFS('Transaction Overview'!$D$2:$D$790,'Transaction Overview'!$I$2:$I$790,$A107,'Transaction Overview'!$H$2:$H$790,F$4)</f>
        <v>0</v>
      </c>
      <c r="G107" s="13">
        <f>SUMIFS('Transaction Overview'!$D$2:$D$790,'Transaction Overview'!$I$2:$I$790,$A107,'Transaction Overview'!$H$2:$H$790,G$4)</f>
        <v>0</v>
      </c>
      <c r="H107" s="13">
        <f>SUMIFS('Transaction Overview'!$D$2:$D$790,'Transaction Overview'!$I$2:$I$790,$A107,'Transaction Overview'!$H$2:$H$790,H$4)</f>
        <v>0</v>
      </c>
      <c r="I107" s="13">
        <f>SUMIFS('Transaction Overview'!$D$2:$D$790,'Transaction Overview'!$I$2:$I$790,$A107,'Transaction Overview'!$H$2:$H$790,I$4)</f>
        <v>0</v>
      </c>
      <c r="J107" s="13">
        <f>SUMIFS('Transaction Overview'!$D$2:$D$790,'Transaction Overview'!$I$2:$I$790,$A107,'Transaction Overview'!$H$2:$H$790,J$4)</f>
        <v>0</v>
      </c>
      <c r="K107" s="13">
        <f>SUMIFS('Transaction Overview'!$D$2:$D$790,'Transaction Overview'!$I$2:$I$790,$A107,'Transaction Overview'!$H$2:$H$790,K$4)</f>
        <v>0</v>
      </c>
      <c r="L107" s="13">
        <f>SUMIFS('Transaction Overview'!$D$2:$D$790,'Transaction Overview'!$I$2:$I$790,$A107,'Transaction Overview'!$H$2:$H$790,L$4)</f>
        <v>0</v>
      </c>
      <c r="M107" s="13">
        <f>SUMIFS('Transaction Overview'!$D$2:$D$790,'Transaction Overview'!$I$2:$I$790,$A107,'Transaction Overview'!$H$2:$H$790,M$4)</f>
        <v>-710.99</v>
      </c>
      <c r="N107" s="13">
        <f>SUM(B107:M107)</f>
        <v>-710.99</v>
      </c>
    </row>
    <row r="108" spans="1:14" x14ac:dyDescent="0.25">
      <c r="A108" s="8" t="s">
        <v>796</v>
      </c>
      <c r="B108" s="13">
        <f>SUMIFS('Transaction Overview'!$D$2:$D$790,'Transaction Overview'!$I$2:$I$790,$A108,'Transaction Overview'!$H$2:$H$790,B$4)</f>
        <v>0</v>
      </c>
      <c r="C108" s="13">
        <f>SUMIFS('Transaction Overview'!$D$2:$D$790,'Transaction Overview'!$I$2:$I$790,$A108,'Transaction Overview'!$H$2:$H$790,C$4)</f>
        <v>0</v>
      </c>
      <c r="D108" s="13">
        <f>SUMIFS('Transaction Overview'!$D$2:$D$790,'Transaction Overview'!$I$2:$I$790,$A108,'Transaction Overview'!$H$2:$H$790,D$4)</f>
        <v>-1555.92</v>
      </c>
      <c r="E108" s="13">
        <f>SUMIFS('Transaction Overview'!$D$2:$D$790,'Transaction Overview'!$I$2:$I$790,$A108,'Transaction Overview'!$H$2:$H$790,E$4)</f>
        <v>0</v>
      </c>
      <c r="F108" s="13">
        <f>SUMIFS('Transaction Overview'!$D$2:$D$790,'Transaction Overview'!$I$2:$I$790,$A108,'Transaction Overview'!$H$2:$H$790,F$4)</f>
        <v>0</v>
      </c>
      <c r="G108" s="13">
        <f>SUMIFS('Transaction Overview'!$D$2:$D$790,'Transaction Overview'!$I$2:$I$790,$A108,'Transaction Overview'!$H$2:$H$790,G$4)</f>
        <v>0</v>
      </c>
      <c r="H108" s="13">
        <f>SUMIFS('Transaction Overview'!$D$2:$D$790,'Transaction Overview'!$I$2:$I$790,$A108,'Transaction Overview'!$H$2:$H$790,H$4)</f>
        <v>0</v>
      </c>
      <c r="I108" s="13">
        <f>SUMIFS('Transaction Overview'!$D$2:$D$790,'Transaction Overview'!$I$2:$I$790,$A108,'Transaction Overview'!$H$2:$H$790,I$4)</f>
        <v>0</v>
      </c>
      <c r="J108" s="13">
        <f>SUMIFS('Transaction Overview'!$D$2:$D$790,'Transaction Overview'!$I$2:$I$790,$A108,'Transaction Overview'!$H$2:$H$790,J$4)</f>
        <v>0</v>
      </c>
      <c r="K108" s="13">
        <f>SUMIFS('Transaction Overview'!$D$2:$D$790,'Transaction Overview'!$I$2:$I$790,$A108,'Transaction Overview'!$H$2:$H$790,K$4)</f>
        <v>0</v>
      </c>
      <c r="L108" s="13">
        <f>SUMIFS('Transaction Overview'!$D$2:$D$790,'Transaction Overview'!$I$2:$I$790,$A108,'Transaction Overview'!$H$2:$H$790,L$4)</f>
        <v>0</v>
      </c>
      <c r="M108" s="13">
        <f>SUMIFS('Transaction Overview'!$D$2:$D$790,'Transaction Overview'!$I$2:$I$790,$A108,'Transaction Overview'!$H$2:$H$790,M$4)</f>
        <v>0</v>
      </c>
      <c r="N108" s="13">
        <f>SUM(B108:M108)</f>
        <v>-1555.92</v>
      </c>
    </row>
    <row r="109" spans="1:14" x14ac:dyDescent="0.25">
      <c r="A109" s="8" t="s">
        <v>817</v>
      </c>
      <c r="B109" s="13">
        <f>SUMIFS('Transaction Overview'!$D$2:$D$790,'Transaction Overview'!$I$2:$I$790,$A109,'Transaction Overview'!$H$2:$H$790,B$4)</f>
        <v>0</v>
      </c>
      <c r="C109" s="13">
        <f>SUMIFS('Transaction Overview'!$D$2:$D$790,'Transaction Overview'!$I$2:$I$790,$A109,'Transaction Overview'!$H$2:$H$790,C$4)</f>
        <v>0</v>
      </c>
      <c r="D109" s="13">
        <f>SUMIFS('Transaction Overview'!$D$2:$D$790,'Transaction Overview'!$I$2:$I$790,$A109,'Transaction Overview'!$H$2:$H$790,D$4)</f>
        <v>0</v>
      </c>
      <c r="E109" s="13">
        <f>SUMIFS('Transaction Overview'!$D$2:$D$790,'Transaction Overview'!$I$2:$I$790,$A109,'Transaction Overview'!$H$2:$H$790,E$4)</f>
        <v>0</v>
      </c>
      <c r="F109" s="13">
        <f>SUMIFS('Transaction Overview'!$D$2:$D$790,'Transaction Overview'!$I$2:$I$790,$A109,'Transaction Overview'!$H$2:$H$790,F$4)</f>
        <v>0</v>
      </c>
      <c r="G109" s="13">
        <f>SUMIFS('Transaction Overview'!$D$2:$D$790,'Transaction Overview'!$I$2:$I$790,$A109,'Transaction Overview'!$H$2:$H$790,G$4)</f>
        <v>0</v>
      </c>
      <c r="H109" s="13">
        <f>SUMIFS('Transaction Overview'!$D$2:$D$790,'Transaction Overview'!$I$2:$I$790,$A109,'Transaction Overview'!$H$2:$H$790,H$4)</f>
        <v>0</v>
      </c>
      <c r="I109" s="13">
        <f>SUMIFS('Transaction Overview'!$D$2:$D$790,'Transaction Overview'!$I$2:$I$790,$A109,'Transaction Overview'!$H$2:$H$790,I$4)</f>
        <v>0</v>
      </c>
      <c r="J109" s="13">
        <f>SUMIFS('Transaction Overview'!$D$2:$D$790,'Transaction Overview'!$I$2:$I$790,$A109,'Transaction Overview'!$H$2:$H$790,J$4)</f>
        <v>-213.71</v>
      </c>
      <c r="K109" s="13">
        <f>SUMIFS('Transaction Overview'!$D$2:$D$790,'Transaction Overview'!$I$2:$I$790,$A109,'Transaction Overview'!$H$2:$H$790,K$4)</f>
        <v>0</v>
      </c>
      <c r="L109" s="13">
        <f>SUMIFS('Transaction Overview'!$D$2:$D$790,'Transaction Overview'!$I$2:$I$790,$A109,'Transaction Overview'!$H$2:$H$790,L$4)</f>
        <v>0</v>
      </c>
      <c r="M109" s="13">
        <f>SUMIFS('Transaction Overview'!$D$2:$D$790,'Transaction Overview'!$I$2:$I$790,$A109,'Transaction Overview'!$H$2:$H$790,M$4)</f>
        <v>0</v>
      </c>
      <c r="N109" s="13">
        <f>SUM(B109:M109)</f>
        <v>-213.71</v>
      </c>
    </row>
    <row r="110" spans="1:14" x14ac:dyDescent="0.25">
      <c r="A110" s="8" t="s">
        <v>797</v>
      </c>
      <c r="B110" s="13">
        <f>SUMIFS('Transaction Overview'!$D$2:$D$790,'Transaction Overview'!$I$2:$I$790,$A110,'Transaction Overview'!$H$2:$H$790,B$4)</f>
        <v>0</v>
      </c>
      <c r="C110" s="13">
        <f>SUMIFS('Transaction Overview'!$D$2:$D$790,'Transaction Overview'!$I$2:$I$790,$A110,'Transaction Overview'!$H$2:$H$790,C$4)</f>
        <v>0</v>
      </c>
      <c r="D110" s="13">
        <f>SUMIFS('Transaction Overview'!$D$2:$D$790,'Transaction Overview'!$I$2:$I$790,$A110,'Transaction Overview'!$H$2:$H$790,D$4)</f>
        <v>0</v>
      </c>
      <c r="E110" s="13">
        <f>SUMIFS('Transaction Overview'!$D$2:$D$790,'Transaction Overview'!$I$2:$I$790,$A110,'Transaction Overview'!$H$2:$H$790,E$4)</f>
        <v>-767.07999999999993</v>
      </c>
      <c r="F110" s="13">
        <f>SUMIFS('Transaction Overview'!$D$2:$D$790,'Transaction Overview'!$I$2:$I$790,$A110,'Transaction Overview'!$H$2:$H$790,F$4)</f>
        <v>0</v>
      </c>
      <c r="G110" s="13">
        <f>SUMIFS('Transaction Overview'!$D$2:$D$790,'Transaction Overview'!$I$2:$I$790,$A110,'Transaction Overview'!$H$2:$H$790,G$4)</f>
        <v>0</v>
      </c>
      <c r="H110" s="13">
        <f>SUMIFS('Transaction Overview'!$D$2:$D$790,'Transaction Overview'!$I$2:$I$790,$A110,'Transaction Overview'!$H$2:$H$790,H$4)</f>
        <v>0</v>
      </c>
      <c r="I110" s="13">
        <f>SUMIFS('Transaction Overview'!$D$2:$D$790,'Transaction Overview'!$I$2:$I$790,$A110,'Transaction Overview'!$H$2:$H$790,I$4)</f>
        <v>0</v>
      </c>
      <c r="J110" s="13">
        <f>SUMIFS('Transaction Overview'!$D$2:$D$790,'Transaction Overview'!$I$2:$I$790,$A110,'Transaction Overview'!$H$2:$H$790,J$4)</f>
        <v>0</v>
      </c>
      <c r="K110" s="13">
        <f>SUMIFS('Transaction Overview'!$D$2:$D$790,'Transaction Overview'!$I$2:$I$790,$A110,'Transaction Overview'!$H$2:$H$790,K$4)</f>
        <v>0</v>
      </c>
      <c r="L110" s="13">
        <f>SUMIFS('Transaction Overview'!$D$2:$D$790,'Transaction Overview'!$I$2:$I$790,$A110,'Transaction Overview'!$H$2:$H$790,L$4)</f>
        <v>0</v>
      </c>
      <c r="M110" s="13">
        <f>SUMIFS('Transaction Overview'!$D$2:$D$790,'Transaction Overview'!$I$2:$I$790,$A110,'Transaction Overview'!$H$2:$H$790,M$4)</f>
        <v>0</v>
      </c>
      <c r="N110" s="13">
        <f>SUM(B110:M110)</f>
        <v>-767.07999999999993</v>
      </c>
    </row>
    <row r="111" spans="1:14" x14ac:dyDescent="0.25">
      <c r="A111" s="21" t="s">
        <v>888</v>
      </c>
      <c r="B111" s="22">
        <f>SUMIFS('Transaction Overview'!$D$2:$D$790,'Transaction Overview'!$J$2:$J$790,"Personal — Owner",'Transaction Overview'!$H$2:$H$790,B$4)</f>
        <v>-329.3</v>
      </c>
      <c r="C111" s="22">
        <f>SUMIFS('Transaction Overview'!$D$2:$D$790,'Transaction Overview'!$J$2:$J$790,"Personal — Owner",'Transaction Overview'!$H$2:$H$790,C$4)</f>
        <v>-339.65</v>
      </c>
      <c r="D111" s="22">
        <f>SUMIFS('Transaction Overview'!$D$2:$D$790,'Transaction Overview'!$J$2:$J$790,"Personal — Owner",'Transaction Overview'!$H$2:$H$790,D$4)</f>
        <v>-1924.5700000000002</v>
      </c>
      <c r="E111" s="22">
        <f>SUMIFS('Transaction Overview'!$D$2:$D$790,'Transaction Overview'!$J$2:$J$790,"Personal — Owner",'Transaction Overview'!$H$2:$H$790,E$4)</f>
        <v>-1240.2099999999998</v>
      </c>
      <c r="F111" s="22">
        <f>SUMIFS('Transaction Overview'!$D$2:$D$790,'Transaction Overview'!$J$2:$J$790,"Personal — Owner",'Transaction Overview'!$H$2:$H$790,F$4)</f>
        <v>-585.77999999999986</v>
      </c>
      <c r="G111" s="22">
        <f>SUMIFS('Transaction Overview'!$D$2:$D$790,'Transaction Overview'!$J$2:$J$790,"Personal — Owner",'Transaction Overview'!$H$2:$H$790,G$4)</f>
        <v>-562.56999999999994</v>
      </c>
      <c r="H111" s="22">
        <f>SUMIFS('Transaction Overview'!$D$2:$D$790,'Transaction Overview'!$J$2:$J$790,"Personal — Owner",'Transaction Overview'!$H$2:$H$790,H$4)</f>
        <v>-882.25999999999988</v>
      </c>
      <c r="I111" s="22">
        <f>SUMIFS('Transaction Overview'!$D$2:$D$790,'Transaction Overview'!$J$2:$J$790,"Personal — Owner",'Transaction Overview'!$H$2:$H$790,I$4)</f>
        <v>-2376.8900000000003</v>
      </c>
      <c r="J111" s="22">
        <f>SUMIFS('Transaction Overview'!$D$2:$D$790,'Transaction Overview'!$J$2:$J$790,"Personal — Owner",'Transaction Overview'!$H$2:$H$790,J$4)</f>
        <v>-3605.7599999999998</v>
      </c>
      <c r="K111" s="22">
        <f>SUMIFS('Transaction Overview'!$D$2:$D$790,'Transaction Overview'!$J$2:$J$790,"Personal — Owner",'Transaction Overview'!$H$2:$H$790,K$4)</f>
        <v>-3047.7000000000007</v>
      </c>
      <c r="L111" s="22">
        <f>SUMIFS('Transaction Overview'!$D$2:$D$790,'Transaction Overview'!$J$2:$J$790,"Personal — Owner",'Transaction Overview'!$H$2:$H$790,L$4)</f>
        <v>-704.87</v>
      </c>
      <c r="M111" s="22">
        <f>SUMIFS('Transaction Overview'!$D$2:$D$790,'Transaction Overview'!$J$2:$J$790,"Personal — Owner",'Transaction Overview'!$H$2:$H$790,M$4)</f>
        <v>-3382.21</v>
      </c>
      <c r="N111" s="22">
        <f>SUM(B111:M111)</f>
        <v>-18981.77</v>
      </c>
    </row>
    <row r="112" spans="1:14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x14ac:dyDescent="0.25">
      <c r="A113" s="18" t="s">
        <v>844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</row>
    <row r="114" spans="1:14" x14ac:dyDescent="0.25">
      <c r="A114" s="8" t="s">
        <v>808</v>
      </c>
      <c r="B114" s="13">
        <f>SUMIFS('Transaction Overview'!$D$2:$D$790,'Transaction Overview'!$I$2:$I$790,$A114,'Transaction Overview'!$H$2:$H$790,B$4)</f>
        <v>0</v>
      </c>
      <c r="C114" s="13">
        <f>SUMIFS('Transaction Overview'!$D$2:$D$790,'Transaction Overview'!$I$2:$I$790,$A114,'Transaction Overview'!$H$2:$H$790,C$4)</f>
        <v>0</v>
      </c>
      <c r="D114" s="13">
        <f>SUMIFS('Transaction Overview'!$D$2:$D$790,'Transaction Overview'!$I$2:$I$790,$A114,'Transaction Overview'!$H$2:$H$790,D$4)</f>
        <v>0</v>
      </c>
      <c r="E114" s="13">
        <f>SUMIFS('Transaction Overview'!$D$2:$D$790,'Transaction Overview'!$I$2:$I$790,$A114,'Transaction Overview'!$H$2:$H$790,E$4)</f>
        <v>0</v>
      </c>
      <c r="F114" s="13">
        <f>SUMIFS('Transaction Overview'!$D$2:$D$790,'Transaction Overview'!$I$2:$I$790,$A114,'Transaction Overview'!$H$2:$H$790,F$4)</f>
        <v>0</v>
      </c>
      <c r="G114" s="13">
        <f>SUMIFS('Transaction Overview'!$D$2:$D$790,'Transaction Overview'!$I$2:$I$790,$A114,'Transaction Overview'!$H$2:$H$790,G$4)</f>
        <v>0</v>
      </c>
      <c r="H114" s="13">
        <f>SUMIFS('Transaction Overview'!$D$2:$D$790,'Transaction Overview'!$I$2:$I$790,$A114,'Transaction Overview'!$H$2:$H$790,H$4)</f>
        <v>-5000</v>
      </c>
      <c r="I114" s="13">
        <f>SUMIFS('Transaction Overview'!$D$2:$D$790,'Transaction Overview'!$I$2:$I$790,$A114,'Transaction Overview'!$H$2:$H$790,I$4)</f>
        <v>0</v>
      </c>
      <c r="J114" s="13">
        <f>SUMIFS('Transaction Overview'!$D$2:$D$790,'Transaction Overview'!$I$2:$I$790,$A114,'Transaction Overview'!$H$2:$H$790,J$4)</f>
        <v>0</v>
      </c>
      <c r="K114" s="13">
        <f>SUMIFS('Transaction Overview'!$D$2:$D$790,'Transaction Overview'!$I$2:$I$790,$A114,'Transaction Overview'!$H$2:$H$790,K$4)</f>
        <v>0</v>
      </c>
      <c r="L114" s="13">
        <f>SUMIFS('Transaction Overview'!$D$2:$D$790,'Transaction Overview'!$I$2:$I$790,$A114,'Transaction Overview'!$H$2:$H$790,L$4)</f>
        <v>0</v>
      </c>
      <c r="M114" s="13">
        <f>SUMIFS('Transaction Overview'!$D$2:$D$790,'Transaction Overview'!$I$2:$I$790,$A114,'Transaction Overview'!$H$2:$H$790,M$4)</f>
        <v>0</v>
      </c>
      <c r="N114" s="13">
        <f>SUM(B114:M114)</f>
        <v>-5000</v>
      </c>
    </row>
    <row r="115" spans="1:14" x14ac:dyDescent="0.25">
      <c r="A115" s="8" t="s">
        <v>781</v>
      </c>
      <c r="B115" s="13">
        <f>SUMIFS('Transaction Overview'!$D$2:$D$790,'Transaction Overview'!$I$2:$I$790,$A115,'Transaction Overview'!$H$2:$H$790,B$4)</f>
        <v>0</v>
      </c>
      <c r="C115" s="13">
        <f>SUMIFS('Transaction Overview'!$D$2:$D$790,'Transaction Overview'!$I$2:$I$790,$A115,'Transaction Overview'!$H$2:$H$790,C$4)</f>
        <v>0</v>
      </c>
      <c r="D115" s="13">
        <f>SUMIFS('Transaction Overview'!$D$2:$D$790,'Transaction Overview'!$I$2:$I$790,$A115,'Transaction Overview'!$H$2:$H$790,D$4)</f>
        <v>0</v>
      </c>
      <c r="E115" s="13">
        <f>SUMIFS('Transaction Overview'!$D$2:$D$790,'Transaction Overview'!$I$2:$I$790,$A115,'Transaction Overview'!$H$2:$H$790,E$4)</f>
        <v>0</v>
      </c>
      <c r="F115" s="13">
        <f>SUMIFS('Transaction Overview'!$D$2:$D$790,'Transaction Overview'!$I$2:$I$790,$A115,'Transaction Overview'!$H$2:$H$790,F$4)</f>
        <v>0</v>
      </c>
      <c r="G115" s="13">
        <f>SUMIFS('Transaction Overview'!$D$2:$D$790,'Transaction Overview'!$I$2:$I$790,$A115,'Transaction Overview'!$H$2:$H$790,G$4)</f>
        <v>0</v>
      </c>
      <c r="H115" s="13">
        <f>SUMIFS('Transaction Overview'!$D$2:$D$790,'Transaction Overview'!$I$2:$I$790,$A115,'Transaction Overview'!$H$2:$H$790,H$4)</f>
        <v>0</v>
      </c>
      <c r="I115" s="13">
        <f>SUMIFS('Transaction Overview'!$D$2:$D$790,'Transaction Overview'!$I$2:$I$790,$A115,'Transaction Overview'!$H$2:$H$790,I$4)</f>
        <v>0</v>
      </c>
      <c r="J115" s="13">
        <f>SUMIFS('Transaction Overview'!$D$2:$D$790,'Transaction Overview'!$I$2:$I$790,$A115,'Transaction Overview'!$H$2:$H$790,J$4)</f>
        <v>0</v>
      </c>
      <c r="K115" s="13">
        <f>SUMIFS('Transaction Overview'!$D$2:$D$790,'Transaction Overview'!$I$2:$I$790,$A115,'Transaction Overview'!$H$2:$H$790,K$4)</f>
        <v>-10000</v>
      </c>
      <c r="L115" s="13">
        <f>SUMIFS('Transaction Overview'!$D$2:$D$790,'Transaction Overview'!$I$2:$I$790,$A115,'Transaction Overview'!$H$2:$H$790,L$4)</f>
        <v>0</v>
      </c>
      <c r="M115" s="13">
        <f>SUMIFS('Transaction Overview'!$D$2:$D$790,'Transaction Overview'!$I$2:$I$790,$A115,'Transaction Overview'!$H$2:$H$790,M$4)</f>
        <v>0</v>
      </c>
      <c r="N115" s="13">
        <f>SUM(B115:M115)</f>
        <v>-10000</v>
      </c>
    </row>
    <row r="116" spans="1:14" x14ac:dyDescent="0.25">
      <c r="A116" s="8" t="s">
        <v>784</v>
      </c>
      <c r="B116" s="13">
        <f>SUMIFS('Transaction Overview'!$D$2:$D$790,'Transaction Overview'!$I$2:$I$790,$A116,'Transaction Overview'!$H$2:$H$790,B$4)</f>
        <v>-80</v>
      </c>
      <c r="C116" s="13">
        <f>SUMIFS('Transaction Overview'!$D$2:$D$790,'Transaction Overview'!$I$2:$I$790,$A116,'Transaction Overview'!$H$2:$H$790,C$4)</f>
        <v>-50</v>
      </c>
      <c r="D116" s="13">
        <f>SUMIFS('Transaction Overview'!$D$2:$D$790,'Transaction Overview'!$I$2:$I$790,$A116,'Transaction Overview'!$H$2:$H$790,D$4)</f>
        <v>-65</v>
      </c>
      <c r="E116" s="13">
        <f>SUMIFS('Transaction Overview'!$D$2:$D$790,'Transaction Overview'!$I$2:$I$790,$A116,'Transaction Overview'!$H$2:$H$790,E$4)</f>
        <v>-25</v>
      </c>
      <c r="F116" s="13">
        <f>SUMIFS('Transaction Overview'!$D$2:$D$790,'Transaction Overview'!$I$2:$I$790,$A116,'Transaction Overview'!$H$2:$H$790,F$4)</f>
        <v>-25</v>
      </c>
      <c r="G116" s="13">
        <f>SUMIFS('Transaction Overview'!$D$2:$D$790,'Transaction Overview'!$I$2:$I$790,$A116,'Transaction Overview'!$H$2:$H$790,G$4)</f>
        <v>-75</v>
      </c>
      <c r="H116" s="13">
        <f>SUMIFS('Transaction Overview'!$D$2:$D$790,'Transaction Overview'!$I$2:$I$790,$A116,'Transaction Overview'!$H$2:$H$790,H$4)</f>
        <v>-45</v>
      </c>
      <c r="I116" s="13">
        <f>SUMIFS('Transaction Overview'!$D$2:$D$790,'Transaction Overview'!$I$2:$I$790,$A116,'Transaction Overview'!$H$2:$H$790,I$4)</f>
        <v>-40</v>
      </c>
      <c r="J116" s="13">
        <f>SUMIFS('Transaction Overview'!$D$2:$D$790,'Transaction Overview'!$I$2:$I$790,$A116,'Transaction Overview'!$H$2:$H$790,J$4)</f>
        <v>-5</v>
      </c>
      <c r="K116" s="13">
        <f>SUMIFS('Transaction Overview'!$D$2:$D$790,'Transaction Overview'!$I$2:$I$790,$A116,'Transaction Overview'!$H$2:$H$790,K$4)</f>
        <v>-50</v>
      </c>
      <c r="L116" s="13">
        <f>SUMIFS('Transaction Overview'!$D$2:$D$790,'Transaction Overview'!$I$2:$I$790,$A116,'Transaction Overview'!$H$2:$H$790,L$4)</f>
        <v>0</v>
      </c>
      <c r="M116" s="13">
        <f>SUMIFS('Transaction Overview'!$D$2:$D$790,'Transaction Overview'!$I$2:$I$790,$A116,'Transaction Overview'!$H$2:$H$790,M$4)</f>
        <v>-370</v>
      </c>
      <c r="N116" s="13">
        <f>SUM(B116:M116)</f>
        <v>-830</v>
      </c>
    </row>
    <row r="117" spans="1:14" x14ac:dyDescent="0.25">
      <c r="A117" s="8" t="s">
        <v>838</v>
      </c>
      <c r="B117" s="13">
        <f>SUMIFS('Transaction Overview'!$D$2:$D$790,'Transaction Overview'!$I$2:$I$790,$A117,'Transaction Overview'!$H$2:$H$790,B$4)</f>
        <v>0</v>
      </c>
      <c r="C117" s="13">
        <f>SUMIFS('Transaction Overview'!$D$2:$D$790,'Transaction Overview'!$I$2:$I$790,$A117,'Transaction Overview'!$H$2:$H$790,C$4)</f>
        <v>0</v>
      </c>
      <c r="D117" s="13">
        <f>SUMIFS('Transaction Overview'!$D$2:$D$790,'Transaction Overview'!$I$2:$I$790,$A117,'Transaction Overview'!$H$2:$H$790,D$4)</f>
        <v>0</v>
      </c>
      <c r="E117" s="13">
        <f>SUMIFS('Transaction Overview'!$D$2:$D$790,'Transaction Overview'!$I$2:$I$790,$A117,'Transaction Overview'!$H$2:$H$790,E$4)</f>
        <v>0</v>
      </c>
      <c r="F117" s="13">
        <f>SUMIFS('Transaction Overview'!$D$2:$D$790,'Transaction Overview'!$I$2:$I$790,$A117,'Transaction Overview'!$H$2:$H$790,F$4)</f>
        <v>0</v>
      </c>
      <c r="G117" s="13">
        <f>SUMIFS('Transaction Overview'!$D$2:$D$790,'Transaction Overview'!$I$2:$I$790,$A117,'Transaction Overview'!$H$2:$H$790,G$4)</f>
        <v>0</v>
      </c>
      <c r="H117" s="13">
        <f>SUMIFS('Transaction Overview'!$D$2:$D$790,'Transaction Overview'!$I$2:$I$790,$A117,'Transaction Overview'!$H$2:$H$790,H$4)</f>
        <v>0</v>
      </c>
      <c r="I117" s="13">
        <f>SUMIFS('Transaction Overview'!$D$2:$D$790,'Transaction Overview'!$I$2:$I$790,$A117,'Transaction Overview'!$H$2:$H$790,I$4)</f>
        <v>0</v>
      </c>
      <c r="J117" s="13">
        <f>SUMIFS('Transaction Overview'!$D$2:$D$790,'Transaction Overview'!$I$2:$I$790,$A117,'Transaction Overview'!$H$2:$H$790,J$4)</f>
        <v>0</v>
      </c>
      <c r="K117" s="13">
        <f>SUMIFS('Transaction Overview'!$D$2:$D$790,'Transaction Overview'!$I$2:$I$790,$A117,'Transaction Overview'!$H$2:$H$790,K$4)</f>
        <v>0</v>
      </c>
      <c r="L117" s="13">
        <f>SUMIFS('Transaction Overview'!$D$2:$D$790,'Transaction Overview'!$I$2:$I$790,$A117,'Transaction Overview'!$H$2:$H$790,L$4)</f>
        <v>0</v>
      </c>
      <c r="M117" s="13">
        <f>SUMIFS('Transaction Overview'!$D$2:$D$790,'Transaction Overview'!$I$2:$I$790,$A117,'Transaction Overview'!$H$2:$H$790,M$4)</f>
        <v>-4605.49</v>
      </c>
      <c r="N117" s="13">
        <f>SUM(B117:M117)</f>
        <v>-4605.49</v>
      </c>
    </row>
    <row r="118" spans="1:14" x14ac:dyDescent="0.25">
      <c r="A118" s="8" t="s">
        <v>822</v>
      </c>
      <c r="B118" s="13">
        <f>SUMIFS('Transaction Overview'!$D$2:$D$790,'Transaction Overview'!$I$2:$I$790,$A118,'Transaction Overview'!$H$2:$H$790,B$4)</f>
        <v>0</v>
      </c>
      <c r="C118" s="13">
        <f>SUMIFS('Transaction Overview'!$D$2:$D$790,'Transaction Overview'!$I$2:$I$790,$A118,'Transaction Overview'!$H$2:$H$790,C$4)</f>
        <v>0</v>
      </c>
      <c r="D118" s="13">
        <f>SUMIFS('Transaction Overview'!$D$2:$D$790,'Transaction Overview'!$I$2:$I$790,$A118,'Transaction Overview'!$H$2:$H$790,D$4)</f>
        <v>0</v>
      </c>
      <c r="E118" s="13">
        <f>SUMIFS('Transaction Overview'!$D$2:$D$790,'Transaction Overview'!$I$2:$I$790,$A118,'Transaction Overview'!$H$2:$H$790,E$4)</f>
        <v>0</v>
      </c>
      <c r="F118" s="13">
        <f>SUMIFS('Transaction Overview'!$D$2:$D$790,'Transaction Overview'!$I$2:$I$790,$A118,'Transaction Overview'!$H$2:$H$790,F$4)</f>
        <v>0</v>
      </c>
      <c r="G118" s="13">
        <f>SUMIFS('Transaction Overview'!$D$2:$D$790,'Transaction Overview'!$I$2:$I$790,$A118,'Transaction Overview'!$H$2:$H$790,G$4)</f>
        <v>0</v>
      </c>
      <c r="H118" s="13">
        <f>SUMIFS('Transaction Overview'!$D$2:$D$790,'Transaction Overview'!$I$2:$I$790,$A118,'Transaction Overview'!$H$2:$H$790,H$4)</f>
        <v>0</v>
      </c>
      <c r="I118" s="13">
        <f>SUMIFS('Transaction Overview'!$D$2:$D$790,'Transaction Overview'!$I$2:$I$790,$A118,'Transaction Overview'!$H$2:$H$790,I$4)</f>
        <v>0</v>
      </c>
      <c r="J118" s="13">
        <f>SUMIFS('Transaction Overview'!$D$2:$D$790,'Transaction Overview'!$I$2:$I$790,$A118,'Transaction Overview'!$H$2:$H$790,J$4)</f>
        <v>0</v>
      </c>
      <c r="K118" s="13">
        <f>SUMIFS('Transaction Overview'!$D$2:$D$790,'Transaction Overview'!$I$2:$I$790,$A118,'Transaction Overview'!$H$2:$H$790,K$4)</f>
        <v>-23593</v>
      </c>
      <c r="L118" s="13">
        <f>SUMIFS('Transaction Overview'!$D$2:$D$790,'Transaction Overview'!$I$2:$I$790,$A118,'Transaction Overview'!$H$2:$H$790,L$4)</f>
        <v>-102.9</v>
      </c>
      <c r="M118" s="13">
        <f>SUMIFS('Transaction Overview'!$D$2:$D$790,'Transaction Overview'!$I$2:$I$790,$A118,'Transaction Overview'!$H$2:$H$790,M$4)</f>
        <v>0</v>
      </c>
      <c r="N118" s="13">
        <f>SUM(B118:M118)</f>
        <v>-23695.9</v>
      </c>
    </row>
    <row r="119" spans="1:14" x14ac:dyDescent="0.25">
      <c r="A119" s="21" t="s">
        <v>889</v>
      </c>
      <c r="B119" s="22">
        <f>SUMIFS('Transaction Overview'!$D$2:$D$790,'Transaction Overview'!$J$2:$J$790,"DWG Operating",'Transaction Overview'!$H$2:$H$790,B$4)</f>
        <v>-80</v>
      </c>
      <c r="C119" s="22">
        <f>SUMIFS('Transaction Overview'!$D$2:$D$790,'Transaction Overview'!$J$2:$J$790,"DWG Operating",'Transaction Overview'!$H$2:$H$790,C$4)</f>
        <v>-50</v>
      </c>
      <c r="D119" s="22">
        <f>SUMIFS('Transaction Overview'!$D$2:$D$790,'Transaction Overview'!$J$2:$J$790,"DWG Operating",'Transaction Overview'!$H$2:$H$790,D$4)</f>
        <v>-65</v>
      </c>
      <c r="E119" s="22">
        <f>SUMIFS('Transaction Overview'!$D$2:$D$790,'Transaction Overview'!$J$2:$J$790,"DWG Operating",'Transaction Overview'!$H$2:$H$790,E$4)</f>
        <v>-25</v>
      </c>
      <c r="F119" s="22">
        <f>SUMIFS('Transaction Overview'!$D$2:$D$790,'Transaction Overview'!$J$2:$J$790,"DWG Operating",'Transaction Overview'!$H$2:$H$790,F$4)</f>
        <v>-25</v>
      </c>
      <c r="G119" s="22">
        <f>SUMIFS('Transaction Overview'!$D$2:$D$790,'Transaction Overview'!$J$2:$J$790,"DWG Operating",'Transaction Overview'!$H$2:$H$790,G$4)</f>
        <v>-75</v>
      </c>
      <c r="H119" s="22">
        <f>SUMIFS('Transaction Overview'!$D$2:$D$790,'Transaction Overview'!$J$2:$J$790,"DWG Operating",'Transaction Overview'!$H$2:$H$790,H$4)</f>
        <v>-5045</v>
      </c>
      <c r="I119" s="22">
        <f>SUMIFS('Transaction Overview'!$D$2:$D$790,'Transaction Overview'!$J$2:$J$790,"DWG Operating",'Transaction Overview'!$H$2:$H$790,I$4)</f>
        <v>-40</v>
      </c>
      <c r="J119" s="22">
        <f>SUMIFS('Transaction Overview'!$D$2:$D$790,'Transaction Overview'!$J$2:$J$790,"DWG Operating",'Transaction Overview'!$H$2:$H$790,J$4)</f>
        <v>-5</v>
      </c>
      <c r="K119" s="22">
        <f>SUMIFS('Transaction Overview'!$D$2:$D$790,'Transaction Overview'!$J$2:$J$790,"DWG Operating",'Transaction Overview'!$H$2:$H$790,K$4)</f>
        <v>-33643</v>
      </c>
      <c r="L119" s="22">
        <f>SUMIFS('Transaction Overview'!$D$2:$D$790,'Transaction Overview'!$J$2:$J$790,"DWG Operating",'Transaction Overview'!$H$2:$H$790,L$4)</f>
        <v>-102.9</v>
      </c>
      <c r="M119" s="22">
        <f>SUMIFS('Transaction Overview'!$D$2:$D$790,'Transaction Overview'!$J$2:$J$790,"DWG Operating",'Transaction Overview'!$H$2:$H$790,M$4)</f>
        <v>-4975.49</v>
      </c>
      <c r="N119" s="22">
        <f>SUM(B119:M119)</f>
        <v>-44131.39</v>
      </c>
    </row>
    <row r="120" spans="1:14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x14ac:dyDescent="0.25">
      <c r="A121" s="18" t="s">
        <v>850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</row>
    <row r="122" spans="1:14" x14ac:dyDescent="0.25">
      <c r="A122" s="8" t="s">
        <v>816</v>
      </c>
      <c r="B122" s="13">
        <f>SUMIFS('Transaction Overview'!$D$2:$D$790,'Transaction Overview'!$I$2:$I$790,$A122,'Transaction Overview'!$H$2:$H$790,B$4)</f>
        <v>0</v>
      </c>
      <c r="C122" s="13">
        <f>SUMIFS('Transaction Overview'!$D$2:$D$790,'Transaction Overview'!$I$2:$I$790,$A122,'Transaction Overview'!$H$2:$H$790,C$4)</f>
        <v>0</v>
      </c>
      <c r="D122" s="13">
        <f>SUMIFS('Transaction Overview'!$D$2:$D$790,'Transaction Overview'!$I$2:$I$790,$A122,'Transaction Overview'!$H$2:$H$790,D$4)</f>
        <v>0</v>
      </c>
      <c r="E122" s="13">
        <f>SUMIFS('Transaction Overview'!$D$2:$D$790,'Transaction Overview'!$I$2:$I$790,$A122,'Transaction Overview'!$H$2:$H$790,E$4)</f>
        <v>0</v>
      </c>
      <c r="F122" s="13">
        <f>SUMIFS('Transaction Overview'!$D$2:$D$790,'Transaction Overview'!$I$2:$I$790,$A122,'Transaction Overview'!$H$2:$H$790,F$4)</f>
        <v>0</v>
      </c>
      <c r="G122" s="13">
        <f>SUMIFS('Transaction Overview'!$D$2:$D$790,'Transaction Overview'!$I$2:$I$790,$A122,'Transaction Overview'!$H$2:$H$790,G$4)</f>
        <v>0</v>
      </c>
      <c r="H122" s="13">
        <f>SUMIFS('Transaction Overview'!$D$2:$D$790,'Transaction Overview'!$I$2:$I$790,$A122,'Transaction Overview'!$H$2:$H$790,H$4)</f>
        <v>0</v>
      </c>
      <c r="I122" s="13">
        <f>SUMIFS('Transaction Overview'!$D$2:$D$790,'Transaction Overview'!$I$2:$I$790,$A122,'Transaction Overview'!$H$2:$H$790,I$4)</f>
        <v>3000</v>
      </c>
      <c r="J122" s="13">
        <f>SUMIFS('Transaction Overview'!$D$2:$D$790,'Transaction Overview'!$I$2:$I$790,$A122,'Transaction Overview'!$H$2:$H$790,J$4)</f>
        <v>0</v>
      </c>
      <c r="K122" s="13">
        <f>SUMIFS('Transaction Overview'!$D$2:$D$790,'Transaction Overview'!$I$2:$I$790,$A122,'Transaction Overview'!$H$2:$H$790,K$4)</f>
        <v>0</v>
      </c>
      <c r="L122" s="13">
        <f>SUMIFS('Transaction Overview'!$D$2:$D$790,'Transaction Overview'!$I$2:$I$790,$A122,'Transaction Overview'!$H$2:$H$790,L$4)</f>
        <v>0</v>
      </c>
      <c r="M122" s="13">
        <f>SUMIFS('Transaction Overview'!$D$2:$D$790,'Transaction Overview'!$I$2:$I$790,$A122,'Transaction Overview'!$H$2:$H$790,M$4)</f>
        <v>0</v>
      </c>
      <c r="N122" s="13">
        <f>SUM(B122:M122)</f>
        <v>3000</v>
      </c>
    </row>
    <row r="123" spans="1:14" x14ac:dyDescent="0.25">
      <c r="A123" s="21" t="s">
        <v>890</v>
      </c>
      <c r="B123" s="22">
        <f>SUMIFS('Transaction Overview'!$D$2:$D$790,'Transaction Overview'!$J$2:$J$790,"Uncategorized — Review",'Transaction Overview'!$H$2:$H$790,B$4)</f>
        <v>0</v>
      </c>
      <c r="C123" s="22">
        <f>SUMIFS('Transaction Overview'!$D$2:$D$790,'Transaction Overview'!$J$2:$J$790,"Uncategorized — Review",'Transaction Overview'!$H$2:$H$790,C$4)</f>
        <v>0</v>
      </c>
      <c r="D123" s="22">
        <f>SUMIFS('Transaction Overview'!$D$2:$D$790,'Transaction Overview'!$J$2:$J$790,"Uncategorized — Review",'Transaction Overview'!$H$2:$H$790,D$4)</f>
        <v>0</v>
      </c>
      <c r="E123" s="22">
        <f>SUMIFS('Transaction Overview'!$D$2:$D$790,'Transaction Overview'!$J$2:$J$790,"Uncategorized — Review",'Transaction Overview'!$H$2:$H$790,E$4)</f>
        <v>0</v>
      </c>
      <c r="F123" s="22">
        <f>SUMIFS('Transaction Overview'!$D$2:$D$790,'Transaction Overview'!$J$2:$J$790,"Uncategorized — Review",'Transaction Overview'!$H$2:$H$790,F$4)</f>
        <v>0</v>
      </c>
      <c r="G123" s="22">
        <f>SUMIFS('Transaction Overview'!$D$2:$D$790,'Transaction Overview'!$J$2:$J$790,"Uncategorized — Review",'Transaction Overview'!$H$2:$H$790,G$4)</f>
        <v>0</v>
      </c>
      <c r="H123" s="22">
        <f>SUMIFS('Transaction Overview'!$D$2:$D$790,'Transaction Overview'!$J$2:$J$790,"Uncategorized — Review",'Transaction Overview'!$H$2:$H$790,H$4)</f>
        <v>0</v>
      </c>
      <c r="I123" s="22">
        <f>SUMIFS('Transaction Overview'!$D$2:$D$790,'Transaction Overview'!$J$2:$J$790,"Uncategorized — Review",'Transaction Overview'!$H$2:$H$790,I$4)</f>
        <v>3000</v>
      </c>
      <c r="J123" s="22">
        <f>SUMIFS('Transaction Overview'!$D$2:$D$790,'Transaction Overview'!$J$2:$J$790,"Uncategorized — Review",'Transaction Overview'!$H$2:$H$790,J$4)</f>
        <v>0</v>
      </c>
      <c r="K123" s="22">
        <f>SUMIFS('Transaction Overview'!$D$2:$D$790,'Transaction Overview'!$J$2:$J$790,"Uncategorized — Review",'Transaction Overview'!$H$2:$H$790,K$4)</f>
        <v>0</v>
      </c>
      <c r="L123" s="22">
        <f>SUMIFS('Transaction Overview'!$D$2:$D$790,'Transaction Overview'!$J$2:$J$790,"Uncategorized — Review",'Transaction Overview'!$H$2:$H$790,L$4)</f>
        <v>0</v>
      </c>
      <c r="M123" s="22">
        <f>SUMIFS('Transaction Overview'!$D$2:$D$790,'Transaction Overview'!$J$2:$J$790,"Uncategorized — Review",'Transaction Overview'!$H$2:$H$790,M$4)</f>
        <v>0</v>
      </c>
      <c r="N123" s="22">
        <f>SUM(B123:M123)</f>
        <v>3000</v>
      </c>
    </row>
    <row r="124" spans="1:14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ECD8-411B-484F-922F-0EF16294B336}">
  <dimension ref="A1:O82"/>
  <sheetViews>
    <sheetView workbookViewId="0"/>
  </sheetViews>
  <sheetFormatPr defaultRowHeight="15" x14ac:dyDescent="0.25"/>
  <cols>
    <col min="1" max="1" width="62.5703125" bestFit="1" customWidth="1"/>
    <col min="2" max="2" width="33.5703125" bestFit="1" customWidth="1"/>
  </cols>
  <sheetData>
    <row r="1" spans="1:15" ht="21" x14ac:dyDescent="0.35">
      <c r="A1" s="6" t="s">
        <v>862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4" t="s">
        <v>893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4" spans="1:15" x14ac:dyDescent="0.25">
      <c r="A4" s="16" t="s">
        <v>860</v>
      </c>
      <c r="B4" s="16" t="s">
        <v>843</v>
      </c>
      <c r="C4" s="17">
        <f>DATE(2025,1,1)</f>
        <v>45658</v>
      </c>
      <c r="D4" s="17">
        <f>DATE(2025,2,1)</f>
        <v>45689</v>
      </c>
      <c r="E4" s="17">
        <f>DATE(2025,3,1)</f>
        <v>45717</v>
      </c>
      <c r="F4" s="17">
        <f>DATE(2025,4,1)</f>
        <v>45748</v>
      </c>
      <c r="G4" s="17">
        <f>DATE(2025,5,1)</f>
        <v>45778</v>
      </c>
      <c r="H4" s="17">
        <f>DATE(2025,6,1)</f>
        <v>45809</v>
      </c>
      <c r="I4" s="17">
        <f>DATE(2025,7,1)</f>
        <v>45839</v>
      </c>
      <c r="J4" s="17">
        <f>DATE(2025,8,1)</f>
        <v>45870</v>
      </c>
      <c r="K4" s="17">
        <f>DATE(2025,9,1)</f>
        <v>45901</v>
      </c>
      <c r="L4" s="17">
        <f>DATE(2025,10,1)</f>
        <v>45931</v>
      </c>
      <c r="M4" s="17">
        <f>DATE(2025,11,1)</f>
        <v>45962</v>
      </c>
      <c r="N4" s="17">
        <f>DATE(2025,12,1)</f>
        <v>45992</v>
      </c>
      <c r="O4" s="16" t="s">
        <v>892</v>
      </c>
    </row>
    <row r="5" spans="1:15" x14ac:dyDescent="0.25">
      <c r="A5" s="8" t="s">
        <v>774</v>
      </c>
      <c r="B5" s="8" t="s">
        <v>849</v>
      </c>
      <c r="C5" s="13">
        <f>SUMIFS('Transaction Overview'!$D$2:$D$790,'Transaction Overview'!$G$2:$G$790,$A5,'Transaction Overview'!$H$2:$H$790,C$4)</f>
        <v>350</v>
      </c>
      <c r="D5" s="13">
        <f>SUMIFS('Transaction Overview'!$D$2:$D$790,'Transaction Overview'!$G$2:$G$790,$A5,'Transaction Overview'!$H$2:$H$790,D$4)</f>
        <v>350</v>
      </c>
      <c r="E5" s="13">
        <f>SUMIFS('Transaction Overview'!$D$2:$D$790,'Transaction Overview'!$G$2:$G$790,$A5,'Transaction Overview'!$H$2:$H$790,E$4)</f>
        <v>350</v>
      </c>
      <c r="F5" s="13">
        <f>SUMIFS('Transaction Overview'!$D$2:$D$790,'Transaction Overview'!$G$2:$G$790,$A5,'Transaction Overview'!$H$2:$H$790,F$4)</f>
        <v>350</v>
      </c>
      <c r="G5" s="13">
        <f>SUMIFS('Transaction Overview'!$D$2:$D$790,'Transaction Overview'!$G$2:$G$790,$A5,'Transaction Overview'!$H$2:$H$790,G$4)</f>
        <v>350</v>
      </c>
      <c r="H5" s="13">
        <f>SUMIFS('Transaction Overview'!$D$2:$D$790,'Transaction Overview'!$G$2:$G$790,$A5,'Transaction Overview'!$H$2:$H$790,H$4)</f>
        <v>350</v>
      </c>
      <c r="I5" s="13">
        <f>SUMIFS('Transaction Overview'!$D$2:$D$790,'Transaction Overview'!$G$2:$G$790,$A5,'Transaction Overview'!$H$2:$H$790,I$4)</f>
        <v>350</v>
      </c>
      <c r="J5" s="13">
        <f>SUMIFS('Transaction Overview'!$D$2:$D$790,'Transaction Overview'!$G$2:$G$790,$A5,'Transaction Overview'!$H$2:$H$790,J$4)</f>
        <v>350</v>
      </c>
      <c r="K5" s="13">
        <f>SUMIFS('Transaction Overview'!$D$2:$D$790,'Transaction Overview'!$G$2:$G$790,$A5,'Transaction Overview'!$H$2:$H$790,K$4)</f>
        <v>350</v>
      </c>
      <c r="L5" s="13">
        <f>SUMIFS('Transaction Overview'!$D$2:$D$790,'Transaction Overview'!$G$2:$G$790,$A5,'Transaction Overview'!$H$2:$H$790,L$4)</f>
        <v>350</v>
      </c>
      <c r="M5" s="13">
        <f>SUMIFS('Transaction Overview'!$D$2:$D$790,'Transaction Overview'!$G$2:$G$790,$A5,'Transaction Overview'!$H$2:$H$790,M$4)</f>
        <v>350</v>
      </c>
      <c r="N5" s="13">
        <f>SUMIFS('Transaction Overview'!$D$2:$D$790,'Transaction Overview'!$G$2:$G$790,$A5,'Transaction Overview'!$H$2:$H$790,N$4)</f>
        <v>350</v>
      </c>
      <c r="O5" s="13">
        <f>SUM(C5:N5)</f>
        <v>4200</v>
      </c>
    </row>
    <row r="6" spans="1:15" x14ac:dyDescent="0.25">
      <c r="A6" s="8" t="s">
        <v>836</v>
      </c>
      <c r="B6" s="8" t="s">
        <v>849</v>
      </c>
      <c r="C6" s="13">
        <f>SUMIFS('Transaction Overview'!$D$2:$D$790,'Transaction Overview'!$G$2:$G$790,$A6,'Transaction Overview'!$H$2:$H$790,C$4)</f>
        <v>0</v>
      </c>
      <c r="D6" s="13">
        <f>SUMIFS('Transaction Overview'!$D$2:$D$790,'Transaction Overview'!$G$2:$G$790,$A6,'Transaction Overview'!$H$2:$H$790,D$4)</f>
        <v>0</v>
      </c>
      <c r="E6" s="13">
        <f>SUMIFS('Transaction Overview'!$D$2:$D$790,'Transaction Overview'!$G$2:$G$790,$A6,'Transaction Overview'!$H$2:$H$790,E$4)</f>
        <v>0</v>
      </c>
      <c r="F6" s="13">
        <f>SUMIFS('Transaction Overview'!$D$2:$D$790,'Transaction Overview'!$G$2:$G$790,$A6,'Transaction Overview'!$H$2:$H$790,F$4)</f>
        <v>0</v>
      </c>
      <c r="G6" s="13">
        <f>SUMIFS('Transaction Overview'!$D$2:$D$790,'Transaction Overview'!$G$2:$G$790,$A6,'Transaction Overview'!$H$2:$H$790,G$4)</f>
        <v>0</v>
      </c>
      <c r="H6" s="13">
        <f>SUMIFS('Transaction Overview'!$D$2:$D$790,'Transaction Overview'!$G$2:$G$790,$A6,'Transaction Overview'!$H$2:$H$790,H$4)</f>
        <v>0</v>
      </c>
      <c r="I6" s="13">
        <f>SUMIFS('Transaction Overview'!$D$2:$D$790,'Transaction Overview'!$G$2:$G$790,$A6,'Transaction Overview'!$H$2:$H$790,I$4)</f>
        <v>0</v>
      </c>
      <c r="J6" s="13">
        <f>SUMIFS('Transaction Overview'!$D$2:$D$790,'Transaction Overview'!$G$2:$G$790,$A6,'Transaction Overview'!$H$2:$H$790,J$4)</f>
        <v>0</v>
      </c>
      <c r="K6" s="13">
        <f>SUMIFS('Transaction Overview'!$D$2:$D$790,'Transaction Overview'!$G$2:$G$790,$A6,'Transaction Overview'!$H$2:$H$790,K$4)</f>
        <v>0</v>
      </c>
      <c r="L6" s="13">
        <f>SUMIFS('Transaction Overview'!$D$2:$D$790,'Transaction Overview'!$G$2:$G$790,$A6,'Transaction Overview'!$H$2:$H$790,L$4)</f>
        <v>0</v>
      </c>
      <c r="M6" s="13">
        <f>SUMIFS('Transaction Overview'!$D$2:$D$790,'Transaction Overview'!$G$2:$G$790,$A6,'Transaction Overview'!$H$2:$H$790,M$4)</f>
        <v>0</v>
      </c>
      <c r="N6" s="13">
        <f>SUMIFS('Transaction Overview'!$D$2:$D$790,'Transaction Overview'!$G$2:$G$790,$A6,'Transaction Overview'!$H$2:$H$790,N$4)</f>
        <v>-155000</v>
      </c>
      <c r="O6" s="13">
        <f>SUM(C6:N6)</f>
        <v>-155000</v>
      </c>
    </row>
    <row r="7" spans="1:15" x14ac:dyDescent="0.25">
      <c r="A7" s="8" t="s">
        <v>828</v>
      </c>
      <c r="B7" s="8" t="s">
        <v>849</v>
      </c>
      <c r="C7" s="13">
        <f>SUMIFS('Transaction Overview'!$D$2:$D$790,'Transaction Overview'!$G$2:$G$790,$A7,'Transaction Overview'!$H$2:$H$790,C$4)</f>
        <v>0</v>
      </c>
      <c r="D7" s="13">
        <f>SUMIFS('Transaction Overview'!$D$2:$D$790,'Transaction Overview'!$G$2:$G$790,$A7,'Transaction Overview'!$H$2:$H$790,D$4)</f>
        <v>0</v>
      </c>
      <c r="E7" s="13">
        <f>SUMIFS('Transaction Overview'!$D$2:$D$790,'Transaction Overview'!$G$2:$G$790,$A7,'Transaction Overview'!$H$2:$H$790,E$4)</f>
        <v>0</v>
      </c>
      <c r="F7" s="13">
        <f>SUMIFS('Transaction Overview'!$D$2:$D$790,'Transaction Overview'!$G$2:$G$790,$A7,'Transaction Overview'!$H$2:$H$790,F$4)</f>
        <v>0</v>
      </c>
      <c r="G7" s="13">
        <f>SUMIFS('Transaction Overview'!$D$2:$D$790,'Transaction Overview'!$G$2:$G$790,$A7,'Transaction Overview'!$H$2:$H$790,G$4)</f>
        <v>0</v>
      </c>
      <c r="H7" s="13">
        <f>SUMIFS('Transaction Overview'!$D$2:$D$790,'Transaction Overview'!$G$2:$G$790,$A7,'Transaction Overview'!$H$2:$H$790,H$4)</f>
        <v>0</v>
      </c>
      <c r="I7" s="13">
        <f>SUMIFS('Transaction Overview'!$D$2:$D$790,'Transaction Overview'!$G$2:$G$790,$A7,'Transaction Overview'!$H$2:$H$790,I$4)</f>
        <v>0</v>
      </c>
      <c r="J7" s="13">
        <f>SUMIFS('Transaction Overview'!$D$2:$D$790,'Transaction Overview'!$G$2:$G$790,$A7,'Transaction Overview'!$H$2:$H$790,J$4)</f>
        <v>0</v>
      </c>
      <c r="K7" s="13">
        <f>SUMIFS('Transaction Overview'!$D$2:$D$790,'Transaction Overview'!$G$2:$G$790,$A7,'Transaction Overview'!$H$2:$H$790,K$4)</f>
        <v>0</v>
      </c>
      <c r="L7" s="13">
        <f>SUMIFS('Transaction Overview'!$D$2:$D$790,'Transaction Overview'!$G$2:$G$790,$A7,'Transaction Overview'!$H$2:$H$790,L$4)</f>
        <v>0</v>
      </c>
      <c r="M7" s="13">
        <f>SUMIFS('Transaction Overview'!$D$2:$D$790,'Transaction Overview'!$G$2:$G$790,$A7,'Transaction Overview'!$H$2:$H$790,M$4)</f>
        <v>-46528.05</v>
      </c>
      <c r="N7" s="13">
        <f>SUMIFS('Transaction Overview'!$D$2:$D$790,'Transaction Overview'!$G$2:$G$790,$A7,'Transaction Overview'!$H$2:$H$790,N$4)</f>
        <v>0</v>
      </c>
      <c r="O7" s="13">
        <f>SUM(C7:N7)</f>
        <v>-46528.05</v>
      </c>
    </row>
    <row r="8" spans="1:15" x14ac:dyDescent="0.25">
      <c r="A8" s="8" t="s">
        <v>799</v>
      </c>
      <c r="B8" s="8" t="s">
        <v>849</v>
      </c>
      <c r="C8" s="13">
        <f>SUMIFS('Transaction Overview'!$D$2:$D$790,'Transaction Overview'!$G$2:$G$790,$A8,'Transaction Overview'!$H$2:$H$790,C$4)</f>
        <v>0</v>
      </c>
      <c r="D8" s="13">
        <f>SUMIFS('Transaction Overview'!$D$2:$D$790,'Transaction Overview'!$G$2:$G$790,$A8,'Transaction Overview'!$H$2:$H$790,D$4)</f>
        <v>0</v>
      </c>
      <c r="E8" s="13">
        <f>SUMIFS('Transaction Overview'!$D$2:$D$790,'Transaction Overview'!$G$2:$G$790,$A8,'Transaction Overview'!$H$2:$H$790,E$4)</f>
        <v>0</v>
      </c>
      <c r="F8" s="13">
        <f>SUMIFS('Transaction Overview'!$D$2:$D$790,'Transaction Overview'!$G$2:$G$790,$A8,'Transaction Overview'!$H$2:$H$790,F$4)</f>
        <v>-50000</v>
      </c>
      <c r="G8" s="13">
        <f>SUMIFS('Transaction Overview'!$D$2:$D$790,'Transaction Overview'!$G$2:$G$790,$A8,'Transaction Overview'!$H$2:$H$790,G$4)</f>
        <v>0</v>
      </c>
      <c r="H8" s="13">
        <f>SUMIFS('Transaction Overview'!$D$2:$D$790,'Transaction Overview'!$G$2:$G$790,$A8,'Transaction Overview'!$H$2:$H$790,H$4)</f>
        <v>0</v>
      </c>
      <c r="I8" s="13">
        <f>SUMIFS('Transaction Overview'!$D$2:$D$790,'Transaction Overview'!$G$2:$G$790,$A8,'Transaction Overview'!$H$2:$H$790,I$4)</f>
        <v>0</v>
      </c>
      <c r="J8" s="13">
        <f>SUMIFS('Transaction Overview'!$D$2:$D$790,'Transaction Overview'!$G$2:$G$790,$A8,'Transaction Overview'!$H$2:$H$790,J$4)</f>
        <v>0</v>
      </c>
      <c r="K8" s="13">
        <f>SUMIFS('Transaction Overview'!$D$2:$D$790,'Transaction Overview'!$G$2:$G$790,$A8,'Transaction Overview'!$H$2:$H$790,K$4)</f>
        <v>0</v>
      </c>
      <c r="L8" s="13">
        <f>SUMIFS('Transaction Overview'!$D$2:$D$790,'Transaction Overview'!$G$2:$G$790,$A8,'Transaction Overview'!$H$2:$H$790,L$4)</f>
        <v>0</v>
      </c>
      <c r="M8" s="13">
        <f>SUMIFS('Transaction Overview'!$D$2:$D$790,'Transaction Overview'!$G$2:$G$790,$A8,'Transaction Overview'!$H$2:$H$790,M$4)</f>
        <v>0</v>
      </c>
      <c r="N8" s="13">
        <f>SUMIFS('Transaction Overview'!$D$2:$D$790,'Transaction Overview'!$G$2:$G$790,$A8,'Transaction Overview'!$H$2:$H$790,N$4)</f>
        <v>0</v>
      </c>
      <c r="O8" s="13">
        <f>SUM(C8:N8)</f>
        <v>-50000</v>
      </c>
    </row>
    <row r="9" spans="1:15" x14ac:dyDescent="0.25">
      <c r="A9" s="8" t="s">
        <v>775</v>
      </c>
      <c r="B9" s="8" t="s">
        <v>849</v>
      </c>
      <c r="C9" s="13">
        <f>SUMIFS('Transaction Overview'!$D$2:$D$790,'Transaction Overview'!$G$2:$G$790,$A9,'Transaction Overview'!$H$2:$H$790,C$4)</f>
        <v>461.52</v>
      </c>
      <c r="D9" s="13">
        <f>SUMIFS('Transaction Overview'!$D$2:$D$790,'Transaction Overview'!$G$2:$G$790,$A9,'Transaction Overview'!$H$2:$H$790,D$4)</f>
        <v>461.52</v>
      </c>
      <c r="E9" s="13">
        <f>SUMIFS('Transaction Overview'!$D$2:$D$790,'Transaction Overview'!$G$2:$G$790,$A9,'Transaction Overview'!$H$2:$H$790,E$4)</f>
        <v>476.41</v>
      </c>
      <c r="F9" s="13">
        <f>SUMIFS('Transaction Overview'!$D$2:$D$790,'Transaction Overview'!$G$2:$G$790,$A9,'Transaction Overview'!$H$2:$H$790,F$4)</f>
        <v>476.41</v>
      </c>
      <c r="G9" s="13">
        <f>SUMIFS('Transaction Overview'!$D$2:$D$790,'Transaction Overview'!$G$2:$G$790,$A9,'Transaction Overview'!$H$2:$H$790,G$4)</f>
        <v>476.41</v>
      </c>
      <c r="H9" s="13">
        <f>SUMIFS('Transaction Overview'!$D$2:$D$790,'Transaction Overview'!$G$2:$G$790,$A9,'Transaction Overview'!$H$2:$H$790,H$4)</f>
        <v>476.41</v>
      </c>
      <c r="I9" s="13">
        <f>SUMIFS('Transaction Overview'!$D$2:$D$790,'Transaction Overview'!$G$2:$G$790,$A9,'Transaction Overview'!$H$2:$H$790,I$4)</f>
        <v>476.41</v>
      </c>
      <c r="J9" s="13">
        <f>SUMIFS('Transaction Overview'!$D$2:$D$790,'Transaction Overview'!$G$2:$G$790,$A9,'Transaction Overview'!$H$2:$H$790,J$4)</f>
        <v>476.41</v>
      </c>
      <c r="K9" s="13">
        <f>SUMIFS('Transaction Overview'!$D$2:$D$790,'Transaction Overview'!$G$2:$G$790,$A9,'Transaction Overview'!$H$2:$H$790,K$4)</f>
        <v>476.41</v>
      </c>
      <c r="L9" s="13">
        <f>SUMIFS('Transaction Overview'!$D$2:$D$790,'Transaction Overview'!$G$2:$G$790,$A9,'Transaction Overview'!$H$2:$H$790,L$4)</f>
        <v>476.41</v>
      </c>
      <c r="M9" s="13">
        <f>SUMIFS('Transaction Overview'!$D$2:$D$790,'Transaction Overview'!$G$2:$G$790,$A9,'Transaction Overview'!$H$2:$H$790,M$4)</f>
        <v>476.41</v>
      </c>
      <c r="N9" s="13">
        <f>SUMIFS('Transaction Overview'!$D$2:$D$790,'Transaction Overview'!$G$2:$G$790,$A9,'Transaction Overview'!$H$2:$H$790,N$4)</f>
        <v>476.41</v>
      </c>
      <c r="O9" s="13">
        <f>SUM(C9:N9)</f>
        <v>5687.1399999999994</v>
      </c>
    </row>
    <row r="10" spans="1:15" x14ac:dyDescent="0.25">
      <c r="A10" s="8" t="s">
        <v>825</v>
      </c>
      <c r="B10" s="8" t="s">
        <v>849</v>
      </c>
      <c r="C10" s="13">
        <f>SUMIFS('Transaction Overview'!$D$2:$D$790,'Transaction Overview'!$G$2:$G$790,$A10,'Transaction Overview'!$H$2:$H$790,C$4)</f>
        <v>0</v>
      </c>
      <c r="D10" s="13">
        <f>SUMIFS('Transaction Overview'!$D$2:$D$790,'Transaction Overview'!$G$2:$G$790,$A10,'Transaction Overview'!$H$2:$H$790,D$4)</f>
        <v>0</v>
      </c>
      <c r="E10" s="13">
        <f>SUMIFS('Transaction Overview'!$D$2:$D$790,'Transaction Overview'!$G$2:$G$790,$A10,'Transaction Overview'!$H$2:$H$790,E$4)</f>
        <v>0</v>
      </c>
      <c r="F10" s="13">
        <f>SUMIFS('Transaction Overview'!$D$2:$D$790,'Transaction Overview'!$G$2:$G$790,$A10,'Transaction Overview'!$H$2:$H$790,F$4)</f>
        <v>0</v>
      </c>
      <c r="G10" s="13">
        <f>SUMIFS('Transaction Overview'!$D$2:$D$790,'Transaction Overview'!$G$2:$G$790,$A10,'Transaction Overview'!$H$2:$H$790,G$4)</f>
        <v>0</v>
      </c>
      <c r="H10" s="13">
        <f>SUMIFS('Transaction Overview'!$D$2:$D$790,'Transaction Overview'!$G$2:$G$790,$A10,'Transaction Overview'!$H$2:$H$790,H$4)</f>
        <v>0</v>
      </c>
      <c r="I10" s="13">
        <f>SUMIFS('Transaction Overview'!$D$2:$D$790,'Transaction Overview'!$G$2:$G$790,$A10,'Transaction Overview'!$H$2:$H$790,I$4)</f>
        <v>0</v>
      </c>
      <c r="J10" s="13">
        <f>SUMIFS('Transaction Overview'!$D$2:$D$790,'Transaction Overview'!$G$2:$G$790,$A10,'Transaction Overview'!$H$2:$H$790,J$4)</f>
        <v>0</v>
      </c>
      <c r="K10" s="13">
        <f>SUMIFS('Transaction Overview'!$D$2:$D$790,'Transaction Overview'!$G$2:$G$790,$A10,'Transaction Overview'!$H$2:$H$790,K$4)</f>
        <v>0</v>
      </c>
      <c r="L10" s="13">
        <f>SUMIFS('Transaction Overview'!$D$2:$D$790,'Transaction Overview'!$G$2:$G$790,$A10,'Transaction Overview'!$H$2:$H$790,L$4)</f>
        <v>0</v>
      </c>
      <c r="M10" s="13">
        <f>SUMIFS('Transaction Overview'!$D$2:$D$790,'Transaction Overview'!$G$2:$G$790,$A10,'Transaction Overview'!$H$2:$H$790,M$4)</f>
        <v>1675</v>
      </c>
      <c r="N10" s="13">
        <f>SUMIFS('Transaction Overview'!$D$2:$D$790,'Transaction Overview'!$G$2:$G$790,$A10,'Transaction Overview'!$H$2:$H$790,N$4)</f>
        <v>5000</v>
      </c>
      <c r="O10" s="13">
        <f>SUM(C10:N10)</f>
        <v>6675</v>
      </c>
    </row>
    <row r="11" spans="1:15" x14ac:dyDescent="0.25">
      <c r="A11" s="8" t="s">
        <v>773</v>
      </c>
      <c r="B11" s="8" t="s">
        <v>849</v>
      </c>
      <c r="C11" s="13">
        <f>SUMIFS('Transaction Overview'!$D$2:$D$790,'Transaction Overview'!$G$2:$G$790,$A11,'Transaction Overview'!$H$2:$H$790,C$4)</f>
        <v>236.37</v>
      </c>
      <c r="D11" s="13">
        <f>SUMIFS('Transaction Overview'!$D$2:$D$790,'Transaction Overview'!$G$2:$G$790,$A11,'Transaction Overview'!$H$2:$H$790,D$4)</f>
        <v>236.37</v>
      </c>
      <c r="E11" s="13">
        <f>SUMIFS('Transaction Overview'!$D$2:$D$790,'Transaction Overview'!$G$2:$G$790,$A11,'Transaction Overview'!$H$2:$H$790,E$4)</f>
        <v>236.37</v>
      </c>
      <c r="F11" s="13">
        <f>SUMIFS('Transaction Overview'!$D$2:$D$790,'Transaction Overview'!$G$2:$G$790,$A11,'Transaction Overview'!$H$2:$H$790,F$4)</f>
        <v>236.37</v>
      </c>
      <c r="G11" s="13">
        <f>SUMIFS('Transaction Overview'!$D$2:$D$790,'Transaction Overview'!$G$2:$G$790,$A11,'Transaction Overview'!$H$2:$H$790,G$4)</f>
        <v>236.37</v>
      </c>
      <c r="H11" s="13">
        <f>SUMIFS('Transaction Overview'!$D$2:$D$790,'Transaction Overview'!$G$2:$G$790,$A11,'Transaction Overview'!$H$2:$H$790,H$4)</f>
        <v>236.37</v>
      </c>
      <c r="I11" s="13">
        <f>SUMIFS('Transaction Overview'!$D$2:$D$790,'Transaction Overview'!$G$2:$G$790,$A11,'Transaction Overview'!$H$2:$H$790,I$4)</f>
        <v>236.37</v>
      </c>
      <c r="J11" s="13">
        <f>SUMIFS('Transaction Overview'!$D$2:$D$790,'Transaction Overview'!$G$2:$G$790,$A11,'Transaction Overview'!$H$2:$H$790,J$4)</f>
        <v>236.37</v>
      </c>
      <c r="K11" s="13">
        <f>SUMIFS('Transaction Overview'!$D$2:$D$790,'Transaction Overview'!$G$2:$G$790,$A11,'Transaction Overview'!$H$2:$H$790,K$4)</f>
        <v>236.37</v>
      </c>
      <c r="L11" s="13">
        <f>SUMIFS('Transaction Overview'!$D$2:$D$790,'Transaction Overview'!$G$2:$G$790,$A11,'Transaction Overview'!$H$2:$H$790,L$4)</f>
        <v>236.37</v>
      </c>
      <c r="M11" s="13">
        <f>SUMIFS('Transaction Overview'!$D$2:$D$790,'Transaction Overview'!$G$2:$G$790,$A11,'Transaction Overview'!$H$2:$H$790,M$4)</f>
        <v>241.87</v>
      </c>
      <c r="N11" s="13">
        <f>SUMIFS('Transaction Overview'!$D$2:$D$790,'Transaction Overview'!$G$2:$G$790,$A11,'Transaction Overview'!$H$2:$H$790,N$4)</f>
        <v>241.87</v>
      </c>
      <c r="O11" s="13">
        <f>SUM(C11:N11)</f>
        <v>2847.4399999999991</v>
      </c>
    </row>
    <row r="12" spans="1:15" x14ac:dyDescent="0.25">
      <c r="A12" s="8" t="s">
        <v>772</v>
      </c>
      <c r="B12" s="8" t="s">
        <v>849</v>
      </c>
      <c r="C12" s="13">
        <f>SUMIFS('Transaction Overview'!$D$2:$D$790,'Transaction Overview'!$G$2:$G$790,$A12,'Transaction Overview'!$H$2:$H$790,C$4)</f>
        <v>0</v>
      </c>
      <c r="D12" s="13">
        <f>SUMIFS('Transaction Overview'!$D$2:$D$790,'Transaction Overview'!$G$2:$G$790,$A12,'Transaction Overview'!$H$2:$H$790,D$4)</f>
        <v>0</v>
      </c>
      <c r="E12" s="13">
        <f>SUMIFS('Transaction Overview'!$D$2:$D$790,'Transaction Overview'!$G$2:$G$790,$A12,'Transaction Overview'!$H$2:$H$790,E$4)</f>
        <v>0</v>
      </c>
      <c r="F12" s="13">
        <f>SUMIFS('Transaction Overview'!$D$2:$D$790,'Transaction Overview'!$G$2:$G$790,$A12,'Transaction Overview'!$H$2:$H$790,F$4)</f>
        <v>0</v>
      </c>
      <c r="G12" s="13">
        <f>SUMIFS('Transaction Overview'!$D$2:$D$790,'Transaction Overview'!$G$2:$G$790,$A12,'Transaction Overview'!$H$2:$H$790,G$4)</f>
        <v>0</v>
      </c>
      <c r="H12" s="13">
        <f>SUMIFS('Transaction Overview'!$D$2:$D$790,'Transaction Overview'!$G$2:$G$790,$A12,'Transaction Overview'!$H$2:$H$790,H$4)</f>
        <v>0</v>
      </c>
      <c r="I12" s="13">
        <f>SUMIFS('Transaction Overview'!$D$2:$D$790,'Transaction Overview'!$G$2:$G$790,$A12,'Transaction Overview'!$H$2:$H$790,I$4)</f>
        <v>0</v>
      </c>
      <c r="J12" s="13">
        <f>SUMIFS('Transaction Overview'!$D$2:$D$790,'Transaction Overview'!$G$2:$G$790,$A12,'Transaction Overview'!$H$2:$H$790,J$4)</f>
        <v>233.33</v>
      </c>
      <c r="K12" s="13">
        <f>SUMIFS('Transaction Overview'!$D$2:$D$790,'Transaction Overview'!$G$2:$G$790,$A12,'Transaction Overview'!$H$2:$H$790,K$4)</f>
        <v>233.33</v>
      </c>
      <c r="L12" s="13">
        <f>SUMIFS('Transaction Overview'!$D$2:$D$790,'Transaction Overview'!$G$2:$G$790,$A12,'Transaction Overview'!$H$2:$H$790,L$4)</f>
        <v>233.33</v>
      </c>
      <c r="M12" s="13">
        <f>SUMIFS('Transaction Overview'!$D$2:$D$790,'Transaction Overview'!$G$2:$G$790,$A12,'Transaction Overview'!$H$2:$H$790,M$4)</f>
        <v>233.33</v>
      </c>
      <c r="N12" s="13">
        <f>SUMIFS('Transaction Overview'!$D$2:$D$790,'Transaction Overview'!$G$2:$G$790,$A12,'Transaction Overview'!$H$2:$H$790,N$4)</f>
        <v>233.33</v>
      </c>
      <c r="O12" s="13">
        <f>SUM(C12:N12)</f>
        <v>1166.6500000000001</v>
      </c>
    </row>
    <row r="13" spans="1:15" x14ac:dyDescent="0.25">
      <c r="A13" s="8" t="s">
        <v>769</v>
      </c>
      <c r="B13" s="8" t="s">
        <v>849</v>
      </c>
      <c r="C13" s="13">
        <f>SUMIFS('Transaction Overview'!$D$2:$D$790,'Transaction Overview'!$G$2:$G$790,$A13,'Transaction Overview'!$H$2:$H$790,C$4)</f>
        <v>345.24</v>
      </c>
      <c r="D13" s="13">
        <f>SUMIFS('Transaction Overview'!$D$2:$D$790,'Transaction Overview'!$G$2:$G$790,$A13,'Transaction Overview'!$H$2:$H$790,D$4)</f>
        <v>356.38</v>
      </c>
      <c r="E13" s="13">
        <f>SUMIFS('Transaction Overview'!$D$2:$D$790,'Transaction Overview'!$G$2:$G$790,$A13,'Transaction Overview'!$H$2:$H$790,E$4)</f>
        <v>356.38</v>
      </c>
      <c r="F13" s="13">
        <f>SUMIFS('Transaction Overview'!$D$2:$D$790,'Transaction Overview'!$G$2:$G$790,$A13,'Transaction Overview'!$H$2:$H$790,F$4)</f>
        <v>356.38</v>
      </c>
      <c r="G13" s="13">
        <f>SUMIFS('Transaction Overview'!$D$2:$D$790,'Transaction Overview'!$G$2:$G$790,$A13,'Transaction Overview'!$H$2:$H$790,G$4)</f>
        <v>356.38</v>
      </c>
      <c r="H13" s="13">
        <f>SUMIFS('Transaction Overview'!$D$2:$D$790,'Transaction Overview'!$G$2:$G$790,$A13,'Transaction Overview'!$H$2:$H$790,H$4)</f>
        <v>356.38</v>
      </c>
      <c r="I13" s="13">
        <f>SUMIFS('Transaction Overview'!$D$2:$D$790,'Transaction Overview'!$G$2:$G$790,$A13,'Transaction Overview'!$H$2:$H$790,I$4)</f>
        <v>356.38</v>
      </c>
      <c r="J13" s="13">
        <f>SUMIFS('Transaction Overview'!$D$2:$D$790,'Transaction Overview'!$G$2:$G$790,$A13,'Transaction Overview'!$H$2:$H$790,J$4)</f>
        <v>356.38</v>
      </c>
      <c r="K13" s="13">
        <f>SUMIFS('Transaction Overview'!$D$2:$D$790,'Transaction Overview'!$G$2:$G$790,$A13,'Transaction Overview'!$H$2:$H$790,K$4)</f>
        <v>406.38</v>
      </c>
      <c r="L13" s="13">
        <f>SUMIFS('Transaction Overview'!$D$2:$D$790,'Transaction Overview'!$G$2:$G$790,$A13,'Transaction Overview'!$H$2:$H$790,L$4)</f>
        <v>356.38</v>
      </c>
      <c r="M13" s="13">
        <f>SUMIFS('Transaction Overview'!$D$2:$D$790,'Transaction Overview'!$G$2:$G$790,$A13,'Transaction Overview'!$H$2:$H$790,M$4)</f>
        <v>356.38</v>
      </c>
      <c r="N13" s="13">
        <f>SUMIFS('Transaction Overview'!$D$2:$D$790,'Transaction Overview'!$G$2:$G$790,$A13,'Transaction Overview'!$H$2:$H$790,N$4)</f>
        <v>356.38</v>
      </c>
      <c r="O13" s="13">
        <f>SUM(C13:N13)</f>
        <v>4315.420000000001</v>
      </c>
    </row>
    <row r="14" spans="1:15" x14ac:dyDescent="0.25">
      <c r="A14" s="8" t="s">
        <v>806</v>
      </c>
      <c r="B14" s="8" t="s">
        <v>852</v>
      </c>
      <c r="C14" s="13">
        <f>SUMIFS('Transaction Overview'!$D$2:$D$790,'Transaction Overview'!$G$2:$G$790,$A14,'Transaction Overview'!$H$2:$H$790,C$4)</f>
        <v>0</v>
      </c>
      <c r="D14" s="13">
        <f>SUMIFS('Transaction Overview'!$D$2:$D$790,'Transaction Overview'!$G$2:$G$790,$A14,'Transaction Overview'!$H$2:$H$790,D$4)</f>
        <v>0</v>
      </c>
      <c r="E14" s="13">
        <f>SUMIFS('Transaction Overview'!$D$2:$D$790,'Transaction Overview'!$G$2:$G$790,$A14,'Transaction Overview'!$H$2:$H$790,E$4)</f>
        <v>0</v>
      </c>
      <c r="F14" s="13">
        <f>SUMIFS('Transaction Overview'!$D$2:$D$790,'Transaction Overview'!$G$2:$G$790,$A14,'Transaction Overview'!$H$2:$H$790,F$4)</f>
        <v>0</v>
      </c>
      <c r="G14" s="13">
        <f>SUMIFS('Transaction Overview'!$D$2:$D$790,'Transaction Overview'!$G$2:$G$790,$A14,'Transaction Overview'!$H$2:$H$790,G$4)</f>
        <v>0</v>
      </c>
      <c r="H14" s="13">
        <f>SUMIFS('Transaction Overview'!$D$2:$D$790,'Transaction Overview'!$G$2:$G$790,$A14,'Transaction Overview'!$H$2:$H$790,H$4)</f>
        <v>0</v>
      </c>
      <c r="I14" s="13">
        <f>SUMIFS('Transaction Overview'!$D$2:$D$790,'Transaction Overview'!$G$2:$G$790,$A14,'Transaction Overview'!$H$2:$H$790,I$4)</f>
        <v>269473.73</v>
      </c>
      <c r="J14" s="13">
        <f>SUMIFS('Transaction Overview'!$D$2:$D$790,'Transaction Overview'!$G$2:$G$790,$A14,'Transaction Overview'!$H$2:$H$790,J$4)</f>
        <v>0</v>
      </c>
      <c r="K14" s="13">
        <f>SUMIFS('Transaction Overview'!$D$2:$D$790,'Transaction Overview'!$G$2:$G$790,$A14,'Transaction Overview'!$H$2:$H$790,K$4)</f>
        <v>0</v>
      </c>
      <c r="L14" s="13">
        <f>SUMIFS('Transaction Overview'!$D$2:$D$790,'Transaction Overview'!$G$2:$G$790,$A14,'Transaction Overview'!$H$2:$H$790,L$4)</f>
        <v>0</v>
      </c>
      <c r="M14" s="13">
        <f>SUMIFS('Transaction Overview'!$D$2:$D$790,'Transaction Overview'!$G$2:$G$790,$A14,'Transaction Overview'!$H$2:$H$790,M$4)</f>
        <v>0</v>
      </c>
      <c r="N14" s="13">
        <f>SUMIFS('Transaction Overview'!$D$2:$D$790,'Transaction Overview'!$G$2:$G$790,$A14,'Transaction Overview'!$H$2:$H$790,N$4)</f>
        <v>0</v>
      </c>
      <c r="O14" s="13">
        <f>SUM(C14:N14)</f>
        <v>269473.73</v>
      </c>
    </row>
    <row r="15" spans="1:15" x14ac:dyDescent="0.25">
      <c r="A15" s="8" t="s">
        <v>794</v>
      </c>
      <c r="B15" s="8" t="s">
        <v>852</v>
      </c>
      <c r="C15" s="13">
        <f>SUMIFS('Transaction Overview'!$D$2:$D$790,'Transaction Overview'!$G$2:$G$790,$A15,'Transaction Overview'!$H$2:$H$790,C$4)</f>
        <v>0</v>
      </c>
      <c r="D15" s="13">
        <f>SUMIFS('Transaction Overview'!$D$2:$D$790,'Transaction Overview'!$G$2:$G$790,$A15,'Transaction Overview'!$H$2:$H$790,D$4)</f>
        <v>0</v>
      </c>
      <c r="E15" s="13">
        <f>SUMIFS('Transaction Overview'!$D$2:$D$790,'Transaction Overview'!$G$2:$G$790,$A15,'Transaction Overview'!$H$2:$H$790,E$4)</f>
        <v>164150.5</v>
      </c>
      <c r="F15" s="13">
        <f>SUMIFS('Transaction Overview'!$D$2:$D$790,'Transaction Overview'!$G$2:$G$790,$A15,'Transaction Overview'!$H$2:$H$790,F$4)</f>
        <v>0</v>
      </c>
      <c r="G15" s="13">
        <f>SUMIFS('Transaction Overview'!$D$2:$D$790,'Transaction Overview'!$G$2:$G$790,$A15,'Transaction Overview'!$H$2:$H$790,G$4)</f>
        <v>0</v>
      </c>
      <c r="H15" s="13">
        <f>SUMIFS('Transaction Overview'!$D$2:$D$790,'Transaction Overview'!$G$2:$G$790,$A15,'Transaction Overview'!$H$2:$H$790,H$4)</f>
        <v>0</v>
      </c>
      <c r="I15" s="13">
        <f>SUMIFS('Transaction Overview'!$D$2:$D$790,'Transaction Overview'!$G$2:$G$790,$A15,'Transaction Overview'!$H$2:$H$790,I$4)</f>
        <v>0</v>
      </c>
      <c r="J15" s="13">
        <f>SUMIFS('Transaction Overview'!$D$2:$D$790,'Transaction Overview'!$G$2:$G$790,$A15,'Transaction Overview'!$H$2:$H$790,J$4)</f>
        <v>0</v>
      </c>
      <c r="K15" s="13">
        <f>SUMIFS('Transaction Overview'!$D$2:$D$790,'Transaction Overview'!$G$2:$G$790,$A15,'Transaction Overview'!$H$2:$H$790,K$4)</f>
        <v>0</v>
      </c>
      <c r="L15" s="13">
        <f>SUMIFS('Transaction Overview'!$D$2:$D$790,'Transaction Overview'!$G$2:$G$790,$A15,'Transaction Overview'!$H$2:$H$790,L$4)</f>
        <v>0</v>
      </c>
      <c r="M15" s="13">
        <f>SUMIFS('Transaction Overview'!$D$2:$D$790,'Transaction Overview'!$G$2:$G$790,$A15,'Transaction Overview'!$H$2:$H$790,M$4)</f>
        <v>0</v>
      </c>
      <c r="N15" s="13">
        <f>SUMIFS('Transaction Overview'!$D$2:$D$790,'Transaction Overview'!$G$2:$G$790,$A15,'Transaction Overview'!$H$2:$H$790,N$4)</f>
        <v>0</v>
      </c>
      <c r="O15" s="13">
        <f>SUM(C15:N15)</f>
        <v>164150.5</v>
      </c>
    </row>
    <row r="16" spans="1:15" x14ac:dyDescent="0.25">
      <c r="A16" s="8" t="s">
        <v>790</v>
      </c>
      <c r="B16" s="8" t="s">
        <v>852</v>
      </c>
      <c r="C16" s="13">
        <f>SUMIFS('Transaction Overview'!$D$2:$D$790,'Transaction Overview'!$G$2:$G$790,$A16,'Transaction Overview'!$H$2:$H$790,C$4)</f>
        <v>148250</v>
      </c>
      <c r="D16" s="13">
        <f>SUMIFS('Transaction Overview'!$D$2:$D$790,'Transaction Overview'!$G$2:$G$790,$A16,'Transaction Overview'!$H$2:$H$790,D$4)</f>
        <v>0</v>
      </c>
      <c r="E16" s="13">
        <f>SUMIFS('Transaction Overview'!$D$2:$D$790,'Transaction Overview'!$G$2:$G$790,$A16,'Transaction Overview'!$H$2:$H$790,E$4)</f>
        <v>0</v>
      </c>
      <c r="F16" s="13">
        <f>SUMIFS('Transaction Overview'!$D$2:$D$790,'Transaction Overview'!$G$2:$G$790,$A16,'Transaction Overview'!$H$2:$H$790,F$4)</f>
        <v>0</v>
      </c>
      <c r="G16" s="13">
        <f>SUMIFS('Transaction Overview'!$D$2:$D$790,'Transaction Overview'!$G$2:$G$790,$A16,'Transaction Overview'!$H$2:$H$790,G$4)</f>
        <v>0</v>
      </c>
      <c r="H16" s="13">
        <f>SUMIFS('Transaction Overview'!$D$2:$D$790,'Transaction Overview'!$G$2:$G$790,$A16,'Transaction Overview'!$H$2:$H$790,H$4)</f>
        <v>0</v>
      </c>
      <c r="I16" s="13">
        <f>SUMIFS('Transaction Overview'!$D$2:$D$790,'Transaction Overview'!$G$2:$G$790,$A16,'Transaction Overview'!$H$2:$H$790,I$4)</f>
        <v>0</v>
      </c>
      <c r="J16" s="13">
        <f>SUMIFS('Transaction Overview'!$D$2:$D$790,'Transaction Overview'!$G$2:$G$790,$A16,'Transaction Overview'!$H$2:$H$790,J$4)</f>
        <v>0</v>
      </c>
      <c r="K16" s="13">
        <f>SUMIFS('Transaction Overview'!$D$2:$D$790,'Transaction Overview'!$G$2:$G$790,$A16,'Transaction Overview'!$H$2:$H$790,K$4)</f>
        <v>0</v>
      </c>
      <c r="L16" s="13">
        <f>SUMIFS('Transaction Overview'!$D$2:$D$790,'Transaction Overview'!$G$2:$G$790,$A16,'Transaction Overview'!$H$2:$H$790,L$4)</f>
        <v>0</v>
      </c>
      <c r="M16" s="13">
        <f>SUMIFS('Transaction Overview'!$D$2:$D$790,'Transaction Overview'!$G$2:$G$790,$A16,'Transaction Overview'!$H$2:$H$790,M$4)</f>
        <v>0</v>
      </c>
      <c r="N16" s="13">
        <f>SUMIFS('Transaction Overview'!$D$2:$D$790,'Transaction Overview'!$G$2:$G$790,$A16,'Transaction Overview'!$H$2:$H$790,N$4)</f>
        <v>0</v>
      </c>
      <c r="O16" s="13">
        <f>SUM(C16:N16)</f>
        <v>148250</v>
      </c>
    </row>
    <row r="17" spans="1:15" x14ac:dyDescent="0.25">
      <c r="A17" s="8" t="s">
        <v>798</v>
      </c>
      <c r="B17" s="8" t="s">
        <v>852</v>
      </c>
      <c r="C17" s="13">
        <f>SUMIFS('Transaction Overview'!$D$2:$D$790,'Transaction Overview'!$G$2:$G$790,$A17,'Transaction Overview'!$H$2:$H$790,C$4)</f>
        <v>0</v>
      </c>
      <c r="D17" s="13">
        <f>SUMIFS('Transaction Overview'!$D$2:$D$790,'Transaction Overview'!$G$2:$G$790,$A17,'Transaction Overview'!$H$2:$H$790,D$4)</f>
        <v>0</v>
      </c>
      <c r="E17" s="13">
        <f>SUMIFS('Transaction Overview'!$D$2:$D$790,'Transaction Overview'!$G$2:$G$790,$A17,'Transaction Overview'!$H$2:$H$790,E$4)</f>
        <v>0</v>
      </c>
      <c r="F17" s="13">
        <f>SUMIFS('Transaction Overview'!$D$2:$D$790,'Transaction Overview'!$G$2:$G$790,$A17,'Transaction Overview'!$H$2:$H$790,F$4)</f>
        <v>133875</v>
      </c>
      <c r="G17" s="13">
        <f>SUMIFS('Transaction Overview'!$D$2:$D$790,'Transaction Overview'!$G$2:$G$790,$A17,'Transaction Overview'!$H$2:$H$790,G$4)</f>
        <v>0</v>
      </c>
      <c r="H17" s="13">
        <f>SUMIFS('Transaction Overview'!$D$2:$D$790,'Transaction Overview'!$G$2:$G$790,$A17,'Transaction Overview'!$H$2:$H$790,H$4)</f>
        <v>0</v>
      </c>
      <c r="I17" s="13">
        <f>SUMIFS('Transaction Overview'!$D$2:$D$790,'Transaction Overview'!$G$2:$G$790,$A17,'Transaction Overview'!$H$2:$H$790,I$4)</f>
        <v>0</v>
      </c>
      <c r="J17" s="13">
        <f>SUMIFS('Transaction Overview'!$D$2:$D$790,'Transaction Overview'!$G$2:$G$790,$A17,'Transaction Overview'!$H$2:$H$790,J$4)</f>
        <v>0</v>
      </c>
      <c r="K17" s="13">
        <f>SUMIFS('Transaction Overview'!$D$2:$D$790,'Transaction Overview'!$G$2:$G$790,$A17,'Transaction Overview'!$H$2:$H$790,K$4)</f>
        <v>0</v>
      </c>
      <c r="L17" s="13">
        <f>SUMIFS('Transaction Overview'!$D$2:$D$790,'Transaction Overview'!$G$2:$G$790,$A17,'Transaction Overview'!$H$2:$H$790,L$4)</f>
        <v>0</v>
      </c>
      <c r="M17" s="13">
        <f>SUMIFS('Transaction Overview'!$D$2:$D$790,'Transaction Overview'!$G$2:$G$790,$A17,'Transaction Overview'!$H$2:$H$790,M$4)</f>
        <v>0</v>
      </c>
      <c r="N17" s="13">
        <f>SUMIFS('Transaction Overview'!$D$2:$D$790,'Transaction Overview'!$G$2:$G$790,$A17,'Transaction Overview'!$H$2:$H$790,N$4)</f>
        <v>0</v>
      </c>
      <c r="O17" s="13">
        <f>SUM(C17:N17)</f>
        <v>133875</v>
      </c>
    </row>
    <row r="18" spans="1:15" x14ac:dyDescent="0.25">
      <c r="A18" s="8" t="s">
        <v>827</v>
      </c>
      <c r="B18" s="8" t="s">
        <v>852</v>
      </c>
      <c r="C18" s="13">
        <f>SUMIFS('Transaction Overview'!$D$2:$D$790,'Transaction Overview'!$G$2:$G$790,$A18,'Transaction Overview'!$H$2:$H$790,C$4)</f>
        <v>0</v>
      </c>
      <c r="D18" s="13">
        <f>SUMIFS('Transaction Overview'!$D$2:$D$790,'Transaction Overview'!$G$2:$G$790,$A18,'Transaction Overview'!$H$2:$H$790,D$4)</f>
        <v>0</v>
      </c>
      <c r="E18" s="13">
        <f>SUMIFS('Transaction Overview'!$D$2:$D$790,'Transaction Overview'!$G$2:$G$790,$A18,'Transaction Overview'!$H$2:$H$790,E$4)</f>
        <v>0</v>
      </c>
      <c r="F18" s="13">
        <f>SUMIFS('Transaction Overview'!$D$2:$D$790,'Transaction Overview'!$G$2:$G$790,$A18,'Transaction Overview'!$H$2:$H$790,F$4)</f>
        <v>0</v>
      </c>
      <c r="G18" s="13">
        <f>SUMIFS('Transaction Overview'!$D$2:$D$790,'Transaction Overview'!$G$2:$G$790,$A18,'Transaction Overview'!$H$2:$H$790,G$4)</f>
        <v>0</v>
      </c>
      <c r="H18" s="13">
        <f>SUMIFS('Transaction Overview'!$D$2:$D$790,'Transaction Overview'!$G$2:$G$790,$A18,'Transaction Overview'!$H$2:$H$790,H$4)</f>
        <v>0</v>
      </c>
      <c r="I18" s="13">
        <f>SUMIFS('Transaction Overview'!$D$2:$D$790,'Transaction Overview'!$G$2:$G$790,$A18,'Transaction Overview'!$H$2:$H$790,I$4)</f>
        <v>0</v>
      </c>
      <c r="J18" s="13">
        <f>SUMIFS('Transaction Overview'!$D$2:$D$790,'Transaction Overview'!$G$2:$G$790,$A18,'Transaction Overview'!$H$2:$H$790,J$4)</f>
        <v>0</v>
      </c>
      <c r="K18" s="13">
        <f>SUMIFS('Transaction Overview'!$D$2:$D$790,'Transaction Overview'!$G$2:$G$790,$A18,'Transaction Overview'!$H$2:$H$790,K$4)</f>
        <v>0</v>
      </c>
      <c r="L18" s="13">
        <f>SUMIFS('Transaction Overview'!$D$2:$D$790,'Transaction Overview'!$G$2:$G$790,$A18,'Transaction Overview'!$H$2:$H$790,L$4)</f>
        <v>0</v>
      </c>
      <c r="M18" s="13">
        <f>SUMIFS('Transaction Overview'!$D$2:$D$790,'Transaction Overview'!$G$2:$G$790,$A18,'Transaction Overview'!$H$2:$H$790,M$4)</f>
        <v>0</v>
      </c>
      <c r="N18" s="13">
        <f>SUMIFS('Transaction Overview'!$D$2:$D$790,'Transaction Overview'!$G$2:$G$790,$A18,'Transaction Overview'!$H$2:$H$790,N$4)</f>
        <v>318189.39</v>
      </c>
      <c r="O18" s="13">
        <f>SUM(C18:N18)</f>
        <v>318189.39</v>
      </c>
    </row>
    <row r="19" spans="1:15" x14ac:dyDescent="0.25">
      <c r="A19" s="8" t="s">
        <v>791</v>
      </c>
      <c r="B19" s="8" t="s">
        <v>858</v>
      </c>
      <c r="C19" s="13">
        <f>SUMIFS('Transaction Overview'!$D$2:$D$790,'Transaction Overview'!$G$2:$G$790,$A19,'Transaction Overview'!$H$2:$H$790,C$4)</f>
        <v>-23830</v>
      </c>
      <c r="D19" s="13">
        <f>SUMIFS('Transaction Overview'!$D$2:$D$790,'Transaction Overview'!$G$2:$G$790,$A19,'Transaction Overview'!$H$2:$H$790,D$4)</f>
        <v>0</v>
      </c>
      <c r="E19" s="13">
        <f>SUMIFS('Transaction Overview'!$D$2:$D$790,'Transaction Overview'!$G$2:$G$790,$A19,'Transaction Overview'!$H$2:$H$790,E$4)</f>
        <v>0</v>
      </c>
      <c r="F19" s="13">
        <f>SUMIFS('Transaction Overview'!$D$2:$D$790,'Transaction Overview'!$G$2:$G$790,$A19,'Transaction Overview'!$H$2:$H$790,F$4)</f>
        <v>0</v>
      </c>
      <c r="G19" s="13">
        <f>SUMIFS('Transaction Overview'!$D$2:$D$790,'Transaction Overview'!$G$2:$G$790,$A19,'Transaction Overview'!$H$2:$H$790,G$4)</f>
        <v>0</v>
      </c>
      <c r="H19" s="13">
        <f>SUMIFS('Transaction Overview'!$D$2:$D$790,'Transaction Overview'!$G$2:$G$790,$A19,'Transaction Overview'!$H$2:$H$790,H$4)</f>
        <v>0</v>
      </c>
      <c r="I19" s="13">
        <f>SUMIFS('Transaction Overview'!$D$2:$D$790,'Transaction Overview'!$G$2:$G$790,$A19,'Transaction Overview'!$H$2:$H$790,I$4)</f>
        <v>0</v>
      </c>
      <c r="J19" s="13">
        <f>SUMIFS('Transaction Overview'!$D$2:$D$790,'Transaction Overview'!$G$2:$G$790,$A19,'Transaction Overview'!$H$2:$H$790,J$4)</f>
        <v>0</v>
      </c>
      <c r="K19" s="13">
        <f>SUMIFS('Transaction Overview'!$D$2:$D$790,'Transaction Overview'!$G$2:$G$790,$A19,'Transaction Overview'!$H$2:$H$790,K$4)</f>
        <v>0</v>
      </c>
      <c r="L19" s="13">
        <f>SUMIFS('Transaction Overview'!$D$2:$D$790,'Transaction Overview'!$G$2:$G$790,$A19,'Transaction Overview'!$H$2:$H$790,L$4)</f>
        <v>0</v>
      </c>
      <c r="M19" s="13">
        <f>SUMIFS('Transaction Overview'!$D$2:$D$790,'Transaction Overview'!$G$2:$G$790,$A19,'Transaction Overview'!$H$2:$H$790,M$4)</f>
        <v>0</v>
      </c>
      <c r="N19" s="13">
        <f>SUMIFS('Transaction Overview'!$D$2:$D$790,'Transaction Overview'!$G$2:$G$790,$A19,'Transaction Overview'!$H$2:$H$790,N$4)</f>
        <v>0</v>
      </c>
      <c r="O19" s="13">
        <f>SUM(C19:N19)</f>
        <v>-23830</v>
      </c>
    </row>
    <row r="20" spans="1:15" x14ac:dyDescent="0.25">
      <c r="A20" s="8" t="s">
        <v>831</v>
      </c>
      <c r="B20" s="8" t="s">
        <v>858</v>
      </c>
      <c r="C20" s="13">
        <f>SUMIFS('Transaction Overview'!$D$2:$D$790,'Transaction Overview'!$G$2:$G$790,$A20,'Transaction Overview'!$H$2:$H$790,C$4)</f>
        <v>0</v>
      </c>
      <c r="D20" s="13">
        <f>SUMIFS('Transaction Overview'!$D$2:$D$790,'Transaction Overview'!$G$2:$G$790,$A20,'Transaction Overview'!$H$2:$H$790,D$4)</f>
        <v>0</v>
      </c>
      <c r="E20" s="13">
        <f>SUMIFS('Transaction Overview'!$D$2:$D$790,'Transaction Overview'!$G$2:$G$790,$A20,'Transaction Overview'!$H$2:$H$790,E$4)</f>
        <v>0</v>
      </c>
      <c r="F20" s="13">
        <f>SUMIFS('Transaction Overview'!$D$2:$D$790,'Transaction Overview'!$G$2:$G$790,$A20,'Transaction Overview'!$H$2:$H$790,F$4)</f>
        <v>0</v>
      </c>
      <c r="G20" s="13">
        <f>SUMIFS('Transaction Overview'!$D$2:$D$790,'Transaction Overview'!$G$2:$G$790,$A20,'Transaction Overview'!$H$2:$H$790,G$4)</f>
        <v>0</v>
      </c>
      <c r="H20" s="13">
        <f>SUMIFS('Transaction Overview'!$D$2:$D$790,'Transaction Overview'!$G$2:$G$790,$A20,'Transaction Overview'!$H$2:$H$790,H$4)</f>
        <v>0</v>
      </c>
      <c r="I20" s="13">
        <f>SUMIFS('Transaction Overview'!$D$2:$D$790,'Transaction Overview'!$G$2:$G$790,$A20,'Transaction Overview'!$H$2:$H$790,I$4)</f>
        <v>0</v>
      </c>
      <c r="J20" s="13">
        <f>SUMIFS('Transaction Overview'!$D$2:$D$790,'Transaction Overview'!$G$2:$G$790,$A20,'Transaction Overview'!$H$2:$H$790,J$4)</f>
        <v>0</v>
      </c>
      <c r="K20" s="13">
        <f>SUMIFS('Transaction Overview'!$D$2:$D$790,'Transaction Overview'!$G$2:$G$790,$A20,'Transaction Overview'!$H$2:$H$790,K$4)</f>
        <v>0</v>
      </c>
      <c r="L20" s="13">
        <f>SUMIFS('Transaction Overview'!$D$2:$D$790,'Transaction Overview'!$G$2:$G$790,$A20,'Transaction Overview'!$H$2:$H$790,L$4)</f>
        <v>0</v>
      </c>
      <c r="M20" s="13">
        <f>SUMIFS('Transaction Overview'!$D$2:$D$790,'Transaction Overview'!$G$2:$G$790,$A20,'Transaction Overview'!$H$2:$H$790,M$4)</f>
        <v>0</v>
      </c>
      <c r="N20" s="13">
        <f>SUMIFS('Transaction Overview'!$D$2:$D$790,'Transaction Overview'!$G$2:$G$790,$A20,'Transaction Overview'!$H$2:$H$790,N$4)</f>
        <v>-47820</v>
      </c>
      <c r="O20" s="13">
        <f>SUM(C20:N20)</f>
        <v>-47820</v>
      </c>
    </row>
    <row r="21" spans="1:15" x14ac:dyDescent="0.25">
      <c r="A21" s="8" t="s">
        <v>834</v>
      </c>
      <c r="B21" s="8" t="s">
        <v>851</v>
      </c>
      <c r="C21" s="13">
        <f>SUMIFS('Transaction Overview'!$D$2:$D$790,'Transaction Overview'!$G$2:$G$790,$A21,'Transaction Overview'!$H$2:$H$790,C$4)</f>
        <v>0</v>
      </c>
      <c r="D21" s="13">
        <f>SUMIFS('Transaction Overview'!$D$2:$D$790,'Transaction Overview'!$G$2:$G$790,$A21,'Transaction Overview'!$H$2:$H$790,D$4)</f>
        <v>0</v>
      </c>
      <c r="E21" s="13">
        <f>SUMIFS('Transaction Overview'!$D$2:$D$790,'Transaction Overview'!$G$2:$G$790,$A21,'Transaction Overview'!$H$2:$H$790,E$4)</f>
        <v>0</v>
      </c>
      <c r="F21" s="13">
        <f>SUMIFS('Transaction Overview'!$D$2:$D$790,'Transaction Overview'!$G$2:$G$790,$A21,'Transaction Overview'!$H$2:$H$790,F$4)</f>
        <v>0</v>
      </c>
      <c r="G21" s="13">
        <f>SUMIFS('Transaction Overview'!$D$2:$D$790,'Transaction Overview'!$G$2:$G$790,$A21,'Transaction Overview'!$H$2:$H$790,G$4)</f>
        <v>0</v>
      </c>
      <c r="H21" s="13">
        <f>SUMIFS('Transaction Overview'!$D$2:$D$790,'Transaction Overview'!$G$2:$G$790,$A21,'Transaction Overview'!$H$2:$H$790,H$4)</f>
        <v>0</v>
      </c>
      <c r="I21" s="13">
        <f>SUMIFS('Transaction Overview'!$D$2:$D$790,'Transaction Overview'!$G$2:$G$790,$A21,'Transaction Overview'!$H$2:$H$790,I$4)</f>
        <v>0</v>
      </c>
      <c r="J21" s="13">
        <f>SUMIFS('Transaction Overview'!$D$2:$D$790,'Transaction Overview'!$G$2:$G$790,$A21,'Transaction Overview'!$H$2:$H$790,J$4)</f>
        <v>0</v>
      </c>
      <c r="K21" s="13">
        <f>SUMIFS('Transaction Overview'!$D$2:$D$790,'Transaction Overview'!$G$2:$G$790,$A21,'Transaction Overview'!$H$2:$H$790,K$4)</f>
        <v>0</v>
      </c>
      <c r="L21" s="13">
        <f>SUMIFS('Transaction Overview'!$D$2:$D$790,'Transaction Overview'!$G$2:$G$790,$A21,'Transaction Overview'!$H$2:$H$790,L$4)</f>
        <v>0</v>
      </c>
      <c r="M21" s="13">
        <f>SUMIFS('Transaction Overview'!$D$2:$D$790,'Transaction Overview'!$G$2:$G$790,$A21,'Transaction Overview'!$H$2:$H$790,M$4)</f>
        <v>0</v>
      </c>
      <c r="N21" s="13">
        <f>SUMIFS('Transaction Overview'!$D$2:$D$790,'Transaction Overview'!$G$2:$G$790,$A21,'Transaction Overview'!$H$2:$H$790,N$4)</f>
        <v>-21000</v>
      </c>
      <c r="O21" s="13">
        <f>SUM(C21:N21)</f>
        <v>-21000</v>
      </c>
    </row>
    <row r="22" spans="1:15" x14ac:dyDescent="0.25">
      <c r="A22" s="8" t="s">
        <v>835</v>
      </c>
      <c r="B22" s="8" t="s">
        <v>851</v>
      </c>
      <c r="C22" s="13">
        <f>SUMIFS('Transaction Overview'!$D$2:$D$790,'Transaction Overview'!$G$2:$G$790,$A22,'Transaction Overview'!$H$2:$H$790,C$4)</f>
        <v>0</v>
      </c>
      <c r="D22" s="13">
        <f>SUMIFS('Transaction Overview'!$D$2:$D$790,'Transaction Overview'!$G$2:$G$790,$A22,'Transaction Overview'!$H$2:$H$790,D$4)</f>
        <v>0</v>
      </c>
      <c r="E22" s="13">
        <f>SUMIFS('Transaction Overview'!$D$2:$D$790,'Transaction Overview'!$G$2:$G$790,$A22,'Transaction Overview'!$H$2:$H$790,E$4)</f>
        <v>0</v>
      </c>
      <c r="F22" s="13">
        <f>SUMIFS('Transaction Overview'!$D$2:$D$790,'Transaction Overview'!$G$2:$G$790,$A22,'Transaction Overview'!$H$2:$H$790,F$4)</f>
        <v>0</v>
      </c>
      <c r="G22" s="13">
        <f>SUMIFS('Transaction Overview'!$D$2:$D$790,'Transaction Overview'!$G$2:$G$790,$A22,'Transaction Overview'!$H$2:$H$790,G$4)</f>
        <v>0</v>
      </c>
      <c r="H22" s="13">
        <f>SUMIFS('Transaction Overview'!$D$2:$D$790,'Transaction Overview'!$G$2:$G$790,$A22,'Transaction Overview'!$H$2:$H$790,H$4)</f>
        <v>0</v>
      </c>
      <c r="I22" s="13">
        <f>SUMIFS('Transaction Overview'!$D$2:$D$790,'Transaction Overview'!$G$2:$G$790,$A22,'Transaction Overview'!$H$2:$H$790,I$4)</f>
        <v>0</v>
      </c>
      <c r="J22" s="13">
        <f>SUMIFS('Transaction Overview'!$D$2:$D$790,'Transaction Overview'!$G$2:$G$790,$A22,'Transaction Overview'!$H$2:$H$790,J$4)</f>
        <v>0</v>
      </c>
      <c r="K22" s="13">
        <f>SUMIFS('Transaction Overview'!$D$2:$D$790,'Transaction Overview'!$G$2:$G$790,$A22,'Transaction Overview'!$H$2:$H$790,K$4)</f>
        <v>0</v>
      </c>
      <c r="L22" s="13">
        <f>SUMIFS('Transaction Overview'!$D$2:$D$790,'Transaction Overview'!$G$2:$G$790,$A22,'Transaction Overview'!$H$2:$H$790,L$4)</f>
        <v>0</v>
      </c>
      <c r="M22" s="13">
        <f>SUMIFS('Transaction Overview'!$D$2:$D$790,'Transaction Overview'!$G$2:$G$790,$A22,'Transaction Overview'!$H$2:$H$790,M$4)</f>
        <v>0</v>
      </c>
      <c r="N22" s="13">
        <f>SUMIFS('Transaction Overview'!$D$2:$D$790,'Transaction Overview'!$G$2:$G$790,$A22,'Transaction Overview'!$H$2:$H$790,N$4)</f>
        <v>-39000</v>
      </c>
      <c r="O22" s="13">
        <f>SUM(C22:N22)</f>
        <v>-39000</v>
      </c>
    </row>
    <row r="23" spans="1:15" x14ac:dyDescent="0.25">
      <c r="A23" s="8" t="s">
        <v>793</v>
      </c>
      <c r="B23" s="8" t="s">
        <v>851</v>
      </c>
      <c r="C23" s="13">
        <f>SUMIFS('Transaction Overview'!$D$2:$D$790,'Transaction Overview'!$G$2:$G$790,$A23,'Transaction Overview'!$H$2:$H$790,C$4)</f>
        <v>15000</v>
      </c>
      <c r="D23" s="13">
        <f>SUMIFS('Transaction Overview'!$D$2:$D$790,'Transaction Overview'!$G$2:$G$790,$A23,'Transaction Overview'!$H$2:$H$790,D$4)</f>
        <v>20000</v>
      </c>
      <c r="E23" s="13">
        <f>SUMIFS('Transaction Overview'!$D$2:$D$790,'Transaction Overview'!$G$2:$G$790,$A23,'Transaction Overview'!$H$2:$H$790,E$4)</f>
        <v>0</v>
      </c>
      <c r="F23" s="13">
        <f>SUMIFS('Transaction Overview'!$D$2:$D$790,'Transaction Overview'!$G$2:$G$790,$A23,'Transaction Overview'!$H$2:$H$790,F$4)</f>
        <v>0</v>
      </c>
      <c r="G23" s="13">
        <f>SUMIFS('Transaction Overview'!$D$2:$D$790,'Transaction Overview'!$G$2:$G$790,$A23,'Transaction Overview'!$H$2:$H$790,G$4)</f>
        <v>0</v>
      </c>
      <c r="H23" s="13">
        <f>SUMIFS('Transaction Overview'!$D$2:$D$790,'Transaction Overview'!$G$2:$G$790,$A23,'Transaction Overview'!$H$2:$H$790,H$4)</f>
        <v>0</v>
      </c>
      <c r="I23" s="13">
        <f>SUMIFS('Transaction Overview'!$D$2:$D$790,'Transaction Overview'!$G$2:$G$790,$A23,'Transaction Overview'!$H$2:$H$790,I$4)</f>
        <v>0</v>
      </c>
      <c r="J23" s="13">
        <f>SUMIFS('Transaction Overview'!$D$2:$D$790,'Transaction Overview'!$G$2:$G$790,$A23,'Transaction Overview'!$H$2:$H$790,J$4)</f>
        <v>0</v>
      </c>
      <c r="K23" s="13">
        <f>SUMIFS('Transaction Overview'!$D$2:$D$790,'Transaction Overview'!$G$2:$G$790,$A23,'Transaction Overview'!$H$2:$H$790,K$4)</f>
        <v>0</v>
      </c>
      <c r="L23" s="13">
        <f>SUMIFS('Transaction Overview'!$D$2:$D$790,'Transaction Overview'!$G$2:$G$790,$A23,'Transaction Overview'!$H$2:$H$790,L$4)</f>
        <v>0</v>
      </c>
      <c r="M23" s="13">
        <f>SUMIFS('Transaction Overview'!$D$2:$D$790,'Transaction Overview'!$G$2:$G$790,$A23,'Transaction Overview'!$H$2:$H$790,M$4)</f>
        <v>0</v>
      </c>
      <c r="N23" s="13">
        <f>SUMIFS('Transaction Overview'!$D$2:$D$790,'Transaction Overview'!$G$2:$G$790,$A23,'Transaction Overview'!$H$2:$H$790,N$4)</f>
        <v>0</v>
      </c>
      <c r="O23" s="13">
        <f>SUM(C23:N23)</f>
        <v>35000</v>
      </c>
    </row>
    <row r="24" spans="1:15" x14ac:dyDescent="0.25">
      <c r="A24" s="8" t="s">
        <v>786</v>
      </c>
      <c r="B24" s="8" t="s">
        <v>851</v>
      </c>
      <c r="C24" s="13">
        <f>SUMIFS('Transaction Overview'!$D$2:$D$790,'Transaction Overview'!$G$2:$G$790,$A24,'Transaction Overview'!$H$2:$H$790,C$4)</f>
        <v>-9950</v>
      </c>
      <c r="D24" s="13">
        <f>SUMIFS('Transaction Overview'!$D$2:$D$790,'Transaction Overview'!$G$2:$G$790,$A24,'Transaction Overview'!$H$2:$H$790,D$4)</f>
        <v>-15000</v>
      </c>
      <c r="E24" s="13">
        <f>SUMIFS('Transaction Overview'!$D$2:$D$790,'Transaction Overview'!$G$2:$G$790,$A24,'Transaction Overview'!$H$2:$H$790,E$4)</f>
        <v>0</v>
      </c>
      <c r="F24" s="13">
        <f>SUMIFS('Transaction Overview'!$D$2:$D$790,'Transaction Overview'!$G$2:$G$790,$A24,'Transaction Overview'!$H$2:$H$790,F$4)</f>
        <v>0</v>
      </c>
      <c r="G24" s="13">
        <f>SUMIFS('Transaction Overview'!$D$2:$D$790,'Transaction Overview'!$G$2:$G$790,$A24,'Transaction Overview'!$H$2:$H$790,G$4)</f>
        <v>-2500</v>
      </c>
      <c r="H24" s="13">
        <f>SUMIFS('Transaction Overview'!$D$2:$D$790,'Transaction Overview'!$G$2:$G$790,$A24,'Transaction Overview'!$H$2:$H$790,H$4)</f>
        <v>-5000</v>
      </c>
      <c r="I24" s="13">
        <f>SUMIFS('Transaction Overview'!$D$2:$D$790,'Transaction Overview'!$G$2:$G$790,$A24,'Transaction Overview'!$H$2:$H$790,I$4)</f>
        <v>0</v>
      </c>
      <c r="J24" s="13">
        <f>SUMIFS('Transaction Overview'!$D$2:$D$790,'Transaction Overview'!$G$2:$G$790,$A24,'Transaction Overview'!$H$2:$H$790,J$4)</f>
        <v>0</v>
      </c>
      <c r="K24" s="13">
        <f>SUMIFS('Transaction Overview'!$D$2:$D$790,'Transaction Overview'!$G$2:$G$790,$A24,'Transaction Overview'!$H$2:$H$790,K$4)</f>
        <v>0</v>
      </c>
      <c r="L24" s="13">
        <f>SUMIFS('Transaction Overview'!$D$2:$D$790,'Transaction Overview'!$G$2:$G$790,$A24,'Transaction Overview'!$H$2:$H$790,L$4)</f>
        <v>-10000</v>
      </c>
      <c r="M24" s="13">
        <f>SUMIFS('Transaction Overview'!$D$2:$D$790,'Transaction Overview'!$G$2:$G$790,$A24,'Transaction Overview'!$H$2:$H$790,M$4)</f>
        <v>0</v>
      </c>
      <c r="N24" s="13">
        <f>SUMIFS('Transaction Overview'!$D$2:$D$790,'Transaction Overview'!$G$2:$G$790,$A24,'Transaction Overview'!$H$2:$H$790,N$4)</f>
        <v>0</v>
      </c>
      <c r="O24" s="13">
        <f>SUM(C24:N24)</f>
        <v>-42450</v>
      </c>
    </row>
    <row r="25" spans="1:15" x14ac:dyDescent="0.25">
      <c r="A25" s="8" t="s">
        <v>833</v>
      </c>
      <c r="B25" s="8" t="s">
        <v>851</v>
      </c>
      <c r="C25" s="13">
        <f>SUMIFS('Transaction Overview'!$D$2:$D$790,'Transaction Overview'!$G$2:$G$790,$A25,'Transaction Overview'!$H$2:$H$790,C$4)</f>
        <v>0</v>
      </c>
      <c r="D25" s="13">
        <f>SUMIFS('Transaction Overview'!$D$2:$D$790,'Transaction Overview'!$G$2:$G$790,$A25,'Transaction Overview'!$H$2:$H$790,D$4)</f>
        <v>0</v>
      </c>
      <c r="E25" s="13">
        <f>SUMIFS('Transaction Overview'!$D$2:$D$790,'Transaction Overview'!$G$2:$G$790,$A25,'Transaction Overview'!$H$2:$H$790,E$4)</f>
        <v>0</v>
      </c>
      <c r="F25" s="13">
        <f>SUMIFS('Transaction Overview'!$D$2:$D$790,'Transaction Overview'!$G$2:$G$790,$A25,'Transaction Overview'!$H$2:$H$790,F$4)</f>
        <v>0</v>
      </c>
      <c r="G25" s="13">
        <f>SUMIFS('Transaction Overview'!$D$2:$D$790,'Transaction Overview'!$G$2:$G$790,$A25,'Transaction Overview'!$H$2:$H$790,G$4)</f>
        <v>0</v>
      </c>
      <c r="H25" s="13">
        <f>SUMIFS('Transaction Overview'!$D$2:$D$790,'Transaction Overview'!$G$2:$G$790,$A25,'Transaction Overview'!$H$2:$H$790,H$4)</f>
        <v>0</v>
      </c>
      <c r="I25" s="13">
        <f>SUMIFS('Transaction Overview'!$D$2:$D$790,'Transaction Overview'!$G$2:$G$790,$A25,'Transaction Overview'!$H$2:$H$790,I$4)</f>
        <v>0</v>
      </c>
      <c r="J25" s="13">
        <f>SUMIFS('Transaction Overview'!$D$2:$D$790,'Transaction Overview'!$G$2:$G$790,$A25,'Transaction Overview'!$H$2:$H$790,J$4)</f>
        <v>0</v>
      </c>
      <c r="K25" s="13">
        <f>SUMIFS('Transaction Overview'!$D$2:$D$790,'Transaction Overview'!$G$2:$G$790,$A25,'Transaction Overview'!$H$2:$H$790,K$4)</f>
        <v>0</v>
      </c>
      <c r="L25" s="13">
        <f>SUMIFS('Transaction Overview'!$D$2:$D$790,'Transaction Overview'!$G$2:$G$790,$A25,'Transaction Overview'!$H$2:$H$790,L$4)</f>
        <v>0</v>
      </c>
      <c r="M25" s="13">
        <f>SUMIFS('Transaction Overview'!$D$2:$D$790,'Transaction Overview'!$G$2:$G$790,$A25,'Transaction Overview'!$H$2:$H$790,M$4)</f>
        <v>0</v>
      </c>
      <c r="N25" s="13">
        <f>SUMIFS('Transaction Overview'!$D$2:$D$790,'Transaction Overview'!$G$2:$G$790,$A25,'Transaction Overview'!$H$2:$H$790,N$4)</f>
        <v>75000</v>
      </c>
      <c r="O25" s="13">
        <f>SUM(C25:N25)</f>
        <v>75000</v>
      </c>
    </row>
    <row r="26" spans="1:15" x14ac:dyDescent="0.25">
      <c r="A26" s="8" t="s">
        <v>780</v>
      </c>
      <c r="B26" s="8" t="s">
        <v>851</v>
      </c>
      <c r="C26" s="13">
        <f>SUMIFS('Transaction Overview'!$D$2:$D$790,'Transaction Overview'!$G$2:$G$790,$A26,'Transaction Overview'!$H$2:$H$790,C$4)</f>
        <v>0</v>
      </c>
      <c r="D26" s="13">
        <f>SUMIFS('Transaction Overview'!$D$2:$D$790,'Transaction Overview'!$G$2:$G$790,$A26,'Transaction Overview'!$H$2:$H$790,D$4)</f>
        <v>0</v>
      </c>
      <c r="E26" s="13">
        <f>SUMIFS('Transaction Overview'!$D$2:$D$790,'Transaction Overview'!$G$2:$G$790,$A26,'Transaction Overview'!$H$2:$H$790,E$4)</f>
        <v>0</v>
      </c>
      <c r="F26" s="13">
        <f>SUMIFS('Transaction Overview'!$D$2:$D$790,'Transaction Overview'!$G$2:$G$790,$A26,'Transaction Overview'!$H$2:$H$790,F$4)</f>
        <v>0</v>
      </c>
      <c r="G26" s="13">
        <f>SUMIFS('Transaction Overview'!$D$2:$D$790,'Transaction Overview'!$G$2:$G$790,$A26,'Transaction Overview'!$H$2:$H$790,G$4)</f>
        <v>0</v>
      </c>
      <c r="H26" s="13">
        <f>SUMIFS('Transaction Overview'!$D$2:$D$790,'Transaction Overview'!$G$2:$G$790,$A26,'Transaction Overview'!$H$2:$H$790,H$4)</f>
        <v>0</v>
      </c>
      <c r="I26" s="13">
        <f>SUMIFS('Transaction Overview'!$D$2:$D$790,'Transaction Overview'!$G$2:$G$790,$A26,'Transaction Overview'!$H$2:$H$790,I$4)</f>
        <v>0</v>
      </c>
      <c r="J26" s="13">
        <f>SUMIFS('Transaction Overview'!$D$2:$D$790,'Transaction Overview'!$G$2:$G$790,$A26,'Transaction Overview'!$H$2:$H$790,J$4)</f>
        <v>0</v>
      </c>
      <c r="K26" s="13">
        <f>SUMIFS('Transaction Overview'!$D$2:$D$790,'Transaction Overview'!$G$2:$G$790,$A26,'Transaction Overview'!$H$2:$H$790,K$4)</f>
        <v>0</v>
      </c>
      <c r="L26" s="13">
        <f>SUMIFS('Transaction Overview'!$D$2:$D$790,'Transaction Overview'!$G$2:$G$790,$A26,'Transaction Overview'!$H$2:$H$790,L$4)</f>
        <v>15000</v>
      </c>
      <c r="M26" s="13">
        <f>SUMIFS('Transaction Overview'!$D$2:$D$790,'Transaction Overview'!$G$2:$G$790,$A26,'Transaction Overview'!$H$2:$H$790,M$4)</f>
        <v>0</v>
      </c>
      <c r="N26" s="13">
        <f>SUMIFS('Transaction Overview'!$D$2:$D$790,'Transaction Overview'!$G$2:$G$790,$A26,'Transaction Overview'!$H$2:$H$790,N$4)</f>
        <v>0</v>
      </c>
      <c r="O26" s="13">
        <f>SUM(C26:N26)</f>
        <v>15000</v>
      </c>
    </row>
    <row r="27" spans="1:15" x14ac:dyDescent="0.25">
      <c r="A27" s="8" t="s">
        <v>804</v>
      </c>
      <c r="B27" s="8" t="s">
        <v>853</v>
      </c>
      <c r="C27" s="13">
        <f>SUMIFS('Transaction Overview'!$D$2:$D$790,'Transaction Overview'!$G$2:$G$790,$A27,'Transaction Overview'!$H$2:$H$790,C$4)</f>
        <v>0</v>
      </c>
      <c r="D27" s="13">
        <f>SUMIFS('Transaction Overview'!$D$2:$D$790,'Transaction Overview'!$G$2:$G$790,$A27,'Transaction Overview'!$H$2:$H$790,D$4)</f>
        <v>0</v>
      </c>
      <c r="E27" s="13">
        <f>SUMIFS('Transaction Overview'!$D$2:$D$790,'Transaction Overview'!$G$2:$G$790,$A27,'Transaction Overview'!$H$2:$H$790,E$4)</f>
        <v>0</v>
      </c>
      <c r="F27" s="13">
        <f>SUMIFS('Transaction Overview'!$D$2:$D$790,'Transaction Overview'!$G$2:$G$790,$A27,'Transaction Overview'!$H$2:$H$790,F$4)</f>
        <v>0</v>
      </c>
      <c r="G27" s="13">
        <f>SUMIFS('Transaction Overview'!$D$2:$D$790,'Transaction Overview'!$G$2:$G$790,$A27,'Transaction Overview'!$H$2:$H$790,G$4)</f>
        <v>0</v>
      </c>
      <c r="H27" s="13">
        <f>SUMIFS('Transaction Overview'!$D$2:$D$790,'Transaction Overview'!$G$2:$G$790,$A27,'Transaction Overview'!$H$2:$H$790,H$4)</f>
        <v>100000</v>
      </c>
      <c r="I27" s="13">
        <f>SUMIFS('Transaction Overview'!$D$2:$D$790,'Transaction Overview'!$G$2:$G$790,$A27,'Transaction Overview'!$H$2:$H$790,I$4)</f>
        <v>0</v>
      </c>
      <c r="J27" s="13">
        <f>SUMIFS('Transaction Overview'!$D$2:$D$790,'Transaction Overview'!$G$2:$G$790,$A27,'Transaction Overview'!$H$2:$H$790,J$4)</f>
        <v>0</v>
      </c>
      <c r="K27" s="13">
        <f>SUMIFS('Transaction Overview'!$D$2:$D$790,'Transaction Overview'!$G$2:$G$790,$A27,'Transaction Overview'!$H$2:$H$790,K$4)</f>
        <v>0</v>
      </c>
      <c r="L27" s="13">
        <f>SUMIFS('Transaction Overview'!$D$2:$D$790,'Transaction Overview'!$G$2:$G$790,$A27,'Transaction Overview'!$H$2:$H$790,L$4)</f>
        <v>0</v>
      </c>
      <c r="M27" s="13">
        <f>SUMIFS('Transaction Overview'!$D$2:$D$790,'Transaction Overview'!$G$2:$G$790,$A27,'Transaction Overview'!$H$2:$H$790,M$4)</f>
        <v>0</v>
      </c>
      <c r="N27" s="13">
        <f>SUMIFS('Transaction Overview'!$D$2:$D$790,'Transaction Overview'!$G$2:$G$790,$A27,'Transaction Overview'!$H$2:$H$790,N$4)</f>
        <v>0</v>
      </c>
      <c r="O27" s="13">
        <f>SUM(C27:N27)</f>
        <v>100000</v>
      </c>
    </row>
    <row r="28" spans="1:15" x14ac:dyDescent="0.25">
      <c r="A28" s="8" t="s">
        <v>815</v>
      </c>
      <c r="B28" s="8" t="s">
        <v>853</v>
      </c>
      <c r="C28" s="13">
        <f>SUMIFS('Transaction Overview'!$D$2:$D$790,'Transaction Overview'!$G$2:$G$790,$A28,'Transaction Overview'!$H$2:$H$790,C$4)</f>
        <v>0</v>
      </c>
      <c r="D28" s="13">
        <f>SUMIFS('Transaction Overview'!$D$2:$D$790,'Transaction Overview'!$G$2:$G$790,$A28,'Transaction Overview'!$H$2:$H$790,D$4)</f>
        <v>0</v>
      </c>
      <c r="E28" s="13">
        <f>SUMIFS('Transaction Overview'!$D$2:$D$790,'Transaction Overview'!$G$2:$G$790,$A28,'Transaction Overview'!$H$2:$H$790,E$4)</f>
        <v>0</v>
      </c>
      <c r="F28" s="13">
        <f>SUMIFS('Transaction Overview'!$D$2:$D$790,'Transaction Overview'!$G$2:$G$790,$A28,'Transaction Overview'!$H$2:$H$790,F$4)</f>
        <v>0</v>
      </c>
      <c r="G28" s="13">
        <f>SUMIFS('Transaction Overview'!$D$2:$D$790,'Transaction Overview'!$G$2:$G$790,$A28,'Transaction Overview'!$H$2:$H$790,G$4)</f>
        <v>0</v>
      </c>
      <c r="H28" s="13">
        <f>SUMIFS('Transaction Overview'!$D$2:$D$790,'Transaction Overview'!$G$2:$G$790,$A28,'Transaction Overview'!$H$2:$H$790,H$4)</f>
        <v>0</v>
      </c>
      <c r="I28" s="13">
        <f>SUMIFS('Transaction Overview'!$D$2:$D$790,'Transaction Overview'!$G$2:$G$790,$A28,'Transaction Overview'!$H$2:$H$790,I$4)</f>
        <v>0</v>
      </c>
      <c r="J28" s="13">
        <f>SUMIFS('Transaction Overview'!$D$2:$D$790,'Transaction Overview'!$G$2:$G$790,$A28,'Transaction Overview'!$H$2:$H$790,J$4)</f>
        <v>20000</v>
      </c>
      <c r="K28" s="13">
        <f>SUMIFS('Transaction Overview'!$D$2:$D$790,'Transaction Overview'!$G$2:$G$790,$A28,'Transaction Overview'!$H$2:$H$790,K$4)</f>
        <v>0</v>
      </c>
      <c r="L28" s="13">
        <f>SUMIFS('Transaction Overview'!$D$2:$D$790,'Transaction Overview'!$G$2:$G$790,$A28,'Transaction Overview'!$H$2:$H$790,L$4)</f>
        <v>0</v>
      </c>
      <c r="M28" s="13">
        <f>SUMIFS('Transaction Overview'!$D$2:$D$790,'Transaction Overview'!$G$2:$G$790,$A28,'Transaction Overview'!$H$2:$H$790,M$4)</f>
        <v>0</v>
      </c>
      <c r="N28" s="13">
        <f>SUMIFS('Transaction Overview'!$D$2:$D$790,'Transaction Overview'!$G$2:$G$790,$A28,'Transaction Overview'!$H$2:$H$790,N$4)</f>
        <v>0</v>
      </c>
      <c r="O28" s="13">
        <f>SUM(C28:N28)</f>
        <v>20000</v>
      </c>
    </row>
    <row r="29" spans="1:15" x14ac:dyDescent="0.25">
      <c r="A29" s="8" t="s">
        <v>805</v>
      </c>
      <c r="B29" s="8" t="s">
        <v>854</v>
      </c>
      <c r="C29" s="13">
        <f>SUMIFS('Transaction Overview'!$D$2:$D$790,'Transaction Overview'!$G$2:$G$790,$A29,'Transaction Overview'!$H$2:$H$790,C$4)</f>
        <v>0</v>
      </c>
      <c r="D29" s="13">
        <f>SUMIFS('Transaction Overview'!$D$2:$D$790,'Transaction Overview'!$G$2:$G$790,$A29,'Transaction Overview'!$H$2:$H$790,D$4)</f>
        <v>0</v>
      </c>
      <c r="E29" s="13">
        <f>SUMIFS('Transaction Overview'!$D$2:$D$790,'Transaction Overview'!$G$2:$G$790,$A29,'Transaction Overview'!$H$2:$H$790,E$4)</f>
        <v>0</v>
      </c>
      <c r="F29" s="13">
        <f>SUMIFS('Transaction Overview'!$D$2:$D$790,'Transaction Overview'!$G$2:$G$790,$A29,'Transaction Overview'!$H$2:$H$790,F$4)</f>
        <v>0</v>
      </c>
      <c r="G29" s="13">
        <f>SUMIFS('Transaction Overview'!$D$2:$D$790,'Transaction Overview'!$G$2:$G$790,$A29,'Transaction Overview'!$H$2:$H$790,G$4)</f>
        <v>0</v>
      </c>
      <c r="H29" s="13">
        <f>SUMIFS('Transaction Overview'!$D$2:$D$790,'Transaction Overview'!$G$2:$G$790,$A29,'Transaction Overview'!$H$2:$H$790,H$4)</f>
        <v>-100000</v>
      </c>
      <c r="I29" s="13">
        <f>SUMIFS('Transaction Overview'!$D$2:$D$790,'Transaction Overview'!$G$2:$G$790,$A29,'Transaction Overview'!$H$2:$H$790,I$4)</f>
        <v>0</v>
      </c>
      <c r="J29" s="13">
        <f>SUMIFS('Transaction Overview'!$D$2:$D$790,'Transaction Overview'!$G$2:$G$790,$A29,'Transaction Overview'!$H$2:$H$790,J$4)</f>
        <v>0</v>
      </c>
      <c r="K29" s="13">
        <f>SUMIFS('Transaction Overview'!$D$2:$D$790,'Transaction Overview'!$G$2:$G$790,$A29,'Transaction Overview'!$H$2:$H$790,K$4)</f>
        <v>0</v>
      </c>
      <c r="L29" s="13">
        <f>SUMIFS('Transaction Overview'!$D$2:$D$790,'Transaction Overview'!$G$2:$G$790,$A29,'Transaction Overview'!$H$2:$H$790,L$4)</f>
        <v>0</v>
      </c>
      <c r="M29" s="13">
        <f>SUMIFS('Transaction Overview'!$D$2:$D$790,'Transaction Overview'!$G$2:$G$790,$A29,'Transaction Overview'!$H$2:$H$790,M$4)</f>
        <v>0</v>
      </c>
      <c r="N29" s="13">
        <f>SUMIFS('Transaction Overview'!$D$2:$D$790,'Transaction Overview'!$G$2:$G$790,$A29,'Transaction Overview'!$H$2:$H$790,N$4)</f>
        <v>0</v>
      </c>
      <c r="O29" s="13">
        <f>SUM(C29:N29)</f>
        <v>-100000</v>
      </c>
    </row>
    <row r="30" spans="1:15" x14ac:dyDescent="0.25">
      <c r="A30" s="8" t="s">
        <v>814</v>
      </c>
      <c r="B30" s="8" t="s">
        <v>854</v>
      </c>
      <c r="C30" s="13">
        <f>SUMIFS('Transaction Overview'!$D$2:$D$790,'Transaction Overview'!$G$2:$G$790,$A30,'Transaction Overview'!$H$2:$H$790,C$4)</f>
        <v>0</v>
      </c>
      <c r="D30" s="13">
        <f>SUMIFS('Transaction Overview'!$D$2:$D$790,'Transaction Overview'!$G$2:$G$790,$A30,'Transaction Overview'!$H$2:$H$790,D$4)</f>
        <v>0</v>
      </c>
      <c r="E30" s="13">
        <f>SUMIFS('Transaction Overview'!$D$2:$D$790,'Transaction Overview'!$G$2:$G$790,$A30,'Transaction Overview'!$H$2:$H$790,E$4)</f>
        <v>0</v>
      </c>
      <c r="F30" s="13">
        <f>SUMIFS('Transaction Overview'!$D$2:$D$790,'Transaction Overview'!$G$2:$G$790,$A30,'Transaction Overview'!$H$2:$H$790,F$4)</f>
        <v>0</v>
      </c>
      <c r="G30" s="13">
        <f>SUMIFS('Transaction Overview'!$D$2:$D$790,'Transaction Overview'!$G$2:$G$790,$A30,'Transaction Overview'!$H$2:$H$790,G$4)</f>
        <v>0</v>
      </c>
      <c r="H30" s="13">
        <f>SUMIFS('Transaction Overview'!$D$2:$D$790,'Transaction Overview'!$G$2:$G$790,$A30,'Transaction Overview'!$H$2:$H$790,H$4)</f>
        <v>0</v>
      </c>
      <c r="I30" s="13">
        <f>SUMIFS('Transaction Overview'!$D$2:$D$790,'Transaction Overview'!$G$2:$G$790,$A30,'Transaction Overview'!$H$2:$H$790,I$4)</f>
        <v>0</v>
      </c>
      <c r="J30" s="13">
        <f>SUMIFS('Transaction Overview'!$D$2:$D$790,'Transaction Overview'!$G$2:$G$790,$A30,'Transaction Overview'!$H$2:$H$790,J$4)</f>
        <v>-25000</v>
      </c>
      <c r="K30" s="13">
        <f>SUMIFS('Transaction Overview'!$D$2:$D$790,'Transaction Overview'!$G$2:$G$790,$A30,'Transaction Overview'!$H$2:$H$790,K$4)</f>
        <v>0</v>
      </c>
      <c r="L30" s="13">
        <f>SUMIFS('Transaction Overview'!$D$2:$D$790,'Transaction Overview'!$G$2:$G$790,$A30,'Transaction Overview'!$H$2:$H$790,L$4)</f>
        <v>0</v>
      </c>
      <c r="M30" s="13">
        <f>SUMIFS('Transaction Overview'!$D$2:$D$790,'Transaction Overview'!$G$2:$G$790,$A30,'Transaction Overview'!$H$2:$H$790,M$4)</f>
        <v>0</v>
      </c>
      <c r="N30" s="13">
        <f>SUMIFS('Transaction Overview'!$D$2:$D$790,'Transaction Overview'!$G$2:$G$790,$A30,'Transaction Overview'!$H$2:$H$790,N$4)</f>
        <v>-10000</v>
      </c>
      <c r="O30" s="13">
        <f>SUM(C30:N30)</f>
        <v>-35000</v>
      </c>
    </row>
    <row r="31" spans="1:15" x14ac:dyDescent="0.25">
      <c r="A31" s="8" t="s">
        <v>795</v>
      </c>
      <c r="B31" s="8" t="s">
        <v>854</v>
      </c>
      <c r="C31" s="13">
        <f>SUMIFS('Transaction Overview'!$D$2:$D$790,'Transaction Overview'!$G$2:$G$790,$A31,'Transaction Overview'!$H$2:$H$790,C$4)</f>
        <v>0</v>
      </c>
      <c r="D31" s="13">
        <f>SUMIFS('Transaction Overview'!$D$2:$D$790,'Transaction Overview'!$G$2:$G$790,$A31,'Transaction Overview'!$H$2:$H$790,D$4)</f>
        <v>0</v>
      </c>
      <c r="E31" s="13">
        <f>SUMIFS('Transaction Overview'!$D$2:$D$790,'Transaction Overview'!$G$2:$G$790,$A31,'Transaction Overview'!$H$2:$H$790,E$4)</f>
        <v>-6000</v>
      </c>
      <c r="F31" s="13">
        <f>SUMIFS('Transaction Overview'!$D$2:$D$790,'Transaction Overview'!$G$2:$G$790,$A31,'Transaction Overview'!$H$2:$H$790,F$4)</f>
        <v>0</v>
      </c>
      <c r="G31" s="13">
        <f>SUMIFS('Transaction Overview'!$D$2:$D$790,'Transaction Overview'!$G$2:$G$790,$A31,'Transaction Overview'!$H$2:$H$790,G$4)</f>
        <v>0</v>
      </c>
      <c r="H31" s="13">
        <f>SUMIFS('Transaction Overview'!$D$2:$D$790,'Transaction Overview'!$G$2:$G$790,$A31,'Transaction Overview'!$H$2:$H$790,H$4)</f>
        <v>0</v>
      </c>
      <c r="I31" s="13">
        <f>SUMIFS('Transaction Overview'!$D$2:$D$790,'Transaction Overview'!$G$2:$G$790,$A31,'Transaction Overview'!$H$2:$H$790,I$4)</f>
        <v>0</v>
      </c>
      <c r="J31" s="13">
        <f>SUMIFS('Transaction Overview'!$D$2:$D$790,'Transaction Overview'!$G$2:$G$790,$A31,'Transaction Overview'!$H$2:$H$790,J$4)</f>
        <v>0</v>
      </c>
      <c r="K31" s="13">
        <f>SUMIFS('Transaction Overview'!$D$2:$D$790,'Transaction Overview'!$G$2:$G$790,$A31,'Transaction Overview'!$H$2:$H$790,K$4)</f>
        <v>0</v>
      </c>
      <c r="L31" s="13">
        <f>SUMIFS('Transaction Overview'!$D$2:$D$790,'Transaction Overview'!$G$2:$G$790,$A31,'Transaction Overview'!$H$2:$H$790,L$4)</f>
        <v>0</v>
      </c>
      <c r="M31" s="13">
        <f>SUMIFS('Transaction Overview'!$D$2:$D$790,'Transaction Overview'!$G$2:$G$790,$A31,'Transaction Overview'!$H$2:$H$790,M$4)</f>
        <v>0</v>
      </c>
      <c r="N31" s="13">
        <f>SUMIFS('Transaction Overview'!$D$2:$D$790,'Transaction Overview'!$G$2:$G$790,$A31,'Transaction Overview'!$H$2:$H$790,N$4)</f>
        <v>0</v>
      </c>
      <c r="O31" s="13">
        <f>SUM(C31:N31)</f>
        <v>-6000</v>
      </c>
    </row>
    <row r="32" spans="1:15" x14ac:dyDescent="0.25">
      <c r="A32" s="8" t="s">
        <v>839</v>
      </c>
      <c r="B32" s="8" t="s">
        <v>854</v>
      </c>
      <c r="C32" s="13">
        <f>SUMIFS('Transaction Overview'!$D$2:$D$790,'Transaction Overview'!$G$2:$G$790,$A32,'Transaction Overview'!$H$2:$H$790,C$4)</f>
        <v>0</v>
      </c>
      <c r="D32" s="13">
        <f>SUMIFS('Transaction Overview'!$D$2:$D$790,'Transaction Overview'!$G$2:$G$790,$A32,'Transaction Overview'!$H$2:$H$790,D$4)</f>
        <v>0</v>
      </c>
      <c r="E32" s="13">
        <f>SUMIFS('Transaction Overview'!$D$2:$D$790,'Transaction Overview'!$G$2:$G$790,$A32,'Transaction Overview'!$H$2:$H$790,E$4)</f>
        <v>0</v>
      </c>
      <c r="F32" s="13">
        <f>SUMIFS('Transaction Overview'!$D$2:$D$790,'Transaction Overview'!$G$2:$G$790,$A32,'Transaction Overview'!$H$2:$H$790,F$4)</f>
        <v>0</v>
      </c>
      <c r="G32" s="13">
        <f>SUMIFS('Transaction Overview'!$D$2:$D$790,'Transaction Overview'!$G$2:$G$790,$A32,'Transaction Overview'!$H$2:$H$790,G$4)</f>
        <v>0</v>
      </c>
      <c r="H32" s="13">
        <f>SUMIFS('Transaction Overview'!$D$2:$D$790,'Transaction Overview'!$G$2:$G$790,$A32,'Transaction Overview'!$H$2:$H$790,H$4)</f>
        <v>0</v>
      </c>
      <c r="I32" s="13">
        <f>SUMIFS('Transaction Overview'!$D$2:$D$790,'Transaction Overview'!$G$2:$G$790,$A32,'Transaction Overview'!$H$2:$H$790,I$4)</f>
        <v>0</v>
      </c>
      <c r="J32" s="13">
        <f>SUMIFS('Transaction Overview'!$D$2:$D$790,'Transaction Overview'!$G$2:$G$790,$A32,'Transaction Overview'!$H$2:$H$790,J$4)</f>
        <v>0</v>
      </c>
      <c r="K32" s="13">
        <f>SUMIFS('Transaction Overview'!$D$2:$D$790,'Transaction Overview'!$G$2:$G$790,$A32,'Transaction Overview'!$H$2:$H$790,K$4)</f>
        <v>0</v>
      </c>
      <c r="L32" s="13">
        <f>SUMIFS('Transaction Overview'!$D$2:$D$790,'Transaction Overview'!$G$2:$G$790,$A32,'Transaction Overview'!$H$2:$H$790,L$4)</f>
        <v>0</v>
      </c>
      <c r="M32" s="13">
        <f>SUMIFS('Transaction Overview'!$D$2:$D$790,'Transaction Overview'!$G$2:$G$790,$A32,'Transaction Overview'!$H$2:$H$790,M$4)</f>
        <v>0</v>
      </c>
      <c r="N32" s="13">
        <f>SUMIFS('Transaction Overview'!$D$2:$D$790,'Transaction Overview'!$G$2:$G$790,$A32,'Transaction Overview'!$H$2:$H$790,N$4)</f>
        <v>-15500</v>
      </c>
      <c r="O32" s="13">
        <f>SUM(C32:N32)</f>
        <v>-15500</v>
      </c>
    </row>
    <row r="33" spans="1:15" x14ac:dyDescent="0.25">
      <c r="A33" s="8" t="s">
        <v>807</v>
      </c>
      <c r="B33" s="8" t="s">
        <v>856</v>
      </c>
      <c r="C33" s="13">
        <f>SUMIFS('Transaction Overview'!$D$2:$D$790,'Transaction Overview'!$G$2:$G$790,$A33,'Transaction Overview'!$H$2:$H$790,C$4)</f>
        <v>0</v>
      </c>
      <c r="D33" s="13">
        <f>SUMIFS('Transaction Overview'!$D$2:$D$790,'Transaction Overview'!$G$2:$G$790,$A33,'Transaction Overview'!$H$2:$H$790,D$4)</f>
        <v>0</v>
      </c>
      <c r="E33" s="13">
        <f>SUMIFS('Transaction Overview'!$D$2:$D$790,'Transaction Overview'!$G$2:$G$790,$A33,'Transaction Overview'!$H$2:$H$790,E$4)</f>
        <v>0</v>
      </c>
      <c r="F33" s="13">
        <f>SUMIFS('Transaction Overview'!$D$2:$D$790,'Transaction Overview'!$G$2:$G$790,$A33,'Transaction Overview'!$H$2:$H$790,F$4)</f>
        <v>0</v>
      </c>
      <c r="G33" s="13">
        <f>SUMIFS('Transaction Overview'!$D$2:$D$790,'Transaction Overview'!$G$2:$G$790,$A33,'Transaction Overview'!$H$2:$H$790,G$4)</f>
        <v>0</v>
      </c>
      <c r="H33" s="13">
        <f>SUMIFS('Transaction Overview'!$D$2:$D$790,'Transaction Overview'!$G$2:$G$790,$A33,'Transaction Overview'!$H$2:$H$790,H$4)</f>
        <v>0</v>
      </c>
      <c r="I33" s="13">
        <f>SUMIFS('Transaction Overview'!$D$2:$D$790,'Transaction Overview'!$G$2:$G$790,$A33,'Transaction Overview'!$H$2:$H$790,I$4)</f>
        <v>100000</v>
      </c>
      <c r="J33" s="13">
        <f>SUMIFS('Transaction Overview'!$D$2:$D$790,'Transaction Overview'!$G$2:$G$790,$A33,'Transaction Overview'!$H$2:$H$790,J$4)</f>
        <v>0</v>
      </c>
      <c r="K33" s="13">
        <f>SUMIFS('Transaction Overview'!$D$2:$D$790,'Transaction Overview'!$G$2:$G$790,$A33,'Transaction Overview'!$H$2:$H$790,K$4)</f>
        <v>50000</v>
      </c>
      <c r="L33" s="13">
        <f>SUMIFS('Transaction Overview'!$D$2:$D$790,'Transaction Overview'!$G$2:$G$790,$A33,'Transaction Overview'!$H$2:$H$790,L$4)</f>
        <v>0</v>
      </c>
      <c r="M33" s="13">
        <f>SUMIFS('Transaction Overview'!$D$2:$D$790,'Transaction Overview'!$G$2:$G$790,$A33,'Transaction Overview'!$H$2:$H$790,M$4)</f>
        <v>0</v>
      </c>
      <c r="N33" s="13">
        <f>SUMIFS('Transaction Overview'!$D$2:$D$790,'Transaction Overview'!$G$2:$G$790,$A33,'Transaction Overview'!$H$2:$H$790,N$4)</f>
        <v>0</v>
      </c>
      <c r="O33" s="13">
        <f>SUM(C33:N33)</f>
        <v>150000</v>
      </c>
    </row>
    <row r="34" spans="1:15" x14ac:dyDescent="0.25">
      <c r="A34" s="8" t="s">
        <v>788</v>
      </c>
      <c r="B34" s="8" t="s">
        <v>856</v>
      </c>
      <c r="C34" s="13">
        <f>SUMIFS('Transaction Overview'!$D$2:$D$790,'Transaction Overview'!$G$2:$G$790,$A34,'Transaction Overview'!$H$2:$H$790,C$4)</f>
        <v>0</v>
      </c>
      <c r="D34" s="13">
        <f>SUMIFS('Transaction Overview'!$D$2:$D$790,'Transaction Overview'!$G$2:$G$790,$A34,'Transaction Overview'!$H$2:$H$790,D$4)</f>
        <v>0</v>
      </c>
      <c r="E34" s="13">
        <f>SUMIFS('Transaction Overview'!$D$2:$D$790,'Transaction Overview'!$G$2:$G$790,$A34,'Transaction Overview'!$H$2:$H$790,E$4)</f>
        <v>0</v>
      </c>
      <c r="F34" s="13">
        <f>SUMIFS('Transaction Overview'!$D$2:$D$790,'Transaction Overview'!$G$2:$G$790,$A34,'Transaction Overview'!$H$2:$H$790,F$4)</f>
        <v>0</v>
      </c>
      <c r="G34" s="13">
        <f>SUMIFS('Transaction Overview'!$D$2:$D$790,'Transaction Overview'!$G$2:$G$790,$A34,'Transaction Overview'!$H$2:$H$790,G$4)</f>
        <v>0</v>
      </c>
      <c r="H34" s="13">
        <f>SUMIFS('Transaction Overview'!$D$2:$D$790,'Transaction Overview'!$G$2:$G$790,$A34,'Transaction Overview'!$H$2:$H$790,H$4)</f>
        <v>0</v>
      </c>
      <c r="I34" s="13">
        <f>SUMIFS('Transaction Overview'!$D$2:$D$790,'Transaction Overview'!$G$2:$G$790,$A34,'Transaction Overview'!$H$2:$H$790,I$4)</f>
        <v>0</v>
      </c>
      <c r="J34" s="13">
        <f>SUMIFS('Transaction Overview'!$D$2:$D$790,'Transaction Overview'!$G$2:$G$790,$A34,'Transaction Overview'!$H$2:$H$790,J$4)</f>
        <v>0</v>
      </c>
      <c r="K34" s="13">
        <f>SUMIFS('Transaction Overview'!$D$2:$D$790,'Transaction Overview'!$G$2:$G$790,$A34,'Transaction Overview'!$H$2:$H$790,K$4)</f>
        <v>0</v>
      </c>
      <c r="L34" s="13">
        <f>SUMIFS('Transaction Overview'!$D$2:$D$790,'Transaction Overview'!$G$2:$G$790,$A34,'Transaction Overview'!$H$2:$H$790,L$4)</f>
        <v>0</v>
      </c>
      <c r="M34" s="13">
        <f>SUMIFS('Transaction Overview'!$D$2:$D$790,'Transaction Overview'!$G$2:$G$790,$A34,'Transaction Overview'!$H$2:$H$790,M$4)</f>
        <v>270000</v>
      </c>
      <c r="N34" s="13">
        <f>SUMIFS('Transaction Overview'!$D$2:$D$790,'Transaction Overview'!$G$2:$G$790,$A34,'Transaction Overview'!$H$2:$H$790,N$4)</f>
        <v>113350</v>
      </c>
      <c r="O34" s="13">
        <f>SUM(C34:N34)</f>
        <v>383350</v>
      </c>
    </row>
    <row r="35" spans="1:15" x14ac:dyDescent="0.25">
      <c r="A35" s="8" t="s">
        <v>801</v>
      </c>
      <c r="B35" s="8" t="s">
        <v>856</v>
      </c>
      <c r="C35" s="13">
        <f>SUMIFS('Transaction Overview'!$D$2:$D$790,'Transaction Overview'!$G$2:$G$790,$A35,'Transaction Overview'!$H$2:$H$790,C$4)</f>
        <v>0</v>
      </c>
      <c r="D35" s="13">
        <f>SUMIFS('Transaction Overview'!$D$2:$D$790,'Transaction Overview'!$G$2:$G$790,$A35,'Transaction Overview'!$H$2:$H$790,D$4)</f>
        <v>0</v>
      </c>
      <c r="E35" s="13">
        <f>SUMIFS('Transaction Overview'!$D$2:$D$790,'Transaction Overview'!$G$2:$G$790,$A35,'Transaction Overview'!$H$2:$H$790,E$4)</f>
        <v>0</v>
      </c>
      <c r="F35" s="13">
        <f>SUMIFS('Transaction Overview'!$D$2:$D$790,'Transaction Overview'!$G$2:$G$790,$A35,'Transaction Overview'!$H$2:$H$790,F$4)</f>
        <v>0</v>
      </c>
      <c r="G35" s="13">
        <f>SUMIFS('Transaction Overview'!$D$2:$D$790,'Transaction Overview'!$G$2:$G$790,$A35,'Transaction Overview'!$H$2:$H$790,G$4)</f>
        <v>17500</v>
      </c>
      <c r="H35" s="13">
        <f>SUMIFS('Transaction Overview'!$D$2:$D$790,'Transaction Overview'!$G$2:$G$790,$A35,'Transaction Overview'!$H$2:$H$790,H$4)</f>
        <v>0</v>
      </c>
      <c r="I35" s="13">
        <f>SUMIFS('Transaction Overview'!$D$2:$D$790,'Transaction Overview'!$G$2:$G$790,$A35,'Transaction Overview'!$H$2:$H$790,I$4)</f>
        <v>0</v>
      </c>
      <c r="J35" s="13">
        <f>SUMIFS('Transaction Overview'!$D$2:$D$790,'Transaction Overview'!$G$2:$G$790,$A35,'Transaction Overview'!$H$2:$H$790,J$4)</f>
        <v>0</v>
      </c>
      <c r="K35" s="13">
        <f>SUMIFS('Transaction Overview'!$D$2:$D$790,'Transaction Overview'!$G$2:$G$790,$A35,'Transaction Overview'!$H$2:$H$790,K$4)</f>
        <v>0</v>
      </c>
      <c r="L35" s="13">
        <f>SUMIFS('Transaction Overview'!$D$2:$D$790,'Transaction Overview'!$G$2:$G$790,$A35,'Transaction Overview'!$H$2:$H$790,L$4)</f>
        <v>0</v>
      </c>
      <c r="M35" s="13">
        <f>SUMIFS('Transaction Overview'!$D$2:$D$790,'Transaction Overview'!$G$2:$G$790,$A35,'Transaction Overview'!$H$2:$H$790,M$4)</f>
        <v>0</v>
      </c>
      <c r="N35" s="13">
        <f>SUMIFS('Transaction Overview'!$D$2:$D$790,'Transaction Overview'!$G$2:$G$790,$A35,'Transaction Overview'!$H$2:$H$790,N$4)</f>
        <v>100000</v>
      </c>
      <c r="O35" s="13">
        <f>SUM(C35:N35)</f>
        <v>117500</v>
      </c>
    </row>
    <row r="36" spans="1:15" x14ac:dyDescent="0.25">
      <c r="A36" s="8" t="s">
        <v>821</v>
      </c>
      <c r="B36" s="8" t="s">
        <v>856</v>
      </c>
      <c r="C36" s="13">
        <f>SUMIFS('Transaction Overview'!$D$2:$D$790,'Transaction Overview'!$G$2:$G$790,$A36,'Transaction Overview'!$H$2:$H$790,C$4)</f>
        <v>0</v>
      </c>
      <c r="D36" s="13">
        <f>SUMIFS('Transaction Overview'!$D$2:$D$790,'Transaction Overview'!$G$2:$G$790,$A36,'Transaction Overview'!$H$2:$H$790,D$4)</f>
        <v>0</v>
      </c>
      <c r="E36" s="13">
        <f>SUMIFS('Transaction Overview'!$D$2:$D$790,'Transaction Overview'!$G$2:$G$790,$A36,'Transaction Overview'!$H$2:$H$790,E$4)</f>
        <v>0</v>
      </c>
      <c r="F36" s="13">
        <f>SUMIFS('Transaction Overview'!$D$2:$D$790,'Transaction Overview'!$G$2:$G$790,$A36,'Transaction Overview'!$H$2:$H$790,F$4)</f>
        <v>50000</v>
      </c>
      <c r="G36" s="13">
        <f>SUMIFS('Transaction Overview'!$D$2:$D$790,'Transaction Overview'!$G$2:$G$790,$A36,'Transaction Overview'!$H$2:$H$790,G$4)</f>
        <v>0</v>
      </c>
      <c r="H36" s="13">
        <f>SUMIFS('Transaction Overview'!$D$2:$D$790,'Transaction Overview'!$G$2:$G$790,$A36,'Transaction Overview'!$H$2:$H$790,H$4)</f>
        <v>0</v>
      </c>
      <c r="I36" s="13">
        <f>SUMIFS('Transaction Overview'!$D$2:$D$790,'Transaction Overview'!$G$2:$G$790,$A36,'Transaction Overview'!$H$2:$H$790,I$4)</f>
        <v>0</v>
      </c>
      <c r="J36" s="13">
        <f>SUMIFS('Transaction Overview'!$D$2:$D$790,'Transaction Overview'!$G$2:$G$790,$A36,'Transaction Overview'!$H$2:$H$790,J$4)</f>
        <v>0</v>
      </c>
      <c r="K36" s="13">
        <f>SUMIFS('Transaction Overview'!$D$2:$D$790,'Transaction Overview'!$G$2:$G$790,$A36,'Transaction Overview'!$H$2:$H$790,K$4)</f>
        <v>0</v>
      </c>
      <c r="L36" s="13">
        <f>SUMIFS('Transaction Overview'!$D$2:$D$790,'Transaction Overview'!$G$2:$G$790,$A36,'Transaction Overview'!$H$2:$H$790,L$4)</f>
        <v>12800</v>
      </c>
      <c r="M36" s="13">
        <f>SUMIFS('Transaction Overview'!$D$2:$D$790,'Transaction Overview'!$G$2:$G$790,$A36,'Transaction Overview'!$H$2:$H$790,M$4)</f>
        <v>0</v>
      </c>
      <c r="N36" s="13">
        <f>SUMIFS('Transaction Overview'!$D$2:$D$790,'Transaction Overview'!$G$2:$G$790,$A36,'Transaction Overview'!$H$2:$H$790,N$4)</f>
        <v>0</v>
      </c>
      <c r="O36" s="13">
        <f>SUM(C36:N36)</f>
        <v>62800</v>
      </c>
    </row>
    <row r="37" spans="1:15" x14ac:dyDescent="0.25">
      <c r="A37" s="8" t="s">
        <v>776</v>
      </c>
      <c r="B37" s="8" t="s">
        <v>856</v>
      </c>
      <c r="C37" s="13">
        <f>SUMIFS('Transaction Overview'!$D$2:$D$790,'Transaction Overview'!$G$2:$G$790,$A37,'Transaction Overview'!$H$2:$H$790,C$4)</f>
        <v>-30000</v>
      </c>
      <c r="D37" s="13">
        <f>SUMIFS('Transaction Overview'!$D$2:$D$790,'Transaction Overview'!$G$2:$G$790,$A37,'Transaction Overview'!$H$2:$H$790,D$4)</f>
        <v>-50000</v>
      </c>
      <c r="E37" s="13">
        <f>SUMIFS('Transaction Overview'!$D$2:$D$790,'Transaction Overview'!$G$2:$G$790,$A37,'Transaction Overview'!$H$2:$H$790,E$4)</f>
        <v>-105000</v>
      </c>
      <c r="F37" s="13">
        <f>SUMIFS('Transaction Overview'!$D$2:$D$790,'Transaction Overview'!$G$2:$G$790,$A37,'Transaction Overview'!$H$2:$H$790,F$4)</f>
        <v>-30000</v>
      </c>
      <c r="G37" s="13">
        <f>SUMIFS('Transaction Overview'!$D$2:$D$790,'Transaction Overview'!$G$2:$G$790,$A37,'Transaction Overview'!$H$2:$H$790,G$4)</f>
        <v>-40000</v>
      </c>
      <c r="H37" s="13">
        <f>SUMIFS('Transaction Overview'!$D$2:$D$790,'Transaction Overview'!$G$2:$G$790,$A37,'Transaction Overview'!$H$2:$H$790,H$4)</f>
        <v>-63000</v>
      </c>
      <c r="I37" s="13">
        <f>SUMIFS('Transaction Overview'!$D$2:$D$790,'Transaction Overview'!$G$2:$G$790,$A37,'Transaction Overview'!$H$2:$H$790,I$4)</f>
        <v>-80000</v>
      </c>
      <c r="J37" s="13">
        <f>SUMIFS('Transaction Overview'!$D$2:$D$790,'Transaction Overview'!$G$2:$G$790,$A37,'Transaction Overview'!$H$2:$H$790,J$4)</f>
        <v>-30000</v>
      </c>
      <c r="K37" s="13">
        <f>SUMIFS('Transaction Overview'!$D$2:$D$790,'Transaction Overview'!$G$2:$G$790,$A37,'Transaction Overview'!$H$2:$H$790,K$4)</f>
        <v>-50000</v>
      </c>
      <c r="L37" s="13">
        <f>SUMIFS('Transaction Overview'!$D$2:$D$790,'Transaction Overview'!$G$2:$G$790,$A37,'Transaction Overview'!$H$2:$H$790,L$4)</f>
        <v>-85000</v>
      </c>
      <c r="M37" s="13">
        <f>SUMIFS('Transaction Overview'!$D$2:$D$790,'Transaction Overview'!$G$2:$G$790,$A37,'Transaction Overview'!$H$2:$H$790,M$4)</f>
        <v>-65000</v>
      </c>
      <c r="N37" s="13">
        <f>SUMIFS('Transaction Overview'!$D$2:$D$790,'Transaction Overview'!$G$2:$G$790,$A37,'Transaction Overview'!$H$2:$H$790,N$4)</f>
        <v>-50000</v>
      </c>
      <c r="O37" s="13">
        <f>SUM(C37:N37)</f>
        <v>-678000</v>
      </c>
    </row>
    <row r="38" spans="1:15" x14ac:dyDescent="0.25">
      <c r="A38" s="8" t="s">
        <v>777</v>
      </c>
      <c r="B38" s="8" t="s">
        <v>856</v>
      </c>
      <c r="C38" s="13">
        <f>SUMIFS('Transaction Overview'!$D$2:$D$790,'Transaction Overview'!$G$2:$G$790,$A38,'Transaction Overview'!$H$2:$H$790,C$4)</f>
        <v>0</v>
      </c>
      <c r="D38" s="13">
        <f>SUMIFS('Transaction Overview'!$D$2:$D$790,'Transaction Overview'!$G$2:$G$790,$A38,'Transaction Overview'!$H$2:$H$790,D$4)</f>
        <v>0</v>
      </c>
      <c r="E38" s="13">
        <f>SUMIFS('Transaction Overview'!$D$2:$D$790,'Transaction Overview'!$G$2:$G$790,$A38,'Transaction Overview'!$H$2:$H$790,E$4)</f>
        <v>0</v>
      </c>
      <c r="F38" s="13">
        <f>SUMIFS('Transaction Overview'!$D$2:$D$790,'Transaction Overview'!$G$2:$G$790,$A38,'Transaction Overview'!$H$2:$H$790,F$4)</f>
        <v>0</v>
      </c>
      <c r="G38" s="13">
        <f>SUMIFS('Transaction Overview'!$D$2:$D$790,'Transaction Overview'!$G$2:$G$790,$A38,'Transaction Overview'!$H$2:$H$790,G$4)</f>
        <v>0</v>
      </c>
      <c r="H38" s="13">
        <f>SUMIFS('Transaction Overview'!$D$2:$D$790,'Transaction Overview'!$G$2:$G$790,$A38,'Transaction Overview'!$H$2:$H$790,H$4)</f>
        <v>0</v>
      </c>
      <c r="I38" s="13">
        <f>SUMIFS('Transaction Overview'!$D$2:$D$790,'Transaction Overview'!$G$2:$G$790,$A38,'Transaction Overview'!$H$2:$H$790,I$4)</f>
        <v>0</v>
      </c>
      <c r="J38" s="13">
        <f>SUMIFS('Transaction Overview'!$D$2:$D$790,'Transaction Overview'!$G$2:$G$790,$A38,'Transaction Overview'!$H$2:$H$790,J$4)</f>
        <v>0</v>
      </c>
      <c r="K38" s="13">
        <f>SUMIFS('Transaction Overview'!$D$2:$D$790,'Transaction Overview'!$G$2:$G$790,$A38,'Transaction Overview'!$H$2:$H$790,K$4)</f>
        <v>-5150</v>
      </c>
      <c r="L38" s="13">
        <f>SUMIFS('Transaction Overview'!$D$2:$D$790,'Transaction Overview'!$G$2:$G$790,$A38,'Transaction Overview'!$H$2:$H$790,L$4)</f>
        <v>0</v>
      </c>
      <c r="M38" s="13">
        <f>SUMIFS('Transaction Overview'!$D$2:$D$790,'Transaction Overview'!$G$2:$G$790,$A38,'Transaction Overview'!$H$2:$H$790,M$4)</f>
        <v>0</v>
      </c>
      <c r="N38" s="13">
        <f>SUMIFS('Transaction Overview'!$D$2:$D$790,'Transaction Overview'!$G$2:$G$790,$A38,'Transaction Overview'!$H$2:$H$790,N$4)</f>
        <v>-1300</v>
      </c>
      <c r="O38" s="13">
        <f>SUM(C38:N38)</f>
        <v>-6450</v>
      </c>
    </row>
    <row r="39" spans="1:15" x14ac:dyDescent="0.25">
      <c r="A39" s="8" t="s">
        <v>768</v>
      </c>
      <c r="B39" s="8" t="s">
        <v>856</v>
      </c>
      <c r="C39" s="13">
        <f>SUMIFS('Transaction Overview'!$D$2:$D$790,'Transaction Overview'!$G$2:$G$790,$A39,'Transaction Overview'!$H$2:$H$790,C$4)</f>
        <v>0</v>
      </c>
      <c r="D39" s="13">
        <f>SUMIFS('Transaction Overview'!$D$2:$D$790,'Transaction Overview'!$G$2:$G$790,$A39,'Transaction Overview'!$H$2:$H$790,D$4)</f>
        <v>0</v>
      </c>
      <c r="E39" s="13">
        <f>SUMIFS('Transaction Overview'!$D$2:$D$790,'Transaction Overview'!$G$2:$G$790,$A39,'Transaction Overview'!$H$2:$H$790,E$4)</f>
        <v>-40000</v>
      </c>
      <c r="F39" s="13">
        <f>SUMIFS('Transaction Overview'!$D$2:$D$790,'Transaction Overview'!$G$2:$G$790,$A39,'Transaction Overview'!$H$2:$H$790,F$4)</f>
        <v>-30000</v>
      </c>
      <c r="G39" s="13">
        <f>SUMIFS('Transaction Overview'!$D$2:$D$790,'Transaction Overview'!$G$2:$G$790,$A39,'Transaction Overview'!$H$2:$H$790,G$4)</f>
        <v>0</v>
      </c>
      <c r="H39" s="13">
        <f>SUMIFS('Transaction Overview'!$D$2:$D$790,'Transaction Overview'!$G$2:$G$790,$A39,'Transaction Overview'!$H$2:$H$790,H$4)</f>
        <v>-20000</v>
      </c>
      <c r="I39" s="13">
        <f>SUMIFS('Transaction Overview'!$D$2:$D$790,'Transaction Overview'!$G$2:$G$790,$A39,'Transaction Overview'!$H$2:$H$790,I$4)</f>
        <v>-65000</v>
      </c>
      <c r="J39" s="13">
        <f>SUMIFS('Transaction Overview'!$D$2:$D$790,'Transaction Overview'!$G$2:$G$790,$A39,'Transaction Overview'!$H$2:$H$790,J$4)</f>
        <v>-20000</v>
      </c>
      <c r="K39" s="13">
        <f>SUMIFS('Transaction Overview'!$D$2:$D$790,'Transaction Overview'!$G$2:$G$790,$A39,'Transaction Overview'!$H$2:$H$790,K$4)</f>
        <v>-50000</v>
      </c>
      <c r="L39" s="13">
        <f>SUMIFS('Transaction Overview'!$D$2:$D$790,'Transaction Overview'!$G$2:$G$790,$A39,'Transaction Overview'!$H$2:$H$790,L$4)</f>
        <v>-10000</v>
      </c>
      <c r="M39" s="13">
        <f>SUMIFS('Transaction Overview'!$D$2:$D$790,'Transaction Overview'!$G$2:$G$790,$A39,'Transaction Overview'!$H$2:$H$790,M$4)</f>
        <v>-10000</v>
      </c>
      <c r="N39" s="13">
        <f>SUMIFS('Transaction Overview'!$D$2:$D$790,'Transaction Overview'!$G$2:$G$790,$A39,'Transaction Overview'!$H$2:$H$790,N$4)</f>
        <v>-26500</v>
      </c>
      <c r="O39" s="13">
        <f>SUM(C39:N39)</f>
        <v>-271500</v>
      </c>
    </row>
    <row r="40" spans="1:15" x14ac:dyDescent="0.25">
      <c r="A40" s="8" t="s">
        <v>787</v>
      </c>
      <c r="B40" s="8" t="s">
        <v>856</v>
      </c>
      <c r="C40" s="13">
        <f>SUMIFS('Transaction Overview'!$D$2:$D$790,'Transaction Overview'!$G$2:$G$790,$A40,'Transaction Overview'!$H$2:$H$790,C$4)</f>
        <v>-50000</v>
      </c>
      <c r="D40" s="13">
        <f>SUMIFS('Transaction Overview'!$D$2:$D$790,'Transaction Overview'!$G$2:$G$790,$A40,'Transaction Overview'!$H$2:$H$790,D$4)</f>
        <v>0</v>
      </c>
      <c r="E40" s="13">
        <f>SUMIFS('Transaction Overview'!$D$2:$D$790,'Transaction Overview'!$G$2:$G$790,$A40,'Transaction Overview'!$H$2:$H$790,E$4)</f>
        <v>0</v>
      </c>
      <c r="F40" s="13">
        <f>SUMIFS('Transaction Overview'!$D$2:$D$790,'Transaction Overview'!$G$2:$G$790,$A40,'Transaction Overview'!$H$2:$H$790,F$4)</f>
        <v>0</v>
      </c>
      <c r="G40" s="13">
        <f>SUMIFS('Transaction Overview'!$D$2:$D$790,'Transaction Overview'!$G$2:$G$790,$A40,'Transaction Overview'!$H$2:$H$790,G$4)</f>
        <v>0</v>
      </c>
      <c r="H40" s="13">
        <f>SUMIFS('Transaction Overview'!$D$2:$D$790,'Transaction Overview'!$G$2:$G$790,$A40,'Transaction Overview'!$H$2:$H$790,H$4)</f>
        <v>0</v>
      </c>
      <c r="I40" s="13">
        <f>SUMIFS('Transaction Overview'!$D$2:$D$790,'Transaction Overview'!$G$2:$G$790,$A40,'Transaction Overview'!$H$2:$H$790,I$4)</f>
        <v>0</v>
      </c>
      <c r="J40" s="13">
        <f>SUMIFS('Transaction Overview'!$D$2:$D$790,'Transaction Overview'!$G$2:$G$790,$A40,'Transaction Overview'!$H$2:$H$790,J$4)</f>
        <v>0</v>
      </c>
      <c r="K40" s="13">
        <f>SUMIFS('Transaction Overview'!$D$2:$D$790,'Transaction Overview'!$G$2:$G$790,$A40,'Transaction Overview'!$H$2:$H$790,K$4)</f>
        <v>0</v>
      </c>
      <c r="L40" s="13">
        <f>SUMIFS('Transaction Overview'!$D$2:$D$790,'Transaction Overview'!$G$2:$G$790,$A40,'Transaction Overview'!$H$2:$H$790,L$4)</f>
        <v>0</v>
      </c>
      <c r="M40" s="13">
        <f>SUMIFS('Transaction Overview'!$D$2:$D$790,'Transaction Overview'!$G$2:$G$790,$A40,'Transaction Overview'!$H$2:$H$790,M$4)</f>
        <v>0</v>
      </c>
      <c r="N40" s="13">
        <f>SUMIFS('Transaction Overview'!$D$2:$D$790,'Transaction Overview'!$G$2:$G$790,$A40,'Transaction Overview'!$H$2:$H$790,N$4)</f>
        <v>0</v>
      </c>
      <c r="O40" s="13">
        <f>SUM(C40:N40)</f>
        <v>-50000</v>
      </c>
    </row>
    <row r="41" spans="1:15" x14ac:dyDescent="0.25">
      <c r="A41" s="8" t="s">
        <v>800</v>
      </c>
      <c r="B41" s="8" t="s">
        <v>856</v>
      </c>
      <c r="C41" s="13">
        <f>SUMIFS('Transaction Overview'!$D$2:$D$790,'Transaction Overview'!$G$2:$G$790,$A41,'Transaction Overview'!$H$2:$H$790,C$4)</f>
        <v>0</v>
      </c>
      <c r="D41" s="13">
        <f>SUMIFS('Transaction Overview'!$D$2:$D$790,'Transaction Overview'!$G$2:$G$790,$A41,'Transaction Overview'!$H$2:$H$790,D$4)</f>
        <v>0</v>
      </c>
      <c r="E41" s="13">
        <f>SUMIFS('Transaction Overview'!$D$2:$D$790,'Transaction Overview'!$G$2:$G$790,$A41,'Transaction Overview'!$H$2:$H$790,E$4)</f>
        <v>0</v>
      </c>
      <c r="F41" s="13">
        <f>SUMIFS('Transaction Overview'!$D$2:$D$790,'Transaction Overview'!$G$2:$G$790,$A41,'Transaction Overview'!$H$2:$H$790,F$4)</f>
        <v>0</v>
      </c>
      <c r="G41" s="13">
        <f>SUMIFS('Transaction Overview'!$D$2:$D$790,'Transaction Overview'!$G$2:$G$790,$A41,'Transaction Overview'!$H$2:$H$790,G$4)</f>
        <v>-17500</v>
      </c>
      <c r="H41" s="13">
        <f>SUMIFS('Transaction Overview'!$D$2:$D$790,'Transaction Overview'!$G$2:$G$790,$A41,'Transaction Overview'!$H$2:$H$790,H$4)</f>
        <v>0</v>
      </c>
      <c r="I41" s="13">
        <f>SUMIFS('Transaction Overview'!$D$2:$D$790,'Transaction Overview'!$G$2:$G$790,$A41,'Transaction Overview'!$H$2:$H$790,I$4)</f>
        <v>0</v>
      </c>
      <c r="J41" s="13">
        <f>SUMIFS('Transaction Overview'!$D$2:$D$790,'Transaction Overview'!$G$2:$G$790,$A41,'Transaction Overview'!$H$2:$H$790,J$4)</f>
        <v>0</v>
      </c>
      <c r="K41" s="13">
        <f>SUMIFS('Transaction Overview'!$D$2:$D$790,'Transaction Overview'!$G$2:$G$790,$A41,'Transaction Overview'!$H$2:$H$790,K$4)</f>
        <v>-418.73</v>
      </c>
      <c r="L41" s="13">
        <f>SUMIFS('Transaction Overview'!$D$2:$D$790,'Transaction Overview'!$G$2:$G$790,$A41,'Transaction Overview'!$H$2:$H$790,L$4)</f>
        <v>0</v>
      </c>
      <c r="M41" s="13">
        <f>SUMIFS('Transaction Overview'!$D$2:$D$790,'Transaction Overview'!$G$2:$G$790,$A41,'Transaction Overview'!$H$2:$H$790,M$4)</f>
        <v>-5000</v>
      </c>
      <c r="N41" s="13">
        <f>SUMIFS('Transaction Overview'!$D$2:$D$790,'Transaction Overview'!$G$2:$G$790,$A41,'Transaction Overview'!$H$2:$H$790,N$4)</f>
        <v>-28000</v>
      </c>
      <c r="O41" s="13">
        <f>SUM(C41:N41)</f>
        <v>-50918.729999999996</v>
      </c>
    </row>
    <row r="42" spans="1:15" x14ac:dyDescent="0.25">
      <c r="A42" s="8" t="s">
        <v>764</v>
      </c>
      <c r="B42" s="8" t="s">
        <v>856</v>
      </c>
      <c r="C42" s="13">
        <f>SUMIFS('Transaction Overview'!$D$2:$D$790,'Transaction Overview'!$G$2:$G$790,$A42,'Transaction Overview'!$H$2:$H$790,C$4)</f>
        <v>0</v>
      </c>
      <c r="D42" s="13">
        <f>SUMIFS('Transaction Overview'!$D$2:$D$790,'Transaction Overview'!$G$2:$G$790,$A42,'Transaction Overview'!$H$2:$H$790,D$4)</f>
        <v>0</v>
      </c>
      <c r="E42" s="13">
        <f>SUMIFS('Transaction Overview'!$D$2:$D$790,'Transaction Overview'!$G$2:$G$790,$A42,'Transaction Overview'!$H$2:$H$790,E$4)</f>
        <v>0</v>
      </c>
      <c r="F42" s="13">
        <f>SUMIFS('Transaction Overview'!$D$2:$D$790,'Transaction Overview'!$G$2:$G$790,$A42,'Transaction Overview'!$H$2:$H$790,F$4)</f>
        <v>0</v>
      </c>
      <c r="G42" s="13">
        <f>SUMIFS('Transaction Overview'!$D$2:$D$790,'Transaction Overview'!$G$2:$G$790,$A42,'Transaction Overview'!$H$2:$H$790,G$4)</f>
        <v>0</v>
      </c>
      <c r="H42" s="13">
        <f>SUMIFS('Transaction Overview'!$D$2:$D$790,'Transaction Overview'!$G$2:$G$790,$A42,'Transaction Overview'!$H$2:$H$790,H$4)</f>
        <v>0</v>
      </c>
      <c r="I42" s="13">
        <f>SUMIFS('Transaction Overview'!$D$2:$D$790,'Transaction Overview'!$G$2:$G$790,$A42,'Transaction Overview'!$H$2:$H$790,I$4)</f>
        <v>-10000</v>
      </c>
      <c r="J42" s="13">
        <f>SUMIFS('Transaction Overview'!$D$2:$D$790,'Transaction Overview'!$G$2:$G$790,$A42,'Transaction Overview'!$H$2:$H$790,J$4)</f>
        <v>0</v>
      </c>
      <c r="K42" s="13">
        <f>SUMIFS('Transaction Overview'!$D$2:$D$790,'Transaction Overview'!$G$2:$G$790,$A42,'Transaction Overview'!$H$2:$H$790,K$4)</f>
        <v>0</v>
      </c>
      <c r="L42" s="13">
        <f>SUMIFS('Transaction Overview'!$D$2:$D$790,'Transaction Overview'!$G$2:$G$790,$A42,'Transaction Overview'!$H$2:$H$790,L$4)</f>
        <v>0</v>
      </c>
      <c r="M42" s="13">
        <f>SUMIFS('Transaction Overview'!$D$2:$D$790,'Transaction Overview'!$G$2:$G$790,$A42,'Transaction Overview'!$H$2:$H$790,M$4)</f>
        <v>0</v>
      </c>
      <c r="N42" s="13">
        <f>SUMIFS('Transaction Overview'!$D$2:$D$790,'Transaction Overview'!$G$2:$G$790,$A42,'Transaction Overview'!$H$2:$H$790,N$4)</f>
        <v>-47349</v>
      </c>
      <c r="O42" s="13">
        <f>SUM(C42:N42)</f>
        <v>-57349</v>
      </c>
    </row>
    <row r="43" spans="1:15" x14ac:dyDescent="0.25">
      <c r="A43" s="8" t="s">
        <v>819</v>
      </c>
      <c r="B43" s="8" t="s">
        <v>856</v>
      </c>
      <c r="C43" s="13">
        <f>SUMIFS('Transaction Overview'!$D$2:$D$790,'Transaction Overview'!$G$2:$G$790,$A43,'Transaction Overview'!$H$2:$H$790,C$4)</f>
        <v>0</v>
      </c>
      <c r="D43" s="13">
        <f>SUMIFS('Transaction Overview'!$D$2:$D$790,'Transaction Overview'!$G$2:$G$790,$A43,'Transaction Overview'!$H$2:$H$790,D$4)</f>
        <v>0</v>
      </c>
      <c r="E43" s="13">
        <f>SUMIFS('Transaction Overview'!$D$2:$D$790,'Transaction Overview'!$G$2:$G$790,$A43,'Transaction Overview'!$H$2:$H$790,E$4)</f>
        <v>0</v>
      </c>
      <c r="F43" s="13">
        <f>SUMIFS('Transaction Overview'!$D$2:$D$790,'Transaction Overview'!$G$2:$G$790,$A43,'Transaction Overview'!$H$2:$H$790,F$4)</f>
        <v>0</v>
      </c>
      <c r="G43" s="13">
        <f>SUMIFS('Transaction Overview'!$D$2:$D$790,'Transaction Overview'!$G$2:$G$790,$A43,'Transaction Overview'!$H$2:$H$790,G$4)</f>
        <v>0</v>
      </c>
      <c r="H43" s="13">
        <f>SUMIFS('Transaction Overview'!$D$2:$D$790,'Transaction Overview'!$G$2:$G$790,$A43,'Transaction Overview'!$H$2:$H$790,H$4)</f>
        <v>0</v>
      </c>
      <c r="I43" s="13">
        <f>SUMIFS('Transaction Overview'!$D$2:$D$790,'Transaction Overview'!$G$2:$G$790,$A43,'Transaction Overview'!$H$2:$H$790,I$4)</f>
        <v>0</v>
      </c>
      <c r="J43" s="13">
        <f>SUMIFS('Transaction Overview'!$D$2:$D$790,'Transaction Overview'!$G$2:$G$790,$A43,'Transaction Overview'!$H$2:$H$790,J$4)</f>
        <v>0</v>
      </c>
      <c r="K43" s="13">
        <f>SUMIFS('Transaction Overview'!$D$2:$D$790,'Transaction Overview'!$G$2:$G$790,$A43,'Transaction Overview'!$H$2:$H$790,K$4)</f>
        <v>-12800</v>
      </c>
      <c r="L43" s="13">
        <f>SUMIFS('Transaction Overview'!$D$2:$D$790,'Transaction Overview'!$G$2:$G$790,$A43,'Transaction Overview'!$H$2:$H$790,L$4)</f>
        <v>0</v>
      </c>
      <c r="M43" s="13">
        <f>SUMIFS('Transaction Overview'!$D$2:$D$790,'Transaction Overview'!$G$2:$G$790,$A43,'Transaction Overview'!$H$2:$H$790,M$4)</f>
        <v>0</v>
      </c>
      <c r="N43" s="13">
        <f>SUMIFS('Transaction Overview'!$D$2:$D$790,'Transaction Overview'!$G$2:$G$790,$A43,'Transaction Overview'!$H$2:$H$790,N$4)</f>
        <v>0</v>
      </c>
      <c r="O43" s="13">
        <f>SUM(C43:N43)</f>
        <v>-12800</v>
      </c>
    </row>
    <row r="44" spans="1:15" x14ac:dyDescent="0.25">
      <c r="A44" s="8" t="s">
        <v>840</v>
      </c>
      <c r="B44" s="8" t="s">
        <v>856</v>
      </c>
      <c r="C44" s="13">
        <f>SUMIFS('Transaction Overview'!$D$2:$D$790,'Transaction Overview'!$G$2:$G$790,$A44,'Transaction Overview'!$H$2:$H$790,C$4)</f>
        <v>0</v>
      </c>
      <c r="D44" s="13">
        <f>SUMIFS('Transaction Overview'!$D$2:$D$790,'Transaction Overview'!$G$2:$G$790,$A44,'Transaction Overview'!$H$2:$H$790,D$4)</f>
        <v>0</v>
      </c>
      <c r="E44" s="13">
        <f>SUMIFS('Transaction Overview'!$D$2:$D$790,'Transaction Overview'!$G$2:$G$790,$A44,'Transaction Overview'!$H$2:$H$790,E$4)</f>
        <v>0</v>
      </c>
      <c r="F44" s="13">
        <f>SUMIFS('Transaction Overview'!$D$2:$D$790,'Transaction Overview'!$G$2:$G$790,$A44,'Transaction Overview'!$H$2:$H$790,F$4)</f>
        <v>0</v>
      </c>
      <c r="G44" s="13">
        <f>SUMIFS('Transaction Overview'!$D$2:$D$790,'Transaction Overview'!$G$2:$G$790,$A44,'Transaction Overview'!$H$2:$H$790,G$4)</f>
        <v>0</v>
      </c>
      <c r="H44" s="13">
        <f>SUMIFS('Transaction Overview'!$D$2:$D$790,'Transaction Overview'!$G$2:$G$790,$A44,'Transaction Overview'!$H$2:$H$790,H$4)</f>
        <v>0</v>
      </c>
      <c r="I44" s="13">
        <f>SUMIFS('Transaction Overview'!$D$2:$D$790,'Transaction Overview'!$G$2:$G$790,$A44,'Transaction Overview'!$H$2:$H$790,I$4)</f>
        <v>0</v>
      </c>
      <c r="J44" s="13">
        <f>SUMIFS('Transaction Overview'!$D$2:$D$790,'Transaction Overview'!$G$2:$G$790,$A44,'Transaction Overview'!$H$2:$H$790,J$4)</f>
        <v>0</v>
      </c>
      <c r="K44" s="13">
        <f>SUMIFS('Transaction Overview'!$D$2:$D$790,'Transaction Overview'!$G$2:$G$790,$A44,'Transaction Overview'!$H$2:$H$790,K$4)</f>
        <v>0</v>
      </c>
      <c r="L44" s="13">
        <f>SUMIFS('Transaction Overview'!$D$2:$D$790,'Transaction Overview'!$G$2:$G$790,$A44,'Transaction Overview'!$H$2:$H$790,L$4)</f>
        <v>0</v>
      </c>
      <c r="M44" s="13">
        <f>SUMIFS('Transaction Overview'!$D$2:$D$790,'Transaction Overview'!$G$2:$G$790,$A44,'Transaction Overview'!$H$2:$H$790,M$4)</f>
        <v>0</v>
      </c>
      <c r="N44" s="13">
        <f>SUMIFS('Transaction Overview'!$D$2:$D$790,'Transaction Overview'!$G$2:$G$790,$A44,'Transaction Overview'!$H$2:$H$790,N$4)</f>
        <v>-17000</v>
      </c>
      <c r="O44" s="13">
        <f>SUM(C44:N44)</f>
        <v>-17000</v>
      </c>
    </row>
    <row r="45" spans="1:15" x14ac:dyDescent="0.25">
      <c r="A45" s="8" t="s">
        <v>820</v>
      </c>
      <c r="B45" s="8" t="s">
        <v>856</v>
      </c>
      <c r="C45" s="13">
        <f>SUMIFS('Transaction Overview'!$D$2:$D$790,'Transaction Overview'!$G$2:$G$790,$A45,'Transaction Overview'!$H$2:$H$790,C$4)</f>
        <v>0</v>
      </c>
      <c r="D45" s="13">
        <f>SUMIFS('Transaction Overview'!$D$2:$D$790,'Transaction Overview'!$G$2:$G$790,$A45,'Transaction Overview'!$H$2:$H$790,D$4)</f>
        <v>0</v>
      </c>
      <c r="E45" s="13">
        <f>SUMIFS('Transaction Overview'!$D$2:$D$790,'Transaction Overview'!$G$2:$G$790,$A45,'Transaction Overview'!$H$2:$H$790,E$4)</f>
        <v>0</v>
      </c>
      <c r="F45" s="13">
        <f>SUMIFS('Transaction Overview'!$D$2:$D$790,'Transaction Overview'!$G$2:$G$790,$A45,'Transaction Overview'!$H$2:$H$790,F$4)</f>
        <v>0</v>
      </c>
      <c r="G45" s="13">
        <f>SUMIFS('Transaction Overview'!$D$2:$D$790,'Transaction Overview'!$G$2:$G$790,$A45,'Transaction Overview'!$H$2:$H$790,G$4)</f>
        <v>0</v>
      </c>
      <c r="H45" s="13">
        <f>SUMIFS('Transaction Overview'!$D$2:$D$790,'Transaction Overview'!$G$2:$G$790,$A45,'Transaction Overview'!$H$2:$H$790,H$4)</f>
        <v>0</v>
      </c>
      <c r="I45" s="13">
        <f>SUMIFS('Transaction Overview'!$D$2:$D$790,'Transaction Overview'!$G$2:$G$790,$A45,'Transaction Overview'!$H$2:$H$790,I$4)</f>
        <v>0</v>
      </c>
      <c r="J45" s="13">
        <f>SUMIFS('Transaction Overview'!$D$2:$D$790,'Transaction Overview'!$G$2:$G$790,$A45,'Transaction Overview'!$H$2:$H$790,J$4)</f>
        <v>0</v>
      </c>
      <c r="K45" s="13">
        <f>SUMIFS('Transaction Overview'!$D$2:$D$790,'Transaction Overview'!$G$2:$G$790,$A45,'Transaction Overview'!$H$2:$H$790,K$4)</f>
        <v>0</v>
      </c>
      <c r="L45" s="13">
        <f>SUMIFS('Transaction Overview'!$D$2:$D$790,'Transaction Overview'!$G$2:$G$790,$A45,'Transaction Overview'!$H$2:$H$790,L$4)</f>
        <v>25000</v>
      </c>
      <c r="M45" s="13">
        <f>SUMIFS('Transaction Overview'!$D$2:$D$790,'Transaction Overview'!$G$2:$G$790,$A45,'Transaction Overview'!$H$2:$H$790,M$4)</f>
        <v>0</v>
      </c>
      <c r="N45" s="13">
        <f>SUMIFS('Transaction Overview'!$D$2:$D$790,'Transaction Overview'!$G$2:$G$790,$A45,'Transaction Overview'!$H$2:$H$790,N$4)</f>
        <v>0</v>
      </c>
      <c r="O45" s="13">
        <f>SUM(C45:N45)</f>
        <v>25000</v>
      </c>
    </row>
    <row r="46" spans="1:15" x14ac:dyDescent="0.25">
      <c r="A46" s="8" t="s">
        <v>803</v>
      </c>
      <c r="B46" s="8" t="s">
        <v>856</v>
      </c>
      <c r="C46" s="13">
        <f>SUMIFS('Transaction Overview'!$D$2:$D$790,'Transaction Overview'!$G$2:$G$790,$A46,'Transaction Overview'!$H$2:$H$790,C$4)</f>
        <v>0</v>
      </c>
      <c r="D46" s="13">
        <f>SUMIFS('Transaction Overview'!$D$2:$D$790,'Transaction Overview'!$G$2:$G$790,$A46,'Transaction Overview'!$H$2:$H$790,D$4)</f>
        <v>0</v>
      </c>
      <c r="E46" s="13">
        <f>SUMIFS('Transaction Overview'!$D$2:$D$790,'Transaction Overview'!$G$2:$G$790,$A46,'Transaction Overview'!$H$2:$H$790,E$4)</f>
        <v>0</v>
      </c>
      <c r="F46" s="13">
        <f>SUMIFS('Transaction Overview'!$D$2:$D$790,'Transaction Overview'!$G$2:$G$790,$A46,'Transaction Overview'!$H$2:$H$790,F$4)</f>
        <v>0</v>
      </c>
      <c r="G46" s="13">
        <f>SUMIFS('Transaction Overview'!$D$2:$D$790,'Transaction Overview'!$G$2:$G$790,$A46,'Transaction Overview'!$H$2:$H$790,G$4)</f>
        <v>0</v>
      </c>
      <c r="H46" s="13">
        <f>SUMIFS('Transaction Overview'!$D$2:$D$790,'Transaction Overview'!$G$2:$G$790,$A46,'Transaction Overview'!$H$2:$H$790,H$4)</f>
        <v>-20000</v>
      </c>
      <c r="I46" s="13">
        <f>SUMIFS('Transaction Overview'!$D$2:$D$790,'Transaction Overview'!$G$2:$G$790,$A46,'Transaction Overview'!$H$2:$H$790,I$4)</f>
        <v>0</v>
      </c>
      <c r="J46" s="13">
        <f>SUMIFS('Transaction Overview'!$D$2:$D$790,'Transaction Overview'!$G$2:$G$790,$A46,'Transaction Overview'!$H$2:$H$790,J$4)</f>
        <v>0</v>
      </c>
      <c r="K46" s="13">
        <f>SUMIFS('Transaction Overview'!$D$2:$D$790,'Transaction Overview'!$G$2:$G$790,$A46,'Transaction Overview'!$H$2:$H$790,K$4)</f>
        <v>0</v>
      </c>
      <c r="L46" s="13">
        <f>SUMIFS('Transaction Overview'!$D$2:$D$790,'Transaction Overview'!$G$2:$G$790,$A46,'Transaction Overview'!$H$2:$H$790,L$4)</f>
        <v>0</v>
      </c>
      <c r="M46" s="13">
        <f>SUMIFS('Transaction Overview'!$D$2:$D$790,'Transaction Overview'!$G$2:$G$790,$A46,'Transaction Overview'!$H$2:$H$790,M$4)</f>
        <v>0</v>
      </c>
      <c r="N46" s="13">
        <f>SUMIFS('Transaction Overview'!$D$2:$D$790,'Transaction Overview'!$G$2:$G$790,$A46,'Transaction Overview'!$H$2:$H$790,N$4)</f>
        <v>0</v>
      </c>
      <c r="O46" s="13">
        <f>SUM(C46:N46)</f>
        <v>-20000</v>
      </c>
    </row>
    <row r="47" spans="1:15" x14ac:dyDescent="0.25">
      <c r="A47" s="8" t="s">
        <v>785</v>
      </c>
      <c r="B47" s="8" t="s">
        <v>857</v>
      </c>
      <c r="C47" s="13">
        <f>SUMIFS('Transaction Overview'!$D$2:$D$790,'Transaction Overview'!$G$2:$G$790,$A47,'Transaction Overview'!$H$2:$H$790,C$4)</f>
        <v>0</v>
      </c>
      <c r="D47" s="13">
        <f>SUMIFS('Transaction Overview'!$D$2:$D$790,'Transaction Overview'!$G$2:$G$790,$A47,'Transaction Overview'!$H$2:$H$790,D$4)</f>
        <v>0</v>
      </c>
      <c r="E47" s="13">
        <f>SUMIFS('Transaction Overview'!$D$2:$D$790,'Transaction Overview'!$G$2:$G$790,$A47,'Transaction Overview'!$H$2:$H$790,E$4)</f>
        <v>0</v>
      </c>
      <c r="F47" s="13">
        <f>SUMIFS('Transaction Overview'!$D$2:$D$790,'Transaction Overview'!$G$2:$G$790,$A47,'Transaction Overview'!$H$2:$H$790,F$4)</f>
        <v>0</v>
      </c>
      <c r="G47" s="13">
        <f>SUMIFS('Transaction Overview'!$D$2:$D$790,'Transaction Overview'!$G$2:$G$790,$A47,'Transaction Overview'!$H$2:$H$790,G$4)</f>
        <v>-1000</v>
      </c>
      <c r="H47" s="13">
        <f>SUMIFS('Transaction Overview'!$D$2:$D$790,'Transaction Overview'!$G$2:$G$790,$A47,'Transaction Overview'!$H$2:$H$790,H$4)</f>
        <v>0</v>
      </c>
      <c r="I47" s="13">
        <f>SUMIFS('Transaction Overview'!$D$2:$D$790,'Transaction Overview'!$G$2:$G$790,$A47,'Transaction Overview'!$H$2:$H$790,I$4)</f>
        <v>0</v>
      </c>
      <c r="J47" s="13">
        <f>SUMIFS('Transaction Overview'!$D$2:$D$790,'Transaction Overview'!$G$2:$G$790,$A47,'Transaction Overview'!$H$2:$H$790,J$4)</f>
        <v>0</v>
      </c>
      <c r="K47" s="13">
        <f>SUMIFS('Transaction Overview'!$D$2:$D$790,'Transaction Overview'!$G$2:$G$790,$A47,'Transaction Overview'!$H$2:$H$790,K$4)</f>
        <v>0</v>
      </c>
      <c r="L47" s="13">
        <f>SUMIFS('Transaction Overview'!$D$2:$D$790,'Transaction Overview'!$G$2:$G$790,$A47,'Transaction Overview'!$H$2:$H$790,L$4)</f>
        <v>0</v>
      </c>
      <c r="M47" s="13">
        <f>SUMIFS('Transaction Overview'!$D$2:$D$790,'Transaction Overview'!$G$2:$G$790,$A47,'Transaction Overview'!$H$2:$H$790,M$4)</f>
        <v>0</v>
      </c>
      <c r="N47" s="13">
        <f>SUMIFS('Transaction Overview'!$D$2:$D$790,'Transaction Overview'!$G$2:$G$790,$A47,'Transaction Overview'!$H$2:$H$790,N$4)</f>
        <v>0</v>
      </c>
      <c r="O47" s="13">
        <f>SUM(C47:N47)</f>
        <v>-1000</v>
      </c>
    </row>
    <row r="48" spans="1:15" x14ac:dyDescent="0.25">
      <c r="A48" s="8" t="s">
        <v>818</v>
      </c>
      <c r="B48" s="8" t="s">
        <v>857</v>
      </c>
      <c r="C48" s="13">
        <f>SUMIFS('Transaction Overview'!$D$2:$D$790,'Transaction Overview'!$G$2:$G$790,$A48,'Transaction Overview'!$H$2:$H$790,C$4)</f>
        <v>0</v>
      </c>
      <c r="D48" s="13">
        <f>SUMIFS('Transaction Overview'!$D$2:$D$790,'Transaction Overview'!$G$2:$G$790,$A48,'Transaction Overview'!$H$2:$H$790,D$4)</f>
        <v>0</v>
      </c>
      <c r="E48" s="13">
        <f>SUMIFS('Transaction Overview'!$D$2:$D$790,'Transaction Overview'!$G$2:$G$790,$A48,'Transaction Overview'!$H$2:$H$790,E$4)</f>
        <v>0</v>
      </c>
      <c r="F48" s="13">
        <f>SUMIFS('Transaction Overview'!$D$2:$D$790,'Transaction Overview'!$G$2:$G$790,$A48,'Transaction Overview'!$H$2:$H$790,F$4)</f>
        <v>0</v>
      </c>
      <c r="G48" s="13">
        <f>SUMIFS('Transaction Overview'!$D$2:$D$790,'Transaction Overview'!$G$2:$G$790,$A48,'Transaction Overview'!$H$2:$H$790,G$4)</f>
        <v>0</v>
      </c>
      <c r="H48" s="13">
        <f>SUMIFS('Transaction Overview'!$D$2:$D$790,'Transaction Overview'!$G$2:$G$790,$A48,'Transaction Overview'!$H$2:$H$790,H$4)</f>
        <v>0</v>
      </c>
      <c r="I48" s="13">
        <f>SUMIFS('Transaction Overview'!$D$2:$D$790,'Transaction Overview'!$G$2:$G$790,$A48,'Transaction Overview'!$H$2:$H$790,I$4)</f>
        <v>0</v>
      </c>
      <c r="J48" s="13">
        <f>SUMIFS('Transaction Overview'!$D$2:$D$790,'Transaction Overview'!$G$2:$G$790,$A48,'Transaction Overview'!$H$2:$H$790,J$4)</f>
        <v>0</v>
      </c>
      <c r="K48" s="13">
        <f>SUMIFS('Transaction Overview'!$D$2:$D$790,'Transaction Overview'!$G$2:$G$790,$A48,'Transaction Overview'!$H$2:$H$790,K$4)</f>
        <v>-500</v>
      </c>
      <c r="L48" s="13">
        <f>SUMIFS('Transaction Overview'!$D$2:$D$790,'Transaction Overview'!$G$2:$G$790,$A48,'Transaction Overview'!$H$2:$H$790,L$4)</f>
        <v>0</v>
      </c>
      <c r="M48" s="13">
        <f>SUMIFS('Transaction Overview'!$D$2:$D$790,'Transaction Overview'!$G$2:$G$790,$A48,'Transaction Overview'!$H$2:$H$790,M$4)</f>
        <v>0</v>
      </c>
      <c r="N48" s="13">
        <f>SUMIFS('Transaction Overview'!$D$2:$D$790,'Transaction Overview'!$G$2:$G$790,$A48,'Transaction Overview'!$H$2:$H$790,N$4)</f>
        <v>0</v>
      </c>
      <c r="O48" s="13">
        <f>SUM(C48:N48)</f>
        <v>-500</v>
      </c>
    </row>
    <row r="49" spans="1:15" x14ac:dyDescent="0.25">
      <c r="A49" s="8" t="s">
        <v>779</v>
      </c>
      <c r="B49" s="8" t="s">
        <v>847</v>
      </c>
      <c r="C49" s="13">
        <f>SUMIFS('Transaction Overview'!$D$2:$D$790,'Transaction Overview'!$G$2:$G$790,$A49,'Transaction Overview'!$H$2:$H$790,C$4)</f>
        <v>0</v>
      </c>
      <c r="D49" s="13">
        <f>SUMIFS('Transaction Overview'!$D$2:$D$790,'Transaction Overview'!$G$2:$G$790,$A49,'Transaction Overview'!$H$2:$H$790,D$4)</f>
        <v>0</v>
      </c>
      <c r="E49" s="13">
        <f>SUMIFS('Transaction Overview'!$D$2:$D$790,'Transaction Overview'!$G$2:$G$790,$A49,'Transaction Overview'!$H$2:$H$790,E$4)</f>
        <v>-100</v>
      </c>
      <c r="F49" s="13">
        <f>SUMIFS('Transaction Overview'!$D$2:$D$790,'Transaction Overview'!$G$2:$G$790,$A49,'Transaction Overview'!$H$2:$H$790,F$4)</f>
        <v>0</v>
      </c>
      <c r="G49" s="13">
        <f>SUMIFS('Transaction Overview'!$D$2:$D$790,'Transaction Overview'!$G$2:$G$790,$A49,'Transaction Overview'!$H$2:$H$790,G$4)</f>
        <v>0</v>
      </c>
      <c r="H49" s="13">
        <f>SUMIFS('Transaction Overview'!$D$2:$D$790,'Transaction Overview'!$G$2:$G$790,$A49,'Transaction Overview'!$H$2:$H$790,H$4)</f>
        <v>0</v>
      </c>
      <c r="I49" s="13">
        <f>SUMIFS('Transaction Overview'!$D$2:$D$790,'Transaction Overview'!$G$2:$G$790,$A49,'Transaction Overview'!$H$2:$H$790,I$4)</f>
        <v>0</v>
      </c>
      <c r="J49" s="13">
        <f>SUMIFS('Transaction Overview'!$D$2:$D$790,'Transaction Overview'!$G$2:$G$790,$A49,'Transaction Overview'!$H$2:$H$790,J$4)</f>
        <v>0</v>
      </c>
      <c r="K49" s="13">
        <f>SUMIFS('Transaction Overview'!$D$2:$D$790,'Transaction Overview'!$G$2:$G$790,$A49,'Transaction Overview'!$H$2:$H$790,K$4)</f>
        <v>0</v>
      </c>
      <c r="L49" s="13">
        <f>SUMIFS('Transaction Overview'!$D$2:$D$790,'Transaction Overview'!$G$2:$G$790,$A49,'Transaction Overview'!$H$2:$H$790,L$4)</f>
        <v>0</v>
      </c>
      <c r="M49" s="13">
        <f>SUMIFS('Transaction Overview'!$D$2:$D$790,'Transaction Overview'!$G$2:$G$790,$A49,'Transaction Overview'!$H$2:$H$790,M$4)</f>
        <v>-200</v>
      </c>
      <c r="N49" s="13">
        <f>SUMIFS('Transaction Overview'!$D$2:$D$790,'Transaction Overview'!$G$2:$G$790,$A49,'Transaction Overview'!$H$2:$H$790,N$4)</f>
        <v>-31</v>
      </c>
      <c r="O49" s="13">
        <f>SUM(C49:N49)</f>
        <v>-331</v>
      </c>
    </row>
    <row r="50" spans="1:15" x14ac:dyDescent="0.25">
      <c r="A50" s="8" t="s">
        <v>809</v>
      </c>
      <c r="B50" s="8" t="s">
        <v>847</v>
      </c>
      <c r="C50" s="13">
        <f>SUMIFS('Transaction Overview'!$D$2:$D$790,'Transaction Overview'!$G$2:$G$790,$A50,'Transaction Overview'!$H$2:$H$790,C$4)</f>
        <v>0</v>
      </c>
      <c r="D50" s="13">
        <f>SUMIFS('Transaction Overview'!$D$2:$D$790,'Transaction Overview'!$G$2:$G$790,$A50,'Transaction Overview'!$H$2:$H$790,D$4)</f>
        <v>0</v>
      </c>
      <c r="E50" s="13">
        <f>SUMIFS('Transaction Overview'!$D$2:$D$790,'Transaction Overview'!$G$2:$G$790,$A50,'Transaction Overview'!$H$2:$H$790,E$4)</f>
        <v>0</v>
      </c>
      <c r="F50" s="13">
        <f>SUMIFS('Transaction Overview'!$D$2:$D$790,'Transaction Overview'!$G$2:$G$790,$A50,'Transaction Overview'!$H$2:$H$790,F$4)</f>
        <v>0</v>
      </c>
      <c r="G50" s="13">
        <f>SUMIFS('Transaction Overview'!$D$2:$D$790,'Transaction Overview'!$G$2:$G$790,$A50,'Transaction Overview'!$H$2:$H$790,G$4)</f>
        <v>0</v>
      </c>
      <c r="H50" s="13">
        <f>SUMIFS('Transaction Overview'!$D$2:$D$790,'Transaction Overview'!$G$2:$G$790,$A50,'Transaction Overview'!$H$2:$H$790,H$4)</f>
        <v>0</v>
      </c>
      <c r="I50" s="13">
        <f>SUMIFS('Transaction Overview'!$D$2:$D$790,'Transaction Overview'!$G$2:$G$790,$A50,'Transaction Overview'!$H$2:$H$790,I$4)</f>
        <v>0</v>
      </c>
      <c r="J50" s="13">
        <f>SUMIFS('Transaction Overview'!$D$2:$D$790,'Transaction Overview'!$G$2:$G$790,$A50,'Transaction Overview'!$H$2:$H$790,J$4)</f>
        <v>0</v>
      </c>
      <c r="K50" s="13">
        <f>SUMIFS('Transaction Overview'!$D$2:$D$790,'Transaction Overview'!$G$2:$G$790,$A50,'Transaction Overview'!$H$2:$H$790,K$4)</f>
        <v>0</v>
      </c>
      <c r="L50" s="13">
        <f>SUMIFS('Transaction Overview'!$D$2:$D$790,'Transaction Overview'!$G$2:$G$790,$A50,'Transaction Overview'!$H$2:$H$790,L$4)</f>
        <v>-247</v>
      </c>
      <c r="M50" s="13">
        <f>SUMIFS('Transaction Overview'!$D$2:$D$790,'Transaction Overview'!$G$2:$G$790,$A50,'Transaction Overview'!$H$2:$H$790,M$4)</f>
        <v>0</v>
      </c>
      <c r="N50" s="13">
        <f>SUMIFS('Transaction Overview'!$D$2:$D$790,'Transaction Overview'!$G$2:$G$790,$A50,'Transaction Overview'!$H$2:$H$790,N$4)</f>
        <v>0</v>
      </c>
      <c r="O50" s="13">
        <f>SUM(C50:N50)</f>
        <v>-247</v>
      </c>
    </row>
    <row r="51" spans="1:15" x14ac:dyDescent="0.25">
      <c r="A51" s="8" t="s">
        <v>811</v>
      </c>
      <c r="B51" s="8" t="s">
        <v>847</v>
      </c>
      <c r="C51" s="13">
        <f>SUMIFS('Transaction Overview'!$D$2:$D$790,'Transaction Overview'!$G$2:$G$790,$A51,'Transaction Overview'!$H$2:$H$790,C$4)</f>
        <v>0</v>
      </c>
      <c r="D51" s="13">
        <f>SUMIFS('Transaction Overview'!$D$2:$D$790,'Transaction Overview'!$G$2:$G$790,$A51,'Transaction Overview'!$H$2:$H$790,D$4)</f>
        <v>0</v>
      </c>
      <c r="E51" s="13">
        <f>SUMIFS('Transaction Overview'!$D$2:$D$790,'Transaction Overview'!$G$2:$G$790,$A51,'Transaction Overview'!$H$2:$H$790,E$4)</f>
        <v>0</v>
      </c>
      <c r="F51" s="13">
        <f>SUMIFS('Transaction Overview'!$D$2:$D$790,'Transaction Overview'!$G$2:$G$790,$A51,'Transaction Overview'!$H$2:$H$790,F$4)</f>
        <v>0</v>
      </c>
      <c r="G51" s="13">
        <f>SUMIFS('Transaction Overview'!$D$2:$D$790,'Transaction Overview'!$G$2:$G$790,$A51,'Transaction Overview'!$H$2:$H$790,G$4)</f>
        <v>0</v>
      </c>
      <c r="H51" s="13">
        <f>SUMIFS('Transaction Overview'!$D$2:$D$790,'Transaction Overview'!$G$2:$G$790,$A51,'Transaction Overview'!$H$2:$H$790,H$4)</f>
        <v>0</v>
      </c>
      <c r="I51" s="13">
        <f>SUMIFS('Transaction Overview'!$D$2:$D$790,'Transaction Overview'!$G$2:$G$790,$A51,'Transaction Overview'!$H$2:$H$790,I$4)</f>
        <v>0</v>
      </c>
      <c r="J51" s="13">
        <f>SUMIFS('Transaction Overview'!$D$2:$D$790,'Transaction Overview'!$G$2:$G$790,$A51,'Transaction Overview'!$H$2:$H$790,J$4)</f>
        <v>0</v>
      </c>
      <c r="K51" s="13">
        <f>SUMIFS('Transaction Overview'!$D$2:$D$790,'Transaction Overview'!$G$2:$G$790,$A51,'Transaction Overview'!$H$2:$H$790,K$4)</f>
        <v>0</v>
      </c>
      <c r="L51" s="13">
        <f>SUMIFS('Transaction Overview'!$D$2:$D$790,'Transaction Overview'!$G$2:$G$790,$A51,'Transaction Overview'!$H$2:$H$790,L$4)</f>
        <v>-500</v>
      </c>
      <c r="M51" s="13">
        <f>SUMIFS('Transaction Overview'!$D$2:$D$790,'Transaction Overview'!$G$2:$G$790,$A51,'Transaction Overview'!$H$2:$H$790,M$4)</f>
        <v>0</v>
      </c>
      <c r="N51" s="13">
        <f>SUMIFS('Transaction Overview'!$D$2:$D$790,'Transaction Overview'!$G$2:$G$790,$A51,'Transaction Overview'!$H$2:$H$790,N$4)</f>
        <v>0</v>
      </c>
      <c r="O51" s="13">
        <f>SUM(C51:N51)</f>
        <v>-500</v>
      </c>
    </row>
    <row r="52" spans="1:15" x14ac:dyDescent="0.25">
      <c r="A52" s="8" t="s">
        <v>812</v>
      </c>
      <c r="B52" s="8" t="s">
        <v>847</v>
      </c>
      <c r="C52" s="13">
        <f>SUMIFS('Transaction Overview'!$D$2:$D$790,'Transaction Overview'!$G$2:$G$790,$A52,'Transaction Overview'!$H$2:$H$790,C$4)</f>
        <v>0</v>
      </c>
      <c r="D52" s="13">
        <f>SUMIFS('Transaction Overview'!$D$2:$D$790,'Transaction Overview'!$G$2:$G$790,$A52,'Transaction Overview'!$H$2:$H$790,D$4)</f>
        <v>0</v>
      </c>
      <c r="E52" s="13">
        <f>SUMIFS('Transaction Overview'!$D$2:$D$790,'Transaction Overview'!$G$2:$G$790,$A52,'Transaction Overview'!$H$2:$H$790,E$4)</f>
        <v>0</v>
      </c>
      <c r="F52" s="13">
        <f>SUMIFS('Transaction Overview'!$D$2:$D$790,'Transaction Overview'!$G$2:$G$790,$A52,'Transaction Overview'!$H$2:$H$790,F$4)</f>
        <v>0</v>
      </c>
      <c r="G52" s="13">
        <f>SUMIFS('Transaction Overview'!$D$2:$D$790,'Transaction Overview'!$G$2:$G$790,$A52,'Transaction Overview'!$H$2:$H$790,G$4)</f>
        <v>0</v>
      </c>
      <c r="H52" s="13">
        <f>SUMIFS('Transaction Overview'!$D$2:$D$790,'Transaction Overview'!$G$2:$G$790,$A52,'Transaction Overview'!$H$2:$H$790,H$4)</f>
        <v>0</v>
      </c>
      <c r="I52" s="13">
        <f>SUMIFS('Transaction Overview'!$D$2:$D$790,'Transaction Overview'!$G$2:$G$790,$A52,'Transaction Overview'!$H$2:$H$790,I$4)</f>
        <v>0</v>
      </c>
      <c r="J52" s="13">
        <f>SUMIFS('Transaction Overview'!$D$2:$D$790,'Transaction Overview'!$G$2:$G$790,$A52,'Transaction Overview'!$H$2:$H$790,J$4)</f>
        <v>-500</v>
      </c>
      <c r="K52" s="13">
        <f>SUMIFS('Transaction Overview'!$D$2:$D$790,'Transaction Overview'!$G$2:$G$790,$A52,'Transaction Overview'!$H$2:$H$790,K$4)</f>
        <v>0</v>
      </c>
      <c r="L52" s="13">
        <f>SUMIFS('Transaction Overview'!$D$2:$D$790,'Transaction Overview'!$G$2:$G$790,$A52,'Transaction Overview'!$H$2:$H$790,L$4)</f>
        <v>0</v>
      </c>
      <c r="M52" s="13">
        <f>SUMIFS('Transaction Overview'!$D$2:$D$790,'Transaction Overview'!$G$2:$G$790,$A52,'Transaction Overview'!$H$2:$H$790,M$4)</f>
        <v>0</v>
      </c>
      <c r="N52" s="13">
        <f>SUMIFS('Transaction Overview'!$D$2:$D$790,'Transaction Overview'!$G$2:$G$790,$A52,'Transaction Overview'!$H$2:$H$790,N$4)</f>
        <v>0</v>
      </c>
      <c r="O52" s="13">
        <f>SUM(C52:N52)</f>
        <v>-500</v>
      </c>
    </row>
    <row r="53" spans="1:15" x14ac:dyDescent="0.25">
      <c r="A53" s="8" t="s">
        <v>859</v>
      </c>
      <c r="B53" s="8" t="s">
        <v>847</v>
      </c>
      <c r="C53" s="13">
        <f>SUMIFS('Transaction Overview'!$D$2:$D$790,'Transaction Overview'!$G$2:$G$790,$A53,'Transaction Overview'!$H$2:$H$790,C$4)</f>
        <v>0</v>
      </c>
      <c r="D53" s="13">
        <f>SUMIFS('Transaction Overview'!$D$2:$D$790,'Transaction Overview'!$G$2:$G$790,$A53,'Transaction Overview'!$H$2:$H$790,D$4)</f>
        <v>0</v>
      </c>
      <c r="E53" s="13">
        <f>SUMIFS('Transaction Overview'!$D$2:$D$790,'Transaction Overview'!$G$2:$G$790,$A53,'Transaction Overview'!$H$2:$H$790,E$4)</f>
        <v>0</v>
      </c>
      <c r="F53" s="13">
        <f>SUMIFS('Transaction Overview'!$D$2:$D$790,'Transaction Overview'!$G$2:$G$790,$A53,'Transaction Overview'!$H$2:$H$790,F$4)</f>
        <v>0</v>
      </c>
      <c r="G53" s="13">
        <f>SUMIFS('Transaction Overview'!$D$2:$D$790,'Transaction Overview'!$G$2:$G$790,$A53,'Transaction Overview'!$H$2:$H$790,G$4)</f>
        <v>0</v>
      </c>
      <c r="H53" s="13">
        <f>SUMIFS('Transaction Overview'!$D$2:$D$790,'Transaction Overview'!$G$2:$G$790,$A53,'Transaction Overview'!$H$2:$H$790,H$4)</f>
        <v>0</v>
      </c>
      <c r="I53" s="13">
        <f>SUMIFS('Transaction Overview'!$D$2:$D$790,'Transaction Overview'!$G$2:$G$790,$A53,'Transaction Overview'!$H$2:$H$790,I$4)</f>
        <v>0</v>
      </c>
      <c r="J53" s="13">
        <f>SUMIFS('Transaction Overview'!$D$2:$D$790,'Transaction Overview'!$G$2:$G$790,$A53,'Transaction Overview'!$H$2:$H$790,J$4)</f>
        <v>0</v>
      </c>
      <c r="K53" s="13">
        <f>SUMIFS('Transaction Overview'!$D$2:$D$790,'Transaction Overview'!$G$2:$G$790,$A53,'Transaction Overview'!$H$2:$H$790,K$4)</f>
        <v>0</v>
      </c>
      <c r="L53" s="13">
        <f>SUMIFS('Transaction Overview'!$D$2:$D$790,'Transaction Overview'!$G$2:$G$790,$A53,'Transaction Overview'!$H$2:$H$790,L$4)</f>
        <v>0</v>
      </c>
      <c r="M53" s="13">
        <f>SUMIFS('Transaction Overview'!$D$2:$D$790,'Transaction Overview'!$G$2:$G$790,$A53,'Transaction Overview'!$H$2:$H$790,M$4)</f>
        <v>-750</v>
      </c>
      <c r="N53" s="13">
        <f>SUMIFS('Transaction Overview'!$D$2:$D$790,'Transaction Overview'!$G$2:$G$790,$A53,'Transaction Overview'!$H$2:$H$790,N$4)</f>
        <v>0</v>
      </c>
      <c r="O53" s="13">
        <f>SUM(C53:N53)</f>
        <v>-750</v>
      </c>
    </row>
    <row r="54" spans="1:15" x14ac:dyDescent="0.25">
      <c r="A54" s="8" t="s">
        <v>810</v>
      </c>
      <c r="B54" s="8" t="s">
        <v>847</v>
      </c>
      <c r="C54" s="13">
        <f>SUMIFS('Transaction Overview'!$D$2:$D$790,'Transaction Overview'!$G$2:$G$790,$A54,'Transaction Overview'!$H$2:$H$790,C$4)</f>
        <v>0</v>
      </c>
      <c r="D54" s="13">
        <f>SUMIFS('Transaction Overview'!$D$2:$D$790,'Transaction Overview'!$G$2:$G$790,$A54,'Transaction Overview'!$H$2:$H$790,D$4)</f>
        <v>0</v>
      </c>
      <c r="E54" s="13">
        <f>SUMIFS('Transaction Overview'!$D$2:$D$790,'Transaction Overview'!$G$2:$G$790,$A54,'Transaction Overview'!$H$2:$H$790,E$4)</f>
        <v>0</v>
      </c>
      <c r="F54" s="13">
        <f>SUMIFS('Transaction Overview'!$D$2:$D$790,'Transaction Overview'!$G$2:$G$790,$A54,'Transaction Overview'!$H$2:$H$790,F$4)</f>
        <v>0</v>
      </c>
      <c r="G54" s="13">
        <f>SUMIFS('Transaction Overview'!$D$2:$D$790,'Transaction Overview'!$G$2:$G$790,$A54,'Transaction Overview'!$H$2:$H$790,G$4)</f>
        <v>0</v>
      </c>
      <c r="H54" s="13">
        <f>SUMIFS('Transaction Overview'!$D$2:$D$790,'Transaction Overview'!$G$2:$G$790,$A54,'Transaction Overview'!$H$2:$H$790,H$4)</f>
        <v>0</v>
      </c>
      <c r="I54" s="13">
        <f>SUMIFS('Transaction Overview'!$D$2:$D$790,'Transaction Overview'!$G$2:$G$790,$A54,'Transaction Overview'!$H$2:$H$790,I$4)</f>
        <v>0</v>
      </c>
      <c r="J54" s="13">
        <f>SUMIFS('Transaction Overview'!$D$2:$D$790,'Transaction Overview'!$G$2:$G$790,$A54,'Transaction Overview'!$H$2:$H$790,J$4)</f>
        <v>0</v>
      </c>
      <c r="K54" s="13">
        <f>SUMIFS('Transaction Overview'!$D$2:$D$790,'Transaction Overview'!$G$2:$G$790,$A54,'Transaction Overview'!$H$2:$H$790,K$4)</f>
        <v>0</v>
      </c>
      <c r="L54" s="13">
        <f>SUMIFS('Transaction Overview'!$D$2:$D$790,'Transaction Overview'!$G$2:$G$790,$A54,'Transaction Overview'!$H$2:$H$790,L$4)</f>
        <v>-500</v>
      </c>
      <c r="M54" s="13">
        <f>SUMIFS('Transaction Overview'!$D$2:$D$790,'Transaction Overview'!$G$2:$G$790,$A54,'Transaction Overview'!$H$2:$H$790,M$4)</f>
        <v>0</v>
      </c>
      <c r="N54" s="13">
        <f>SUMIFS('Transaction Overview'!$D$2:$D$790,'Transaction Overview'!$G$2:$G$790,$A54,'Transaction Overview'!$H$2:$H$790,N$4)</f>
        <v>0</v>
      </c>
      <c r="O54" s="13">
        <f>SUM(C54:N54)</f>
        <v>-500</v>
      </c>
    </row>
    <row r="55" spans="1:15" x14ac:dyDescent="0.25">
      <c r="A55" s="8" t="s">
        <v>813</v>
      </c>
      <c r="B55" s="8" t="s">
        <v>847</v>
      </c>
      <c r="C55" s="13">
        <f>SUMIFS('Transaction Overview'!$D$2:$D$790,'Transaction Overview'!$G$2:$G$790,$A55,'Transaction Overview'!$H$2:$H$790,C$4)</f>
        <v>0</v>
      </c>
      <c r="D55" s="13">
        <f>SUMIFS('Transaction Overview'!$D$2:$D$790,'Transaction Overview'!$G$2:$G$790,$A55,'Transaction Overview'!$H$2:$H$790,D$4)</f>
        <v>0</v>
      </c>
      <c r="E55" s="13">
        <f>SUMIFS('Transaction Overview'!$D$2:$D$790,'Transaction Overview'!$G$2:$G$790,$A55,'Transaction Overview'!$H$2:$H$790,E$4)</f>
        <v>0</v>
      </c>
      <c r="F55" s="13">
        <f>SUMIFS('Transaction Overview'!$D$2:$D$790,'Transaction Overview'!$G$2:$G$790,$A55,'Transaction Overview'!$H$2:$H$790,F$4)</f>
        <v>0</v>
      </c>
      <c r="G55" s="13">
        <f>SUMIFS('Transaction Overview'!$D$2:$D$790,'Transaction Overview'!$G$2:$G$790,$A55,'Transaction Overview'!$H$2:$H$790,G$4)</f>
        <v>0</v>
      </c>
      <c r="H55" s="13">
        <f>SUMIFS('Transaction Overview'!$D$2:$D$790,'Transaction Overview'!$G$2:$G$790,$A55,'Transaction Overview'!$H$2:$H$790,H$4)</f>
        <v>0</v>
      </c>
      <c r="I55" s="13">
        <f>SUMIFS('Transaction Overview'!$D$2:$D$790,'Transaction Overview'!$G$2:$G$790,$A55,'Transaction Overview'!$H$2:$H$790,I$4)</f>
        <v>-350</v>
      </c>
      <c r="J55" s="13">
        <f>SUMIFS('Transaction Overview'!$D$2:$D$790,'Transaction Overview'!$G$2:$G$790,$A55,'Transaction Overview'!$H$2:$H$790,J$4)</f>
        <v>0</v>
      </c>
      <c r="K55" s="13">
        <f>SUMIFS('Transaction Overview'!$D$2:$D$790,'Transaction Overview'!$G$2:$G$790,$A55,'Transaction Overview'!$H$2:$H$790,K$4)</f>
        <v>0</v>
      </c>
      <c r="L55" s="13">
        <f>SUMIFS('Transaction Overview'!$D$2:$D$790,'Transaction Overview'!$G$2:$G$790,$A55,'Transaction Overview'!$H$2:$H$790,L$4)</f>
        <v>0</v>
      </c>
      <c r="M55" s="13">
        <f>SUMIFS('Transaction Overview'!$D$2:$D$790,'Transaction Overview'!$G$2:$G$790,$A55,'Transaction Overview'!$H$2:$H$790,M$4)</f>
        <v>0</v>
      </c>
      <c r="N55" s="13">
        <f>SUMIFS('Transaction Overview'!$D$2:$D$790,'Transaction Overview'!$G$2:$G$790,$A55,'Transaction Overview'!$H$2:$H$790,N$4)</f>
        <v>0</v>
      </c>
      <c r="O55" s="13">
        <f>SUM(C55:N55)</f>
        <v>-350</v>
      </c>
    </row>
    <row r="56" spans="1:15" x14ac:dyDescent="0.25">
      <c r="A56" s="8" t="s">
        <v>837</v>
      </c>
      <c r="B56" s="8" t="s">
        <v>848</v>
      </c>
      <c r="C56" s="13">
        <f>SUMIFS('Transaction Overview'!$D$2:$D$790,'Transaction Overview'!$G$2:$G$790,$A56,'Transaction Overview'!$H$2:$H$790,C$4)</f>
        <v>0</v>
      </c>
      <c r="D56" s="13">
        <f>SUMIFS('Transaction Overview'!$D$2:$D$790,'Transaction Overview'!$G$2:$G$790,$A56,'Transaction Overview'!$H$2:$H$790,D$4)</f>
        <v>0</v>
      </c>
      <c r="E56" s="13">
        <f>SUMIFS('Transaction Overview'!$D$2:$D$790,'Transaction Overview'!$G$2:$G$790,$A56,'Transaction Overview'!$H$2:$H$790,E$4)</f>
        <v>0</v>
      </c>
      <c r="F56" s="13">
        <f>SUMIFS('Transaction Overview'!$D$2:$D$790,'Transaction Overview'!$G$2:$G$790,$A56,'Transaction Overview'!$H$2:$H$790,F$4)</f>
        <v>0</v>
      </c>
      <c r="G56" s="13">
        <f>SUMIFS('Transaction Overview'!$D$2:$D$790,'Transaction Overview'!$G$2:$G$790,$A56,'Transaction Overview'!$H$2:$H$790,G$4)</f>
        <v>0</v>
      </c>
      <c r="H56" s="13">
        <f>SUMIFS('Transaction Overview'!$D$2:$D$790,'Transaction Overview'!$G$2:$G$790,$A56,'Transaction Overview'!$H$2:$H$790,H$4)</f>
        <v>0</v>
      </c>
      <c r="I56" s="13">
        <f>SUMIFS('Transaction Overview'!$D$2:$D$790,'Transaction Overview'!$G$2:$G$790,$A56,'Transaction Overview'!$H$2:$H$790,I$4)</f>
        <v>0</v>
      </c>
      <c r="J56" s="13">
        <f>SUMIFS('Transaction Overview'!$D$2:$D$790,'Transaction Overview'!$G$2:$G$790,$A56,'Transaction Overview'!$H$2:$H$790,J$4)</f>
        <v>0</v>
      </c>
      <c r="K56" s="13">
        <f>SUMIFS('Transaction Overview'!$D$2:$D$790,'Transaction Overview'!$G$2:$G$790,$A56,'Transaction Overview'!$H$2:$H$790,K$4)</f>
        <v>0</v>
      </c>
      <c r="L56" s="13">
        <f>SUMIFS('Transaction Overview'!$D$2:$D$790,'Transaction Overview'!$G$2:$G$790,$A56,'Transaction Overview'!$H$2:$H$790,L$4)</f>
        <v>0</v>
      </c>
      <c r="M56" s="13">
        <f>SUMIFS('Transaction Overview'!$D$2:$D$790,'Transaction Overview'!$G$2:$G$790,$A56,'Transaction Overview'!$H$2:$H$790,M$4)</f>
        <v>0</v>
      </c>
      <c r="N56" s="13">
        <f>SUMIFS('Transaction Overview'!$D$2:$D$790,'Transaction Overview'!$G$2:$G$790,$A56,'Transaction Overview'!$H$2:$H$790,N$4)</f>
        <v>-10000</v>
      </c>
      <c r="O56" s="13">
        <f>SUM(C56:N56)</f>
        <v>-10000</v>
      </c>
    </row>
    <row r="57" spans="1:15" x14ac:dyDescent="0.25">
      <c r="A57" s="8" t="s">
        <v>830</v>
      </c>
      <c r="B57" s="8" t="s">
        <v>848</v>
      </c>
      <c r="C57" s="13">
        <f>SUMIFS('Transaction Overview'!$D$2:$D$790,'Transaction Overview'!$G$2:$G$790,$A57,'Transaction Overview'!$H$2:$H$790,C$4)</f>
        <v>0</v>
      </c>
      <c r="D57" s="13">
        <f>SUMIFS('Transaction Overview'!$D$2:$D$790,'Transaction Overview'!$G$2:$G$790,$A57,'Transaction Overview'!$H$2:$H$790,D$4)</f>
        <v>0</v>
      </c>
      <c r="E57" s="13">
        <f>SUMIFS('Transaction Overview'!$D$2:$D$790,'Transaction Overview'!$G$2:$G$790,$A57,'Transaction Overview'!$H$2:$H$790,E$4)</f>
        <v>0</v>
      </c>
      <c r="F57" s="13">
        <f>SUMIFS('Transaction Overview'!$D$2:$D$790,'Transaction Overview'!$G$2:$G$790,$A57,'Transaction Overview'!$H$2:$H$790,F$4)</f>
        <v>0</v>
      </c>
      <c r="G57" s="13">
        <f>SUMIFS('Transaction Overview'!$D$2:$D$790,'Transaction Overview'!$G$2:$G$790,$A57,'Transaction Overview'!$H$2:$H$790,G$4)</f>
        <v>0</v>
      </c>
      <c r="H57" s="13">
        <f>SUMIFS('Transaction Overview'!$D$2:$D$790,'Transaction Overview'!$G$2:$G$790,$A57,'Transaction Overview'!$H$2:$H$790,H$4)</f>
        <v>0</v>
      </c>
      <c r="I57" s="13">
        <f>SUMIFS('Transaction Overview'!$D$2:$D$790,'Transaction Overview'!$G$2:$G$790,$A57,'Transaction Overview'!$H$2:$H$790,I$4)</f>
        <v>0</v>
      </c>
      <c r="J57" s="13">
        <f>SUMIFS('Transaction Overview'!$D$2:$D$790,'Transaction Overview'!$G$2:$G$790,$A57,'Transaction Overview'!$H$2:$H$790,J$4)</f>
        <v>0</v>
      </c>
      <c r="K57" s="13">
        <f>SUMIFS('Transaction Overview'!$D$2:$D$790,'Transaction Overview'!$G$2:$G$790,$A57,'Transaction Overview'!$H$2:$H$790,K$4)</f>
        <v>0</v>
      </c>
      <c r="L57" s="13">
        <f>SUMIFS('Transaction Overview'!$D$2:$D$790,'Transaction Overview'!$G$2:$G$790,$A57,'Transaction Overview'!$H$2:$H$790,L$4)</f>
        <v>0</v>
      </c>
      <c r="M57" s="13">
        <f>SUMIFS('Transaction Overview'!$D$2:$D$790,'Transaction Overview'!$G$2:$G$790,$A57,'Transaction Overview'!$H$2:$H$790,M$4)</f>
        <v>0</v>
      </c>
      <c r="N57" s="13">
        <f>SUMIFS('Transaction Overview'!$D$2:$D$790,'Transaction Overview'!$G$2:$G$790,$A57,'Transaction Overview'!$H$2:$H$790,N$4)</f>
        <v>-28000</v>
      </c>
      <c r="O57" s="13">
        <f>SUM(C57:N57)</f>
        <v>-28000</v>
      </c>
    </row>
    <row r="58" spans="1:15" x14ac:dyDescent="0.25">
      <c r="A58" s="8" t="s">
        <v>770</v>
      </c>
      <c r="B58" s="8" t="s">
        <v>848</v>
      </c>
      <c r="C58" s="13">
        <f>SUMIFS('Transaction Overview'!$D$2:$D$790,'Transaction Overview'!$G$2:$G$790,$A58,'Transaction Overview'!$H$2:$H$790,C$4)</f>
        <v>0</v>
      </c>
      <c r="D58" s="13">
        <f>SUMIFS('Transaction Overview'!$D$2:$D$790,'Transaction Overview'!$G$2:$G$790,$A58,'Transaction Overview'!$H$2:$H$790,D$4)</f>
        <v>0</v>
      </c>
      <c r="E58" s="13">
        <f>SUMIFS('Transaction Overview'!$D$2:$D$790,'Transaction Overview'!$G$2:$G$790,$A58,'Transaction Overview'!$H$2:$H$790,E$4)</f>
        <v>0</v>
      </c>
      <c r="F58" s="13">
        <f>SUMIFS('Transaction Overview'!$D$2:$D$790,'Transaction Overview'!$G$2:$G$790,$A58,'Transaction Overview'!$H$2:$H$790,F$4)</f>
        <v>0</v>
      </c>
      <c r="G58" s="13">
        <f>SUMIFS('Transaction Overview'!$D$2:$D$790,'Transaction Overview'!$G$2:$G$790,$A58,'Transaction Overview'!$H$2:$H$790,G$4)</f>
        <v>0</v>
      </c>
      <c r="H58" s="13">
        <f>SUMIFS('Transaction Overview'!$D$2:$D$790,'Transaction Overview'!$G$2:$G$790,$A58,'Transaction Overview'!$H$2:$H$790,H$4)</f>
        <v>0</v>
      </c>
      <c r="I58" s="13">
        <f>SUMIFS('Transaction Overview'!$D$2:$D$790,'Transaction Overview'!$G$2:$G$790,$A58,'Transaction Overview'!$H$2:$H$790,I$4)</f>
        <v>0</v>
      </c>
      <c r="J58" s="13">
        <f>SUMIFS('Transaction Overview'!$D$2:$D$790,'Transaction Overview'!$G$2:$G$790,$A58,'Transaction Overview'!$H$2:$H$790,J$4)</f>
        <v>0</v>
      </c>
      <c r="K58" s="13">
        <f>SUMIFS('Transaction Overview'!$D$2:$D$790,'Transaction Overview'!$G$2:$G$790,$A58,'Transaction Overview'!$H$2:$H$790,K$4)</f>
        <v>0</v>
      </c>
      <c r="L58" s="13">
        <f>SUMIFS('Transaction Overview'!$D$2:$D$790,'Transaction Overview'!$G$2:$G$790,$A58,'Transaction Overview'!$H$2:$H$790,L$4)</f>
        <v>-275</v>
      </c>
      <c r="M58" s="13">
        <f>SUMIFS('Transaction Overview'!$D$2:$D$790,'Transaction Overview'!$G$2:$G$790,$A58,'Transaction Overview'!$H$2:$H$790,M$4)</f>
        <v>-397</v>
      </c>
      <c r="N58" s="13">
        <f>SUMIFS('Transaction Overview'!$D$2:$D$790,'Transaction Overview'!$G$2:$G$790,$A58,'Transaction Overview'!$H$2:$H$790,N$4)</f>
        <v>-200</v>
      </c>
      <c r="O58" s="13">
        <f>SUM(C58:N58)</f>
        <v>-872</v>
      </c>
    </row>
    <row r="59" spans="1:15" x14ac:dyDescent="0.25">
      <c r="A59" s="8" t="s">
        <v>767</v>
      </c>
      <c r="B59" s="8" t="s">
        <v>846</v>
      </c>
      <c r="C59" s="13">
        <f>SUMIFS('Transaction Overview'!$D$2:$D$790,'Transaction Overview'!$G$2:$G$790,$A59,'Transaction Overview'!$H$2:$H$790,C$4)</f>
        <v>-27459.41</v>
      </c>
      <c r="D59" s="13">
        <f>SUMIFS('Transaction Overview'!$D$2:$D$790,'Transaction Overview'!$G$2:$G$790,$A59,'Transaction Overview'!$H$2:$H$790,D$4)</f>
        <v>0</v>
      </c>
      <c r="E59" s="13">
        <f>SUMIFS('Transaction Overview'!$D$2:$D$790,'Transaction Overview'!$G$2:$G$790,$A59,'Transaction Overview'!$H$2:$H$790,E$4)</f>
        <v>-32874.619999999995</v>
      </c>
      <c r="F59" s="13">
        <f>SUMIFS('Transaction Overview'!$D$2:$D$790,'Transaction Overview'!$G$2:$G$790,$A59,'Transaction Overview'!$H$2:$H$790,F$4)</f>
        <v>-42222.92</v>
      </c>
      <c r="G59" s="13">
        <f>SUMIFS('Transaction Overview'!$D$2:$D$790,'Transaction Overview'!$G$2:$G$790,$A59,'Transaction Overview'!$H$2:$H$790,G$4)</f>
        <v>-8226.61</v>
      </c>
      <c r="H59" s="13">
        <f>SUMIFS('Transaction Overview'!$D$2:$D$790,'Transaction Overview'!$G$2:$G$790,$A59,'Transaction Overview'!$H$2:$H$790,H$4)</f>
        <v>0</v>
      </c>
      <c r="I59" s="13">
        <f>SUMIFS('Transaction Overview'!$D$2:$D$790,'Transaction Overview'!$G$2:$G$790,$A59,'Transaction Overview'!$H$2:$H$790,I$4)</f>
        <v>-23574.61</v>
      </c>
      <c r="J59" s="13">
        <f>SUMIFS('Transaction Overview'!$D$2:$D$790,'Transaction Overview'!$G$2:$G$790,$A59,'Transaction Overview'!$H$2:$H$790,J$4)</f>
        <v>-19118.349999999999</v>
      </c>
      <c r="K59" s="13">
        <f>SUMIFS('Transaction Overview'!$D$2:$D$790,'Transaction Overview'!$G$2:$G$790,$A59,'Transaction Overview'!$H$2:$H$790,K$4)</f>
        <v>-14871.34</v>
      </c>
      <c r="L59" s="13">
        <f>SUMIFS('Transaction Overview'!$D$2:$D$790,'Transaction Overview'!$G$2:$G$790,$A59,'Transaction Overview'!$H$2:$H$790,L$4)</f>
        <v>-1623.81</v>
      </c>
      <c r="M59" s="13">
        <f>SUMIFS('Transaction Overview'!$D$2:$D$790,'Transaction Overview'!$G$2:$G$790,$A59,'Transaction Overview'!$H$2:$H$790,M$4)</f>
        <v>-8872.91</v>
      </c>
      <c r="N59" s="13">
        <f>SUMIFS('Transaction Overview'!$D$2:$D$790,'Transaction Overview'!$G$2:$G$790,$A59,'Transaction Overview'!$H$2:$H$790,N$4)</f>
        <v>-52631.91</v>
      </c>
      <c r="O59" s="13">
        <f>SUM(C59:N59)</f>
        <v>-231476.49</v>
      </c>
    </row>
    <row r="60" spans="1:15" x14ac:dyDescent="0.25">
      <c r="A60" s="8" t="s">
        <v>823</v>
      </c>
      <c r="B60" s="8" t="s">
        <v>845</v>
      </c>
      <c r="C60" s="13">
        <f>SUMIFS('Transaction Overview'!$D$2:$D$790,'Transaction Overview'!$G$2:$G$790,$A60,'Transaction Overview'!$H$2:$H$790,C$4)</f>
        <v>0</v>
      </c>
      <c r="D60" s="13">
        <f>SUMIFS('Transaction Overview'!$D$2:$D$790,'Transaction Overview'!$G$2:$G$790,$A60,'Transaction Overview'!$H$2:$H$790,D$4)</f>
        <v>0</v>
      </c>
      <c r="E60" s="13">
        <f>SUMIFS('Transaction Overview'!$D$2:$D$790,'Transaction Overview'!$G$2:$G$790,$A60,'Transaction Overview'!$H$2:$H$790,E$4)</f>
        <v>0</v>
      </c>
      <c r="F60" s="13">
        <f>SUMIFS('Transaction Overview'!$D$2:$D$790,'Transaction Overview'!$G$2:$G$790,$A60,'Transaction Overview'!$H$2:$H$790,F$4)</f>
        <v>0</v>
      </c>
      <c r="G60" s="13">
        <f>SUMIFS('Transaction Overview'!$D$2:$D$790,'Transaction Overview'!$G$2:$G$790,$A60,'Transaction Overview'!$H$2:$H$790,G$4)</f>
        <v>0</v>
      </c>
      <c r="H60" s="13">
        <f>SUMIFS('Transaction Overview'!$D$2:$D$790,'Transaction Overview'!$G$2:$G$790,$A60,'Transaction Overview'!$H$2:$H$790,H$4)</f>
        <v>0</v>
      </c>
      <c r="I60" s="13">
        <f>SUMIFS('Transaction Overview'!$D$2:$D$790,'Transaction Overview'!$G$2:$G$790,$A60,'Transaction Overview'!$H$2:$H$790,I$4)</f>
        <v>0</v>
      </c>
      <c r="J60" s="13">
        <f>SUMIFS('Transaction Overview'!$D$2:$D$790,'Transaction Overview'!$G$2:$G$790,$A60,'Transaction Overview'!$H$2:$H$790,J$4)</f>
        <v>0</v>
      </c>
      <c r="K60" s="13">
        <f>SUMIFS('Transaction Overview'!$D$2:$D$790,'Transaction Overview'!$G$2:$G$790,$A60,'Transaction Overview'!$H$2:$H$790,K$4)</f>
        <v>0</v>
      </c>
      <c r="L60" s="13">
        <f>SUMIFS('Transaction Overview'!$D$2:$D$790,'Transaction Overview'!$G$2:$G$790,$A60,'Transaction Overview'!$H$2:$H$790,L$4)</f>
        <v>-216</v>
      </c>
      <c r="M60" s="13">
        <f>SUMIFS('Transaction Overview'!$D$2:$D$790,'Transaction Overview'!$G$2:$G$790,$A60,'Transaction Overview'!$H$2:$H$790,M$4)</f>
        <v>0</v>
      </c>
      <c r="N60" s="13">
        <f>SUMIFS('Transaction Overview'!$D$2:$D$790,'Transaction Overview'!$G$2:$G$790,$A60,'Transaction Overview'!$H$2:$H$790,N$4)</f>
        <v>0</v>
      </c>
      <c r="O60" s="13">
        <f>SUM(C60:N60)</f>
        <v>-216</v>
      </c>
    </row>
    <row r="61" spans="1:15" x14ac:dyDescent="0.25">
      <c r="A61" s="8" t="s">
        <v>766</v>
      </c>
      <c r="B61" s="8" t="s">
        <v>845</v>
      </c>
      <c r="C61" s="13">
        <f>SUMIFS('Transaction Overview'!$D$2:$D$790,'Transaction Overview'!$G$2:$G$790,$A61,'Transaction Overview'!$H$2:$H$790,C$4)</f>
        <v>-67.240000000000009</v>
      </c>
      <c r="D61" s="13">
        <f>SUMIFS('Transaction Overview'!$D$2:$D$790,'Transaction Overview'!$G$2:$G$790,$A61,'Transaction Overview'!$H$2:$H$790,D$4)</f>
        <v>-116.28999999999999</v>
      </c>
      <c r="E61" s="13">
        <f>SUMIFS('Transaction Overview'!$D$2:$D$790,'Transaction Overview'!$G$2:$G$790,$A61,'Transaction Overview'!$H$2:$H$790,E$4)</f>
        <v>-62.94</v>
      </c>
      <c r="F61" s="13">
        <f>SUMIFS('Transaction Overview'!$D$2:$D$790,'Transaction Overview'!$G$2:$G$790,$A61,'Transaction Overview'!$H$2:$H$790,F$4)</f>
        <v>-196.91000000000003</v>
      </c>
      <c r="G61" s="13">
        <f>SUMIFS('Transaction Overview'!$D$2:$D$790,'Transaction Overview'!$G$2:$G$790,$A61,'Transaction Overview'!$H$2:$H$790,G$4)</f>
        <v>-226.7</v>
      </c>
      <c r="H61" s="13">
        <f>SUMIFS('Transaction Overview'!$D$2:$D$790,'Transaction Overview'!$G$2:$G$790,$A61,'Transaction Overview'!$H$2:$H$790,H$4)</f>
        <v>-257.89000000000004</v>
      </c>
      <c r="I61" s="13">
        <f>SUMIFS('Transaction Overview'!$D$2:$D$790,'Transaction Overview'!$G$2:$G$790,$A61,'Transaction Overview'!$H$2:$H$790,I$4)</f>
        <v>-543.28000000000009</v>
      </c>
      <c r="J61" s="13">
        <f>SUMIFS('Transaction Overview'!$D$2:$D$790,'Transaction Overview'!$G$2:$G$790,$A61,'Transaction Overview'!$H$2:$H$790,J$4)</f>
        <v>-1763.9100000000003</v>
      </c>
      <c r="K61" s="13">
        <f>SUMIFS('Transaction Overview'!$D$2:$D$790,'Transaction Overview'!$G$2:$G$790,$A61,'Transaction Overview'!$H$2:$H$790,K$4)</f>
        <v>-2682.2</v>
      </c>
      <c r="L61" s="13">
        <f>SUMIFS('Transaction Overview'!$D$2:$D$790,'Transaction Overview'!$G$2:$G$790,$A61,'Transaction Overview'!$H$2:$H$790,L$4)</f>
        <v>-1035.22</v>
      </c>
      <c r="M61" s="13">
        <f>SUMIFS('Transaction Overview'!$D$2:$D$790,'Transaction Overview'!$G$2:$G$790,$A61,'Transaction Overview'!$H$2:$H$790,M$4)</f>
        <v>-259.24</v>
      </c>
      <c r="N61" s="13">
        <f>SUMIFS('Transaction Overview'!$D$2:$D$790,'Transaction Overview'!$G$2:$G$790,$A61,'Transaction Overview'!$H$2:$H$790,N$4)</f>
        <v>-814.30000000000007</v>
      </c>
      <c r="O61" s="13">
        <f>SUM(C61:N61)</f>
        <v>-8026.1200000000008</v>
      </c>
    </row>
    <row r="62" spans="1:15" x14ac:dyDescent="0.25">
      <c r="A62" s="8" t="s">
        <v>792</v>
      </c>
      <c r="B62" s="8" t="s">
        <v>845</v>
      </c>
      <c r="C62" s="13">
        <f>SUMIFS('Transaction Overview'!$D$2:$D$790,'Transaction Overview'!$G$2:$G$790,$A62,'Transaction Overview'!$H$2:$H$790,C$4)</f>
        <v>-43.649999999999984</v>
      </c>
      <c r="D62" s="13">
        <f>SUMIFS('Transaction Overview'!$D$2:$D$790,'Transaction Overview'!$G$2:$G$790,$A62,'Transaction Overview'!$H$2:$H$790,D$4)</f>
        <v>-56.449999999999989</v>
      </c>
      <c r="E62" s="13">
        <f>SUMIFS('Transaction Overview'!$D$2:$D$790,'Transaction Overview'!$G$2:$G$790,$A62,'Transaction Overview'!$H$2:$H$790,E$4)</f>
        <v>-14.92</v>
      </c>
      <c r="F62" s="13">
        <f>SUMIFS('Transaction Overview'!$D$2:$D$790,'Transaction Overview'!$G$2:$G$790,$A62,'Transaction Overview'!$H$2:$H$790,F$4)</f>
        <v>-19.190000000000001</v>
      </c>
      <c r="G62" s="13">
        <f>SUMIFS('Transaction Overview'!$D$2:$D$790,'Transaction Overview'!$G$2:$G$790,$A62,'Transaction Overview'!$H$2:$H$790,G$4)</f>
        <v>-129.69</v>
      </c>
      <c r="H62" s="13">
        <f>SUMIFS('Transaction Overview'!$D$2:$D$790,'Transaction Overview'!$G$2:$G$790,$A62,'Transaction Overview'!$H$2:$H$790,H$4)</f>
        <v>-61.179999999999993</v>
      </c>
      <c r="I62" s="13">
        <f>SUMIFS('Transaction Overview'!$D$2:$D$790,'Transaction Overview'!$G$2:$G$790,$A62,'Transaction Overview'!$H$2:$H$790,I$4)</f>
        <v>-20.67</v>
      </c>
      <c r="J62" s="13">
        <f>SUMIFS('Transaction Overview'!$D$2:$D$790,'Transaction Overview'!$G$2:$G$790,$A62,'Transaction Overview'!$H$2:$H$790,J$4)</f>
        <v>-31.290000000000003</v>
      </c>
      <c r="K62" s="13">
        <f>SUMIFS('Transaction Overview'!$D$2:$D$790,'Transaction Overview'!$G$2:$G$790,$A62,'Transaction Overview'!$H$2:$H$790,K$4)</f>
        <v>-75.91</v>
      </c>
      <c r="L62" s="13">
        <f>SUMIFS('Transaction Overview'!$D$2:$D$790,'Transaction Overview'!$G$2:$G$790,$A62,'Transaction Overview'!$H$2:$H$790,L$4)</f>
        <v>-20.669999999999995</v>
      </c>
      <c r="M62" s="13">
        <f>SUMIFS('Transaction Overview'!$D$2:$D$790,'Transaction Overview'!$G$2:$G$790,$A62,'Transaction Overview'!$H$2:$H$790,M$4)</f>
        <v>-69.069999999999993</v>
      </c>
      <c r="N62" s="13">
        <f>SUMIFS('Transaction Overview'!$D$2:$D$790,'Transaction Overview'!$G$2:$G$790,$A62,'Transaction Overview'!$H$2:$H$790,N$4)</f>
        <v>-99.470000000000013</v>
      </c>
      <c r="O62" s="13">
        <f>SUM(C62:N62)</f>
        <v>-642.16000000000008</v>
      </c>
    </row>
    <row r="63" spans="1:15" x14ac:dyDescent="0.25">
      <c r="A63" s="8" t="s">
        <v>783</v>
      </c>
      <c r="B63" s="8" t="s">
        <v>845</v>
      </c>
      <c r="C63" s="13">
        <f>SUMIFS('Transaction Overview'!$D$2:$D$790,'Transaction Overview'!$G$2:$G$790,$A63,'Transaction Overview'!$H$2:$H$790,C$4)</f>
        <v>0</v>
      </c>
      <c r="D63" s="13">
        <f>SUMIFS('Transaction Overview'!$D$2:$D$790,'Transaction Overview'!$G$2:$G$790,$A63,'Transaction Overview'!$H$2:$H$790,D$4)</f>
        <v>0</v>
      </c>
      <c r="E63" s="13">
        <f>SUMIFS('Transaction Overview'!$D$2:$D$790,'Transaction Overview'!$G$2:$G$790,$A63,'Transaction Overview'!$H$2:$H$790,E$4)</f>
        <v>0</v>
      </c>
      <c r="F63" s="13">
        <f>SUMIFS('Transaction Overview'!$D$2:$D$790,'Transaction Overview'!$G$2:$G$790,$A63,'Transaction Overview'!$H$2:$H$790,F$4)</f>
        <v>0</v>
      </c>
      <c r="G63" s="13">
        <f>SUMIFS('Transaction Overview'!$D$2:$D$790,'Transaction Overview'!$G$2:$G$790,$A63,'Transaction Overview'!$H$2:$H$790,G$4)</f>
        <v>-3.25</v>
      </c>
      <c r="H63" s="13">
        <f>SUMIFS('Transaction Overview'!$D$2:$D$790,'Transaction Overview'!$G$2:$G$790,$A63,'Transaction Overview'!$H$2:$H$790,H$4)</f>
        <v>-4.75</v>
      </c>
      <c r="I63" s="13">
        <f>SUMIFS('Transaction Overview'!$D$2:$D$790,'Transaction Overview'!$G$2:$G$790,$A63,'Transaction Overview'!$H$2:$H$790,I$4)</f>
        <v>-12</v>
      </c>
      <c r="J63" s="13">
        <f>SUMIFS('Transaction Overview'!$D$2:$D$790,'Transaction Overview'!$G$2:$G$790,$A63,'Transaction Overview'!$H$2:$H$790,J$4)</f>
        <v>-17.12</v>
      </c>
      <c r="K63" s="13">
        <f>SUMIFS('Transaction Overview'!$D$2:$D$790,'Transaction Overview'!$G$2:$G$790,$A63,'Transaction Overview'!$H$2:$H$790,K$4)</f>
        <v>-19.55</v>
      </c>
      <c r="L63" s="13">
        <f>SUMIFS('Transaction Overview'!$D$2:$D$790,'Transaction Overview'!$G$2:$G$790,$A63,'Transaction Overview'!$H$2:$H$790,L$4)</f>
        <v>0</v>
      </c>
      <c r="M63" s="13">
        <f>SUMIFS('Transaction Overview'!$D$2:$D$790,'Transaction Overview'!$G$2:$G$790,$A63,'Transaction Overview'!$H$2:$H$790,M$4)</f>
        <v>-50.45</v>
      </c>
      <c r="N63" s="13">
        <f>SUMIFS('Transaction Overview'!$D$2:$D$790,'Transaction Overview'!$G$2:$G$790,$A63,'Transaction Overview'!$H$2:$H$790,N$4)</f>
        <v>-7</v>
      </c>
      <c r="O63" s="13">
        <f>SUM(C63:N63)</f>
        <v>-114.12</v>
      </c>
    </row>
    <row r="64" spans="1:15" x14ac:dyDescent="0.25">
      <c r="A64" s="8" t="s">
        <v>832</v>
      </c>
      <c r="B64" s="8" t="s">
        <v>845</v>
      </c>
      <c r="C64" s="13">
        <f>SUMIFS('Transaction Overview'!$D$2:$D$790,'Transaction Overview'!$G$2:$G$790,$A64,'Transaction Overview'!$H$2:$H$790,C$4)</f>
        <v>0</v>
      </c>
      <c r="D64" s="13">
        <f>SUMIFS('Transaction Overview'!$D$2:$D$790,'Transaction Overview'!$G$2:$G$790,$A64,'Transaction Overview'!$H$2:$H$790,D$4)</f>
        <v>0</v>
      </c>
      <c r="E64" s="13">
        <f>SUMIFS('Transaction Overview'!$D$2:$D$790,'Transaction Overview'!$G$2:$G$790,$A64,'Transaction Overview'!$H$2:$H$790,E$4)</f>
        <v>0</v>
      </c>
      <c r="F64" s="13">
        <f>SUMIFS('Transaction Overview'!$D$2:$D$790,'Transaction Overview'!$G$2:$G$790,$A64,'Transaction Overview'!$H$2:$H$790,F$4)</f>
        <v>0</v>
      </c>
      <c r="G64" s="13">
        <f>SUMIFS('Transaction Overview'!$D$2:$D$790,'Transaction Overview'!$G$2:$G$790,$A64,'Transaction Overview'!$H$2:$H$790,G$4)</f>
        <v>0</v>
      </c>
      <c r="H64" s="13">
        <f>SUMIFS('Transaction Overview'!$D$2:$D$790,'Transaction Overview'!$G$2:$G$790,$A64,'Transaction Overview'!$H$2:$H$790,H$4)</f>
        <v>0</v>
      </c>
      <c r="I64" s="13">
        <f>SUMIFS('Transaction Overview'!$D$2:$D$790,'Transaction Overview'!$G$2:$G$790,$A64,'Transaction Overview'!$H$2:$H$790,I$4)</f>
        <v>0</v>
      </c>
      <c r="J64" s="13">
        <f>SUMIFS('Transaction Overview'!$D$2:$D$790,'Transaction Overview'!$G$2:$G$790,$A64,'Transaction Overview'!$H$2:$H$790,J$4)</f>
        <v>0</v>
      </c>
      <c r="K64" s="13">
        <f>SUMIFS('Transaction Overview'!$D$2:$D$790,'Transaction Overview'!$G$2:$G$790,$A64,'Transaction Overview'!$H$2:$H$790,K$4)</f>
        <v>0</v>
      </c>
      <c r="L64" s="13">
        <f>SUMIFS('Transaction Overview'!$D$2:$D$790,'Transaction Overview'!$G$2:$G$790,$A64,'Transaction Overview'!$H$2:$H$790,L$4)</f>
        <v>0</v>
      </c>
      <c r="M64" s="13">
        <f>SUMIFS('Transaction Overview'!$D$2:$D$790,'Transaction Overview'!$G$2:$G$790,$A64,'Transaction Overview'!$H$2:$H$790,M$4)</f>
        <v>0</v>
      </c>
      <c r="N64" s="13">
        <f>SUMIFS('Transaction Overview'!$D$2:$D$790,'Transaction Overview'!$G$2:$G$790,$A64,'Transaction Overview'!$H$2:$H$790,N$4)</f>
        <v>-328.19</v>
      </c>
      <c r="O64" s="13">
        <f>SUM(C64:N64)</f>
        <v>-328.19</v>
      </c>
    </row>
    <row r="65" spans="1:15" x14ac:dyDescent="0.25">
      <c r="A65" s="8" t="s">
        <v>826</v>
      </c>
      <c r="B65" s="8" t="s">
        <v>845</v>
      </c>
      <c r="C65" s="13">
        <f>SUMIFS('Transaction Overview'!$D$2:$D$790,'Transaction Overview'!$G$2:$G$790,$A65,'Transaction Overview'!$H$2:$H$790,C$4)</f>
        <v>0</v>
      </c>
      <c r="D65" s="13">
        <f>SUMIFS('Transaction Overview'!$D$2:$D$790,'Transaction Overview'!$G$2:$G$790,$A65,'Transaction Overview'!$H$2:$H$790,D$4)</f>
        <v>0</v>
      </c>
      <c r="E65" s="13">
        <f>SUMIFS('Transaction Overview'!$D$2:$D$790,'Transaction Overview'!$G$2:$G$790,$A65,'Transaction Overview'!$H$2:$H$790,E$4)</f>
        <v>0</v>
      </c>
      <c r="F65" s="13">
        <f>SUMIFS('Transaction Overview'!$D$2:$D$790,'Transaction Overview'!$G$2:$G$790,$A65,'Transaction Overview'!$H$2:$H$790,F$4)</f>
        <v>0</v>
      </c>
      <c r="G65" s="13">
        <f>SUMIFS('Transaction Overview'!$D$2:$D$790,'Transaction Overview'!$G$2:$G$790,$A65,'Transaction Overview'!$H$2:$H$790,G$4)</f>
        <v>0</v>
      </c>
      <c r="H65" s="13">
        <f>SUMIFS('Transaction Overview'!$D$2:$D$790,'Transaction Overview'!$G$2:$G$790,$A65,'Transaction Overview'!$H$2:$H$790,H$4)</f>
        <v>0</v>
      </c>
      <c r="I65" s="13">
        <f>SUMIFS('Transaction Overview'!$D$2:$D$790,'Transaction Overview'!$G$2:$G$790,$A65,'Transaction Overview'!$H$2:$H$790,I$4)</f>
        <v>0</v>
      </c>
      <c r="J65" s="13">
        <f>SUMIFS('Transaction Overview'!$D$2:$D$790,'Transaction Overview'!$G$2:$G$790,$A65,'Transaction Overview'!$H$2:$H$790,J$4)</f>
        <v>0</v>
      </c>
      <c r="K65" s="13">
        <f>SUMIFS('Transaction Overview'!$D$2:$D$790,'Transaction Overview'!$G$2:$G$790,$A65,'Transaction Overview'!$H$2:$H$790,K$4)</f>
        <v>0</v>
      </c>
      <c r="L65" s="13">
        <f>SUMIFS('Transaction Overview'!$D$2:$D$790,'Transaction Overview'!$G$2:$G$790,$A65,'Transaction Overview'!$H$2:$H$790,L$4)</f>
        <v>0</v>
      </c>
      <c r="M65" s="13">
        <f>SUMIFS('Transaction Overview'!$D$2:$D$790,'Transaction Overview'!$G$2:$G$790,$A65,'Transaction Overview'!$H$2:$H$790,M$4)</f>
        <v>-23</v>
      </c>
      <c r="N65" s="13">
        <f>SUMIFS('Transaction Overview'!$D$2:$D$790,'Transaction Overview'!$G$2:$G$790,$A65,'Transaction Overview'!$H$2:$H$790,N$4)</f>
        <v>-5</v>
      </c>
      <c r="O65" s="13">
        <f>SUM(C65:N65)</f>
        <v>-28</v>
      </c>
    </row>
    <row r="66" spans="1:15" x14ac:dyDescent="0.25">
      <c r="A66" s="8" t="s">
        <v>802</v>
      </c>
      <c r="B66" s="8" t="s">
        <v>845</v>
      </c>
      <c r="C66" s="13">
        <f>SUMIFS('Transaction Overview'!$D$2:$D$790,'Transaction Overview'!$G$2:$G$790,$A66,'Transaction Overview'!$H$2:$H$790,C$4)</f>
        <v>0</v>
      </c>
      <c r="D66" s="13">
        <f>SUMIFS('Transaction Overview'!$D$2:$D$790,'Transaction Overview'!$G$2:$G$790,$A66,'Transaction Overview'!$H$2:$H$790,D$4)</f>
        <v>0</v>
      </c>
      <c r="E66" s="13">
        <f>SUMIFS('Transaction Overview'!$D$2:$D$790,'Transaction Overview'!$G$2:$G$790,$A66,'Transaction Overview'!$H$2:$H$790,E$4)</f>
        <v>0</v>
      </c>
      <c r="F66" s="13">
        <f>SUMIFS('Transaction Overview'!$D$2:$D$790,'Transaction Overview'!$G$2:$G$790,$A66,'Transaction Overview'!$H$2:$H$790,F$4)</f>
        <v>0</v>
      </c>
      <c r="G66" s="13">
        <f>SUMIFS('Transaction Overview'!$D$2:$D$790,'Transaction Overview'!$G$2:$G$790,$A66,'Transaction Overview'!$H$2:$H$790,G$4)</f>
        <v>0</v>
      </c>
      <c r="H66" s="13">
        <f>SUMIFS('Transaction Overview'!$D$2:$D$790,'Transaction Overview'!$G$2:$G$790,$A66,'Transaction Overview'!$H$2:$H$790,H$4)</f>
        <v>-33.17</v>
      </c>
      <c r="I66" s="13">
        <f>SUMIFS('Transaction Overview'!$D$2:$D$790,'Transaction Overview'!$G$2:$G$790,$A66,'Transaction Overview'!$H$2:$H$790,I$4)</f>
        <v>0</v>
      </c>
      <c r="J66" s="13">
        <f>SUMIFS('Transaction Overview'!$D$2:$D$790,'Transaction Overview'!$G$2:$G$790,$A66,'Transaction Overview'!$H$2:$H$790,J$4)</f>
        <v>-10.77</v>
      </c>
      <c r="K66" s="13">
        <f>SUMIFS('Transaction Overview'!$D$2:$D$790,'Transaction Overview'!$G$2:$G$790,$A66,'Transaction Overview'!$H$2:$H$790,K$4)</f>
        <v>0</v>
      </c>
      <c r="L66" s="13">
        <f>SUMIFS('Transaction Overview'!$D$2:$D$790,'Transaction Overview'!$G$2:$G$790,$A66,'Transaction Overview'!$H$2:$H$790,L$4)</f>
        <v>-72.98</v>
      </c>
      <c r="M66" s="13">
        <f>SUMIFS('Transaction Overview'!$D$2:$D$790,'Transaction Overview'!$G$2:$G$790,$A66,'Transaction Overview'!$H$2:$H$790,M$4)</f>
        <v>0</v>
      </c>
      <c r="N66" s="13">
        <f>SUMIFS('Transaction Overview'!$D$2:$D$790,'Transaction Overview'!$G$2:$G$790,$A66,'Transaction Overview'!$H$2:$H$790,N$4)</f>
        <v>-70.72</v>
      </c>
      <c r="O66" s="13">
        <f>SUM(C66:N66)</f>
        <v>-187.64</v>
      </c>
    </row>
    <row r="67" spans="1:15" x14ac:dyDescent="0.25">
      <c r="A67" s="8" t="s">
        <v>782</v>
      </c>
      <c r="B67" s="8" t="s">
        <v>845</v>
      </c>
      <c r="C67" s="13">
        <f>SUMIFS('Transaction Overview'!$D$2:$D$790,'Transaction Overview'!$G$2:$G$790,$A67,'Transaction Overview'!$H$2:$H$790,C$4)</f>
        <v>0</v>
      </c>
      <c r="D67" s="13">
        <f>SUMIFS('Transaction Overview'!$D$2:$D$790,'Transaction Overview'!$G$2:$G$790,$A67,'Transaction Overview'!$H$2:$H$790,D$4)</f>
        <v>0</v>
      </c>
      <c r="E67" s="13">
        <f>SUMIFS('Transaction Overview'!$D$2:$D$790,'Transaction Overview'!$G$2:$G$790,$A67,'Transaction Overview'!$H$2:$H$790,E$4)</f>
        <v>-13.2</v>
      </c>
      <c r="F67" s="13">
        <f>SUMIFS('Transaction Overview'!$D$2:$D$790,'Transaction Overview'!$G$2:$G$790,$A67,'Transaction Overview'!$H$2:$H$790,F$4)</f>
        <v>0</v>
      </c>
      <c r="G67" s="13">
        <f>SUMIFS('Transaction Overview'!$D$2:$D$790,'Transaction Overview'!$G$2:$G$790,$A67,'Transaction Overview'!$H$2:$H$790,G$4)</f>
        <v>0</v>
      </c>
      <c r="H67" s="13">
        <f>SUMIFS('Transaction Overview'!$D$2:$D$790,'Transaction Overview'!$G$2:$G$790,$A67,'Transaction Overview'!$H$2:$H$790,H$4)</f>
        <v>0</v>
      </c>
      <c r="I67" s="13">
        <f>SUMIFS('Transaction Overview'!$D$2:$D$790,'Transaction Overview'!$G$2:$G$790,$A67,'Transaction Overview'!$H$2:$H$790,I$4)</f>
        <v>-13.719999999999999</v>
      </c>
      <c r="J67" s="13">
        <f>SUMIFS('Transaction Overview'!$D$2:$D$790,'Transaction Overview'!$G$2:$G$790,$A67,'Transaction Overview'!$H$2:$H$790,J$4)</f>
        <v>-97.12</v>
      </c>
      <c r="K67" s="13">
        <f>SUMIFS('Transaction Overview'!$D$2:$D$790,'Transaction Overview'!$G$2:$G$790,$A67,'Transaction Overview'!$H$2:$H$790,K$4)</f>
        <v>-383.82000000000005</v>
      </c>
      <c r="L67" s="13">
        <f>SUMIFS('Transaction Overview'!$D$2:$D$790,'Transaction Overview'!$G$2:$G$790,$A67,'Transaction Overview'!$H$2:$H$790,L$4)</f>
        <v>-137.51000000000002</v>
      </c>
      <c r="M67" s="13">
        <f>SUMIFS('Transaction Overview'!$D$2:$D$790,'Transaction Overview'!$G$2:$G$790,$A67,'Transaction Overview'!$H$2:$H$790,M$4)</f>
        <v>0</v>
      </c>
      <c r="N67" s="13">
        <f>SUMIFS('Transaction Overview'!$D$2:$D$790,'Transaction Overview'!$G$2:$G$790,$A67,'Transaction Overview'!$H$2:$H$790,N$4)</f>
        <v>0</v>
      </c>
      <c r="O67" s="13">
        <f>SUM(C67:N67)</f>
        <v>-645.37000000000012</v>
      </c>
    </row>
    <row r="68" spans="1:15" x14ac:dyDescent="0.25">
      <c r="A68" s="8" t="s">
        <v>824</v>
      </c>
      <c r="B68" s="8" t="s">
        <v>845</v>
      </c>
      <c r="C68" s="13">
        <f>SUMIFS('Transaction Overview'!$D$2:$D$790,'Transaction Overview'!$G$2:$G$790,$A68,'Transaction Overview'!$H$2:$H$790,C$4)</f>
        <v>0</v>
      </c>
      <c r="D68" s="13">
        <f>SUMIFS('Transaction Overview'!$D$2:$D$790,'Transaction Overview'!$G$2:$G$790,$A68,'Transaction Overview'!$H$2:$H$790,D$4)</f>
        <v>0</v>
      </c>
      <c r="E68" s="13">
        <f>SUMIFS('Transaction Overview'!$D$2:$D$790,'Transaction Overview'!$G$2:$G$790,$A68,'Transaction Overview'!$H$2:$H$790,E$4)</f>
        <v>0</v>
      </c>
      <c r="F68" s="13">
        <f>SUMIFS('Transaction Overview'!$D$2:$D$790,'Transaction Overview'!$G$2:$G$790,$A68,'Transaction Overview'!$H$2:$H$790,F$4)</f>
        <v>0</v>
      </c>
      <c r="G68" s="13">
        <f>SUMIFS('Transaction Overview'!$D$2:$D$790,'Transaction Overview'!$G$2:$G$790,$A68,'Transaction Overview'!$H$2:$H$790,G$4)</f>
        <v>0</v>
      </c>
      <c r="H68" s="13">
        <f>SUMIFS('Transaction Overview'!$D$2:$D$790,'Transaction Overview'!$G$2:$G$790,$A68,'Transaction Overview'!$H$2:$H$790,H$4)</f>
        <v>0</v>
      </c>
      <c r="I68" s="13">
        <f>SUMIFS('Transaction Overview'!$D$2:$D$790,'Transaction Overview'!$G$2:$G$790,$A68,'Transaction Overview'!$H$2:$H$790,I$4)</f>
        <v>0</v>
      </c>
      <c r="J68" s="13">
        <f>SUMIFS('Transaction Overview'!$D$2:$D$790,'Transaction Overview'!$G$2:$G$790,$A68,'Transaction Overview'!$H$2:$H$790,J$4)</f>
        <v>0</v>
      </c>
      <c r="K68" s="13">
        <f>SUMIFS('Transaction Overview'!$D$2:$D$790,'Transaction Overview'!$G$2:$G$790,$A68,'Transaction Overview'!$H$2:$H$790,K$4)</f>
        <v>0</v>
      </c>
      <c r="L68" s="13">
        <f>SUMIFS('Transaction Overview'!$D$2:$D$790,'Transaction Overview'!$G$2:$G$790,$A68,'Transaction Overview'!$H$2:$H$790,L$4)</f>
        <v>-1035.46</v>
      </c>
      <c r="M68" s="13">
        <f>SUMIFS('Transaction Overview'!$D$2:$D$790,'Transaction Overview'!$G$2:$G$790,$A68,'Transaction Overview'!$H$2:$H$790,M$4)</f>
        <v>0</v>
      </c>
      <c r="N68" s="13">
        <f>SUMIFS('Transaction Overview'!$D$2:$D$790,'Transaction Overview'!$G$2:$G$790,$A68,'Transaction Overview'!$H$2:$H$790,N$4)</f>
        <v>0</v>
      </c>
      <c r="O68" s="13">
        <f>SUM(C68:N68)</f>
        <v>-1035.46</v>
      </c>
    </row>
    <row r="69" spans="1:15" x14ac:dyDescent="0.25">
      <c r="A69" s="8" t="s">
        <v>778</v>
      </c>
      <c r="B69" s="8" t="s">
        <v>845</v>
      </c>
      <c r="C69" s="13">
        <f>SUMIFS('Transaction Overview'!$D$2:$D$790,'Transaction Overview'!$G$2:$G$790,$A69,'Transaction Overview'!$H$2:$H$790,C$4)</f>
        <v>0</v>
      </c>
      <c r="D69" s="13">
        <f>SUMIFS('Transaction Overview'!$D$2:$D$790,'Transaction Overview'!$G$2:$G$790,$A69,'Transaction Overview'!$H$2:$H$790,D$4)</f>
        <v>0</v>
      </c>
      <c r="E69" s="13">
        <f>SUMIFS('Transaction Overview'!$D$2:$D$790,'Transaction Overview'!$G$2:$G$790,$A69,'Transaction Overview'!$H$2:$H$790,E$4)</f>
        <v>0</v>
      </c>
      <c r="F69" s="13">
        <f>SUMIFS('Transaction Overview'!$D$2:$D$790,'Transaction Overview'!$G$2:$G$790,$A69,'Transaction Overview'!$H$2:$H$790,F$4)</f>
        <v>0</v>
      </c>
      <c r="G69" s="13">
        <f>SUMIFS('Transaction Overview'!$D$2:$D$790,'Transaction Overview'!$G$2:$G$790,$A69,'Transaction Overview'!$H$2:$H$790,G$4)</f>
        <v>0</v>
      </c>
      <c r="H69" s="13">
        <f>SUMIFS('Transaction Overview'!$D$2:$D$790,'Transaction Overview'!$G$2:$G$790,$A69,'Transaction Overview'!$H$2:$H$790,H$4)</f>
        <v>0</v>
      </c>
      <c r="I69" s="13">
        <f>SUMIFS('Transaction Overview'!$D$2:$D$790,'Transaction Overview'!$G$2:$G$790,$A69,'Transaction Overview'!$H$2:$H$790,I$4)</f>
        <v>0</v>
      </c>
      <c r="J69" s="13">
        <f>SUMIFS('Transaction Overview'!$D$2:$D$790,'Transaction Overview'!$G$2:$G$790,$A69,'Transaction Overview'!$H$2:$H$790,J$4)</f>
        <v>-171.54</v>
      </c>
      <c r="K69" s="13">
        <f>SUMIFS('Transaction Overview'!$D$2:$D$790,'Transaction Overview'!$G$2:$G$790,$A69,'Transaction Overview'!$H$2:$H$790,K$4)</f>
        <v>0</v>
      </c>
      <c r="L69" s="13">
        <f>SUMIFS('Transaction Overview'!$D$2:$D$790,'Transaction Overview'!$G$2:$G$790,$A69,'Transaction Overview'!$H$2:$H$790,L$4)</f>
        <v>0</v>
      </c>
      <c r="M69" s="13">
        <f>SUMIFS('Transaction Overview'!$D$2:$D$790,'Transaction Overview'!$G$2:$G$790,$A69,'Transaction Overview'!$H$2:$H$790,M$4)</f>
        <v>0</v>
      </c>
      <c r="N69" s="13">
        <f>SUMIFS('Transaction Overview'!$D$2:$D$790,'Transaction Overview'!$G$2:$G$790,$A69,'Transaction Overview'!$H$2:$H$790,N$4)</f>
        <v>-220</v>
      </c>
      <c r="O69" s="13">
        <f>SUM(C69:N69)</f>
        <v>-391.53999999999996</v>
      </c>
    </row>
    <row r="70" spans="1:15" x14ac:dyDescent="0.25">
      <c r="A70" s="8" t="s">
        <v>829</v>
      </c>
      <c r="B70" s="8" t="s">
        <v>845</v>
      </c>
      <c r="C70" s="13">
        <f>SUMIFS('Transaction Overview'!$D$2:$D$790,'Transaction Overview'!$G$2:$G$790,$A70,'Transaction Overview'!$H$2:$H$790,C$4)</f>
        <v>0</v>
      </c>
      <c r="D70" s="13">
        <f>SUMIFS('Transaction Overview'!$D$2:$D$790,'Transaction Overview'!$G$2:$G$790,$A70,'Transaction Overview'!$H$2:$H$790,D$4)</f>
        <v>0</v>
      </c>
      <c r="E70" s="13">
        <f>SUMIFS('Transaction Overview'!$D$2:$D$790,'Transaction Overview'!$G$2:$G$790,$A70,'Transaction Overview'!$H$2:$H$790,E$4)</f>
        <v>0</v>
      </c>
      <c r="F70" s="13">
        <f>SUMIFS('Transaction Overview'!$D$2:$D$790,'Transaction Overview'!$G$2:$G$790,$A70,'Transaction Overview'!$H$2:$H$790,F$4)</f>
        <v>0</v>
      </c>
      <c r="G70" s="13">
        <f>SUMIFS('Transaction Overview'!$D$2:$D$790,'Transaction Overview'!$G$2:$G$790,$A70,'Transaction Overview'!$H$2:$H$790,G$4)</f>
        <v>0</v>
      </c>
      <c r="H70" s="13">
        <f>SUMIFS('Transaction Overview'!$D$2:$D$790,'Transaction Overview'!$G$2:$G$790,$A70,'Transaction Overview'!$H$2:$H$790,H$4)</f>
        <v>0</v>
      </c>
      <c r="I70" s="13">
        <f>SUMIFS('Transaction Overview'!$D$2:$D$790,'Transaction Overview'!$G$2:$G$790,$A70,'Transaction Overview'!$H$2:$H$790,I$4)</f>
        <v>0</v>
      </c>
      <c r="J70" s="13">
        <f>SUMIFS('Transaction Overview'!$D$2:$D$790,'Transaction Overview'!$G$2:$G$790,$A70,'Transaction Overview'!$H$2:$H$790,J$4)</f>
        <v>0</v>
      </c>
      <c r="K70" s="13">
        <f>SUMIFS('Transaction Overview'!$D$2:$D$790,'Transaction Overview'!$G$2:$G$790,$A70,'Transaction Overview'!$H$2:$H$790,K$4)</f>
        <v>0</v>
      </c>
      <c r="L70" s="13">
        <f>SUMIFS('Transaction Overview'!$D$2:$D$790,'Transaction Overview'!$G$2:$G$790,$A70,'Transaction Overview'!$H$2:$H$790,L$4)</f>
        <v>0</v>
      </c>
      <c r="M70" s="13">
        <f>SUMIFS('Transaction Overview'!$D$2:$D$790,'Transaction Overview'!$G$2:$G$790,$A70,'Transaction Overview'!$H$2:$H$790,M$4)</f>
        <v>-28.54</v>
      </c>
      <c r="N70" s="13">
        <f>SUMIFS('Transaction Overview'!$D$2:$D$790,'Transaction Overview'!$G$2:$G$790,$A70,'Transaction Overview'!$H$2:$H$790,N$4)</f>
        <v>-676.9</v>
      </c>
      <c r="O70" s="13">
        <f>SUM(C70:N70)</f>
        <v>-705.43999999999994</v>
      </c>
    </row>
    <row r="71" spans="1:15" x14ac:dyDescent="0.25">
      <c r="A71" s="8" t="s">
        <v>765</v>
      </c>
      <c r="B71" s="8" t="s">
        <v>845</v>
      </c>
      <c r="C71" s="13">
        <f>SUMIFS('Transaction Overview'!$D$2:$D$790,'Transaction Overview'!$G$2:$G$790,$A71,'Transaction Overview'!$H$2:$H$790,C$4)</f>
        <v>-218.41</v>
      </c>
      <c r="D71" s="13">
        <f>SUMIFS('Transaction Overview'!$D$2:$D$790,'Transaction Overview'!$G$2:$G$790,$A71,'Transaction Overview'!$H$2:$H$790,D$4)</f>
        <v>-166.91</v>
      </c>
      <c r="E71" s="13">
        <f>SUMIFS('Transaction Overview'!$D$2:$D$790,'Transaction Overview'!$G$2:$G$790,$A71,'Transaction Overview'!$H$2:$H$790,E$4)</f>
        <v>-277.59000000000003</v>
      </c>
      <c r="F71" s="13">
        <f>SUMIFS('Transaction Overview'!$D$2:$D$790,'Transaction Overview'!$G$2:$G$790,$A71,'Transaction Overview'!$H$2:$H$790,F$4)</f>
        <v>-257.03000000000003</v>
      </c>
      <c r="G71" s="13">
        <f>SUMIFS('Transaction Overview'!$D$2:$D$790,'Transaction Overview'!$G$2:$G$790,$A71,'Transaction Overview'!$H$2:$H$790,G$4)</f>
        <v>-226.14000000000004</v>
      </c>
      <c r="H71" s="13">
        <f>SUMIFS('Transaction Overview'!$D$2:$D$790,'Transaction Overview'!$G$2:$G$790,$A71,'Transaction Overview'!$H$2:$H$790,H$4)</f>
        <v>-205.58000000000004</v>
      </c>
      <c r="I71" s="13">
        <f>SUMIFS('Transaction Overview'!$D$2:$D$790,'Transaction Overview'!$G$2:$G$790,$A71,'Transaction Overview'!$H$2:$H$790,I$4)</f>
        <v>-292.59000000000003</v>
      </c>
      <c r="J71" s="13">
        <f>SUMIFS('Transaction Overview'!$D$2:$D$790,'Transaction Overview'!$G$2:$G$790,$A71,'Transaction Overview'!$H$2:$H$790,J$4)</f>
        <v>-241.14000000000004</v>
      </c>
      <c r="K71" s="13">
        <f>SUMIFS('Transaction Overview'!$D$2:$D$790,'Transaction Overview'!$G$2:$G$790,$A71,'Transaction Overview'!$H$2:$H$790,K$4)</f>
        <v>-230.57000000000005</v>
      </c>
      <c r="L71" s="13">
        <f>SUMIFS('Transaction Overview'!$D$2:$D$790,'Transaction Overview'!$G$2:$G$790,$A71,'Transaction Overview'!$H$2:$H$790,L$4)</f>
        <v>-402.58</v>
      </c>
      <c r="M71" s="13">
        <f>SUMIFS('Transaction Overview'!$D$2:$D$790,'Transaction Overview'!$G$2:$G$790,$A71,'Transaction Overview'!$H$2:$H$790,M$4)</f>
        <v>-250.57000000000005</v>
      </c>
      <c r="N71" s="13">
        <f>SUMIFS('Transaction Overview'!$D$2:$D$790,'Transaction Overview'!$G$2:$G$790,$A71,'Transaction Overview'!$H$2:$H$790,N$4)</f>
        <v>-409.64000000000004</v>
      </c>
      <c r="O71" s="13">
        <f>SUM(C71:N71)</f>
        <v>-3178.7500000000005</v>
      </c>
    </row>
    <row r="72" spans="1:15" x14ac:dyDescent="0.25">
      <c r="A72" s="8" t="s">
        <v>771</v>
      </c>
      <c r="B72" s="8" t="s">
        <v>845</v>
      </c>
      <c r="C72" s="13">
        <f>SUMIFS('Transaction Overview'!$D$2:$D$790,'Transaction Overview'!$G$2:$G$790,$A72,'Transaction Overview'!$H$2:$H$790,C$4)</f>
        <v>0</v>
      </c>
      <c r="D72" s="13">
        <f>SUMIFS('Transaction Overview'!$D$2:$D$790,'Transaction Overview'!$G$2:$G$790,$A72,'Transaction Overview'!$H$2:$H$790,D$4)</f>
        <v>0</v>
      </c>
      <c r="E72" s="13">
        <f>SUMIFS('Transaction Overview'!$D$2:$D$790,'Transaction Overview'!$G$2:$G$790,$A72,'Transaction Overview'!$H$2:$H$790,E$4)</f>
        <v>0</v>
      </c>
      <c r="F72" s="13">
        <f>SUMIFS('Transaction Overview'!$D$2:$D$790,'Transaction Overview'!$G$2:$G$790,$A72,'Transaction Overview'!$H$2:$H$790,F$4)</f>
        <v>0</v>
      </c>
      <c r="G72" s="13">
        <f>SUMIFS('Transaction Overview'!$D$2:$D$790,'Transaction Overview'!$G$2:$G$790,$A72,'Transaction Overview'!$H$2:$H$790,G$4)</f>
        <v>0</v>
      </c>
      <c r="H72" s="13">
        <f>SUMIFS('Transaction Overview'!$D$2:$D$790,'Transaction Overview'!$G$2:$G$790,$A72,'Transaction Overview'!$H$2:$H$790,H$4)</f>
        <v>0</v>
      </c>
      <c r="I72" s="13">
        <f>SUMIFS('Transaction Overview'!$D$2:$D$790,'Transaction Overview'!$G$2:$G$790,$A72,'Transaction Overview'!$H$2:$H$790,I$4)</f>
        <v>0</v>
      </c>
      <c r="J72" s="13">
        <f>SUMIFS('Transaction Overview'!$D$2:$D$790,'Transaction Overview'!$G$2:$G$790,$A72,'Transaction Overview'!$H$2:$H$790,J$4)</f>
        <v>-44</v>
      </c>
      <c r="K72" s="13">
        <f>SUMIFS('Transaction Overview'!$D$2:$D$790,'Transaction Overview'!$G$2:$G$790,$A72,'Transaction Overview'!$H$2:$H$790,K$4)</f>
        <v>0</v>
      </c>
      <c r="L72" s="13">
        <f>SUMIFS('Transaction Overview'!$D$2:$D$790,'Transaction Overview'!$G$2:$G$790,$A72,'Transaction Overview'!$H$2:$H$790,L$4)</f>
        <v>-127.28</v>
      </c>
      <c r="M72" s="13">
        <f>SUMIFS('Transaction Overview'!$D$2:$D$790,'Transaction Overview'!$G$2:$G$790,$A72,'Transaction Overview'!$H$2:$H$790,M$4)</f>
        <v>-24</v>
      </c>
      <c r="N72" s="13">
        <f>SUMIFS('Transaction Overview'!$D$2:$D$790,'Transaction Overview'!$G$2:$G$790,$A72,'Transaction Overview'!$H$2:$H$790,N$4)</f>
        <v>-40</v>
      </c>
      <c r="O72" s="13">
        <f>SUM(C72:N72)</f>
        <v>-235.28</v>
      </c>
    </row>
    <row r="73" spans="1:15" x14ac:dyDescent="0.25">
      <c r="A73" s="8" t="s">
        <v>789</v>
      </c>
      <c r="B73" s="8" t="s">
        <v>845</v>
      </c>
      <c r="C73" s="13">
        <f>SUMIFS('Transaction Overview'!$D$2:$D$790,'Transaction Overview'!$G$2:$G$790,$A73,'Transaction Overview'!$H$2:$H$790,C$4)</f>
        <v>0</v>
      </c>
      <c r="D73" s="13">
        <f>SUMIFS('Transaction Overview'!$D$2:$D$790,'Transaction Overview'!$G$2:$G$790,$A73,'Transaction Overview'!$H$2:$H$790,D$4)</f>
        <v>0</v>
      </c>
      <c r="E73" s="13">
        <f>SUMIFS('Transaction Overview'!$D$2:$D$790,'Transaction Overview'!$G$2:$G$790,$A73,'Transaction Overview'!$H$2:$H$790,E$4)</f>
        <v>0</v>
      </c>
      <c r="F73" s="13">
        <f>SUMIFS('Transaction Overview'!$D$2:$D$790,'Transaction Overview'!$G$2:$G$790,$A73,'Transaction Overview'!$H$2:$H$790,F$4)</f>
        <v>0</v>
      </c>
      <c r="G73" s="13">
        <f>SUMIFS('Transaction Overview'!$D$2:$D$790,'Transaction Overview'!$G$2:$G$790,$A73,'Transaction Overview'!$H$2:$H$790,G$4)</f>
        <v>0</v>
      </c>
      <c r="H73" s="13">
        <f>SUMIFS('Transaction Overview'!$D$2:$D$790,'Transaction Overview'!$G$2:$G$790,$A73,'Transaction Overview'!$H$2:$H$790,H$4)</f>
        <v>0</v>
      </c>
      <c r="I73" s="13">
        <f>SUMIFS('Transaction Overview'!$D$2:$D$790,'Transaction Overview'!$G$2:$G$790,$A73,'Transaction Overview'!$H$2:$H$790,I$4)</f>
        <v>0</v>
      </c>
      <c r="J73" s="13">
        <f>SUMIFS('Transaction Overview'!$D$2:$D$790,'Transaction Overview'!$G$2:$G$790,$A73,'Transaction Overview'!$H$2:$H$790,J$4)</f>
        <v>0</v>
      </c>
      <c r="K73" s="13">
        <f>SUMIFS('Transaction Overview'!$D$2:$D$790,'Transaction Overview'!$G$2:$G$790,$A73,'Transaction Overview'!$H$2:$H$790,K$4)</f>
        <v>0</v>
      </c>
      <c r="L73" s="13">
        <f>SUMIFS('Transaction Overview'!$D$2:$D$790,'Transaction Overview'!$G$2:$G$790,$A73,'Transaction Overview'!$H$2:$H$790,L$4)</f>
        <v>0</v>
      </c>
      <c r="M73" s="13">
        <f>SUMIFS('Transaction Overview'!$D$2:$D$790,'Transaction Overview'!$G$2:$G$790,$A73,'Transaction Overview'!$H$2:$H$790,M$4)</f>
        <v>0</v>
      </c>
      <c r="N73" s="13">
        <f>SUMIFS('Transaction Overview'!$D$2:$D$790,'Transaction Overview'!$G$2:$G$790,$A73,'Transaction Overview'!$H$2:$H$790,N$4)</f>
        <v>-710.99</v>
      </c>
      <c r="O73" s="13">
        <f>SUM(C73:N73)</f>
        <v>-710.99</v>
      </c>
    </row>
    <row r="74" spans="1:15" x14ac:dyDescent="0.25">
      <c r="A74" s="8" t="s">
        <v>796</v>
      </c>
      <c r="B74" s="8" t="s">
        <v>845</v>
      </c>
      <c r="C74" s="13">
        <f>SUMIFS('Transaction Overview'!$D$2:$D$790,'Transaction Overview'!$G$2:$G$790,$A74,'Transaction Overview'!$H$2:$H$790,C$4)</f>
        <v>0</v>
      </c>
      <c r="D74" s="13">
        <f>SUMIFS('Transaction Overview'!$D$2:$D$790,'Transaction Overview'!$G$2:$G$790,$A74,'Transaction Overview'!$H$2:$H$790,D$4)</f>
        <v>0</v>
      </c>
      <c r="E74" s="13">
        <f>SUMIFS('Transaction Overview'!$D$2:$D$790,'Transaction Overview'!$G$2:$G$790,$A74,'Transaction Overview'!$H$2:$H$790,E$4)</f>
        <v>-1555.92</v>
      </c>
      <c r="F74" s="13">
        <f>SUMIFS('Transaction Overview'!$D$2:$D$790,'Transaction Overview'!$G$2:$G$790,$A74,'Transaction Overview'!$H$2:$H$790,F$4)</f>
        <v>0</v>
      </c>
      <c r="G74" s="13">
        <f>SUMIFS('Transaction Overview'!$D$2:$D$790,'Transaction Overview'!$G$2:$G$790,$A74,'Transaction Overview'!$H$2:$H$790,G$4)</f>
        <v>0</v>
      </c>
      <c r="H74" s="13">
        <f>SUMIFS('Transaction Overview'!$D$2:$D$790,'Transaction Overview'!$G$2:$G$790,$A74,'Transaction Overview'!$H$2:$H$790,H$4)</f>
        <v>0</v>
      </c>
      <c r="I74" s="13">
        <f>SUMIFS('Transaction Overview'!$D$2:$D$790,'Transaction Overview'!$G$2:$G$790,$A74,'Transaction Overview'!$H$2:$H$790,I$4)</f>
        <v>0</v>
      </c>
      <c r="J74" s="13">
        <f>SUMIFS('Transaction Overview'!$D$2:$D$790,'Transaction Overview'!$G$2:$G$790,$A74,'Transaction Overview'!$H$2:$H$790,J$4)</f>
        <v>0</v>
      </c>
      <c r="K74" s="13">
        <f>SUMIFS('Transaction Overview'!$D$2:$D$790,'Transaction Overview'!$G$2:$G$790,$A74,'Transaction Overview'!$H$2:$H$790,K$4)</f>
        <v>0</v>
      </c>
      <c r="L74" s="13">
        <f>SUMIFS('Transaction Overview'!$D$2:$D$790,'Transaction Overview'!$G$2:$G$790,$A74,'Transaction Overview'!$H$2:$H$790,L$4)</f>
        <v>0</v>
      </c>
      <c r="M74" s="13">
        <f>SUMIFS('Transaction Overview'!$D$2:$D$790,'Transaction Overview'!$G$2:$G$790,$A74,'Transaction Overview'!$H$2:$H$790,M$4)</f>
        <v>0</v>
      </c>
      <c r="N74" s="13">
        <f>SUMIFS('Transaction Overview'!$D$2:$D$790,'Transaction Overview'!$G$2:$G$790,$A74,'Transaction Overview'!$H$2:$H$790,N$4)</f>
        <v>0</v>
      </c>
      <c r="O74" s="13">
        <f>SUM(C74:N74)</f>
        <v>-1555.92</v>
      </c>
    </row>
    <row r="75" spans="1:15" x14ac:dyDescent="0.25">
      <c r="A75" s="8" t="s">
        <v>817</v>
      </c>
      <c r="B75" s="8" t="s">
        <v>845</v>
      </c>
      <c r="C75" s="13">
        <f>SUMIFS('Transaction Overview'!$D$2:$D$790,'Transaction Overview'!$G$2:$G$790,$A75,'Transaction Overview'!$H$2:$H$790,C$4)</f>
        <v>0</v>
      </c>
      <c r="D75" s="13">
        <f>SUMIFS('Transaction Overview'!$D$2:$D$790,'Transaction Overview'!$G$2:$G$790,$A75,'Transaction Overview'!$H$2:$H$790,D$4)</f>
        <v>0</v>
      </c>
      <c r="E75" s="13">
        <f>SUMIFS('Transaction Overview'!$D$2:$D$790,'Transaction Overview'!$G$2:$G$790,$A75,'Transaction Overview'!$H$2:$H$790,E$4)</f>
        <v>0</v>
      </c>
      <c r="F75" s="13">
        <f>SUMIFS('Transaction Overview'!$D$2:$D$790,'Transaction Overview'!$G$2:$G$790,$A75,'Transaction Overview'!$H$2:$H$790,F$4)</f>
        <v>0</v>
      </c>
      <c r="G75" s="13">
        <f>SUMIFS('Transaction Overview'!$D$2:$D$790,'Transaction Overview'!$G$2:$G$790,$A75,'Transaction Overview'!$H$2:$H$790,G$4)</f>
        <v>0</v>
      </c>
      <c r="H75" s="13">
        <f>SUMIFS('Transaction Overview'!$D$2:$D$790,'Transaction Overview'!$G$2:$G$790,$A75,'Transaction Overview'!$H$2:$H$790,H$4)</f>
        <v>0</v>
      </c>
      <c r="I75" s="13">
        <f>SUMIFS('Transaction Overview'!$D$2:$D$790,'Transaction Overview'!$G$2:$G$790,$A75,'Transaction Overview'!$H$2:$H$790,I$4)</f>
        <v>0</v>
      </c>
      <c r="J75" s="13">
        <f>SUMIFS('Transaction Overview'!$D$2:$D$790,'Transaction Overview'!$G$2:$G$790,$A75,'Transaction Overview'!$H$2:$H$790,J$4)</f>
        <v>0</v>
      </c>
      <c r="K75" s="13">
        <f>SUMIFS('Transaction Overview'!$D$2:$D$790,'Transaction Overview'!$G$2:$G$790,$A75,'Transaction Overview'!$H$2:$H$790,K$4)</f>
        <v>-213.71</v>
      </c>
      <c r="L75" s="13">
        <f>SUMIFS('Transaction Overview'!$D$2:$D$790,'Transaction Overview'!$G$2:$G$790,$A75,'Transaction Overview'!$H$2:$H$790,L$4)</f>
        <v>0</v>
      </c>
      <c r="M75" s="13">
        <f>SUMIFS('Transaction Overview'!$D$2:$D$790,'Transaction Overview'!$G$2:$G$790,$A75,'Transaction Overview'!$H$2:$H$790,M$4)</f>
        <v>0</v>
      </c>
      <c r="N75" s="13">
        <f>SUMIFS('Transaction Overview'!$D$2:$D$790,'Transaction Overview'!$G$2:$G$790,$A75,'Transaction Overview'!$H$2:$H$790,N$4)</f>
        <v>0</v>
      </c>
      <c r="O75" s="13">
        <f>SUM(C75:N75)</f>
        <v>-213.71</v>
      </c>
    </row>
    <row r="76" spans="1:15" x14ac:dyDescent="0.25">
      <c r="A76" s="8" t="s">
        <v>797</v>
      </c>
      <c r="B76" s="8" t="s">
        <v>845</v>
      </c>
      <c r="C76" s="13">
        <f>SUMIFS('Transaction Overview'!$D$2:$D$790,'Transaction Overview'!$G$2:$G$790,$A76,'Transaction Overview'!$H$2:$H$790,C$4)</f>
        <v>0</v>
      </c>
      <c r="D76" s="13">
        <f>SUMIFS('Transaction Overview'!$D$2:$D$790,'Transaction Overview'!$G$2:$G$790,$A76,'Transaction Overview'!$H$2:$H$790,D$4)</f>
        <v>0</v>
      </c>
      <c r="E76" s="13">
        <f>SUMIFS('Transaction Overview'!$D$2:$D$790,'Transaction Overview'!$G$2:$G$790,$A76,'Transaction Overview'!$H$2:$H$790,E$4)</f>
        <v>0</v>
      </c>
      <c r="F76" s="13">
        <f>SUMIFS('Transaction Overview'!$D$2:$D$790,'Transaction Overview'!$G$2:$G$790,$A76,'Transaction Overview'!$H$2:$H$790,F$4)</f>
        <v>-767.07999999999993</v>
      </c>
      <c r="G76" s="13">
        <f>SUMIFS('Transaction Overview'!$D$2:$D$790,'Transaction Overview'!$G$2:$G$790,$A76,'Transaction Overview'!$H$2:$H$790,G$4)</f>
        <v>0</v>
      </c>
      <c r="H76" s="13">
        <f>SUMIFS('Transaction Overview'!$D$2:$D$790,'Transaction Overview'!$G$2:$G$790,$A76,'Transaction Overview'!$H$2:$H$790,H$4)</f>
        <v>0</v>
      </c>
      <c r="I76" s="13">
        <f>SUMIFS('Transaction Overview'!$D$2:$D$790,'Transaction Overview'!$G$2:$G$790,$A76,'Transaction Overview'!$H$2:$H$790,I$4)</f>
        <v>0</v>
      </c>
      <c r="J76" s="13">
        <f>SUMIFS('Transaction Overview'!$D$2:$D$790,'Transaction Overview'!$G$2:$G$790,$A76,'Transaction Overview'!$H$2:$H$790,J$4)</f>
        <v>0</v>
      </c>
      <c r="K76" s="13">
        <f>SUMIFS('Transaction Overview'!$D$2:$D$790,'Transaction Overview'!$G$2:$G$790,$A76,'Transaction Overview'!$H$2:$H$790,K$4)</f>
        <v>0</v>
      </c>
      <c r="L76" s="13">
        <f>SUMIFS('Transaction Overview'!$D$2:$D$790,'Transaction Overview'!$G$2:$G$790,$A76,'Transaction Overview'!$H$2:$H$790,L$4)</f>
        <v>0</v>
      </c>
      <c r="M76" s="13">
        <f>SUMIFS('Transaction Overview'!$D$2:$D$790,'Transaction Overview'!$G$2:$G$790,$A76,'Transaction Overview'!$H$2:$H$790,M$4)</f>
        <v>0</v>
      </c>
      <c r="N76" s="13">
        <f>SUMIFS('Transaction Overview'!$D$2:$D$790,'Transaction Overview'!$G$2:$G$790,$A76,'Transaction Overview'!$H$2:$H$790,N$4)</f>
        <v>0</v>
      </c>
      <c r="O76" s="13">
        <f>SUM(C76:N76)</f>
        <v>-767.07999999999993</v>
      </c>
    </row>
    <row r="77" spans="1:15" x14ac:dyDescent="0.25">
      <c r="A77" s="8" t="s">
        <v>808</v>
      </c>
      <c r="B77" s="8" t="s">
        <v>844</v>
      </c>
      <c r="C77" s="13">
        <f>SUMIFS('Transaction Overview'!$D$2:$D$790,'Transaction Overview'!$G$2:$G$790,$A77,'Transaction Overview'!$H$2:$H$790,C$4)</f>
        <v>0</v>
      </c>
      <c r="D77" s="13">
        <f>SUMIFS('Transaction Overview'!$D$2:$D$790,'Transaction Overview'!$G$2:$G$790,$A77,'Transaction Overview'!$H$2:$H$790,D$4)</f>
        <v>0</v>
      </c>
      <c r="E77" s="13">
        <f>SUMIFS('Transaction Overview'!$D$2:$D$790,'Transaction Overview'!$G$2:$G$790,$A77,'Transaction Overview'!$H$2:$H$790,E$4)</f>
        <v>0</v>
      </c>
      <c r="F77" s="13">
        <f>SUMIFS('Transaction Overview'!$D$2:$D$790,'Transaction Overview'!$G$2:$G$790,$A77,'Transaction Overview'!$H$2:$H$790,F$4)</f>
        <v>0</v>
      </c>
      <c r="G77" s="13">
        <f>SUMIFS('Transaction Overview'!$D$2:$D$790,'Transaction Overview'!$G$2:$G$790,$A77,'Transaction Overview'!$H$2:$H$790,G$4)</f>
        <v>0</v>
      </c>
      <c r="H77" s="13">
        <f>SUMIFS('Transaction Overview'!$D$2:$D$790,'Transaction Overview'!$G$2:$G$790,$A77,'Transaction Overview'!$H$2:$H$790,H$4)</f>
        <v>0</v>
      </c>
      <c r="I77" s="13">
        <f>SUMIFS('Transaction Overview'!$D$2:$D$790,'Transaction Overview'!$G$2:$G$790,$A77,'Transaction Overview'!$H$2:$H$790,I$4)</f>
        <v>-5000</v>
      </c>
      <c r="J77" s="13">
        <f>SUMIFS('Transaction Overview'!$D$2:$D$790,'Transaction Overview'!$G$2:$G$790,$A77,'Transaction Overview'!$H$2:$H$790,J$4)</f>
        <v>0</v>
      </c>
      <c r="K77" s="13">
        <f>SUMIFS('Transaction Overview'!$D$2:$D$790,'Transaction Overview'!$G$2:$G$790,$A77,'Transaction Overview'!$H$2:$H$790,K$4)</f>
        <v>0</v>
      </c>
      <c r="L77" s="13">
        <f>SUMIFS('Transaction Overview'!$D$2:$D$790,'Transaction Overview'!$G$2:$G$790,$A77,'Transaction Overview'!$H$2:$H$790,L$4)</f>
        <v>0</v>
      </c>
      <c r="M77" s="13">
        <f>SUMIFS('Transaction Overview'!$D$2:$D$790,'Transaction Overview'!$G$2:$G$790,$A77,'Transaction Overview'!$H$2:$H$790,M$4)</f>
        <v>0</v>
      </c>
      <c r="N77" s="13">
        <f>SUMIFS('Transaction Overview'!$D$2:$D$790,'Transaction Overview'!$G$2:$G$790,$A77,'Transaction Overview'!$H$2:$H$790,N$4)</f>
        <v>0</v>
      </c>
      <c r="O77" s="13">
        <f>SUM(C77:N77)</f>
        <v>-5000</v>
      </c>
    </row>
    <row r="78" spans="1:15" x14ac:dyDescent="0.25">
      <c r="A78" s="8" t="s">
        <v>781</v>
      </c>
      <c r="B78" s="8" t="s">
        <v>844</v>
      </c>
      <c r="C78" s="13">
        <f>SUMIFS('Transaction Overview'!$D$2:$D$790,'Transaction Overview'!$G$2:$G$790,$A78,'Transaction Overview'!$H$2:$H$790,C$4)</f>
        <v>0</v>
      </c>
      <c r="D78" s="13">
        <f>SUMIFS('Transaction Overview'!$D$2:$D$790,'Transaction Overview'!$G$2:$G$790,$A78,'Transaction Overview'!$H$2:$H$790,D$4)</f>
        <v>0</v>
      </c>
      <c r="E78" s="13">
        <f>SUMIFS('Transaction Overview'!$D$2:$D$790,'Transaction Overview'!$G$2:$G$790,$A78,'Transaction Overview'!$H$2:$H$790,E$4)</f>
        <v>0</v>
      </c>
      <c r="F78" s="13">
        <f>SUMIFS('Transaction Overview'!$D$2:$D$790,'Transaction Overview'!$G$2:$G$790,$A78,'Transaction Overview'!$H$2:$H$790,F$4)</f>
        <v>0</v>
      </c>
      <c r="G78" s="13">
        <f>SUMIFS('Transaction Overview'!$D$2:$D$790,'Transaction Overview'!$G$2:$G$790,$A78,'Transaction Overview'!$H$2:$H$790,G$4)</f>
        <v>0</v>
      </c>
      <c r="H78" s="13">
        <f>SUMIFS('Transaction Overview'!$D$2:$D$790,'Transaction Overview'!$G$2:$G$790,$A78,'Transaction Overview'!$H$2:$H$790,H$4)</f>
        <v>0</v>
      </c>
      <c r="I78" s="13">
        <f>SUMIFS('Transaction Overview'!$D$2:$D$790,'Transaction Overview'!$G$2:$G$790,$A78,'Transaction Overview'!$H$2:$H$790,I$4)</f>
        <v>0</v>
      </c>
      <c r="J78" s="13">
        <f>SUMIFS('Transaction Overview'!$D$2:$D$790,'Transaction Overview'!$G$2:$G$790,$A78,'Transaction Overview'!$H$2:$H$790,J$4)</f>
        <v>0</v>
      </c>
      <c r="K78" s="13">
        <f>SUMIFS('Transaction Overview'!$D$2:$D$790,'Transaction Overview'!$G$2:$G$790,$A78,'Transaction Overview'!$H$2:$H$790,K$4)</f>
        <v>0</v>
      </c>
      <c r="L78" s="13">
        <f>SUMIFS('Transaction Overview'!$D$2:$D$790,'Transaction Overview'!$G$2:$G$790,$A78,'Transaction Overview'!$H$2:$H$790,L$4)</f>
        <v>-10000</v>
      </c>
      <c r="M78" s="13">
        <f>SUMIFS('Transaction Overview'!$D$2:$D$790,'Transaction Overview'!$G$2:$G$790,$A78,'Transaction Overview'!$H$2:$H$790,M$4)</f>
        <v>0</v>
      </c>
      <c r="N78" s="13">
        <f>SUMIFS('Transaction Overview'!$D$2:$D$790,'Transaction Overview'!$G$2:$G$790,$A78,'Transaction Overview'!$H$2:$H$790,N$4)</f>
        <v>0</v>
      </c>
      <c r="O78" s="13">
        <f>SUM(C78:N78)</f>
        <v>-10000</v>
      </c>
    </row>
    <row r="79" spans="1:15" x14ac:dyDescent="0.25">
      <c r="A79" s="8" t="s">
        <v>784</v>
      </c>
      <c r="B79" s="8" t="s">
        <v>844</v>
      </c>
      <c r="C79" s="13">
        <f>SUMIFS('Transaction Overview'!$D$2:$D$790,'Transaction Overview'!$G$2:$G$790,$A79,'Transaction Overview'!$H$2:$H$790,C$4)</f>
        <v>-80</v>
      </c>
      <c r="D79" s="13">
        <f>SUMIFS('Transaction Overview'!$D$2:$D$790,'Transaction Overview'!$G$2:$G$790,$A79,'Transaction Overview'!$H$2:$H$790,D$4)</f>
        <v>-50</v>
      </c>
      <c r="E79" s="13">
        <f>SUMIFS('Transaction Overview'!$D$2:$D$790,'Transaction Overview'!$G$2:$G$790,$A79,'Transaction Overview'!$H$2:$H$790,E$4)</f>
        <v>-65</v>
      </c>
      <c r="F79" s="13">
        <f>SUMIFS('Transaction Overview'!$D$2:$D$790,'Transaction Overview'!$G$2:$G$790,$A79,'Transaction Overview'!$H$2:$H$790,F$4)</f>
        <v>-25</v>
      </c>
      <c r="G79" s="13">
        <f>SUMIFS('Transaction Overview'!$D$2:$D$790,'Transaction Overview'!$G$2:$G$790,$A79,'Transaction Overview'!$H$2:$H$790,G$4)</f>
        <v>-25</v>
      </c>
      <c r="H79" s="13">
        <f>SUMIFS('Transaction Overview'!$D$2:$D$790,'Transaction Overview'!$G$2:$G$790,$A79,'Transaction Overview'!$H$2:$H$790,H$4)</f>
        <v>-75</v>
      </c>
      <c r="I79" s="13">
        <f>SUMIFS('Transaction Overview'!$D$2:$D$790,'Transaction Overview'!$G$2:$G$790,$A79,'Transaction Overview'!$H$2:$H$790,I$4)</f>
        <v>-45</v>
      </c>
      <c r="J79" s="13">
        <f>SUMIFS('Transaction Overview'!$D$2:$D$790,'Transaction Overview'!$G$2:$G$790,$A79,'Transaction Overview'!$H$2:$H$790,J$4)</f>
        <v>-40</v>
      </c>
      <c r="K79" s="13">
        <f>SUMIFS('Transaction Overview'!$D$2:$D$790,'Transaction Overview'!$G$2:$G$790,$A79,'Transaction Overview'!$H$2:$H$790,K$4)</f>
        <v>-5</v>
      </c>
      <c r="L79" s="13">
        <f>SUMIFS('Transaction Overview'!$D$2:$D$790,'Transaction Overview'!$G$2:$G$790,$A79,'Transaction Overview'!$H$2:$H$790,L$4)</f>
        <v>-50</v>
      </c>
      <c r="M79" s="13">
        <f>SUMIFS('Transaction Overview'!$D$2:$D$790,'Transaction Overview'!$G$2:$G$790,$A79,'Transaction Overview'!$H$2:$H$790,M$4)</f>
        <v>0</v>
      </c>
      <c r="N79" s="13">
        <f>SUMIFS('Transaction Overview'!$D$2:$D$790,'Transaction Overview'!$G$2:$G$790,$A79,'Transaction Overview'!$H$2:$H$790,N$4)</f>
        <v>-370</v>
      </c>
      <c r="O79" s="13">
        <f>SUM(C79:N79)</f>
        <v>-830</v>
      </c>
    </row>
    <row r="80" spans="1:15" x14ac:dyDescent="0.25">
      <c r="A80" s="8" t="s">
        <v>838</v>
      </c>
      <c r="B80" s="8" t="s">
        <v>844</v>
      </c>
      <c r="C80" s="13">
        <f>SUMIFS('Transaction Overview'!$D$2:$D$790,'Transaction Overview'!$G$2:$G$790,$A80,'Transaction Overview'!$H$2:$H$790,C$4)</f>
        <v>0</v>
      </c>
      <c r="D80" s="13">
        <f>SUMIFS('Transaction Overview'!$D$2:$D$790,'Transaction Overview'!$G$2:$G$790,$A80,'Transaction Overview'!$H$2:$H$790,D$4)</f>
        <v>0</v>
      </c>
      <c r="E80" s="13">
        <f>SUMIFS('Transaction Overview'!$D$2:$D$790,'Transaction Overview'!$G$2:$G$790,$A80,'Transaction Overview'!$H$2:$H$790,E$4)</f>
        <v>0</v>
      </c>
      <c r="F80" s="13">
        <f>SUMIFS('Transaction Overview'!$D$2:$D$790,'Transaction Overview'!$G$2:$G$790,$A80,'Transaction Overview'!$H$2:$H$790,F$4)</f>
        <v>0</v>
      </c>
      <c r="G80" s="13">
        <f>SUMIFS('Transaction Overview'!$D$2:$D$790,'Transaction Overview'!$G$2:$G$790,$A80,'Transaction Overview'!$H$2:$H$790,G$4)</f>
        <v>0</v>
      </c>
      <c r="H80" s="13">
        <f>SUMIFS('Transaction Overview'!$D$2:$D$790,'Transaction Overview'!$G$2:$G$790,$A80,'Transaction Overview'!$H$2:$H$790,H$4)</f>
        <v>0</v>
      </c>
      <c r="I80" s="13">
        <f>SUMIFS('Transaction Overview'!$D$2:$D$790,'Transaction Overview'!$G$2:$G$790,$A80,'Transaction Overview'!$H$2:$H$790,I$4)</f>
        <v>0</v>
      </c>
      <c r="J80" s="13">
        <f>SUMIFS('Transaction Overview'!$D$2:$D$790,'Transaction Overview'!$G$2:$G$790,$A80,'Transaction Overview'!$H$2:$H$790,J$4)</f>
        <v>0</v>
      </c>
      <c r="K80" s="13">
        <f>SUMIFS('Transaction Overview'!$D$2:$D$790,'Transaction Overview'!$G$2:$G$790,$A80,'Transaction Overview'!$H$2:$H$790,K$4)</f>
        <v>0</v>
      </c>
      <c r="L80" s="13">
        <f>SUMIFS('Transaction Overview'!$D$2:$D$790,'Transaction Overview'!$G$2:$G$790,$A80,'Transaction Overview'!$H$2:$H$790,L$4)</f>
        <v>0</v>
      </c>
      <c r="M80" s="13">
        <f>SUMIFS('Transaction Overview'!$D$2:$D$790,'Transaction Overview'!$G$2:$G$790,$A80,'Transaction Overview'!$H$2:$H$790,M$4)</f>
        <v>0</v>
      </c>
      <c r="N80" s="13">
        <f>SUMIFS('Transaction Overview'!$D$2:$D$790,'Transaction Overview'!$G$2:$G$790,$A80,'Transaction Overview'!$H$2:$H$790,N$4)</f>
        <v>-4605.49</v>
      </c>
      <c r="O80" s="13">
        <f>SUM(C80:N80)</f>
        <v>-4605.49</v>
      </c>
    </row>
    <row r="81" spans="1:15" x14ac:dyDescent="0.25">
      <c r="A81" s="8" t="s">
        <v>822</v>
      </c>
      <c r="B81" s="8" t="s">
        <v>844</v>
      </c>
      <c r="C81" s="13">
        <f>SUMIFS('Transaction Overview'!$D$2:$D$790,'Transaction Overview'!$G$2:$G$790,$A81,'Transaction Overview'!$H$2:$H$790,C$4)</f>
        <v>0</v>
      </c>
      <c r="D81" s="13">
        <f>SUMIFS('Transaction Overview'!$D$2:$D$790,'Transaction Overview'!$G$2:$G$790,$A81,'Transaction Overview'!$H$2:$H$790,D$4)</f>
        <v>0</v>
      </c>
      <c r="E81" s="13">
        <f>SUMIFS('Transaction Overview'!$D$2:$D$790,'Transaction Overview'!$G$2:$G$790,$A81,'Transaction Overview'!$H$2:$H$790,E$4)</f>
        <v>0</v>
      </c>
      <c r="F81" s="13">
        <f>SUMIFS('Transaction Overview'!$D$2:$D$790,'Transaction Overview'!$G$2:$G$790,$A81,'Transaction Overview'!$H$2:$H$790,F$4)</f>
        <v>0</v>
      </c>
      <c r="G81" s="13">
        <f>SUMIFS('Transaction Overview'!$D$2:$D$790,'Transaction Overview'!$G$2:$G$790,$A81,'Transaction Overview'!$H$2:$H$790,G$4)</f>
        <v>0</v>
      </c>
      <c r="H81" s="13">
        <f>SUMIFS('Transaction Overview'!$D$2:$D$790,'Transaction Overview'!$G$2:$G$790,$A81,'Transaction Overview'!$H$2:$H$790,H$4)</f>
        <v>0</v>
      </c>
      <c r="I81" s="13">
        <f>SUMIFS('Transaction Overview'!$D$2:$D$790,'Transaction Overview'!$G$2:$G$790,$A81,'Transaction Overview'!$H$2:$H$790,I$4)</f>
        <v>0</v>
      </c>
      <c r="J81" s="13">
        <f>SUMIFS('Transaction Overview'!$D$2:$D$790,'Transaction Overview'!$G$2:$G$790,$A81,'Transaction Overview'!$H$2:$H$790,J$4)</f>
        <v>0</v>
      </c>
      <c r="K81" s="13">
        <f>SUMIFS('Transaction Overview'!$D$2:$D$790,'Transaction Overview'!$G$2:$G$790,$A81,'Transaction Overview'!$H$2:$H$790,K$4)</f>
        <v>0</v>
      </c>
      <c r="L81" s="13">
        <f>SUMIFS('Transaction Overview'!$D$2:$D$790,'Transaction Overview'!$G$2:$G$790,$A81,'Transaction Overview'!$H$2:$H$790,L$4)</f>
        <v>-23593</v>
      </c>
      <c r="M81" s="13">
        <f>SUMIFS('Transaction Overview'!$D$2:$D$790,'Transaction Overview'!$G$2:$G$790,$A81,'Transaction Overview'!$H$2:$H$790,M$4)</f>
        <v>-102.9</v>
      </c>
      <c r="N81" s="13">
        <f>SUMIFS('Transaction Overview'!$D$2:$D$790,'Transaction Overview'!$G$2:$G$790,$A81,'Transaction Overview'!$H$2:$H$790,N$4)</f>
        <v>0</v>
      </c>
      <c r="O81" s="13">
        <f>SUM(C81:N81)</f>
        <v>-23695.9</v>
      </c>
    </row>
    <row r="82" spans="1:15" x14ac:dyDescent="0.25">
      <c r="A82" s="8" t="s">
        <v>816</v>
      </c>
      <c r="B82" s="8" t="s">
        <v>850</v>
      </c>
      <c r="C82" s="13">
        <f>SUMIFS('Transaction Overview'!$D$2:$D$790,'Transaction Overview'!$G$2:$G$790,$A82,'Transaction Overview'!$H$2:$H$790,C$4)</f>
        <v>0</v>
      </c>
      <c r="D82" s="13">
        <f>SUMIFS('Transaction Overview'!$D$2:$D$790,'Transaction Overview'!$G$2:$G$790,$A82,'Transaction Overview'!$H$2:$H$790,D$4)</f>
        <v>0</v>
      </c>
      <c r="E82" s="13">
        <f>SUMIFS('Transaction Overview'!$D$2:$D$790,'Transaction Overview'!$G$2:$G$790,$A82,'Transaction Overview'!$H$2:$H$790,E$4)</f>
        <v>0</v>
      </c>
      <c r="F82" s="13">
        <f>SUMIFS('Transaction Overview'!$D$2:$D$790,'Transaction Overview'!$G$2:$G$790,$A82,'Transaction Overview'!$H$2:$H$790,F$4)</f>
        <v>0</v>
      </c>
      <c r="G82" s="13">
        <f>SUMIFS('Transaction Overview'!$D$2:$D$790,'Transaction Overview'!$G$2:$G$790,$A82,'Transaction Overview'!$H$2:$H$790,G$4)</f>
        <v>0</v>
      </c>
      <c r="H82" s="13">
        <f>SUMIFS('Transaction Overview'!$D$2:$D$790,'Transaction Overview'!$G$2:$G$790,$A82,'Transaction Overview'!$H$2:$H$790,H$4)</f>
        <v>0</v>
      </c>
      <c r="I82" s="13">
        <f>SUMIFS('Transaction Overview'!$D$2:$D$790,'Transaction Overview'!$G$2:$G$790,$A82,'Transaction Overview'!$H$2:$H$790,I$4)</f>
        <v>0</v>
      </c>
      <c r="J82" s="13">
        <f>SUMIFS('Transaction Overview'!$D$2:$D$790,'Transaction Overview'!$G$2:$G$790,$A82,'Transaction Overview'!$H$2:$H$790,J$4)</f>
        <v>3000</v>
      </c>
      <c r="K82" s="13">
        <f>SUMIFS('Transaction Overview'!$D$2:$D$790,'Transaction Overview'!$G$2:$G$790,$A82,'Transaction Overview'!$H$2:$H$790,K$4)</f>
        <v>0</v>
      </c>
      <c r="L82" s="13">
        <f>SUMIFS('Transaction Overview'!$D$2:$D$790,'Transaction Overview'!$G$2:$G$790,$A82,'Transaction Overview'!$H$2:$H$790,L$4)</f>
        <v>0</v>
      </c>
      <c r="M82" s="13">
        <f>SUMIFS('Transaction Overview'!$D$2:$D$790,'Transaction Overview'!$G$2:$G$790,$A82,'Transaction Overview'!$H$2:$H$790,M$4)</f>
        <v>0</v>
      </c>
      <c r="N82" s="13">
        <f>SUMIFS('Transaction Overview'!$D$2:$D$790,'Transaction Overview'!$G$2:$G$790,$A82,'Transaction Overview'!$H$2:$H$790,N$4)</f>
        <v>0</v>
      </c>
      <c r="O82" s="13">
        <f>SUM(C82:N82)</f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2DBC-C639-4639-A294-4E074C43A786}">
  <dimension ref="A1:C100"/>
  <sheetViews>
    <sheetView workbookViewId="0"/>
  </sheetViews>
  <sheetFormatPr defaultRowHeight="15" x14ac:dyDescent="0.25"/>
  <cols>
    <col min="1" max="1" width="53.7109375" bestFit="1" customWidth="1"/>
    <col min="2" max="2" width="32.85546875" bestFit="1" customWidth="1"/>
    <col min="3" max="3" width="8.5703125" bestFit="1" customWidth="1"/>
  </cols>
  <sheetData>
    <row r="1" spans="1:3" ht="21" x14ac:dyDescent="0.35">
      <c r="A1" s="6" t="s">
        <v>894</v>
      </c>
      <c r="B1" s="6"/>
      <c r="C1" s="6"/>
    </row>
    <row r="2" spans="1:3" x14ac:dyDescent="0.25">
      <c r="A2" s="4" t="s">
        <v>895</v>
      </c>
      <c r="B2" s="4"/>
      <c r="C2" s="4"/>
    </row>
    <row r="4" spans="1:3" x14ac:dyDescent="0.25">
      <c r="A4" s="5" t="s">
        <v>896</v>
      </c>
      <c r="B4" s="5"/>
      <c r="C4" s="5"/>
    </row>
    <row r="5" spans="1:3" x14ac:dyDescent="0.25">
      <c r="A5" s="8" t="s">
        <v>892</v>
      </c>
      <c r="B5" s="8"/>
      <c r="C5" s="13">
        <f>SUMIFS('Transaction Overview'!$D$2:$D$790,'Transaction Overview'!$E$2:$E$790,"ACCT_XFER",'Transaction Overview'!$D$2:$D$790,"&gt;0")+SUMIFS('Transaction Overview'!$D$2:$D$790,'Transaction Overview'!$E$2:$E$790,"CHASE_TO_PARTNERFI",'Transaction Overview'!$D$2:$D$790,"&gt;0")+SUMIFS('Transaction Overview'!$D$2:$D$790,'Transaction Overview'!$E$2:$E$790,"QUICKPAY_DEBIT",'Transaction Overview'!$D$2:$D$790,"&gt;0")</f>
        <v>738650</v>
      </c>
    </row>
    <row r="6" spans="1:3" x14ac:dyDescent="0.25">
      <c r="A6" s="8" t="s">
        <v>897</v>
      </c>
      <c r="B6" s="8"/>
      <c r="C6" s="23">
        <f>COUNTIFS('Transaction Overview'!$E$2:$E$790,"ACCT_XFER",'Transaction Overview'!$D$2:$D$790,"&gt;0")+COUNTIFS('Transaction Overview'!$E$2:$E$790,"CHASE_TO_PARTNERFI",'Transaction Overview'!$D$2:$D$790,"&gt;0")+COUNTIFS('Transaction Overview'!$E$2:$E$790,"QUICKPAY_DEBIT",'Transaction Overview'!$D$2:$D$790,"&gt;0")</f>
        <v>10</v>
      </c>
    </row>
    <row r="8" spans="1:3" x14ac:dyDescent="0.25">
      <c r="A8" s="5" t="s">
        <v>898</v>
      </c>
      <c r="B8" s="5"/>
      <c r="C8" s="5"/>
    </row>
    <row r="9" spans="1:3" x14ac:dyDescent="0.25">
      <c r="A9" s="7" t="s">
        <v>899</v>
      </c>
      <c r="B9" s="7" t="s">
        <v>900</v>
      </c>
      <c r="C9" s="7" t="s">
        <v>3</v>
      </c>
    </row>
    <row r="10" spans="1:3" x14ac:dyDescent="0.25">
      <c r="A10" s="8" t="s">
        <v>807</v>
      </c>
      <c r="B10" s="8">
        <f>COUNTIFS('Transaction Overview'!$G$2:$G$790,$A10,'Transaction Overview'!$D$2:$D$790,"&gt;0")</f>
        <v>2</v>
      </c>
      <c r="C10" s="13">
        <f>SUMIFS('Transaction Overview'!$D$2:$D$790,'Transaction Overview'!$G$2:$G$790,$A10,'Transaction Overview'!$D$2:$D$790,"&gt;0")</f>
        <v>150000</v>
      </c>
    </row>
    <row r="11" spans="1:3" x14ac:dyDescent="0.25">
      <c r="A11" s="8" t="s">
        <v>788</v>
      </c>
      <c r="B11" s="8">
        <f>COUNTIFS('Transaction Overview'!$G$2:$G$790,$A11,'Transaction Overview'!$D$2:$D$790,"&gt;0")</f>
        <v>3</v>
      </c>
      <c r="C11" s="13">
        <f>SUMIFS('Transaction Overview'!$D$2:$D$790,'Transaction Overview'!$G$2:$G$790,$A11,'Transaction Overview'!$D$2:$D$790,"&gt;0")</f>
        <v>383350</v>
      </c>
    </row>
    <row r="12" spans="1:3" x14ac:dyDescent="0.25">
      <c r="A12" s="8" t="s">
        <v>801</v>
      </c>
      <c r="B12" s="8">
        <f>COUNTIFS('Transaction Overview'!$G$2:$G$790,$A12,'Transaction Overview'!$D$2:$D$790,"&gt;0")</f>
        <v>2</v>
      </c>
      <c r="C12" s="13">
        <f>SUMIFS('Transaction Overview'!$D$2:$D$790,'Transaction Overview'!$G$2:$G$790,$A12,'Transaction Overview'!$D$2:$D$790,"&gt;0")</f>
        <v>117500</v>
      </c>
    </row>
    <row r="13" spans="1:3" x14ac:dyDescent="0.25">
      <c r="A13" s="8" t="s">
        <v>821</v>
      </c>
      <c r="B13" s="8">
        <f>COUNTIFS('Transaction Overview'!$G$2:$G$790,$A13,'Transaction Overview'!$D$2:$D$790,"&gt;0")</f>
        <v>2</v>
      </c>
      <c r="C13" s="13">
        <f>SUMIFS('Transaction Overview'!$D$2:$D$790,'Transaction Overview'!$G$2:$G$790,$A13,'Transaction Overview'!$D$2:$D$790,"&gt;0")</f>
        <v>62800</v>
      </c>
    </row>
    <row r="14" spans="1:3" x14ac:dyDescent="0.25">
      <c r="A14" s="8" t="s">
        <v>820</v>
      </c>
      <c r="B14" s="8">
        <f>COUNTIFS('Transaction Overview'!$G$2:$G$790,$A14,'Transaction Overview'!$D$2:$D$790,"&gt;0")</f>
        <v>1</v>
      </c>
      <c r="C14" s="13">
        <f>SUMIFS('Transaction Overview'!$D$2:$D$790,'Transaction Overview'!$G$2:$G$790,$A14,'Transaction Overview'!$D$2:$D$790,"&gt;0")</f>
        <v>25000</v>
      </c>
    </row>
    <row r="15" spans="1:3" x14ac:dyDescent="0.25">
      <c r="A15" s="11" t="s">
        <v>901</v>
      </c>
      <c r="B15" s="11">
        <f>SUM(B10:B14)</f>
        <v>10</v>
      </c>
      <c r="C15" s="20">
        <f>SUM(C10:C14)</f>
        <v>738650</v>
      </c>
    </row>
    <row r="16" spans="1:3" x14ac:dyDescent="0.25">
      <c r="A16" s="5" t="s">
        <v>902</v>
      </c>
      <c r="B16" s="5"/>
      <c r="C16" s="5"/>
    </row>
    <row r="17" spans="1:3" x14ac:dyDescent="0.25">
      <c r="A17" s="7" t="s">
        <v>903</v>
      </c>
      <c r="B17" s="7" t="s">
        <v>899</v>
      </c>
      <c r="C17" s="7" t="s">
        <v>3</v>
      </c>
    </row>
    <row r="18" spans="1:3" x14ac:dyDescent="0.25">
      <c r="A18" s="24" cm="1">
        <f t="array" ref="A18:A27">_xlfn._xlws.FILTER('Transaction Overview'!$B$2:$B$790,(('Transaction Overview'!$E$2:$E$790="ACCT_XFER")+('Transaction Overview'!$E$2:$E$790="CHASE_TO_PARTNERFI")+('Transaction Overview'!$E$2:$E$790="QUICKPAY_DEBIT"))*('Transaction Overview'!$D$2:$D$790&gt;0))</f>
        <v>46022</v>
      </c>
      <c r="B18" s="8" t="str" cm="1">
        <f t="array" ref="B18:B27">_xlfn._xlws.FILTER('Transaction Overview'!$G$2:$G$790,(('Transaction Overview'!$E$2:$E$790="ACCT_XFER")+('Transaction Overview'!$E$2:$E$790="CHASE_TO_PARTNERFI")+('Transaction Overview'!$E$2:$E$790="QUICKPAY_DEBIT"))*('Transaction Overview'!$D$2:$D$790&gt;0))</f>
        <v>Transfer from DWG Capital Partners</v>
      </c>
      <c r="C18" s="13" cm="1">
        <f t="array" ref="C18:C27">_xlfn._xlws.FILTER('Transaction Overview'!$D$2:$D$790,(('Transaction Overview'!$E$2:$E$790="ACCT_XFER")+('Transaction Overview'!$E$2:$E$790="CHASE_TO_PARTNERFI")+('Transaction Overview'!$E$2:$E$790="QUICKPAY_DEBIT"))*('Transaction Overview'!$D$2:$D$790&gt;0))</f>
        <v>23350</v>
      </c>
    </row>
    <row r="19" spans="1:3" x14ac:dyDescent="0.25">
      <c r="A19" s="24">
        <v>46013</v>
      </c>
      <c r="B19" s="8" t="str">
        <v>Transfer from DWG Capital Partners</v>
      </c>
      <c r="C19" s="13">
        <v>90000</v>
      </c>
    </row>
    <row r="20" spans="1:3" x14ac:dyDescent="0.25">
      <c r="A20" s="24">
        <v>46006</v>
      </c>
      <c r="B20" s="8" t="str">
        <v>Transfer from Hibbert</v>
      </c>
      <c r="C20" s="13">
        <v>100000</v>
      </c>
    </row>
    <row r="21" spans="1:3" x14ac:dyDescent="0.25">
      <c r="A21" s="24">
        <v>45987</v>
      </c>
      <c r="B21" s="8" t="str">
        <v>Transfer from DWG Capital Partners</v>
      </c>
      <c r="C21" s="13">
        <v>270000</v>
      </c>
    </row>
    <row r="22" spans="1:3" x14ac:dyDescent="0.25">
      <c r="A22" s="24">
        <v>45936</v>
      </c>
      <c r="B22" s="8" t="str">
        <v>Transfer from Kalkaska Screw</v>
      </c>
      <c r="C22" s="13">
        <v>12800</v>
      </c>
    </row>
    <row r="23" spans="1:3" x14ac:dyDescent="0.25">
      <c r="A23" s="24">
        <v>45931</v>
      </c>
      <c r="B23" s="8" t="str">
        <v>Transfer to MRM</v>
      </c>
      <c r="C23" s="13">
        <v>25000</v>
      </c>
    </row>
    <row r="24" spans="1:3" x14ac:dyDescent="0.25">
      <c r="A24" s="24">
        <v>45910</v>
      </c>
      <c r="B24" s="8" t="str">
        <v>Transfer from Breese</v>
      </c>
      <c r="C24" s="13">
        <v>50000</v>
      </c>
    </row>
    <row r="25" spans="1:3" x14ac:dyDescent="0.25">
      <c r="A25" s="24">
        <v>45852</v>
      </c>
      <c r="B25" s="8" t="str">
        <v>Transfer from Breese</v>
      </c>
      <c r="C25" s="13">
        <v>100000</v>
      </c>
    </row>
    <row r="26" spans="1:3" x14ac:dyDescent="0.25">
      <c r="A26" s="24">
        <v>45793</v>
      </c>
      <c r="B26" s="8" t="str">
        <v>Transfer from Hibbert</v>
      </c>
      <c r="C26" s="13">
        <v>17500</v>
      </c>
    </row>
    <row r="27" spans="1:3" x14ac:dyDescent="0.25">
      <c r="A27" s="24">
        <v>45756</v>
      </c>
      <c r="B27" s="8" t="str">
        <v>Transfer from Kalkaska Screw</v>
      </c>
      <c r="C27" s="13">
        <v>50000</v>
      </c>
    </row>
    <row r="28" spans="1:3" x14ac:dyDescent="0.25">
      <c r="A28" s="24"/>
      <c r="B28" s="8"/>
      <c r="C28" s="13"/>
    </row>
    <row r="29" spans="1:3" x14ac:dyDescent="0.25">
      <c r="A29" s="24"/>
      <c r="B29" s="8"/>
      <c r="C29" s="13"/>
    </row>
    <row r="30" spans="1:3" x14ac:dyDescent="0.25">
      <c r="A30" s="24"/>
      <c r="B30" s="8"/>
      <c r="C30" s="13"/>
    </row>
    <row r="31" spans="1:3" x14ac:dyDescent="0.25">
      <c r="A31" s="24"/>
      <c r="B31" s="8"/>
      <c r="C31" s="13"/>
    </row>
    <row r="32" spans="1:3" x14ac:dyDescent="0.25">
      <c r="A32" s="24"/>
      <c r="B32" s="8"/>
      <c r="C32" s="13"/>
    </row>
    <row r="33" spans="1:3" x14ac:dyDescent="0.25">
      <c r="A33" s="24"/>
      <c r="B33" s="8"/>
      <c r="C33" s="13"/>
    </row>
    <row r="34" spans="1:3" x14ac:dyDescent="0.25">
      <c r="A34" s="24"/>
      <c r="B34" s="8"/>
      <c r="C34" s="13"/>
    </row>
    <row r="35" spans="1:3" x14ac:dyDescent="0.25">
      <c r="A35" s="24"/>
      <c r="B35" s="8"/>
      <c r="C35" s="13"/>
    </row>
    <row r="36" spans="1:3" x14ac:dyDescent="0.25">
      <c r="A36" s="24"/>
      <c r="B36" s="8"/>
      <c r="C36" s="13"/>
    </row>
    <row r="37" spans="1:3" x14ac:dyDescent="0.25">
      <c r="A37" s="24"/>
      <c r="B37" s="8"/>
      <c r="C37" s="13"/>
    </row>
    <row r="38" spans="1:3" x14ac:dyDescent="0.25">
      <c r="A38" s="24"/>
      <c r="B38" s="8"/>
      <c r="C38" s="13"/>
    </row>
    <row r="39" spans="1:3" x14ac:dyDescent="0.25">
      <c r="A39" s="24"/>
      <c r="B39" s="8"/>
      <c r="C39" s="13"/>
    </row>
    <row r="40" spans="1:3" x14ac:dyDescent="0.25">
      <c r="A40" s="24"/>
      <c r="B40" s="8"/>
      <c r="C40" s="13"/>
    </row>
    <row r="41" spans="1:3" x14ac:dyDescent="0.25">
      <c r="A41" s="24"/>
      <c r="B41" s="8"/>
      <c r="C41" s="13"/>
    </row>
    <row r="42" spans="1:3" x14ac:dyDescent="0.25">
      <c r="A42" s="24"/>
      <c r="B42" s="8"/>
      <c r="C42" s="13"/>
    </row>
    <row r="43" spans="1:3" x14ac:dyDescent="0.25">
      <c r="A43" s="24"/>
      <c r="B43" s="8"/>
      <c r="C43" s="13"/>
    </row>
    <row r="44" spans="1:3" x14ac:dyDescent="0.25">
      <c r="A44" s="24"/>
      <c r="B44" s="8"/>
      <c r="C44" s="13"/>
    </row>
    <row r="45" spans="1:3" x14ac:dyDescent="0.25">
      <c r="A45" s="24"/>
      <c r="B45" s="8"/>
      <c r="C45" s="13"/>
    </row>
    <row r="46" spans="1:3" x14ac:dyDescent="0.25">
      <c r="A46" s="24"/>
      <c r="B46" s="8"/>
      <c r="C46" s="13"/>
    </row>
    <row r="47" spans="1:3" x14ac:dyDescent="0.25">
      <c r="A47" s="24"/>
      <c r="B47" s="8"/>
      <c r="C47" s="13"/>
    </row>
    <row r="48" spans="1:3" x14ac:dyDescent="0.25">
      <c r="A48" s="24"/>
      <c r="B48" s="8"/>
      <c r="C48" s="13"/>
    </row>
    <row r="49" spans="1:3" x14ac:dyDescent="0.25">
      <c r="A49" s="24"/>
      <c r="B49" s="8"/>
      <c r="C49" s="13"/>
    </row>
    <row r="50" spans="1:3" x14ac:dyDescent="0.25">
      <c r="A50" s="24"/>
      <c r="B50" s="8"/>
      <c r="C50" s="13"/>
    </row>
    <row r="51" spans="1:3" x14ac:dyDescent="0.25">
      <c r="A51" s="24"/>
      <c r="B51" s="8"/>
      <c r="C51" s="13"/>
    </row>
    <row r="52" spans="1:3" x14ac:dyDescent="0.25">
      <c r="A52" s="24"/>
      <c r="B52" s="8"/>
      <c r="C52" s="13"/>
    </row>
    <row r="53" spans="1:3" x14ac:dyDescent="0.25">
      <c r="A53" s="24"/>
      <c r="B53" s="8"/>
      <c r="C53" s="13"/>
    </row>
    <row r="54" spans="1:3" x14ac:dyDescent="0.25">
      <c r="A54" s="24"/>
      <c r="B54" s="8"/>
      <c r="C54" s="13"/>
    </row>
    <row r="55" spans="1:3" x14ac:dyDescent="0.25">
      <c r="A55" s="24"/>
      <c r="B55" s="8"/>
      <c r="C55" s="13"/>
    </row>
    <row r="56" spans="1:3" x14ac:dyDescent="0.25">
      <c r="A56" s="24"/>
      <c r="B56" s="8"/>
      <c r="C56" s="13"/>
    </row>
    <row r="57" spans="1:3" x14ac:dyDescent="0.25">
      <c r="A57" s="24"/>
      <c r="B57" s="8"/>
      <c r="C57" s="13"/>
    </row>
    <row r="58" spans="1:3" x14ac:dyDescent="0.25">
      <c r="A58" s="24"/>
      <c r="B58" s="8"/>
      <c r="C58" s="13"/>
    </row>
    <row r="59" spans="1:3" x14ac:dyDescent="0.25">
      <c r="A59" s="24"/>
      <c r="B59" s="8"/>
      <c r="C59" s="13"/>
    </row>
    <row r="60" spans="1:3" x14ac:dyDescent="0.25">
      <c r="A60" s="24"/>
      <c r="B60" s="8"/>
      <c r="C60" s="13"/>
    </row>
    <row r="61" spans="1:3" x14ac:dyDescent="0.25">
      <c r="A61" s="24"/>
      <c r="B61" s="8"/>
      <c r="C61" s="13"/>
    </row>
    <row r="62" spans="1:3" x14ac:dyDescent="0.25">
      <c r="A62" s="24"/>
      <c r="B62" s="8"/>
      <c r="C62" s="13"/>
    </row>
    <row r="63" spans="1:3" x14ac:dyDescent="0.25">
      <c r="A63" s="24"/>
      <c r="B63" s="8"/>
      <c r="C63" s="13"/>
    </row>
    <row r="64" spans="1:3" x14ac:dyDescent="0.25">
      <c r="A64" s="24"/>
      <c r="B64" s="8"/>
      <c r="C64" s="13"/>
    </row>
    <row r="65" spans="1:3" x14ac:dyDescent="0.25">
      <c r="A65" s="24"/>
      <c r="B65" s="8"/>
      <c r="C65" s="13"/>
    </row>
    <row r="66" spans="1:3" x14ac:dyDescent="0.25">
      <c r="A66" s="24"/>
      <c r="B66" s="8"/>
      <c r="C66" s="13"/>
    </row>
    <row r="67" spans="1:3" x14ac:dyDescent="0.25">
      <c r="A67" s="24"/>
      <c r="B67" s="8"/>
      <c r="C67" s="13"/>
    </row>
    <row r="68" spans="1:3" x14ac:dyDescent="0.25">
      <c r="A68" s="24"/>
      <c r="B68" s="8"/>
      <c r="C68" s="13"/>
    </row>
    <row r="69" spans="1:3" x14ac:dyDescent="0.25">
      <c r="A69" s="24"/>
      <c r="B69" s="8"/>
      <c r="C69" s="13"/>
    </row>
    <row r="70" spans="1:3" x14ac:dyDescent="0.25">
      <c r="A70" s="24"/>
      <c r="B70" s="8"/>
      <c r="C70" s="13"/>
    </row>
    <row r="71" spans="1:3" x14ac:dyDescent="0.25">
      <c r="A71" s="24"/>
      <c r="B71" s="8"/>
      <c r="C71" s="13"/>
    </row>
    <row r="72" spans="1:3" x14ac:dyDescent="0.25">
      <c r="A72" s="24"/>
      <c r="B72" s="8"/>
      <c r="C72" s="13"/>
    </row>
    <row r="73" spans="1:3" x14ac:dyDescent="0.25">
      <c r="A73" s="24"/>
      <c r="B73" s="8"/>
      <c r="C73" s="13"/>
    </row>
    <row r="74" spans="1:3" x14ac:dyDescent="0.25">
      <c r="A74" s="24"/>
      <c r="B74" s="8"/>
      <c r="C74" s="13"/>
    </row>
    <row r="75" spans="1:3" x14ac:dyDescent="0.25">
      <c r="A75" s="24"/>
      <c r="B75" s="8"/>
      <c r="C75" s="13"/>
    </row>
    <row r="76" spans="1:3" x14ac:dyDescent="0.25">
      <c r="A76" s="24"/>
      <c r="B76" s="8"/>
      <c r="C76" s="13"/>
    </row>
    <row r="77" spans="1:3" x14ac:dyDescent="0.25">
      <c r="A77" s="24"/>
      <c r="B77" s="8"/>
      <c r="C77" s="13"/>
    </row>
    <row r="78" spans="1:3" x14ac:dyDescent="0.25">
      <c r="A78" s="24"/>
      <c r="B78" s="8"/>
      <c r="C78" s="13"/>
    </row>
    <row r="79" spans="1:3" x14ac:dyDescent="0.25">
      <c r="A79" s="24"/>
      <c r="B79" s="8"/>
      <c r="C79" s="13"/>
    </row>
    <row r="80" spans="1:3" x14ac:dyDescent="0.25">
      <c r="A80" s="24"/>
      <c r="B80" s="8"/>
      <c r="C80" s="13"/>
    </row>
    <row r="81" spans="1:3" x14ac:dyDescent="0.25">
      <c r="A81" s="24"/>
      <c r="B81" s="8"/>
      <c r="C81" s="13"/>
    </row>
    <row r="82" spans="1:3" x14ac:dyDescent="0.25">
      <c r="A82" s="24"/>
      <c r="B82" s="8"/>
      <c r="C82" s="13"/>
    </row>
    <row r="83" spans="1:3" x14ac:dyDescent="0.25">
      <c r="A83" s="24"/>
      <c r="B83" s="8"/>
      <c r="C83" s="13"/>
    </row>
    <row r="84" spans="1:3" x14ac:dyDescent="0.25">
      <c r="A84" s="24"/>
      <c r="B84" s="8"/>
      <c r="C84" s="13"/>
    </row>
    <row r="85" spans="1:3" x14ac:dyDescent="0.25">
      <c r="A85" s="24"/>
      <c r="B85" s="8"/>
      <c r="C85" s="13"/>
    </row>
    <row r="86" spans="1:3" x14ac:dyDescent="0.25">
      <c r="A86" s="24"/>
      <c r="B86" s="8"/>
      <c r="C86" s="13"/>
    </row>
    <row r="87" spans="1:3" x14ac:dyDescent="0.25">
      <c r="A87" s="24"/>
      <c r="B87" s="8"/>
      <c r="C87" s="13"/>
    </row>
    <row r="88" spans="1:3" x14ac:dyDescent="0.25">
      <c r="A88" s="24"/>
      <c r="B88" s="8"/>
      <c r="C88" s="13"/>
    </row>
    <row r="89" spans="1:3" x14ac:dyDescent="0.25">
      <c r="A89" s="24"/>
      <c r="B89" s="8"/>
      <c r="C89" s="13"/>
    </row>
    <row r="90" spans="1:3" x14ac:dyDescent="0.25">
      <c r="A90" s="24"/>
      <c r="B90" s="8"/>
      <c r="C90" s="13"/>
    </row>
    <row r="91" spans="1:3" x14ac:dyDescent="0.25">
      <c r="A91" s="24"/>
      <c r="B91" s="8"/>
      <c r="C91" s="13"/>
    </row>
    <row r="92" spans="1:3" x14ac:dyDescent="0.25">
      <c r="A92" s="24"/>
      <c r="B92" s="8"/>
      <c r="C92" s="13"/>
    </row>
    <row r="93" spans="1:3" x14ac:dyDescent="0.25">
      <c r="A93" s="24"/>
      <c r="B93" s="8"/>
      <c r="C93" s="13"/>
    </row>
    <row r="94" spans="1:3" x14ac:dyDescent="0.25">
      <c r="A94" s="24"/>
      <c r="B94" s="8"/>
      <c r="C94" s="13"/>
    </row>
    <row r="95" spans="1:3" x14ac:dyDescent="0.25">
      <c r="A95" s="24"/>
      <c r="B95" s="8"/>
      <c r="C95" s="13"/>
    </row>
    <row r="96" spans="1:3" x14ac:dyDescent="0.25">
      <c r="A96" s="24"/>
      <c r="B96" s="8"/>
      <c r="C96" s="13"/>
    </row>
    <row r="97" spans="1:3" x14ac:dyDescent="0.25">
      <c r="A97" s="24"/>
      <c r="B97" s="8"/>
      <c r="C97" s="13"/>
    </row>
    <row r="98" spans="1:3" x14ac:dyDescent="0.25">
      <c r="A98" s="24"/>
      <c r="B98" s="8"/>
      <c r="C98" s="13"/>
    </row>
    <row r="99" spans="1:3" x14ac:dyDescent="0.25">
      <c r="A99" s="24"/>
      <c r="B99" s="8"/>
      <c r="C99" s="13"/>
    </row>
    <row r="100" spans="1:3" x14ac:dyDescent="0.25">
      <c r="A100" s="24"/>
      <c r="B100" s="8"/>
      <c r="C100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FDD70-7648-4673-8AC5-B04EFB2669D2}">
  <dimension ref="A1:C120"/>
  <sheetViews>
    <sheetView workbookViewId="0"/>
  </sheetViews>
  <sheetFormatPr defaultRowHeight="15" x14ac:dyDescent="0.25"/>
  <cols>
    <col min="1" max="1" width="56" bestFit="1" customWidth="1"/>
    <col min="2" max="2" width="43" bestFit="1" customWidth="1"/>
    <col min="3" max="3" width="11.5703125" bestFit="1" customWidth="1"/>
  </cols>
  <sheetData>
    <row r="1" spans="1:3" ht="21" x14ac:dyDescent="0.35">
      <c r="A1" s="6" t="s">
        <v>904</v>
      </c>
      <c r="B1" s="6"/>
      <c r="C1" s="6"/>
    </row>
    <row r="2" spans="1:3" x14ac:dyDescent="0.25">
      <c r="A2" s="4" t="s">
        <v>895</v>
      </c>
      <c r="B2" s="4"/>
      <c r="C2" s="4"/>
    </row>
    <row r="4" spans="1:3" x14ac:dyDescent="0.25">
      <c r="A4" s="5" t="s">
        <v>896</v>
      </c>
      <c r="B4" s="5"/>
      <c r="C4" s="5"/>
    </row>
    <row r="5" spans="1:3" x14ac:dyDescent="0.25">
      <c r="A5" s="8" t="s">
        <v>892</v>
      </c>
      <c r="B5" s="8"/>
      <c r="C5" s="13">
        <f>SUMIFS('Transaction Overview'!$D$2:$D$790,'Transaction Overview'!$E$2:$E$790,"ACCT_XFER",'Transaction Overview'!$D$2:$D$790,"&lt;0")+SUMIFS('Transaction Overview'!$D$2:$D$790,'Transaction Overview'!$E$2:$E$790,"CHASE_TO_PARTNERFI",'Transaction Overview'!$D$2:$D$790,"&lt;0")+SUMIFS('Transaction Overview'!$D$2:$D$790,'Transaction Overview'!$E$2:$E$790,"QUICKPAY_DEBIT",'Transaction Overview'!$D$2:$D$790,"&lt;0")</f>
        <v>-1175986.73</v>
      </c>
    </row>
    <row r="6" spans="1:3" x14ac:dyDescent="0.25">
      <c r="A6" s="8" t="s">
        <v>897</v>
      </c>
      <c r="B6" s="8"/>
      <c r="C6" s="23">
        <f>COUNTIFS('Transaction Overview'!$E$2:$E$790,"ACCT_XFER",'Transaction Overview'!$D$2:$D$790,"&lt;0")+COUNTIFS('Transaction Overview'!$E$2:$E$790,"CHASE_TO_PARTNERFI",'Transaction Overview'!$D$2:$D$790,"&lt;0")+COUNTIFS('Transaction Overview'!$E$2:$E$790,"QUICKPAY_DEBIT",'Transaction Overview'!$D$2:$D$790,"&lt;0")</f>
        <v>83</v>
      </c>
    </row>
    <row r="8" spans="1:3" x14ac:dyDescent="0.25">
      <c r="A8" s="5" t="s">
        <v>898</v>
      </c>
      <c r="B8" s="5"/>
      <c r="C8" s="5"/>
    </row>
    <row r="9" spans="1:3" x14ac:dyDescent="0.25">
      <c r="A9" s="7" t="s">
        <v>899</v>
      </c>
      <c r="B9" s="7" t="s">
        <v>900</v>
      </c>
      <c r="C9" s="7" t="s">
        <v>3</v>
      </c>
    </row>
    <row r="10" spans="1:3" x14ac:dyDescent="0.25">
      <c r="A10" s="8" t="s">
        <v>770</v>
      </c>
      <c r="B10" s="8">
        <f>COUNTIFS('Transaction Overview'!$G$2:$G$790,$A10,'Transaction Overview'!$D$2:$D$790,"&lt;0")</f>
        <v>9</v>
      </c>
      <c r="C10" s="13">
        <f>SUMIFS('Transaction Overview'!$D$2:$D$790,'Transaction Overview'!$G$2:$G$790,$A10,'Transaction Overview'!$D$2:$D$790,"&lt;0")</f>
        <v>-872</v>
      </c>
    </row>
    <row r="11" spans="1:3" x14ac:dyDescent="0.25">
      <c r="A11" s="8" t="s">
        <v>814</v>
      </c>
      <c r="B11" s="8">
        <f>COUNTIFS('Transaction Overview'!$G$2:$G$790,$A11,'Transaction Overview'!$D$2:$D$790,"&lt;0")</f>
        <v>3</v>
      </c>
      <c r="C11" s="13">
        <f>SUMIFS('Transaction Overview'!$D$2:$D$790,'Transaction Overview'!$G$2:$G$790,$A11,'Transaction Overview'!$D$2:$D$790,"&lt;0")</f>
        <v>-35000</v>
      </c>
    </row>
    <row r="12" spans="1:3" x14ac:dyDescent="0.25">
      <c r="A12" s="8" t="s">
        <v>785</v>
      </c>
      <c r="B12" s="8">
        <f>COUNTIFS('Transaction Overview'!$G$2:$G$790,$A12,'Transaction Overview'!$D$2:$D$790,"&lt;0")</f>
        <v>1</v>
      </c>
      <c r="C12" s="13">
        <f>SUMIFS('Transaction Overview'!$D$2:$D$790,'Transaction Overview'!$G$2:$G$790,$A12,'Transaction Overview'!$D$2:$D$790,"&lt;0")</f>
        <v>-1000</v>
      </c>
    </row>
    <row r="13" spans="1:3" x14ac:dyDescent="0.25">
      <c r="A13" s="8" t="s">
        <v>818</v>
      </c>
      <c r="B13" s="8">
        <f>COUNTIFS('Transaction Overview'!$G$2:$G$790,$A13,'Transaction Overview'!$D$2:$D$790,"&lt;0")</f>
        <v>1</v>
      </c>
      <c r="C13" s="13">
        <f>SUMIFS('Transaction Overview'!$D$2:$D$790,'Transaction Overview'!$G$2:$G$790,$A13,'Transaction Overview'!$D$2:$D$790,"&lt;0")</f>
        <v>-500</v>
      </c>
    </row>
    <row r="14" spans="1:3" x14ac:dyDescent="0.25">
      <c r="A14" s="8" t="s">
        <v>776</v>
      </c>
      <c r="B14" s="8">
        <f>COUNTIFS('Transaction Overview'!$G$2:$G$790,$A14,'Transaction Overview'!$D$2:$D$790,"&lt;0")</f>
        <v>34</v>
      </c>
      <c r="C14" s="13">
        <f>SUMIFS('Transaction Overview'!$D$2:$D$790,'Transaction Overview'!$G$2:$G$790,$A14,'Transaction Overview'!$D$2:$D$790,"&lt;0")</f>
        <v>-678000</v>
      </c>
    </row>
    <row r="15" spans="1:3" x14ac:dyDescent="0.25">
      <c r="A15" s="8" t="s">
        <v>777</v>
      </c>
      <c r="B15" s="8">
        <f>COUNTIFS('Transaction Overview'!$G$2:$G$790,$A15,'Transaction Overview'!$D$2:$D$790,"&lt;0")</f>
        <v>2</v>
      </c>
      <c r="C15" s="13">
        <f>SUMIFS('Transaction Overview'!$D$2:$D$790,'Transaction Overview'!$G$2:$G$790,$A15,'Transaction Overview'!$D$2:$D$790,"&lt;0")</f>
        <v>-6450</v>
      </c>
    </row>
    <row r="16" spans="1:3" x14ac:dyDescent="0.25">
      <c r="A16" s="8" t="s">
        <v>768</v>
      </c>
      <c r="B16" s="8">
        <f>COUNTIFS('Transaction Overview'!$G$2:$G$790,$A16,'Transaction Overview'!$D$2:$D$790,"&lt;0")</f>
        <v>17</v>
      </c>
      <c r="C16" s="13">
        <f>SUMIFS('Transaction Overview'!$D$2:$D$790,'Transaction Overview'!$G$2:$G$790,$A16,'Transaction Overview'!$D$2:$D$790,"&lt;0")</f>
        <v>-271500</v>
      </c>
    </row>
    <row r="17" spans="1:3" x14ac:dyDescent="0.25">
      <c r="A17" s="8" t="s">
        <v>787</v>
      </c>
      <c r="B17" s="8">
        <f>COUNTIFS('Transaction Overview'!$G$2:$G$790,$A17,'Transaction Overview'!$D$2:$D$790,"&lt;0")</f>
        <v>1</v>
      </c>
      <c r="C17" s="13">
        <f>SUMIFS('Transaction Overview'!$D$2:$D$790,'Transaction Overview'!$G$2:$G$790,$A17,'Transaction Overview'!$D$2:$D$790,"&lt;0")</f>
        <v>-50000</v>
      </c>
    </row>
    <row r="18" spans="1:3" x14ac:dyDescent="0.25">
      <c r="A18" s="8" t="s">
        <v>800</v>
      </c>
      <c r="B18" s="8">
        <f>COUNTIFS('Transaction Overview'!$G$2:$G$790,$A18,'Transaction Overview'!$D$2:$D$790,"&lt;0")</f>
        <v>5</v>
      </c>
      <c r="C18" s="13">
        <f>SUMIFS('Transaction Overview'!$D$2:$D$790,'Transaction Overview'!$G$2:$G$790,$A18,'Transaction Overview'!$D$2:$D$790,"&lt;0")</f>
        <v>-50918.73</v>
      </c>
    </row>
    <row r="19" spans="1:3" x14ac:dyDescent="0.25">
      <c r="A19" s="8" t="s">
        <v>764</v>
      </c>
      <c r="B19" s="8">
        <f>COUNTIFS('Transaction Overview'!$G$2:$G$790,$A19,'Transaction Overview'!$D$2:$D$790,"&lt;0")</f>
        <v>3</v>
      </c>
      <c r="C19" s="13">
        <f>SUMIFS('Transaction Overview'!$D$2:$D$790,'Transaction Overview'!$G$2:$G$790,$A19,'Transaction Overview'!$D$2:$D$790,"&lt;0")</f>
        <v>-57349</v>
      </c>
    </row>
    <row r="20" spans="1:3" x14ac:dyDescent="0.25">
      <c r="A20" s="8" t="s">
        <v>819</v>
      </c>
      <c r="B20" s="8">
        <f>COUNTIFS('Transaction Overview'!$G$2:$G$790,$A20,'Transaction Overview'!$D$2:$D$790,"&lt;0")</f>
        <v>1</v>
      </c>
      <c r="C20" s="13">
        <f>SUMIFS('Transaction Overview'!$D$2:$D$790,'Transaction Overview'!$G$2:$G$790,$A20,'Transaction Overview'!$D$2:$D$790,"&lt;0")</f>
        <v>-12800</v>
      </c>
    </row>
    <row r="21" spans="1:3" x14ac:dyDescent="0.25">
      <c r="A21" s="8" t="s">
        <v>840</v>
      </c>
      <c r="B21" s="8">
        <f>COUNTIFS('Transaction Overview'!$G$2:$G$790,$A21,'Transaction Overview'!$D$2:$D$790,"&lt;0")</f>
        <v>1</v>
      </c>
      <c r="C21" s="13">
        <f>SUMIFS('Transaction Overview'!$D$2:$D$790,'Transaction Overview'!$G$2:$G$790,$A21,'Transaction Overview'!$D$2:$D$790,"&lt;0")</f>
        <v>-17000</v>
      </c>
    </row>
    <row r="22" spans="1:3" x14ac:dyDescent="0.25">
      <c r="A22" s="8" t="s">
        <v>803</v>
      </c>
      <c r="B22" s="8">
        <f>COUNTIFS('Transaction Overview'!$G$2:$G$790,$A22,'Transaction Overview'!$D$2:$D$790,"&lt;0")</f>
        <v>1</v>
      </c>
      <c r="C22" s="13">
        <f>SUMIFS('Transaction Overview'!$D$2:$D$790,'Transaction Overview'!$G$2:$G$790,$A22,'Transaction Overview'!$D$2:$D$790,"&lt;0")</f>
        <v>-20000</v>
      </c>
    </row>
    <row r="23" spans="1:3" x14ac:dyDescent="0.25">
      <c r="A23" s="8" t="s">
        <v>809</v>
      </c>
      <c r="B23" s="8">
        <f>COUNTIFS('Transaction Overview'!$G$2:$G$790,$A23,'Transaction Overview'!$D$2:$D$790,"&lt;0")</f>
        <v>2</v>
      </c>
      <c r="C23" s="13">
        <f>SUMIFS('Transaction Overview'!$D$2:$D$790,'Transaction Overview'!$G$2:$G$790,$A23,'Transaction Overview'!$D$2:$D$790,"&lt;0")</f>
        <v>-247</v>
      </c>
    </row>
    <row r="24" spans="1:3" x14ac:dyDescent="0.25">
      <c r="A24" s="8" t="s">
        <v>811</v>
      </c>
      <c r="B24" s="8">
        <f>COUNTIFS('Transaction Overview'!$G$2:$G$790,$A24,'Transaction Overview'!$D$2:$D$790,"&lt;0")</f>
        <v>1</v>
      </c>
      <c r="C24" s="13">
        <f>SUMIFS('Transaction Overview'!$D$2:$D$790,'Transaction Overview'!$G$2:$G$790,$A24,'Transaction Overview'!$D$2:$D$790,"&lt;0")</f>
        <v>-500</v>
      </c>
    </row>
    <row r="25" spans="1:3" x14ac:dyDescent="0.25">
      <c r="A25" s="8" t="s">
        <v>812</v>
      </c>
      <c r="B25" s="8">
        <f>COUNTIFS('Transaction Overview'!$G$2:$G$790,$A25,'Transaction Overview'!$D$2:$D$790,"&lt;0")</f>
        <v>1</v>
      </c>
      <c r="C25" s="13">
        <f>SUMIFS('Transaction Overview'!$D$2:$D$790,'Transaction Overview'!$G$2:$G$790,$A25,'Transaction Overview'!$D$2:$D$790,"&lt;0")</f>
        <v>-500</v>
      </c>
    </row>
    <row r="26" spans="1:3" x14ac:dyDescent="0.25">
      <c r="A26" s="8" t="s">
        <v>810</v>
      </c>
      <c r="B26" s="8">
        <f>COUNTIFS('Transaction Overview'!$G$2:$G$790,$A26,'Transaction Overview'!$D$2:$D$790,"&lt;0")</f>
        <v>1</v>
      </c>
      <c r="C26" s="13">
        <f>SUMIFS('Transaction Overview'!$D$2:$D$790,'Transaction Overview'!$G$2:$G$790,$A26,'Transaction Overview'!$D$2:$D$790,"&lt;0")</f>
        <v>-500</v>
      </c>
    </row>
    <row r="27" spans="1:3" x14ac:dyDescent="0.25">
      <c r="A27" s="8" t="s">
        <v>813</v>
      </c>
      <c r="B27" s="8">
        <f>COUNTIFS('Transaction Overview'!$G$2:$G$790,$A27,'Transaction Overview'!$D$2:$D$790,"&lt;0")</f>
        <v>1</v>
      </c>
      <c r="C27" s="13">
        <f>SUMIFS('Transaction Overview'!$D$2:$D$790,'Transaction Overview'!$G$2:$G$790,$A27,'Transaction Overview'!$D$2:$D$790,"&lt;0")</f>
        <v>-350</v>
      </c>
    </row>
    <row r="28" spans="1:3" x14ac:dyDescent="0.25">
      <c r="A28" s="11" t="s">
        <v>901</v>
      </c>
      <c r="B28" s="11">
        <f>SUM(B10:B27)</f>
        <v>85</v>
      </c>
      <c r="C28" s="20">
        <f>SUM(C10:C27)</f>
        <v>-1203486.73</v>
      </c>
    </row>
    <row r="29" spans="1:3" x14ac:dyDescent="0.25">
      <c r="A29" s="5" t="s">
        <v>902</v>
      </c>
      <c r="B29" s="5"/>
      <c r="C29" s="5"/>
    </row>
    <row r="30" spans="1:3" x14ac:dyDescent="0.25">
      <c r="A30" s="7" t="s">
        <v>903</v>
      </c>
      <c r="B30" s="7" t="s">
        <v>899</v>
      </c>
      <c r="C30" s="7" t="s">
        <v>3</v>
      </c>
    </row>
    <row r="31" spans="1:3" x14ac:dyDescent="0.25">
      <c r="A31" s="24" cm="1">
        <f t="array" ref="A31:A113">_xlfn._xlws.FILTER('Transaction Overview'!$B$2:$B$790,(('Transaction Overview'!$E$2:$E$790="ACCT_XFER")+('Transaction Overview'!$E$2:$E$790="CHASE_TO_PARTNERFI")+('Transaction Overview'!$E$2:$E$790="QUICKPAY_DEBIT"))*('Transaction Overview'!$D$2:$D$790&lt;0))</f>
        <v>46022</v>
      </c>
      <c r="B31" s="8" t="str" cm="1">
        <f t="array" ref="B31:B113">_xlfn._xlws.FILTER('Transaction Overview'!$G$2:$G$790,(('Transaction Overview'!$E$2:$E$790="ACCT_XFER")+('Transaction Overview'!$E$2:$E$790="CHASE_TO_PARTNERFI")+('Transaction Overview'!$E$2:$E$790="QUICKPAY_DEBIT"))*('Transaction Overview'!$D$2:$D$790&lt;0))</f>
        <v>Transfer to JAL Southbend</v>
      </c>
      <c r="C31" s="13" cm="1">
        <f t="array" ref="C31:C113">_xlfn._xlws.FILTER('Transaction Overview'!$D$2:$D$790,(('Transaction Overview'!$E$2:$E$790="ACCT_XFER")+('Transaction Overview'!$E$2:$E$790="CHASE_TO_PARTNERFI")+('Transaction Overview'!$E$2:$E$790="QUICKPAY_DEBIT"))*('Transaction Overview'!$D$2:$D$790&lt;0))</f>
        <v>-33349</v>
      </c>
    </row>
    <row r="32" spans="1:3" x14ac:dyDescent="0.25">
      <c r="A32" s="24">
        <v>46008</v>
      </c>
      <c r="B32" s="8" t="str">
        <v>Transfer to DWG Capital Partners</v>
      </c>
      <c r="C32" s="13">
        <v>-20000</v>
      </c>
    </row>
    <row r="33" spans="1:3" x14ac:dyDescent="0.25">
      <c r="A33" s="24">
        <v>46007</v>
      </c>
      <c r="B33" s="8" t="str">
        <v>Transfer to Hibbert</v>
      </c>
      <c r="C33" s="13">
        <v>-8000</v>
      </c>
    </row>
    <row r="34" spans="1:3" x14ac:dyDescent="0.25">
      <c r="A34" s="24">
        <v>46007</v>
      </c>
      <c r="B34" s="8" t="str">
        <v>Office/Miscellaneous Reimbursement - Mike P.</v>
      </c>
      <c r="C34" s="13">
        <v>-65</v>
      </c>
    </row>
    <row r="35" spans="1:3" x14ac:dyDescent="0.25">
      <c r="A35" s="24">
        <v>46003</v>
      </c>
      <c r="B35" s="8" t="str">
        <v>Transfer to DWG Capital Partners</v>
      </c>
      <c r="C35" s="13">
        <v>-5000</v>
      </c>
    </row>
    <row r="36" spans="1:3" x14ac:dyDescent="0.25">
      <c r="A36" s="24">
        <v>46002</v>
      </c>
      <c r="B36" s="8" t="str">
        <v>Transfer to Hibbert</v>
      </c>
      <c r="C36" s="13">
        <v>-20000</v>
      </c>
    </row>
    <row r="37" spans="1:3" x14ac:dyDescent="0.25">
      <c r="A37" s="24">
        <v>46002</v>
      </c>
      <c r="B37" s="8" t="str">
        <v>Transfer to Kecy Metals</v>
      </c>
      <c r="C37" s="13">
        <v>-17000</v>
      </c>
    </row>
    <row r="38" spans="1:3" x14ac:dyDescent="0.25">
      <c r="A38" s="24">
        <v>46002</v>
      </c>
      <c r="B38" s="8" t="str">
        <v>Transfer to JAL Southbend</v>
      </c>
      <c r="C38" s="13">
        <v>-14000</v>
      </c>
    </row>
    <row r="39" spans="1:3" x14ac:dyDescent="0.25">
      <c r="A39" s="24">
        <v>45995</v>
      </c>
      <c r="B39" s="8" t="str">
        <v>Office/Miscellaneous Reimbursement - Mike P.</v>
      </c>
      <c r="C39" s="13">
        <v>-110</v>
      </c>
    </row>
    <row r="40" spans="1:3" x14ac:dyDescent="0.25">
      <c r="A40" s="24">
        <v>45995</v>
      </c>
      <c r="B40" s="8" t="str">
        <v>Transfer to DWG Capital Group</v>
      </c>
      <c r="C40" s="13">
        <v>-20000</v>
      </c>
    </row>
    <row r="41" spans="1:3" x14ac:dyDescent="0.25">
      <c r="A41" s="24">
        <v>45995</v>
      </c>
      <c r="B41" s="8" t="str">
        <v>Transfer to DWG Capital Group_Costar</v>
      </c>
      <c r="C41" s="13">
        <v>-1300</v>
      </c>
    </row>
    <row r="42" spans="1:3" x14ac:dyDescent="0.25">
      <c r="A42" s="24">
        <v>45994</v>
      </c>
      <c r="B42" s="8" t="str">
        <v>Transfer to DWG Capital Partners</v>
      </c>
      <c r="C42" s="13">
        <v>-500</v>
      </c>
    </row>
    <row r="43" spans="1:3" x14ac:dyDescent="0.25">
      <c r="A43" s="24">
        <v>45993</v>
      </c>
      <c r="B43" s="8" t="str">
        <v>Transfer to DWG Capital Partners</v>
      </c>
      <c r="C43" s="13">
        <v>-500</v>
      </c>
    </row>
    <row r="44" spans="1:3" x14ac:dyDescent="0.25">
      <c r="A44" s="24">
        <v>45993</v>
      </c>
      <c r="B44" s="8" t="str">
        <v>Office/Miscellaneous Reimbursement - Mike P.</v>
      </c>
      <c r="C44" s="13">
        <v>-25</v>
      </c>
    </row>
    <row r="45" spans="1:3" x14ac:dyDescent="0.25">
      <c r="A45" s="24">
        <v>45992</v>
      </c>
      <c r="B45" s="8" t="str">
        <v>Transfer to DWG Capital Partners</v>
      </c>
      <c r="C45" s="13">
        <v>-500</v>
      </c>
    </row>
    <row r="46" spans="1:3" x14ac:dyDescent="0.25">
      <c r="A46" s="24">
        <v>45992</v>
      </c>
      <c r="B46" s="8" t="str">
        <v>Transfer to DWG Capital Group</v>
      </c>
      <c r="C46" s="13">
        <v>-10000</v>
      </c>
    </row>
    <row r="47" spans="1:3" x14ac:dyDescent="0.25">
      <c r="A47" s="24">
        <v>45992</v>
      </c>
      <c r="B47" s="8" t="str">
        <v>Transfer to DWG Capital Group</v>
      </c>
      <c r="C47" s="13">
        <v>-20000</v>
      </c>
    </row>
    <row r="48" spans="1:3" x14ac:dyDescent="0.25">
      <c r="A48" s="24">
        <v>45989</v>
      </c>
      <c r="B48" s="8" t="str">
        <v>Transfer to DWG Capital Partners</v>
      </c>
      <c r="C48" s="13">
        <v>-5000</v>
      </c>
    </row>
    <row r="49" spans="1:3" x14ac:dyDescent="0.25">
      <c r="A49" s="24">
        <v>45989</v>
      </c>
      <c r="B49" s="8" t="str">
        <v>Transfer to Hibbert</v>
      </c>
      <c r="C49" s="13">
        <v>-5000</v>
      </c>
    </row>
    <row r="50" spans="1:3" x14ac:dyDescent="0.25">
      <c r="A50" s="24">
        <v>45982</v>
      </c>
      <c r="B50" s="8" t="str">
        <v>Transfer to DWG Capital Group</v>
      </c>
      <c r="C50" s="13">
        <v>-10000</v>
      </c>
    </row>
    <row r="51" spans="1:3" x14ac:dyDescent="0.25">
      <c r="A51" s="24">
        <v>45978</v>
      </c>
      <c r="B51" s="8" t="str">
        <v>Transfer to DWG Capital Group</v>
      </c>
      <c r="C51" s="13">
        <v>-15000</v>
      </c>
    </row>
    <row r="52" spans="1:3" x14ac:dyDescent="0.25">
      <c r="A52" s="24">
        <v>45978</v>
      </c>
      <c r="B52" s="8" t="str">
        <v>Transfer to DWG Capital Group</v>
      </c>
      <c r="C52" s="13">
        <v>-10000</v>
      </c>
    </row>
    <row r="53" spans="1:3" x14ac:dyDescent="0.25">
      <c r="A53" s="24">
        <v>45974</v>
      </c>
      <c r="B53" s="8" t="str">
        <v>Office/Miscellaneous Reimbursement - Mike P.</v>
      </c>
      <c r="C53" s="13">
        <v>-75</v>
      </c>
    </row>
    <row r="54" spans="1:3" x14ac:dyDescent="0.25">
      <c r="A54" s="24">
        <v>45974</v>
      </c>
      <c r="B54" s="8" t="str">
        <v>Transfer to DWG Capital Partners</v>
      </c>
      <c r="C54" s="13">
        <v>-5000</v>
      </c>
    </row>
    <row r="55" spans="1:3" x14ac:dyDescent="0.25">
      <c r="A55" s="24">
        <v>45971</v>
      </c>
      <c r="B55" s="8" t="str">
        <v>Office/Miscellaneous Reimbursement - Mike P.</v>
      </c>
      <c r="C55" s="13">
        <v>-125</v>
      </c>
    </row>
    <row r="56" spans="1:3" x14ac:dyDescent="0.25">
      <c r="A56" s="24">
        <v>45966</v>
      </c>
      <c r="B56" s="8" t="str">
        <v>Transfer to DWG Capital Group</v>
      </c>
      <c r="C56" s="13">
        <v>-10000</v>
      </c>
    </row>
    <row r="57" spans="1:3" x14ac:dyDescent="0.25">
      <c r="A57" s="24">
        <v>45966</v>
      </c>
      <c r="B57" s="8" t="str">
        <v>Office/Miscellaneous Reimbursement - Mike P.</v>
      </c>
      <c r="C57" s="13">
        <v>-32</v>
      </c>
    </row>
    <row r="58" spans="1:3" x14ac:dyDescent="0.25">
      <c r="A58" s="24">
        <v>45964</v>
      </c>
      <c r="B58" s="8" t="str">
        <v>Office/Miscellaneous Reimbursement - Mike P.</v>
      </c>
      <c r="C58" s="13">
        <v>-165</v>
      </c>
    </row>
    <row r="59" spans="1:3" x14ac:dyDescent="0.25">
      <c r="A59" s="24">
        <v>45964</v>
      </c>
      <c r="B59" s="8" t="str">
        <v>Transfer to DWG Capital Group</v>
      </c>
      <c r="C59" s="13">
        <v>-20000</v>
      </c>
    </row>
    <row r="60" spans="1:3" x14ac:dyDescent="0.25">
      <c r="A60" s="24">
        <v>45960</v>
      </c>
      <c r="B60" s="8" t="str">
        <v>Zelle to Ashley Sarshar</v>
      </c>
      <c r="C60" s="13">
        <v>-22</v>
      </c>
    </row>
    <row r="61" spans="1:3" x14ac:dyDescent="0.25">
      <c r="A61" s="24">
        <v>45960</v>
      </c>
      <c r="B61" s="8" t="str">
        <v>Transfer to DWG Capital Partners</v>
      </c>
      <c r="C61" s="13">
        <v>-5000</v>
      </c>
    </row>
    <row r="62" spans="1:3" x14ac:dyDescent="0.25">
      <c r="A62" s="24">
        <v>45959</v>
      </c>
      <c r="B62" s="8" t="str">
        <v>Office/Miscellaneous Reimbursement - Mike P.</v>
      </c>
      <c r="C62" s="13">
        <v>-145</v>
      </c>
    </row>
    <row r="63" spans="1:3" x14ac:dyDescent="0.25">
      <c r="A63" s="24">
        <v>45958</v>
      </c>
      <c r="B63" s="8" t="str">
        <v>Transfer to DWG Capital Group</v>
      </c>
      <c r="C63" s="13">
        <v>-30000</v>
      </c>
    </row>
    <row r="64" spans="1:3" x14ac:dyDescent="0.25">
      <c r="A64" s="24">
        <v>45957</v>
      </c>
      <c r="B64" s="8" t="str">
        <v>Office/Miscellaneous Reimbursement - Mike P.</v>
      </c>
      <c r="C64" s="13">
        <v>-130</v>
      </c>
    </row>
    <row r="65" spans="1:3" x14ac:dyDescent="0.25">
      <c r="A65" s="24">
        <v>45953</v>
      </c>
      <c r="B65" s="8" t="str">
        <v>Zelle to Ashley Sarshar</v>
      </c>
      <c r="C65" s="13">
        <v>-225</v>
      </c>
    </row>
    <row r="66" spans="1:3" x14ac:dyDescent="0.25">
      <c r="A66" s="24">
        <v>45952</v>
      </c>
      <c r="B66" s="8" t="str">
        <v>Zelle to Rami Frankl</v>
      </c>
      <c r="C66" s="13">
        <v>-500</v>
      </c>
    </row>
    <row r="67" spans="1:3" x14ac:dyDescent="0.25">
      <c r="A67" s="24">
        <v>45944</v>
      </c>
      <c r="B67" s="8" t="str">
        <v>Zelle to David Goldsmith</v>
      </c>
      <c r="C67" s="13">
        <v>-500</v>
      </c>
    </row>
    <row r="68" spans="1:3" x14ac:dyDescent="0.25">
      <c r="A68" s="24">
        <v>45944</v>
      </c>
      <c r="B68" s="8" t="str">
        <v>Transfer to DWG Capital Partners</v>
      </c>
      <c r="C68" s="13">
        <v>-5000</v>
      </c>
    </row>
    <row r="69" spans="1:3" x14ac:dyDescent="0.25">
      <c r="A69" s="24">
        <v>45944</v>
      </c>
      <c r="B69" s="8" t="str">
        <v>Transfer to DWG Capital Group</v>
      </c>
      <c r="C69" s="13">
        <v>-30000</v>
      </c>
    </row>
    <row r="70" spans="1:3" x14ac:dyDescent="0.25">
      <c r="A70" s="24">
        <v>45931</v>
      </c>
      <c r="B70" s="8" t="str">
        <v>Transfer to DWG Capital Group</v>
      </c>
      <c r="C70" s="13">
        <v>-25000</v>
      </c>
    </row>
    <row r="71" spans="1:3" x14ac:dyDescent="0.25">
      <c r="A71" s="24">
        <v>45925</v>
      </c>
      <c r="B71" s="8" t="str">
        <v>Transfer to Kalkaska Screw</v>
      </c>
      <c r="C71" s="13">
        <v>-12800</v>
      </c>
    </row>
    <row r="72" spans="1:3" x14ac:dyDescent="0.25">
      <c r="A72" s="24">
        <v>45919</v>
      </c>
      <c r="B72" s="8" t="str">
        <v>Transfer to DWG Capital Group_Costar</v>
      </c>
      <c r="C72" s="13">
        <v>-5150</v>
      </c>
    </row>
    <row r="73" spans="1:3" x14ac:dyDescent="0.25">
      <c r="A73" s="24">
        <v>45915</v>
      </c>
      <c r="B73" s="8" t="str">
        <v>Transfer to DWG Capital Group</v>
      </c>
      <c r="C73" s="13">
        <v>-30000</v>
      </c>
    </row>
    <row r="74" spans="1:3" x14ac:dyDescent="0.25">
      <c r="A74" s="24">
        <v>45910</v>
      </c>
      <c r="B74" s="8" t="str">
        <v>Transfer to Hibbert</v>
      </c>
      <c r="C74" s="13">
        <v>-418.73</v>
      </c>
    </row>
    <row r="75" spans="1:3" x14ac:dyDescent="0.25">
      <c r="A75" s="24">
        <v>45910</v>
      </c>
      <c r="B75" s="8" t="str">
        <v>Transfer to DWG Capital Partners</v>
      </c>
      <c r="C75" s="13">
        <v>-50000</v>
      </c>
    </row>
    <row r="76" spans="1:3" x14ac:dyDescent="0.25">
      <c r="A76" s="24">
        <v>45908</v>
      </c>
      <c r="B76" s="8" t="str">
        <v>Transfer to Ava</v>
      </c>
      <c r="C76" s="13">
        <v>-500</v>
      </c>
    </row>
    <row r="77" spans="1:3" x14ac:dyDescent="0.25">
      <c r="A77" s="24">
        <v>45905</v>
      </c>
      <c r="B77" s="8" t="str">
        <v>Transfer to DWG Capital Group</v>
      </c>
      <c r="C77" s="13">
        <v>-20000</v>
      </c>
    </row>
    <row r="78" spans="1:3" x14ac:dyDescent="0.25">
      <c r="A78" s="24">
        <v>45898</v>
      </c>
      <c r="B78" s="8" t="str">
        <v>Transfer to DWG Capital Group</v>
      </c>
      <c r="C78" s="13">
        <v>-30000</v>
      </c>
    </row>
    <row r="79" spans="1:3" x14ac:dyDescent="0.25">
      <c r="A79" s="24">
        <v>45897</v>
      </c>
      <c r="B79" s="8" t="str">
        <v>Transfer to DWG Capital Partners</v>
      </c>
      <c r="C79" s="13">
        <v>-20000</v>
      </c>
    </row>
    <row r="80" spans="1:3" x14ac:dyDescent="0.25">
      <c r="A80" s="24">
        <v>45891</v>
      </c>
      <c r="B80" s="8" t="str">
        <v>Zelle to Mark Atkins</v>
      </c>
      <c r="C80" s="13">
        <v>-500</v>
      </c>
    </row>
    <row r="81" spans="1:3" x14ac:dyDescent="0.25">
      <c r="A81" s="24">
        <v>45877</v>
      </c>
      <c r="B81" s="8" t="str">
        <v>Outgoing wire to JC Whitner</v>
      </c>
      <c r="C81" s="13">
        <v>-7500</v>
      </c>
    </row>
    <row r="82" spans="1:3" x14ac:dyDescent="0.25">
      <c r="A82" s="24">
        <v>45863</v>
      </c>
      <c r="B82" s="8" t="str">
        <v>Transfer to DWG Capital Group</v>
      </c>
      <c r="C82" s="13">
        <v>-20000</v>
      </c>
    </row>
    <row r="83" spans="1:3" x14ac:dyDescent="0.25">
      <c r="A83" s="24">
        <v>45862</v>
      </c>
      <c r="B83" s="8" t="str">
        <v>Zelle to Sentha</v>
      </c>
      <c r="C83" s="13">
        <v>-350</v>
      </c>
    </row>
    <row r="84" spans="1:3" x14ac:dyDescent="0.25">
      <c r="A84" s="24">
        <v>45860</v>
      </c>
      <c r="B84" s="8" t="str">
        <v>Transfer to DWG Capital Group</v>
      </c>
      <c r="C84" s="13">
        <v>-20000</v>
      </c>
    </row>
    <row r="85" spans="1:3" x14ac:dyDescent="0.25">
      <c r="A85" s="24">
        <v>45859</v>
      </c>
      <c r="B85" s="8" t="str">
        <v>Transfer to DWG Capital Partners</v>
      </c>
      <c r="C85" s="13">
        <v>-10000</v>
      </c>
    </row>
    <row r="86" spans="1:3" x14ac:dyDescent="0.25">
      <c r="A86" s="24">
        <v>45854</v>
      </c>
      <c r="B86" s="8" t="str">
        <v>Transfer to DWG Capital Group</v>
      </c>
      <c r="C86" s="13">
        <v>-20000</v>
      </c>
    </row>
    <row r="87" spans="1:3" x14ac:dyDescent="0.25">
      <c r="A87" s="24">
        <v>45852</v>
      </c>
      <c r="B87" s="8" t="str">
        <v>Transfer to DWG Capital Partners</v>
      </c>
      <c r="C87" s="13">
        <v>-50000</v>
      </c>
    </row>
    <row r="88" spans="1:3" x14ac:dyDescent="0.25">
      <c r="A88" s="24">
        <v>45845</v>
      </c>
      <c r="B88" s="8" t="str">
        <v>Transfer to DWG Capital Group</v>
      </c>
      <c r="C88" s="13">
        <v>-20000</v>
      </c>
    </row>
    <row r="89" spans="1:3" x14ac:dyDescent="0.25">
      <c r="A89" s="24">
        <v>45841</v>
      </c>
      <c r="B89" s="8" t="str">
        <v>Transfer to JAL Southbend</v>
      </c>
      <c r="C89" s="13">
        <v>-10000</v>
      </c>
    </row>
    <row r="90" spans="1:3" x14ac:dyDescent="0.25">
      <c r="A90" s="24">
        <v>45839</v>
      </c>
      <c r="B90" s="8" t="str">
        <v>Transfer to DWG Capital Partners</v>
      </c>
      <c r="C90" s="13">
        <v>-5000</v>
      </c>
    </row>
    <row r="91" spans="1:3" x14ac:dyDescent="0.25">
      <c r="A91" s="24">
        <v>45819</v>
      </c>
      <c r="B91" s="8" t="str">
        <v>Transfer to DWG Capital Group</v>
      </c>
      <c r="C91" s="13">
        <v>-43000</v>
      </c>
    </row>
    <row r="92" spans="1:3" x14ac:dyDescent="0.25">
      <c r="A92" s="24">
        <v>45814</v>
      </c>
      <c r="B92" s="8" t="str">
        <v>Transfer to DWG Capital Partners</v>
      </c>
      <c r="C92" s="13">
        <v>-20000</v>
      </c>
    </row>
    <row r="93" spans="1:3" x14ac:dyDescent="0.25">
      <c r="A93" s="24">
        <v>45813</v>
      </c>
      <c r="B93" s="8" t="str">
        <v>Transfer to T&amp;T Machine</v>
      </c>
      <c r="C93" s="13">
        <v>-20000</v>
      </c>
    </row>
    <row r="94" spans="1:3" x14ac:dyDescent="0.25">
      <c r="A94" s="24">
        <v>45810</v>
      </c>
      <c r="B94" s="8" t="str">
        <v>Transfer to DWG Capital Group</v>
      </c>
      <c r="C94" s="13">
        <v>-20000</v>
      </c>
    </row>
    <row r="95" spans="1:3" x14ac:dyDescent="0.25">
      <c r="A95" s="24">
        <v>45804</v>
      </c>
      <c r="B95" s="8" t="str">
        <v>Transfer to Angela Dunning</v>
      </c>
      <c r="C95" s="13">
        <v>-1000</v>
      </c>
    </row>
    <row r="96" spans="1:3" x14ac:dyDescent="0.25">
      <c r="A96" s="24">
        <v>45798</v>
      </c>
      <c r="B96" s="8" t="str">
        <v>Transfer to DWG Capital Group</v>
      </c>
      <c r="C96" s="13">
        <v>-20000</v>
      </c>
    </row>
    <row r="97" spans="1:3" x14ac:dyDescent="0.25">
      <c r="A97" s="24">
        <v>45790</v>
      </c>
      <c r="B97" s="8" t="str">
        <v>Transfer to Hibbert</v>
      </c>
      <c r="C97" s="13">
        <v>-17500</v>
      </c>
    </row>
    <row r="98" spans="1:3" x14ac:dyDescent="0.25">
      <c r="A98" s="24">
        <v>45790</v>
      </c>
      <c r="B98" s="8" t="str">
        <v>Transfer to DWG Capital Group</v>
      </c>
      <c r="C98" s="13">
        <v>-10000</v>
      </c>
    </row>
    <row r="99" spans="1:3" x14ac:dyDescent="0.25">
      <c r="A99" s="24">
        <v>45784</v>
      </c>
      <c r="B99" s="8" t="str">
        <v>Transfer to DWG Capital Group</v>
      </c>
      <c r="C99" s="13">
        <v>-10000</v>
      </c>
    </row>
    <row r="100" spans="1:3" x14ac:dyDescent="0.25">
      <c r="A100" s="24">
        <v>45776</v>
      </c>
      <c r="B100" s="8" t="str">
        <v>Transfer to DWG Capital Group</v>
      </c>
      <c r="C100" s="13">
        <v>-30000</v>
      </c>
    </row>
    <row r="101" spans="1:3" x14ac:dyDescent="0.25">
      <c r="A101" s="24">
        <v>45768</v>
      </c>
      <c r="B101" s="8" t="str">
        <v>Transfer to DWG Capital Partners</v>
      </c>
      <c r="C101" s="13">
        <v>-30000</v>
      </c>
    </row>
    <row r="102" spans="1:3" x14ac:dyDescent="0.25">
      <c r="A102" s="24">
        <v>45747</v>
      </c>
      <c r="B102" s="8" t="str">
        <v>Transfer to DWG Capital Group</v>
      </c>
      <c r="C102" s="13">
        <v>-15000</v>
      </c>
    </row>
    <row r="103" spans="1:3" x14ac:dyDescent="0.25">
      <c r="A103" s="24">
        <v>45747</v>
      </c>
      <c r="B103" s="8" t="str">
        <v>Transfer to DWG Capital Group</v>
      </c>
      <c r="C103" s="13">
        <v>-20000</v>
      </c>
    </row>
    <row r="104" spans="1:3" x14ac:dyDescent="0.25">
      <c r="A104" s="24">
        <v>45744</v>
      </c>
      <c r="B104" s="8" t="str">
        <v>Transfer to DWG Capital Group</v>
      </c>
      <c r="C104" s="13">
        <v>-30000</v>
      </c>
    </row>
    <row r="105" spans="1:3" x14ac:dyDescent="0.25">
      <c r="A105" s="24">
        <v>45729</v>
      </c>
      <c r="B105" s="8" t="str">
        <v>Transfer to DWG Capital Partners</v>
      </c>
      <c r="C105" s="13">
        <v>-40000</v>
      </c>
    </row>
    <row r="106" spans="1:3" x14ac:dyDescent="0.25">
      <c r="A106" s="24">
        <v>45728</v>
      </c>
      <c r="B106" s="8" t="str">
        <v>Transfer to DWG Capital Group</v>
      </c>
      <c r="C106" s="13">
        <v>-20000</v>
      </c>
    </row>
    <row r="107" spans="1:3" x14ac:dyDescent="0.25">
      <c r="A107" s="24">
        <v>45722</v>
      </c>
      <c r="B107" s="8" t="str">
        <v>Transfer to DWG Capital Group</v>
      </c>
      <c r="C107" s="13">
        <v>-20000</v>
      </c>
    </row>
    <row r="108" spans="1:3" x14ac:dyDescent="0.25">
      <c r="A108" s="24">
        <v>45715</v>
      </c>
      <c r="B108" s="8" t="str">
        <v>Transfer to DWG Capital Group</v>
      </c>
      <c r="C108" s="13">
        <v>-20000</v>
      </c>
    </row>
    <row r="109" spans="1:3" x14ac:dyDescent="0.25">
      <c r="A109" s="24">
        <v>45706</v>
      </c>
      <c r="B109" s="8" t="str">
        <v>Transfer to DWG Capital Group</v>
      </c>
      <c r="C109" s="13">
        <v>-20000</v>
      </c>
    </row>
    <row r="110" spans="1:3" x14ac:dyDescent="0.25">
      <c r="A110" s="24">
        <v>45691</v>
      </c>
      <c r="B110" s="8" t="str">
        <v>Transfer to DWG Capital Group</v>
      </c>
      <c r="C110" s="13">
        <v>-10000</v>
      </c>
    </row>
    <row r="111" spans="1:3" x14ac:dyDescent="0.25">
      <c r="A111" s="24">
        <v>45687</v>
      </c>
      <c r="B111" s="8" t="str">
        <v>Transfer to DWG Capital Group</v>
      </c>
      <c r="C111" s="13">
        <v>-10000</v>
      </c>
    </row>
    <row r="112" spans="1:3" x14ac:dyDescent="0.25">
      <c r="A112" s="24">
        <v>45684</v>
      </c>
      <c r="B112" s="8" t="str">
        <v>Transfer to DWG Capital Group</v>
      </c>
      <c r="C112" s="13">
        <v>-20000</v>
      </c>
    </row>
    <row r="113" spans="1:3" x14ac:dyDescent="0.25">
      <c r="A113" s="24">
        <v>45671</v>
      </c>
      <c r="B113" s="8" t="str">
        <v>Transfer to Edgebuilders</v>
      </c>
      <c r="C113" s="13">
        <v>-50000</v>
      </c>
    </row>
    <row r="114" spans="1:3" x14ac:dyDescent="0.25">
      <c r="A114" s="24"/>
      <c r="B114" s="8"/>
      <c r="C114" s="13"/>
    </row>
    <row r="115" spans="1:3" x14ac:dyDescent="0.25">
      <c r="A115" s="24"/>
      <c r="B115" s="8"/>
      <c r="C115" s="13"/>
    </row>
    <row r="116" spans="1:3" x14ac:dyDescent="0.25">
      <c r="A116" s="24"/>
      <c r="B116" s="8"/>
      <c r="C116" s="13"/>
    </row>
    <row r="117" spans="1:3" x14ac:dyDescent="0.25">
      <c r="A117" s="24"/>
      <c r="B117" s="8"/>
      <c r="C117" s="13"/>
    </row>
    <row r="118" spans="1:3" x14ac:dyDescent="0.25">
      <c r="A118" s="24"/>
      <c r="B118" s="8"/>
      <c r="C118" s="13"/>
    </row>
    <row r="119" spans="1:3" x14ac:dyDescent="0.25">
      <c r="A119" s="24"/>
      <c r="B119" s="8"/>
      <c r="C119" s="13"/>
    </row>
    <row r="120" spans="1:3" x14ac:dyDescent="0.25">
      <c r="A120" s="24"/>
      <c r="B120" s="8"/>
      <c r="C120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57C1-F526-4BB1-B513-671ED8A60C35}">
  <dimension ref="A1:C73"/>
  <sheetViews>
    <sheetView workbookViewId="0"/>
  </sheetViews>
  <sheetFormatPr defaultRowHeight="15" x14ac:dyDescent="0.25"/>
  <cols>
    <col min="1" max="1" width="49.28515625" bestFit="1" customWidth="1"/>
    <col min="2" max="2" width="48.7109375" bestFit="1" customWidth="1"/>
    <col min="3" max="3" width="10.140625" bestFit="1" customWidth="1"/>
  </cols>
  <sheetData>
    <row r="1" spans="1:3" ht="21" x14ac:dyDescent="0.35">
      <c r="A1" s="6" t="s">
        <v>909</v>
      </c>
      <c r="B1" s="6"/>
      <c r="C1" s="6"/>
    </row>
    <row r="2" spans="1:3" x14ac:dyDescent="0.25">
      <c r="A2" s="25" t="s">
        <v>895</v>
      </c>
      <c r="B2" s="4"/>
      <c r="C2" s="4"/>
    </row>
    <row r="4" spans="1:3" x14ac:dyDescent="0.25">
      <c r="A4" s="5" t="s">
        <v>896</v>
      </c>
      <c r="B4" s="5"/>
      <c r="C4" s="5"/>
    </row>
    <row r="5" spans="1:3" x14ac:dyDescent="0.25">
      <c r="A5" s="8" t="s">
        <v>892</v>
      </c>
      <c r="B5" s="8"/>
      <c r="C5" s="13">
        <f>SUMIFS('Transaction Overview'!$D$2:$D$790,'Transaction Overview'!$E$2:$E$790,"WIRE_INCOMING")</f>
        <v>1888938.62</v>
      </c>
    </row>
    <row r="6" spans="1:3" x14ac:dyDescent="0.25">
      <c r="A6" s="8" t="s">
        <v>897</v>
      </c>
      <c r="B6" s="8"/>
      <c r="C6" s="23">
        <f>COUNTIFS('Transaction Overview'!$E$2:$E$790,"WIRE_INCOMING")</f>
        <v>21</v>
      </c>
    </row>
    <row r="8" spans="1:3" x14ac:dyDescent="0.25">
      <c r="A8" s="5" t="s">
        <v>898</v>
      </c>
      <c r="B8" s="5"/>
      <c r="C8" s="5"/>
    </row>
    <row r="9" spans="1:3" x14ac:dyDescent="0.25">
      <c r="A9" s="7" t="s">
        <v>899</v>
      </c>
      <c r="B9" s="7" t="s">
        <v>900</v>
      </c>
      <c r="C9" s="7" t="s">
        <v>3</v>
      </c>
    </row>
    <row r="10" spans="1:3" x14ac:dyDescent="0.25">
      <c r="A10" s="8" t="s">
        <v>825</v>
      </c>
      <c r="B10" s="8">
        <f>COUNTIFS('Transaction Overview'!$G$2:$G$790,$A10,'Transaction Overview'!$E$2:$E$790,"WIRE_INCOMING")</f>
        <v>1</v>
      </c>
      <c r="C10" s="13">
        <f>SUMIFS('Transaction Overview'!$D$2:$D$790,'Transaction Overview'!$G$2:$G$790,$A10,'Transaction Overview'!$E$2:$E$790,"WIRE_INCOMING")</f>
        <v>625000</v>
      </c>
    </row>
    <row r="11" spans="1:3" x14ac:dyDescent="0.25">
      <c r="A11" s="8" t="s">
        <v>806</v>
      </c>
      <c r="B11" s="8">
        <f>COUNTIFS('Transaction Overview'!$G$2:$G$790,$A11,'Transaction Overview'!$E$2:$E$790,"WIRE_INCOMING")</f>
        <v>3</v>
      </c>
      <c r="C11" s="13">
        <f>SUMIFS('Transaction Overview'!$D$2:$D$790,'Transaction Overview'!$G$2:$G$790,$A11,'Transaction Overview'!$E$2:$E$790,"WIRE_INCOMING")</f>
        <v>269473.73</v>
      </c>
    </row>
    <row r="12" spans="1:3" x14ac:dyDescent="0.25">
      <c r="A12" s="8" t="s">
        <v>794</v>
      </c>
      <c r="B12" s="8">
        <f>COUNTIFS('Transaction Overview'!$G$2:$G$790,$A12,'Transaction Overview'!$E$2:$E$790,"WIRE_INCOMING")</f>
        <v>2</v>
      </c>
      <c r="C12" s="13">
        <f>SUMIFS('Transaction Overview'!$D$2:$D$790,'Transaction Overview'!$G$2:$G$790,$A12,'Transaction Overview'!$E$2:$E$790,"WIRE_INCOMING")</f>
        <v>164150.5</v>
      </c>
    </row>
    <row r="13" spans="1:3" x14ac:dyDescent="0.25">
      <c r="A13" s="8" t="s">
        <v>790</v>
      </c>
      <c r="B13" s="8">
        <f>COUNTIFS('Transaction Overview'!$G$2:$G$790,$A13,'Transaction Overview'!$E$2:$E$790,"WIRE_INCOMING")</f>
        <v>2</v>
      </c>
      <c r="C13" s="13">
        <f>SUMIFS('Transaction Overview'!$D$2:$D$790,'Transaction Overview'!$G$2:$G$790,$A13,'Transaction Overview'!$E$2:$E$790,"WIRE_INCOMING")</f>
        <v>148250</v>
      </c>
    </row>
    <row r="14" spans="1:3" x14ac:dyDescent="0.25">
      <c r="A14" s="8" t="s">
        <v>798</v>
      </c>
      <c r="B14" s="8">
        <f>COUNTIFS('Transaction Overview'!$G$2:$G$790,$A14,'Transaction Overview'!$E$2:$E$790,"WIRE_INCOMING")</f>
        <v>2</v>
      </c>
      <c r="C14" s="13">
        <f>SUMIFS('Transaction Overview'!$D$2:$D$790,'Transaction Overview'!$G$2:$G$790,$A14,'Transaction Overview'!$E$2:$E$790,"WIRE_INCOMING")</f>
        <v>133875</v>
      </c>
    </row>
    <row r="15" spans="1:3" x14ac:dyDescent="0.25">
      <c r="A15" s="8" t="s">
        <v>827</v>
      </c>
      <c r="B15" s="8">
        <f>COUNTIFS('Transaction Overview'!$G$2:$G$790,$A15,'Transaction Overview'!$E$2:$E$790,"WIRE_INCOMING")</f>
        <v>4</v>
      </c>
      <c r="C15" s="13">
        <f>SUMIFS('Transaction Overview'!$D$2:$D$790,'Transaction Overview'!$G$2:$G$790,$A15,'Transaction Overview'!$E$2:$E$790,"WIRE_INCOMING")</f>
        <v>318189.39</v>
      </c>
    </row>
    <row r="16" spans="1:3" x14ac:dyDescent="0.25">
      <c r="A16" s="8" t="s">
        <v>804</v>
      </c>
      <c r="B16" s="8">
        <f>COUNTIFS('Transaction Overview'!$G$2:$G$790,$A16,'Transaction Overview'!$E$2:$E$790,"WIRE_INCOMING")</f>
        <v>1</v>
      </c>
      <c r="C16" s="13">
        <f>SUMIFS('Transaction Overview'!$D$2:$D$790,'Transaction Overview'!$G$2:$G$790,$A16,'Transaction Overview'!$E$2:$E$790,"WIRE_INCOMING")</f>
        <v>100000</v>
      </c>
    </row>
    <row r="17" spans="1:3" x14ac:dyDescent="0.25">
      <c r="A17" s="8" t="s">
        <v>815</v>
      </c>
      <c r="B17" s="8">
        <f>COUNTIFS('Transaction Overview'!$G$2:$G$790,$A17,'Transaction Overview'!$E$2:$E$790,"WIRE_INCOMING")</f>
        <v>1</v>
      </c>
      <c r="C17" s="13">
        <f>SUMIFS('Transaction Overview'!$D$2:$D$790,'Transaction Overview'!$G$2:$G$790,$A17,'Transaction Overview'!$E$2:$E$790,"WIRE_INCOMING")</f>
        <v>20000</v>
      </c>
    </row>
    <row r="18" spans="1:3" x14ac:dyDescent="0.25">
      <c r="A18" s="8" t="s">
        <v>793</v>
      </c>
      <c r="B18" s="8">
        <f>COUNTIFS('Transaction Overview'!$G$2:$G$790,$A18,'Transaction Overview'!$E$2:$E$790,"WIRE_INCOMING")</f>
        <v>4</v>
      </c>
      <c r="C18" s="13">
        <f>SUMIFS('Transaction Overview'!$D$2:$D$790,'Transaction Overview'!$G$2:$G$790,$A18,'Transaction Overview'!$E$2:$E$790,"WIRE_INCOMING")</f>
        <v>35000</v>
      </c>
    </row>
    <row r="19" spans="1:3" x14ac:dyDescent="0.25">
      <c r="A19" s="8" t="s">
        <v>833</v>
      </c>
      <c r="B19" s="8">
        <f>COUNTIFS('Transaction Overview'!$G$2:$G$790,$A19,'Transaction Overview'!$E$2:$E$790,"WIRE_INCOMING")</f>
        <v>1</v>
      </c>
      <c r="C19" s="13">
        <f>SUMIFS('Transaction Overview'!$D$2:$D$790,'Transaction Overview'!$G$2:$G$790,$A19,'Transaction Overview'!$E$2:$E$790,"WIRE_INCOMING")</f>
        <v>75000</v>
      </c>
    </row>
    <row r="20" spans="1:3" x14ac:dyDescent="0.25">
      <c r="A20" s="11" t="s">
        <v>901</v>
      </c>
      <c r="B20" s="11">
        <f>SUM(B10:B19)</f>
        <v>21</v>
      </c>
      <c r="C20" s="20">
        <f>SUM(C10:C19)</f>
        <v>1888938.62</v>
      </c>
    </row>
    <row r="21" spans="1:3" x14ac:dyDescent="0.25">
      <c r="A21" s="5" t="s">
        <v>902</v>
      </c>
      <c r="B21" s="5"/>
      <c r="C21" s="5"/>
    </row>
    <row r="22" spans="1:3" x14ac:dyDescent="0.25">
      <c r="A22" s="7" t="s">
        <v>903</v>
      </c>
      <c r="B22" s="7" t="s">
        <v>899</v>
      </c>
      <c r="C22" s="7" t="s">
        <v>3</v>
      </c>
    </row>
    <row r="23" spans="1:3" x14ac:dyDescent="0.25">
      <c r="A23" s="24" cm="1">
        <f t="array" ref="A23:A43">_xlfn._xlws.FILTER('Transaction Overview'!$B$2:$B$790,('Transaction Overview'!$E$2:$E$790="WIRE_INCOMING"))</f>
        <v>46008</v>
      </c>
      <c r="B23" s="8" t="str" cm="1">
        <f t="array" ref="B23:B43">_xlfn._xlws.FILTER('Transaction Overview'!$G$2:$G$790,('Transaction Overview'!$E$2:$E$790="WIRE_INCOMING"))</f>
        <v>Deal Specific: Moab</v>
      </c>
      <c r="C23" s="13" cm="1">
        <f t="array" ref="C23:C43">_xlfn._xlws.FILTER('Transaction Overview'!$D$2:$D$790,('Transaction Overview'!$E$2:$E$790="WIRE_INCOMING"))</f>
        <v>625000</v>
      </c>
    </row>
    <row r="24" spans="1:3" x14ac:dyDescent="0.25">
      <c r="A24" s="24">
        <v>46003</v>
      </c>
      <c r="B24" s="8" t="str">
        <v>MAG Capital Partners Pass-Through Wire – 70/30 Split</v>
      </c>
      <c r="C24" s="13">
        <v>75000</v>
      </c>
    </row>
    <row r="25" spans="1:3" x14ac:dyDescent="0.25">
      <c r="A25" s="24">
        <v>45993</v>
      </c>
      <c r="B25" s="8" t="str">
        <v>Incoming Commission: Stryten Energy</v>
      </c>
      <c r="C25" s="13">
        <v>50000</v>
      </c>
    </row>
    <row r="26" spans="1:3" x14ac:dyDescent="0.25">
      <c r="A26" s="24">
        <v>45993</v>
      </c>
      <c r="B26" s="8" t="str">
        <v>Incoming Commission: Stryten Energy</v>
      </c>
      <c r="C26" s="13">
        <v>75750</v>
      </c>
    </row>
    <row r="27" spans="1:3" x14ac:dyDescent="0.25">
      <c r="A27" s="24">
        <v>45992</v>
      </c>
      <c r="B27" s="8" t="str">
        <v>Incoming Commission: Stryten Energy</v>
      </c>
      <c r="C27" s="13">
        <v>75750</v>
      </c>
    </row>
    <row r="28" spans="1:3" x14ac:dyDescent="0.25">
      <c r="A28" s="24">
        <v>45992</v>
      </c>
      <c r="B28" s="8" t="str">
        <v>Incoming Commission: Stryten Energy</v>
      </c>
      <c r="C28" s="13">
        <v>116689.39</v>
      </c>
    </row>
    <row r="29" spans="1:3" x14ac:dyDescent="0.25">
      <c r="A29" s="24">
        <v>45884</v>
      </c>
      <c r="B29" s="8" t="str">
        <v>Incoming wire from JC Whitner</v>
      </c>
      <c r="C29" s="13">
        <v>20000</v>
      </c>
    </row>
    <row r="30" spans="1:3" x14ac:dyDescent="0.25">
      <c r="A30" s="24">
        <v>45853</v>
      </c>
      <c r="B30" s="8" t="str">
        <v>Incoming Commission: Breese</v>
      </c>
      <c r="C30" s="13">
        <v>6973.73</v>
      </c>
    </row>
    <row r="31" spans="1:3" x14ac:dyDescent="0.25">
      <c r="A31" s="24">
        <v>45848</v>
      </c>
      <c r="B31" s="8" t="str">
        <v>Incoming Commission: Breese</v>
      </c>
      <c r="C31" s="13">
        <v>52500</v>
      </c>
    </row>
    <row r="32" spans="1:3" x14ac:dyDescent="0.25">
      <c r="A32" s="24">
        <v>45848</v>
      </c>
      <c r="B32" s="8" t="str">
        <v>Incoming Commission: Breese</v>
      </c>
      <c r="C32" s="13">
        <v>210000</v>
      </c>
    </row>
    <row r="33" spans="1:3" x14ac:dyDescent="0.25">
      <c r="A33" s="24">
        <v>45821</v>
      </c>
      <c r="B33" s="8" t="str">
        <v>Incoming Crystal Asset Management Wire</v>
      </c>
      <c r="C33" s="13">
        <v>100000</v>
      </c>
    </row>
    <row r="34" spans="1:3" x14ac:dyDescent="0.25">
      <c r="A34" s="24">
        <v>45775</v>
      </c>
      <c r="B34" s="8" t="str">
        <v>Incoming Commission: Kalkaska Screw</v>
      </c>
      <c r="C34" s="13">
        <v>26775</v>
      </c>
    </row>
    <row r="35" spans="1:3" x14ac:dyDescent="0.25">
      <c r="A35" s="24">
        <v>45775</v>
      </c>
      <c r="B35" s="8" t="str">
        <v>Incoming Commission: Kalkaska Screw</v>
      </c>
      <c r="C35" s="13">
        <v>107100</v>
      </c>
    </row>
    <row r="36" spans="1:3" x14ac:dyDescent="0.25">
      <c r="A36" s="24">
        <v>45719</v>
      </c>
      <c r="B36" s="8" t="str">
        <v>Incoming Commission: Butler Weldments</v>
      </c>
      <c r="C36" s="13">
        <v>32830</v>
      </c>
    </row>
    <row r="37" spans="1:3" x14ac:dyDescent="0.25">
      <c r="A37" s="24">
        <v>45719</v>
      </c>
      <c r="B37" s="8" t="str">
        <v>Incoming Commission: Butler Weldments</v>
      </c>
      <c r="C37" s="13">
        <v>131320.5</v>
      </c>
    </row>
    <row r="38" spans="1:3" x14ac:dyDescent="0.25">
      <c r="A38" s="24">
        <v>45716</v>
      </c>
      <c r="B38" s="8" t="str">
        <v>MAG - Admeer Advisory Reimbursement</v>
      </c>
      <c r="C38" s="13">
        <v>5000</v>
      </c>
    </row>
    <row r="39" spans="1:3" x14ac:dyDescent="0.25">
      <c r="A39" s="24">
        <v>45693</v>
      </c>
      <c r="B39" s="8" t="str">
        <v>MAG - Admeer Advisory Reimbursement</v>
      </c>
      <c r="C39" s="13">
        <v>15000</v>
      </c>
    </row>
    <row r="40" spans="1:3" x14ac:dyDescent="0.25">
      <c r="A40" s="24">
        <v>45679</v>
      </c>
      <c r="B40" s="8" t="str">
        <v>MAG - Admeer Advisory Reimbursement</v>
      </c>
      <c r="C40" s="13">
        <v>5000</v>
      </c>
    </row>
    <row r="41" spans="1:3" x14ac:dyDescent="0.25">
      <c r="A41" s="24">
        <v>45672</v>
      </c>
      <c r="B41" s="8" t="str">
        <v>MAG - Admeer Advisory Reimbursement</v>
      </c>
      <c r="C41" s="13">
        <v>10000</v>
      </c>
    </row>
    <row r="42" spans="1:3" x14ac:dyDescent="0.25">
      <c r="A42" s="24">
        <v>45659</v>
      </c>
      <c r="B42" s="8" t="str">
        <v>Incoming Commission: Edge Builder</v>
      </c>
      <c r="C42" s="13">
        <v>69650</v>
      </c>
    </row>
    <row r="43" spans="1:3" x14ac:dyDescent="0.25">
      <c r="A43" s="24">
        <v>45659</v>
      </c>
      <c r="B43" s="8" t="str">
        <v>Incoming Commission: Edge Builder</v>
      </c>
      <c r="C43" s="13">
        <v>78600</v>
      </c>
    </row>
    <row r="44" spans="1:3" x14ac:dyDescent="0.25">
      <c r="A44" s="24"/>
      <c r="B44" s="8"/>
      <c r="C44" s="13"/>
    </row>
    <row r="45" spans="1:3" x14ac:dyDescent="0.25">
      <c r="A45" s="24"/>
      <c r="B45" s="8"/>
      <c r="C45" s="13"/>
    </row>
    <row r="46" spans="1:3" x14ac:dyDescent="0.25">
      <c r="A46" s="24"/>
      <c r="B46" s="8"/>
      <c r="C46" s="13"/>
    </row>
    <row r="47" spans="1:3" x14ac:dyDescent="0.25">
      <c r="A47" s="24"/>
      <c r="B47" s="8"/>
      <c r="C47" s="13"/>
    </row>
    <row r="48" spans="1:3" x14ac:dyDescent="0.25">
      <c r="A48" s="24"/>
      <c r="B48" s="8"/>
      <c r="C48" s="13"/>
    </row>
    <row r="49" spans="1:3" x14ac:dyDescent="0.25">
      <c r="A49" s="24"/>
      <c r="B49" s="8"/>
      <c r="C49" s="13"/>
    </row>
    <row r="50" spans="1:3" x14ac:dyDescent="0.25">
      <c r="A50" s="24"/>
      <c r="B50" s="8"/>
      <c r="C50" s="13"/>
    </row>
    <row r="51" spans="1:3" x14ac:dyDescent="0.25">
      <c r="A51" s="24"/>
      <c r="B51" s="8"/>
      <c r="C51" s="13"/>
    </row>
    <row r="52" spans="1:3" x14ac:dyDescent="0.25">
      <c r="A52" s="24"/>
      <c r="B52" s="8"/>
      <c r="C52" s="13"/>
    </row>
    <row r="53" spans="1:3" x14ac:dyDescent="0.25">
      <c r="A53" s="24"/>
      <c r="B53" s="8"/>
      <c r="C53" s="13"/>
    </row>
    <row r="54" spans="1:3" x14ac:dyDescent="0.25">
      <c r="A54" s="24"/>
      <c r="B54" s="8"/>
      <c r="C54" s="13"/>
    </row>
    <row r="55" spans="1:3" x14ac:dyDescent="0.25">
      <c r="A55" s="24"/>
      <c r="B55" s="8"/>
      <c r="C55" s="13"/>
    </row>
    <row r="56" spans="1:3" x14ac:dyDescent="0.25">
      <c r="A56" s="24"/>
      <c r="B56" s="8"/>
      <c r="C56" s="13"/>
    </row>
    <row r="57" spans="1:3" x14ac:dyDescent="0.25">
      <c r="A57" s="24"/>
      <c r="B57" s="8"/>
      <c r="C57" s="13"/>
    </row>
    <row r="58" spans="1:3" x14ac:dyDescent="0.25">
      <c r="A58" s="24"/>
      <c r="B58" s="8"/>
      <c r="C58" s="13"/>
    </row>
    <row r="59" spans="1:3" x14ac:dyDescent="0.25">
      <c r="A59" s="24"/>
      <c r="B59" s="8"/>
      <c r="C59" s="13"/>
    </row>
    <row r="60" spans="1:3" x14ac:dyDescent="0.25">
      <c r="A60" s="24"/>
      <c r="B60" s="8"/>
      <c r="C60" s="13"/>
    </row>
    <row r="61" spans="1:3" x14ac:dyDescent="0.25">
      <c r="A61" s="1"/>
      <c r="C61" s="3"/>
    </row>
    <row r="62" spans="1:3" x14ac:dyDescent="0.25">
      <c r="A62" s="1"/>
      <c r="C62" s="3"/>
    </row>
    <row r="63" spans="1:3" x14ac:dyDescent="0.25">
      <c r="A63" s="1"/>
      <c r="C63" s="3"/>
    </row>
    <row r="64" spans="1:3" x14ac:dyDescent="0.25">
      <c r="A64" s="1"/>
      <c r="C64" s="3"/>
    </row>
    <row r="65" spans="1:3" x14ac:dyDescent="0.25">
      <c r="A65" s="1"/>
      <c r="C65" s="3"/>
    </row>
    <row r="66" spans="1:3" x14ac:dyDescent="0.25">
      <c r="A66" s="1"/>
      <c r="C66" s="3"/>
    </row>
    <row r="67" spans="1:3" x14ac:dyDescent="0.25">
      <c r="A67" s="1"/>
      <c r="C67" s="3"/>
    </row>
    <row r="68" spans="1:3" x14ac:dyDescent="0.25">
      <c r="A68" s="1"/>
      <c r="C68" s="3"/>
    </row>
    <row r="69" spans="1:3" x14ac:dyDescent="0.25">
      <c r="A69" s="1"/>
      <c r="C69" s="3"/>
    </row>
    <row r="70" spans="1:3" x14ac:dyDescent="0.25">
      <c r="A70" s="1"/>
      <c r="C70" s="3"/>
    </row>
    <row r="71" spans="1:3" x14ac:dyDescent="0.25">
      <c r="A71" s="1"/>
      <c r="C71" s="3"/>
    </row>
    <row r="72" spans="1:3" x14ac:dyDescent="0.25">
      <c r="A72" s="1"/>
      <c r="C72" s="3"/>
    </row>
    <row r="73" spans="1:3" x14ac:dyDescent="0.25">
      <c r="A73" s="1"/>
      <c r="C73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8B74-B235-40D2-AAD1-45D213BC36F5}">
  <dimension ref="A1:C60"/>
  <sheetViews>
    <sheetView workbookViewId="0"/>
  </sheetViews>
  <sheetFormatPr defaultRowHeight="15" x14ac:dyDescent="0.25"/>
  <cols>
    <col min="1" max="1" width="51.5703125" bestFit="1" customWidth="1"/>
    <col min="2" max="2" width="43.7109375" bestFit="1" customWidth="1"/>
    <col min="3" max="3" width="11.5703125" bestFit="1" customWidth="1"/>
  </cols>
  <sheetData>
    <row r="1" spans="1:3" ht="21" x14ac:dyDescent="0.35">
      <c r="A1" s="6" t="s">
        <v>910</v>
      </c>
      <c r="B1" s="6"/>
      <c r="C1" s="6"/>
    </row>
    <row r="2" spans="1:3" x14ac:dyDescent="0.25">
      <c r="A2" s="4" t="s">
        <v>895</v>
      </c>
      <c r="B2" s="4"/>
      <c r="C2" s="4"/>
    </row>
    <row r="4" spans="1:3" x14ac:dyDescent="0.25">
      <c r="A4" s="5" t="s">
        <v>896</v>
      </c>
      <c r="B4" s="5"/>
      <c r="C4" s="5"/>
    </row>
    <row r="5" spans="1:3" x14ac:dyDescent="0.25">
      <c r="A5" s="8" t="s">
        <v>892</v>
      </c>
      <c r="B5" s="8"/>
      <c r="C5" s="13">
        <f>SUMIFS('Transaction Overview'!$D$2:$D$790,'Transaction Overview'!$E$2:$E$790,"WIRE_OUTGOING")</f>
        <v>-1109100</v>
      </c>
    </row>
    <row r="6" spans="1:3" x14ac:dyDescent="0.25">
      <c r="A6" s="8" t="s">
        <v>897</v>
      </c>
      <c r="B6" s="8"/>
      <c r="C6" s="23">
        <f>COUNTIFS('Transaction Overview'!$E$2:$E$790,"WIRE_OUTGOING")</f>
        <v>23</v>
      </c>
    </row>
    <row r="8" spans="1:3" x14ac:dyDescent="0.25">
      <c r="A8" s="5" t="s">
        <v>898</v>
      </c>
      <c r="B8" s="5"/>
      <c r="C8" s="5"/>
    </row>
    <row r="9" spans="1:3" x14ac:dyDescent="0.25">
      <c r="A9" s="7" t="s">
        <v>899</v>
      </c>
      <c r="B9" s="7" t="s">
        <v>900</v>
      </c>
      <c r="C9" s="7" t="s">
        <v>3</v>
      </c>
    </row>
    <row r="10" spans="1:3" x14ac:dyDescent="0.25">
      <c r="A10" s="8" t="s">
        <v>836</v>
      </c>
      <c r="B10" s="8">
        <f>COUNTIFS('Transaction Overview'!$G$2:$G$790,$A10,'Transaction Overview'!$E$2:$E$790,"WIRE_OUTGOING")</f>
        <v>1</v>
      </c>
      <c r="C10" s="13">
        <f>SUMIFS('Transaction Overview'!$D$2:$D$790,'Transaction Overview'!$G$2:$G$790,$A10,'Transaction Overview'!$E$2:$E$790,"WIRE_OUTGOING")</f>
        <v>-100000</v>
      </c>
    </row>
    <row r="11" spans="1:3" x14ac:dyDescent="0.25">
      <c r="A11" s="8" t="s">
        <v>799</v>
      </c>
      <c r="B11" s="8">
        <f>COUNTIFS('Transaction Overview'!$G$2:$G$790,$A11,'Transaction Overview'!$E$2:$E$790,"WIRE_OUTGOING")</f>
        <v>1</v>
      </c>
      <c r="C11" s="13">
        <f>SUMIFS('Transaction Overview'!$D$2:$D$790,'Transaction Overview'!$G$2:$G$790,$A11,'Transaction Overview'!$E$2:$E$790,"WIRE_OUTGOING")</f>
        <v>-50000</v>
      </c>
    </row>
    <row r="12" spans="1:3" x14ac:dyDescent="0.25">
      <c r="A12" s="8" t="s">
        <v>825</v>
      </c>
      <c r="B12" s="8">
        <f>COUNTIFS('Transaction Overview'!$G$2:$G$790,$A12,'Transaction Overview'!$E$2:$E$790,"WIRE_OUTGOING")</f>
        <v>1</v>
      </c>
      <c r="C12" s="13">
        <f>SUMIFS('Transaction Overview'!$D$2:$D$790,'Transaction Overview'!$G$2:$G$790,$A12,'Transaction Overview'!$E$2:$E$790,"WIRE_OUTGOING")</f>
        <v>-620000</v>
      </c>
    </row>
    <row r="13" spans="1:3" x14ac:dyDescent="0.25">
      <c r="A13" s="8" t="s">
        <v>834</v>
      </c>
      <c r="B13" s="8">
        <f>COUNTIFS('Transaction Overview'!$G$2:$G$790,$A13,'Transaction Overview'!$E$2:$E$790,"WIRE_OUTGOING")</f>
        <v>1</v>
      </c>
      <c r="C13" s="13">
        <f>SUMIFS('Transaction Overview'!$D$2:$D$790,'Transaction Overview'!$G$2:$G$790,$A13,'Transaction Overview'!$E$2:$E$790,"WIRE_OUTGOING")</f>
        <v>-21000</v>
      </c>
    </row>
    <row r="14" spans="1:3" x14ac:dyDescent="0.25">
      <c r="A14" s="8" t="s">
        <v>835</v>
      </c>
      <c r="B14" s="8">
        <f>COUNTIFS('Transaction Overview'!$G$2:$G$790,$A14,'Transaction Overview'!$E$2:$E$790,"WIRE_OUTGOING")</f>
        <v>1</v>
      </c>
      <c r="C14" s="13">
        <f>SUMIFS('Transaction Overview'!$D$2:$D$790,'Transaction Overview'!$G$2:$G$790,$A14,'Transaction Overview'!$E$2:$E$790,"WIRE_OUTGOING")</f>
        <v>-39000</v>
      </c>
    </row>
    <row r="15" spans="1:3" x14ac:dyDescent="0.25">
      <c r="A15" s="8" t="s">
        <v>830</v>
      </c>
      <c r="B15" s="8">
        <f>COUNTIFS('Transaction Overview'!$G$2:$G$790,$A15,'Transaction Overview'!$E$2:$E$790,"WIRE_OUTGOING")</f>
        <v>2</v>
      </c>
      <c r="C15" s="13">
        <f>SUMIFS('Transaction Overview'!$D$2:$D$790,'Transaction Overview'!$G$2:$G$790,$A15,'Transaction Overview'!$E$2:$E$790,"WIRE_OUTGOING")</f>
        <v>-16000</v>
      </c>
    </row>
    <row r="16" spans="1:3" x14ac:dyDescent="0.25">
      <c r="A16" s="8" t="s">
        <v>786</v>
      </c>
      <c r="B16" s="8">
        <f>COUNTIFS('Transaction Overview'!$G$2:$G$790,$A16,'Transaction Overview'!$E$2:$E$790,"WIRE_OUTGOING")</f>
        <v>7</v>
      </c>
      <c r="C16" s="13">
        <f>SUMIFS('Transaction Overview'!$D$2:$D$790,'Transaction Overview'!$G$2:$G$790,$A16,'Transaction Overview'!$E$2:$E$790,"WIRE_OUTGOING")</f>
        <v>-42450</v>
      </c>
    </row>
    <row r="17" spans="1:3" x14ac:dyDescent="0.25">
      <c r="A17" s="8" t="s">
        <v>805</v>
      </c>
      <c r="B17" s="8">
        <f>COUNTIFS('Transaction Overview'!$G$2:$G$790,$A17,'Transaction Overview'!$E$2:$E$790,"WIRE_OUTGOING")</f>
        <v>1</v>
      </c>
      <c r="C17" s="13">
        <f>SUMIFS('Transaction Overview'!$D$2:$D$790,'Transaction Overview'!$G$2:$G$790,$A17,'Transaction Overview'!$E$2:$E$790,"WIRE_OUTGOING")</f>
        <v>-100000</v>
      </c>
    </row>
    <row r="18" spans="1:3" x14ac:dyDescent="0.25">
      <c r="A18" s="8" t="s">
        <v>814</v>
      </c>
      <c r="B18" s="8">
        <f>COUNTIFS('Transaction Overview'!$G$2:$G$790,$A18,'Transaction Overview'!$E$2:$E$790,"WIRE_OUTGOING")</f>
        <v>2</v>
      </c>
      <c r="C18" s="13">
        <f>SUMIFS('Transaction Overview'!$D$2:$D$790,'Transaction Overview'!$G$2:$G$790,$A18,'Transaction Overview'!$E$2:$E$790,"WIRE_OUTGOING")</f>
        <v>-27500</v>
      </c>
    </row>
    <row r="19" spans="1:3" x14ac:dyDescent="0.25">
      <c r="A19" s="8" t="s">
        <v>791</v>
      </c>
      <c r="B19" s="8">
        <f>COUNTIFS('Transaction Overview'!$G$2:$G$790,$A19,'Transaction Overview'!$E$2:$E$790,"WIRE_OUTGOING")</f>
        <v>1</v>
      </c>
      <c r="C19" s="13">
        <f>SUMIFS('Transaction Overview'!$D$2:$D$790,'Transaction Overview'!$G$2:$G$790,$A19,'Transaction Overview'!$E$2:$E$790,"WIRE_OUTGOING")</f>
        <v>-23830</v>
      </c>
    </row>
    <row r="20" spans="1:3" x14ac:dyDescent="0.25">
      <c r="A20" s="8" t="s">
        <v>831</v>
      </c>
      <c r="B20" s="8">
        <f>COUNTIFS('Transaction Overview'!$G$2:$G$790,$A20,'Transaction Overview'!$E$2:$E$790,"WIRE_OUTGOING")</f>
        <v>3</v>
      </c>
      <c r="C20" s="13">
        <f>SUMIFS('Transaction Overview'!$D$2:$D$790,'Transaction Overview'!$G$2:$G$790,$A20,'Transaction Overview'!$E$2:$E$790,"WIRE_OUTGOING")</f>
        <v>-47820</v>
      </c>
    </row>
    <row r="21" spans="1:3" x14ac:dyDescent="0.25">
      <c r="A21" s="8" t="s">
        <v>795</v>
      </c>
      <c r="B21" s="8">
        <f>COUNTIFS('Transaction Overview'!$G$2:$G$790,$A21,'Transaction Overview'!$E$2:$E$790,"WIRE_OUTGOING")</f>
        <v>1</v>
      </c>
      <c r="C21" s="13">
        <f>SUMIFS('Transaction Overview'!$D$2:$D$790,'Transaction Overview'!$G$2:$G$790,$A21,'Transaction Overview'!$E$2:$E$790,"WIRE_OUTGOING")</f>
        <v>-6000</v>
      </c>
    </row>
    <row r="22" spans="1:3" x14ac:dyDescent="0.25">
      <c r="A22" s="8" t="s">
        <v>839</v>
      </c>
      <c r="B22" s="8">
        <f>COUNTIFS('Transaction Overview'!$G$2:$G$790,$A22,'Transaction Overview'!$E$2:$E$790,"WIRE_OUTGOING")</f>
        <v>1</v>
      </c>
      <c r="C22" s="13">
        <f>SUMIFS('Transaction Overview'!$D$2:$D$790,'Transaction Overview'!$G$2:$G$790,$A22,'Transaction Overview'!$E$2:$E$790,"WIRE_OUTGOING")</f>
        <v>-15500</v>
      </c>
    </row>
    <row r="23" spans="1:3" x14ac:dyDescent="0.25">
      <c r="A23" s="11" t="s">
        <v>901</v>
      </c>
      <c r="B23" s="11">
        <f>SUM(B10:B22)</f>
        <v>23</v>
      </c>
      <c r="C23" s="20">
        <f>SUM(C10:C22)</f>
        <v>-1109100</v>
      </c>
    </row>
    <row r="24" spans="1:3" x14ac:dyDescent="0.25">
      <c r="A24" s="5" t="s">
        <v>902</v>
      </c>
      <c r="B24" s="5"/>
      <c r="C24" s="5"/>
    </row>
    <row r="25" spans="1:3" x14ac:dyDescent="0.25">
      <c r="A25" s="7" t="s">
        <v>903</v>
      </c>
      <c r="B25" s="7" t="s">
        <v>899</v>
      </c>
      <c r="C25" s="7" t="s">
        <v>3</v>
      </c>
    </row>
    <row r="26" spans="1:3" x14ac:dyDescent="0.25">
      <c r="A26" s="24" cm="1">
        <f t="array" ref="A26:A48">_xlfn._xlws.FILTER('Transaction Overview'!$B$2:$B$790,('Transaction Overview'!$E$2:$E$790="WIRE_OUTGOING"))</f>
        <v>46009</v>
      </c>
      <c r="B26" s="8" t="str" cm="1">
        <f t="array" ref="B26:B48">_xlfn._xlws.FILTER('Transaction Overview'!$G$2:$G$790,('Transaction Overview'!$E$2:$E$790="WIRE_OUTGOING"))</f>
        <v>Deal Specific: Moab</v>
      </c>
      <c r="C26" s="13" cm="1">
        <f t="array" ref="C26:C48">_xlfn._xlws.FILTER('Transaction Overview'!$D$2:$D$790,('Transaction Overview'!$E$2:$E$790="WIRE_OUTGOING"))</f>
        <v>-620000</v>
      </c>
    </row>
    <row r="27" spans="1:3" x14ac:dyDescent="0.25">
      <c r="A27" s="24">
        <v>46007</v>
      </c>
      <c r="B27" s="8" t="str">
        <v>Due to Dax – MAG Pass-Through 70%</v>
      </c>
      <c r="C27" s="13">
        <v>-39000</v>
      </c>
    </row>
    <row r="28" spans="1:3" x14ac:dyDescent="0.25">
      <c r="A28" s="24">
        <v>46007</v>
      </c>
      <c r="B28" s="8" t="str">
        <v>Due to Andrew – MAG Pass-Through 30%</v>
      </c>
      <c r="C28" s="13">
        <v>-21000</v>
      </c>
    </row>
    <row r="29" spans="1:3" x14ac:dyDescent="0.25">
      <c r="A29" s="24">
        <v>46006</v>
      </c>
      <c r="B29" s="8" t="str">
        <v>Deal Specific: Cloverdale</v>
      </c>
      <c r="C29" s="13">
        <v>-100000</v>
      </c>
    </row>
    <row r="30" spans="1:3" x14ac:dyDescent="0.25">
      <c r="A30" s="24">
        <v>45996</v>
      </c>
      <c r="B30" s="8" t="str">
        <v>Wire to Top Shield Roofing CO</v>
      </c>
      <c r="C30" s="13">
        <v>-15500</v>
      </c>
    </row>
    <row r="31" spans="1:3" x14ac:dyDescent="0.25">
      <c r="A31" s="24">
        <v>45995</v>
      </c>
      <c r="B31" s="8" t="str">
        <v>Wire Out — Stryten Commission Payments</v>
      </c>
      <c r="C31" s="13">
        <v>-25000</v>
      </c>
    </row>
    <row r="32" spans="1:3" x14ac:dyDescent="0.25">
      <c r="A32" s="24">
        <v>45995</v>
      </c>
      <c r="B32" s="8" t="str">
        <v>Wire Out — Stryten Commission Payments</v>
      </c>
      <c r="C32" s="13">
        <v>-17820</v>
      </c>
    </row>
    <row r="33" spans="1:3" x14ac:dyDescent="0.25">
      <c r="A33" s="24">
        <v>45994</v>
      </c>
      <c r="B33" s="8" t="str">
        <v>Wire Out — Stryten Commission Payments</v>
      </c>
      <c r="C33" s="13">
        <v>-5000</v>
      </c>
    </row>
    <row r="34" spans="1:3" x14ac:dyDescent="0.25">
      <c r="A34" s="24">
        <v>45994</v>
      </c>
      <c r="B34" s="8" t="str">
        <v>Outgoing wire to JC Whitner</v>
      </c>
      <c r="C34" s="13">
        <v>-10000</v>
      </c>
    </row>
    <row r="35" spans="1:3" x14ac:dyDescent="0.25">
      <c r="A35" s="24">
        <v>45993</v>
      </c>
      <c r="B35" s="8" t="str">
        <v>Employee Bonus</v>
      </c>
      <c r="C35" s="13">
        <v>-10000</v>
      </c>
    </row>
    <row r="36" spans="1:3" x14ac:dyDescent="0.25">
      <c r="A36" s="24">
        <v>45993</v>
      </c>
      <c r="B36" s="8" t="str">
        <v>Employee Bonus</v>
      </c>
      <c r="C36" s="13">
        <v>-6000</v>
      </c>
    </row>
    <row r="37" spans="1:3" x14ac:dyDescent="0.25">
      <c r="A37" s="24">
        <v>45950</v>
      </c>
      <c r="B37" s="8" t="str">
        <v>MAG - Admeer Advisory Transfer</v>
      </c>
      <c r="C37" s="13">
        <v>-5000</v>
      </c>
    </row>
    <row r="38" spans="1:3" x14ac:dyDescent="0.25">
      <c r="A38" s="24">
        <v>45933</v>
      </c>
      <c r="B38" s="8" t="str">
        <v>MAG - Admeer Advisory Transfer</v>
      </c>
      <c r="C38" s="13">
        <v>-5000</v>
      </c>
    </row>
    <row r="39" spans="1:3" x14ac:dyDescent="0.25">
      <c r="A39" s="24">
        <v>45877</v>
      </c>
      <c r="B39" s="8" t="str">
        <v>Outgoing wire to JC Whitner</v>
      </c>
      <c r="C39" s="13">
        <v>-17500</v>
      </c>
    </row>
    <row r="40" spans="1:3" x14ac:dyDescent="0.25">
      <c r="A40" s="24">
        <v>45826</v>
      </c>
      <c r="B40" s="8" t="str">
        <v>MAG - Admeer Advisory Transfer</v>
      </c>
      <c r="C40" s="13">
        <v>-5000</v>
      </c>
    </row>
    <row r="41" spans="1:3" x14ac:dyDescent="0.25">
      <c r="A41" s="24">
        <v>45821</v>
      </c>
      <c r="B41" s="8" t="str">
        <v>Outgoing Crystal Asset Management Wire</v>
      </c>
      <c r="C41" s="13">
        <v>-100000</v>
      </c>
    </row>
    <row r="42" spans="1:3" x14ac:dyDescent="0.25">
      <c r="A42" s="24">
        <v>45786</v>
      </c>
      <c r="B42" s="8" t="str">
        <v>MAG - Admeer Advisory Transfer</v>
      </c>
      <c r="C42" s="13">
        <v>-2500</v>
      </c>
    </row>
    <row r="43" spans="1:3" x14ac:dyDescent="0.25">
      <c r="A43" s="24">
        <v>45756</v>
      </c>
      <c r="B43" s="8" t="str">
        <v>Deal Specific: JAL Breese</v>
      </c>
      <c r="C43" s="13">
        <v>-50000</v>
      </c>
    </row>
    <row r="44" spans="1:3" x14ac:dyDescent="0.25">
      <c r="A44" s="24">
        <v>45733</v>
      </c>
      <c r="B44" s="8" t="str">
        <v>Wire to Binder Family Trust - TBD</v>
      </c>
      <c r="C44" s="13">
        <v>-6000</v>
      </c>
    </row>
    <row r="45" spans="1:3" x14ac:dyDescent="0.25">
      <c r="A45" s="24">
        <v>45716</v>
      </c>
      <c r="B45" s="8" t="str">
        <v>MAG - Admeer Advisory Transfer</v>
      </c>
      <c r="C45" s="13">
        <v>-5000</v>
      </c>
    </row>
    <row r="46" spans="1:3" x14ac:dyDescent="0.25">
      <c r="A46" s="24">
        <v>45692</v>
      </c>
      <c r="B46" s="8" t="str">
        <v>MAG - Admeer Advisory Transfer</v>
      </c>
      <c r="C46" s="13">
        <v>-10000</v>
      </c>
    </row>
    <row r="47" spans="1:3" x14ac:dyDescent="0.25">
      <c r="A47" s="24">
        <v>45672</v>
      </c>
      <c r="B47" s="8" t="str">
        <v>MAG - Admeer Advisory Transfer</v>
      </c>
      <c r="C47" s="13">
        <v>-9950</v>
      </c>
    </row>
    <row r="48" spans="1:3" x14ac:dyDescent="0.25">
      <c r="A48" s="24">
        <v>45660</v>
      </c>
      <c r="B48" s="8" t="str">
        <v>Wire Out — Edge Builder Commission Payments</v>
      </c>
      <c r="C48" s="13">
        <v>-23830</v>
      </c>
    </row>
    <row r="49" spans="1:3" x14ac:dyDescent="0.25">
      <c r="A49" s="24"/>
      <c r="B49" s="8"/>
      <c r="C49" s="13"/>
    </row>
    <row r="50" spans="1:3" x14ac:dyDescent="0.25">
      <c r="A50" s="24"/>
      <c r="B50" s="8"/>
      <c r="C50" s="13"/>
    </row>
    <row r="51" spans="1:3" x14ac:dyDescent="0.25">
      <c r="A51" s="24"/>
      <c r="B51" s="8"/>
      <c r="C51" s="13"/>
    </row>
    <row r="52" spans="1:3" x14ac:dyDescent="0.25">
      <c r="A52" s="24"/>
      <c r="B52" s="8"/>
      <c r="C52" s="13"/>
    </row>
    <row r="53" spans="1:3" x14ac:dyDescent="0.25">
      <c r="A53" s="24"/>
      <c r="B53" s="8"/>
      <c r="C53" s="13"/>
    </row>
    <row r="54" spans="1:3" x14ac:dyDescent="0.25">
      <c r="A54" s="24"/>
      <c r="B54" s="8"/>
      <c r="C54" s="13"/>
    </row>
    <row r="55" spans="1:3" x14ac:dyDescent="0.25">
      <c r="A55" s="24"/>
      <c r="B55" s="8"/>
      <c r="C55" s="13"/>
    </row>
    <row r="56" spans="1:3" x14ac:dyDescent="0.25">
      <c r="A56" s="24"/>
      <c r="B56" s="8"/>
      <c r="C56" s="13"/>
    </row>
    <row r="57" spans="1:3" x14ac:dyDescent="0.25">
      <c r="A57" s="24"/>
      <c r="B57" s="8"/>
      <c r="C57" s="13"/>
    </row>
    <row r="58" spans="1:3" x14ac:dyDescent="0.25">
      <c r="A58" s="24"/>
      <c r="B58" s="8"/>
      <c r="C58" s="13"/>
    </row>
    <row r="59" spans="1:3" x14ac:dyDescent="0.25">
      <c r="A59" s="24"/>
      <c r="B59" s="8"/>
      <c r="C59" s="13"/>
    </row>
    <row r="60" spans="1:3" x14ac:dyDescent="0.25">
      <c r="A60" s="24"/>
      <c r="B60" s="8"/>
      <c r="C60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05AA-063A-4AFD-83DF-8DEFF1FA1D21}">
  <dimension ref="A1:J790"/>
  <sheetViews>
    <sheetView workbookViewId="0"/>
  </sheetViews>
  <sheetFormatPr defaultRowHeight="15" x14ac:dyDescent="0.25"/>
  <sheetData>
    <row r="1" spans="1:10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860</v>
      </c>
      <c r="H1" s="10" t="s">
        <v>861</v>
      </c>
      <c r="I1" s="10" t="s">
        <v>842</v>
      </c>
      <c r="J1" s="10" t="s">
        <v>843</v>
      </c>
    </row>
    <row r="2" spans="1:10" x14ac:dyDescent="0.25">
      <c r="A2" s="8" t="str">
        <f>'2025_Chase9335_Activity_2026062'!A2</f>
        <v>DEBIT</v>
      </c>
      <c r="B2" s="24">
        <f>'2025_Chase9335_Activity_2026062'!B2</f>
        <v>46022</v>
      </c>
      <c r="C2" s="8" t="str">
        <f>'2025_Chase9335_Activity_2026062'!C2</f>
        <v>Online Transfer to CHK ...9769 transaction#: 27532473331 12/31</v>
      </c>
      <c r="D2" s="8">
        <f>'2025_Chase9335_Activity_2026062'!D2</f>
        <v>-33349</v>
      </c>
      <c r="E2" s="8" t="str">
        <f>'2025_Chase9335_Activity_2026062'!E2</f>
        <v>ACCT_XFER</v>
      </c>
      <c r="F2" s="8">
        <f>'2025_Chase9335_Activity_2026062'!F2</f>
        <v>263614.45</v>
      </c>
      <c r="G2" s="8" t="str">
        <f>'2025_Chase9335_Activity_2026062'!G2</f>
        <v>Transfer to JAL Southbend</v>
      </c>
      <c r="H2" s="26">
        <f>IF($B2="","",DATE(YEAR($B2),MONTH($B2),1))</f>
        <v>45992</v>
      </c>
      <c r="I2" s="8" t="str">
        <f>IF($G2="","Uncategorized — Review",IFERROR(_xlfn.XLOOKUP($G2,Mapping!$A:$A,Mapping!$B:$B),"Uncategorized — Review"))</f>
        <v>Transfer to JAL Southbend</v>
      </c>
      <c r="J2" s="8" t="str">
        <f>IF($G2="","Uncategorized — Review",IFERROR(_xlfn.XLOOKUP($G2,Mapping!$A:$A,Mapping!$C:$C),"Uncategorized — Review"))</f>
        <v>Intercompany &amp; Savings Transfers</v>
      </c>
    </row>
    <row r="3" spans="1:10" x14ac:dyDescent="0.25">
      <c r="A3" s="8" t="str">
        <f>'2025_Chase9335_Activity_2026062'!A3</f>
        <v>DEBIT</v>
      </c>
      <c r="B3" s="24">
        <f>'2025_Chase9335_Activity_2026062'!B3</f>
        <v>46022</v>
      </c>
      <c r="C3" s="8" t="str">
        <f>'2025_Chase9335_Activity_2026062'!C3</f>
        <v>APPLE.COM/BILL 866-712-7753 CA               12/31</v>
      </c>
      <c r="D3" s="8">
        <f>'2025_Chase9335_Activity_2026062'!D3</f>
        <v>-51.45</v>
      </c>
      <c r="E3" s="8" t="str">
        <f>'2025_Chase9335_Activity_2026062'!E3</f>
        <v>DEBIT_CARD</v>
      </c>
      <c r="F3" s="8">
        <f>'2025_Chase9335_Activity_2026062'!F3</f>
        <v>296963.45</v>
      </c>
      <c r="G3" s="8" t="str">
        <f>'2025_Chase9335_Activity_2026062'!G3</f>
        <v>Personal - Subscriptions</v>
      </c>
      <c r="H3" s="26">
        <f t="shared" ref="H3:H66" si="0">IF($B3="","",DATE(YEAR($B3),MONTH($B3),1))</f>
        <v>45992</v>
      </c>
      <c r="I3" s="8" t="str">
        <f>IF($G3="","Uncategorized — Review",IFERROR(_xlfn.XLOOKUP($G3,Mapping!$A:$A,Mapping!$B:$B),"Uncategorized — Review"))</f>
        <v>Personal - Subscriptions</v>
      </c>
      <c r="J3" s="8" t="str">
        <f>IF($G3="","Uncategorized — Review",IFERROR(_xlfn.XLOOKUP($G3,Mapping!$A:$A,Mapping!$C:$C),"Uncategorized — Review"))</f>
        <v>Personal — Owner</v>
      </c>
    </row>
    <row r="4" spans="1:10" x14ac:dyDescent="0.25">
      <c r="A4" s="8" t="str">
        <f>'2025_Chase9335_Activity_2026062'!A4</f>
        <v>CREDIT</v>
      </c>
      <c r="B4" s="24">
        <f>'2025_Chase9335_Activity_2026062'!B4</f>
        <v>46022</v>
      </c>
      <c r="C4" s="8" t="str">
        <f>'2025_Chase9335_Activity_2026062'!C4</f>
        <v>Online Transfer from CHK ...3922 transaction#: 27532478452</v>
      </c>
      <c r="D4" s="8">
        <f>'2025_Chase9335_Activity_2026062'!D4</f>
        <v>23350</v>
      </c>
      <c r="E4" s="8" t="str">
        <f>'2025_Chase9335_Activity_2026062'!E4</f>
        <v>ACCT_XFER</v>
      </c>
      <c r="F4" s="8">
        <f>'2025_Chase9335_Activity_2026062'!F4</f>
        <v>297014.90000000002</v>
      </c>
      <c r="G4" s="8" t="str">
        <f>'2025_Chase9335_Activity_2026062'!G4</f>
        <v>Transfer from DWG Capital Partners</v>
      </c>
      <c r="H4" s="26">
        <f t="shared" si="0"/>
        <v>45992</v>
      </c>
      <c r="I4" s="8" t="str">
        <f>IF($G4="","Uncategorized — Review",IFERROR(_xlfn.XLOOKUP($G4,Mapping!$A:$A,Mapping!$B:$B),"Uncategorized — Review"))</f>
        <v>Transfer from DWG Capital Partners</v>
      </c>
      <c r="J4" s="8" t="str">
        <f>IF($G4="","Uncategorized — Review",IFERROR(_xlfn.XLOOKUP($G4,Mapping!$A:$A,Mapping!$C:$C),"Uncategorized — Review"))</f>
        <v>Intercompany &amp; Savings Transfers</v>
      </c>
    </row>
    <row r="5" spans="1:10" x14ac:dyDescent="0.25">
      <c r="A5" s="8" t="str">
        <f>'2025_Chase9335_Activity_2026062'!A5</f>
        <v>DEBIT</v>
      </c>
      <c r="B5" s="24">
        <f>'2025_Chase9335_Activity_2026062'!B5</f>
        <v>46021</v>
      </c>
      <c r="C5" s="8" t="str">
        <f>'2025_Chase9335_Activity_2026062'!C5</f>
        <v>FOREIGN EXCHANGE RATE ADJUSTMENT FEE         12/30R PARKING</v>
      </c>
      <c r="D5" s="8">
        <f>'2025_Chase9335_Activity_2026062'!D5</f>
        <v>-0.17</v>
      </c>
      <c r="E5" s="8" t="str">
        <f>'2025_Chase9335_Activity_2026062'!E5</f>
        <v>FEE_TRANSACTION</v>
      </c>
      <c r="F5" s="8">
        <f>'2025_Chase9335_Activity_2026062'!F5</f>
        <v>273664.90000000002</v>
      </c>
      <c r="G5" s="8" t="str">
        <f>'2025_Chase9335_Activity_2026062'!G5</f>
        <v>Personal - Travel (Canada)</v>
      </c>
      <c r="H5" s="26">
        <f t="shared" si="0"/>
        <v>45992</v>
      </c>
      <c r="I5" s="8" t="str">
        <f>IF($G5="","Uncategorized — Review",IFERROR(_xlfn.XLOOKUP($G5,Mapping!$A:$A,Mapping!$B:$B),"Uncategorized — Review"))</f>
        <v>Personal - Travel (Canada)</v>
      </c>
      <c r="J5" s="8" t="str">
        <f>IF($G5="","Uncategorized — Review",IFERROR(_xlfn.XLOOKUP($G5,Mapping!$A:$A,Mapping!$C:$C),"Uncategorized — Review"))</f>
        <v>Personal — Owner</v>
      </c>
    </row>
    <row r="6" spans="1:10" x14ac:dyDescent="0.25">
      <c r="A6" s="8" t="str">
        <f>'2025_Chase9335_Activity_2026062'!A6</f>
        <v>DEBIT</v>
      </c>
      <c r="B6" s="24">
        <f>'2025_Chase9335_Activity_2026062'!B6</f>
        <v>46021</v>
      </c>
      <c r="C6" s="8" t="str">
        <f>'2025_Chase9335_Activity_2026062'!C6</f>
        <v>R PARKING  VIC VICTORIA BC                   12/30 CA DOLLAR  8.00 X 0.7325000 (EXCHG RTE)</v>
      </c>
      <c r="D6" s="8">
        <f>'2025_Chase9335_Activity_2026062'!D6</f>
        <v>-5.86</v>
      </c>
      <c r="E6" s="8" t="str">
        <f>'2025_Chase9335_Activity_2026062'!E6</f>
        <v>DEBIT_CARD</v>
      </c>
      <c r="F6" s="8">
        <f>'2025_Chase9335_Activity_2026062'!F6</f>
        <v>273665.07</v>
      </c>
      <c r="G6" s="8" t="str">
        <f>'2025_Chase9335_Activity_2026062'!G6</f>
        <v>Personal - Travel (Canada)</v>
      </c>
      <c r="H6" s="26">
        <f t="shared" si="0"/>
        <v>45992</v>
      </c>
      <c r="I6" s="8" t="str">
        <f>IF($G6="","Uncategorized — Review",IFERROR(_xlfn.XLOOKUP($G6,Mapping!$A:$A,Mapping!$B:$B),"Uncategorized — Review"))</f>
        <v>Personal - Travel (Canada)</v>
      </c>
      <c r="J6" s="8" t="str">
        <f>IF($G6="","Uncategorized — Review",IFERROR(_xlfn.XLOOKUP($G6,Mapping!$A:$A,Mapping!$C:$C),"Uncategorized — Review"))</f>
        <v>Personal — Owner</v>
      </c>
    </row>
    <row r="7" spans="1:10" x14ac:dyDescent="0.25">
      <c r="A7" s="8" t="str">
        <f>'2025_Chase9335_Activity_2026062'!A7</f>
        <v>DEBIT</v>
      </c>
      <c r="B7" s="24">
        <f>'2025_Chase9335_Activity_2026062'!B7</f>
        <v>46020</v>
      </c>
      <c r="C7" s="8" t="str">
        <f>'2025_Chase9335_Activity_2026062'!C7</f>
        <v>FOREIGN EXCHANGE RATE ADJUSTMENT FEE         12/26HARBOURVI</v>
      </c>
      <c r="D7" s="8">
        <f>'2025_Chase9335_Activity_2026062'!D7</f>
        <v>-3.96</v>
      </c>
      <c r="E7" s="8" t="str">
        <f>'2025_Chase9335_Activity_2026062'!E7</f>
        <v>FEE_TRANSACTION</v>
      </c>
      <c r="F7" s="8">
        <f>'2025_Chase9335_Activity_2026062'!F7</f>
        <v>273670.93</v>
      </c>
      <c r="G7" s="8" t="str">
        <f>'2025_Chase9335_Activity_2026062'!G7</f>
        <v>Personal - Travel (Canada)</v>
      </c>
      <c r="H7" s="26">
        <f t="shared" si="0"/>
        <v>45992</v>
      </c>
      <c r="I7" s="8" t="str">
        <f>IF($G7="","Uncategorized — Review",IFERROR(_xlfn.XLOOKUP($G7,Mapping!$A:$A,Mapping!$B:$B),"Uncategorized — Review"))</f>
        <v>Personal - Travel (Canada)</v>
      </c>
      <c r="J7" s="8" t="str">
        <f>IF($G7="","Uncategorized — Review",IFERROR(_xlfn.XLOOKUP($G7,Mapping!$A:$A,Mapping!$C:$C),"Uncategorized — Review"))</f>
        <v>Personal — Owner</v>
      </c>
    </row>
    <row r="8" spans="1:10" x14ac:dyDescent="0.25">
      <c r="A8" s="8" t="str">
        <f>'2025_Chase9335_Activity_2026062'!A8</f>
        <v>DEBIT</v>
      </c>
      <c r="B8" s="24">
        <f>'2025_Chase9335_Activity_2026062'!B8</f>
        <v>46020</v>
      </c>
      <c r="C8" s="8" t="str">
        <f>'2025_Chase9335_Activity_2026062'!C8</f>
        <v>FOREIGN EXCHANGE RATE ADJUSTMENT FEE         12/26SHED TOFI</v>
      </c>
      <c r="D8" s="8">
        <f>'2025_Chase9335_Activity_2026062'!D8</f>
        <v>-4.21</v>
      </c>
      <c r="E8" s="8" t="str">
        <f>'2025_Chase9335_Activity_2026062'!E8</f>
        <v>FEE_TRANSACTION</v>
      </c>
      <c r="F8" s="8">
        <f>'2025_Chase9335_Activity_2026062'!F8</f>
        <v>273674.89</v>
      </c>
      <c r="G8" s="8" t="str">
        <f>'2025_Chase9335_Activity_2026062'!G8</f>
        <v>Personal - Travel (Canada)</v>
      </c>
      <c r="H8" s="26">
        <f t="shared" si="0"/>
        <v>45992</v>
      </c>
      <c r="I8" s="8" t="str">
        <f>IF($G8="","Uncategorized — Review",IFERROR(_xlfn.XLOOKUP($G8,Mapping!$A:$A,Mapping!$B:$B),"Uncategorized — Review"))</f>
        <v>Personal - Travel (Canada)</v>
      </c>
      <c r="J8" s="8" t="str">
        <f>IF($G8="","Uncategorized — Review",IFERROR(_xlfn.XLOOKUP($G8,Mapping!$A:$A,Mapping!$C:$C),"Uncategorized — Review"))</f>
        <v>Personal — Owner</v>
      </c>
    </row>
    <row r="9" spans="1:10" x14ac:dyDescent="0.25">
      <c r="A9" s="8" t="str">
        <f>'2025_Chase9335_Activity_2026062'!A9</f>
        <v>DEBIT</v>
      </c>
      <c r="B9" s="24">
        <f>'2025_Chase9335_Activity_2026062'!B9</f>
        <v>46020</v>
      </c>
      <c r="C9" s="8" t="str">
        <f>'2025_Chase9335_Activity_2026062'!C9</f>
        <v>Prime Video *NV19F8ZS 888-802-3080 WA        12/29</v>
      </c>
      <c r="D9" s="8">
        <f>'2025_Chase9335_Activity_2026062'!D9</f>
        <v>-16</v>
      </c>
      <c r="E9" s="8" t="str">
        <f>'2025_Chase9335_Activity_2026062'!E9</f>
        <v>DEBIT_CARD</v>
      </c>
      <c r="F9" s="8">
        <f>'2025_Chase9335_Activity_2026062'!F9</f>
        <v>273679.09999999998</v>
      </c>
      <c r="G9" s="8" t="str">
        <f>'2025_Chase9335_Activity_2026062'!G9</f>
        <v>Amazon Prime Video</v>
      </c>
      <c r="H9" s="26">
        <f t="shared" si="0"/>
        <v>45992</v>
      </c>
      <c r="I9" s="8" t="str">
        <f>IF($G9="","Uncategorized — Review",IFERROR(_xlfn.XLOOKUP($G9,Mapping!$A:$A,Mapping!$B:$B),"Uncategorized — Review"))</f>
        <v>Amazon Prime Video</v>
      </c>
      <c r="J9" s="8" t="str">
        <f>IF($G9="","Uncategorized — Review",IFERROR(_xlfn.XLOOKUP($G9,Mapping!$A:$A,Mapping!$C:$C),"Uncategorized — Review"))</f>
        <v>Personal — Owner</v>
      </c>
    </row>
    <row r="10" spans="1:10" x14ac:dyDescent="0.25">
      <c r="A10" s="8" t="str">
        <f>'2025_Chase9335_Activity_2026062'!A10</f>
        <v>DEBIT</v>
      </c>
      <c r="B10" s="24">
        <f>'2025_Chase9335_Activity_2026062'!B10</f>
        <v>46020</v>
      </c>
      <c r="C10" s="8" t="str">
        <f>'2025_Chase9335_Activity_2026062'!C10</f>
        <v>APPLE COM BILL CUPERTINO CA          115913  12/27</v>
      </c>
      <c r="D10" s="8">
        <f>'2025_Chase9335_Activity_2026062'!D10</f>
        <v>-30.89</v>
      </c>
      <c r="E10" s="8" t="str">
        <f>'2025_Chase9335_Activity_2026062'!E10</f>
        <v>DEBIT_CARD</v>
      </c>
      <c r="F10" s="8">
        <f>'2025_Chase9335_Activity_2026062'!F10</f>
        <v>273695.09999999998</v>
      </c>
      <c r="G10" s="8" t="str">
        <f>'2025_Chase9335_Activity_2026062'!G10</f>
        <v>Personal - Subscriptions</v>
      </c>
      <c r="H10" s="26">
        <f t="shared" si="0"/>
        <v>45992</v>
      </c>
      <c r="I10" s="8" t="str">
        <f>IF($G10="","Uncategorized — Review",IFERROR(_xlfn.XLOOKUP($G10,Mapping!$A:$A,Mapping!$B:$B),"Uncategorized — Review"))</f>
        <v>Personal - Subscriptions</v>
      </c>
      <c r="J10" s="8" t="str">
        <f>IF($G10="","Uncategorized — Review",IFERROR(_xlfn.XLOOKUP($G10,Mapping!$A:$A,Mapping!$C:$C),"Uncategorized — Review"))</f>
        <v>Personal — Owner</v>
      </c>
    </row>
    <row r="11" spans="1:10" x14ac:dyDescent="0.25">
      <c r="A11" s="8" t="str">
        <f>'2025_Chase9335_Activity_2026062'!A11</f>
        <v>DEBIT</v>
      </c>
      <c r="B11" s="24">
        <f>'2025_Chase9335_Activity_2026062'!B11</f>
        <v>46020</v>
      </c>
      <c r="C11" s="8" t="str">
        <f>'2025_Chase9335_Activity_2026062'!C11</f>
        <v>Amazon.com*9E8JZ24W3 Amzn.com/bill WA        12/27</v>
      </c>
      <c r="D11" s="8">
        <f>'2025_Chase9335_Activity_2026062'!D11</f>
        <v>-22.87</v>
      </c>
      <c r="E11" s="8" t="str">
        <f>'2025_Chase9335_Activity_2026062'!E11</f>
        <v>DEBIT_CARD</v>
      </c>
      <c r="F11" s="8">
        <f>'2025_Chase9335_Activity_2026062'!F11</f>
        <v>273725.99</v>
      </c>
      <c r="G11" s="8" t="str">
        <f>'2025_Chase9335_Activity_2026062'!G11</f>
        <v>Amazon</v>
      </c>
      <c r="H11" s="26">
        <f t="shared" si="0"/>
        <v>45992</v>
      </c>
      <c r="I11" s="8" t="str">
        <f>IF($G11="","Uncategorized — Review",IFERROR(_xlfn.XLOOKUP($G11,Mapping!$A:$A,Mapping!$B:$B),"Uncategorized — Review"))</f>
        <v>Amazon</v>
      </c>
      <c r="J11" s="8" t="str">
        <f>IF($G11="","Uncategorized — Review",IFERROR(_xlfn.XLOOKUP($G11,Mapping!$A:$A,Mapping!$C:$C),"Uncategorized — Review"))</f>
        <v>Personal — Owner</v>
      </c>
    </row>
    <row r="12" spans="1:10" x14ac:dyDescent="0.25">
      <c r="A12" s="8" t="str">
        <f>'2025_Chase9335_Activity_2026062'!A12</f>
        <v>DEBIT</v>
      </c>
      <c r="B12" s="24">
        <f>'2025_Chase9335_Activity_2026062'!B12</f>
        <v>46020</v>
      </c>
      <c r="C12" s="8" t="str">
        <f>'2025_Chase9335_Activity_2026062'!C12</f>
        <v>SHED TOFINO BC                               12/26 CA DOLLAR  191.46 X 0.7331558 (EXCHG RTE)</v>
      </c>
      <c r="D12" s="8">
        <f>'2025_Chase9335_Activity_2026062'!D12</f>
        <v>-140.37</v>
      </c>
      <c r="E12" s="8" t="str">
        <f>'2025_Chase9335_Activity_2026062'!E12</f>
        <v>DEBIT_CARD</v>
      </c>
      <c r="F12" s="8">
        <f>'2025_Chase9335_Activity_2026062'!F12</f>
        <v>273748.86</v>
      </c>
      <c r="G12" s="8" t="str">
        <f>'2025_Chase9335_Activity_2026062'!G12</f>
        <v>Personal - Travel (Canada)</v>
      </c>
      <c r="H12" s="26">
        <f t="shared" si="0"/>
        <v>45992</v>
      </c>
      <c r="I12" s="8" t="str">
        <f>IF($G12="","Uncategorized — Review",IFERROR(_xlfn.XLOOKUP($G12,Mapping!$A:$A,Mapping!$B:$B),"Uncategorized — Review"))</f>
        <v>Personal - Travel (Canada)</v>
      </c>
      <c r="J12" s="8" t="str">
        <f>IF($G12="","Uncategorized — Review",IFERROR(_xlfn.XLOOKUP($G12,Mapping!$A:$A,Mapping!$C:$C),"Uncategorized — Review"))</f>
        <v>Personal — Owner</v>
      </c>
    </row>
    <row r="13" spans="1:10" x14ac:dyDescent="0.25">
      <c r="A13" s="8" t="str">
        <f>'2025_Chase9335_Activity_2026062'!A13</f>
        <v>DEBIT</v>
      </c>
      <c r="B13" s="24">
        <f>'2025_Chase9335_Activity_2026062'!B13</f>
        <v>46020</v>
      </c>
      <c r="C13" s="8" t="str">
        <f>'2025_Chase9335_Activity_2026062'!C13</f>
        <v>HARBOURVIEW DRUGSTORE UCLUELET BC            12/26 CA DOLLAR  180.35 X 0.7319656 (EXCHG RTE)</v>
      </c>
      <c r="D13" s="8">
        <f>'2025_Chase9335_Activity_2026062'!D13</f>
        <v>-132.01</v>
      </c>
      <c r="E13" s="8" t="str">
        <f>'2025_Chase9335_Activity_2026062'!E13</f>
        <v>DEBIT_CARD</v>
      </c>
      <c r="F13" s="8">
        <f>'2025_Chase9335_Activity_2026062'!F13</f>
        <v>273889.23</v>
      </c>
      <c r="G13" s="8" t="str">
        <f>'2025_Chase9335_Activity_2026062'!G13</f>
        <v>Personal - Travel (Canada)</v>
      </c>
      <c r="H13" s="26">
        <f t="shared" si="0"/>
        <v>45992</v>
      </c>
      <c r="I13" s="8" t="str">
        <f>IF($G13="","Uncategorized — Review",IFERROR(_xlfn.XLOOKUP($G13,Mapping!$A:$A,Mapping!$B:$B),"Uncategorized — Review"))</f>
        <v>Personal - Travel (Canada)</v>
      </c>
      <c r="J13" s="8" t="str">
        <f>IF($G13="","Uncategorized — Review",IFERROR(_xlfn.XLOOKUP($G13,Mapping!$A:$A,Mapping!$C:$C),"Uncategorized — Review"))</f>
        <v>Personal — Owner</v>
      </c>
    </row>
    <row r="14" spans="1:10" x14ac:dyDescent="0.25">
      <c r="A14" s="8" t="str">
        <f>'2025_Chase9335_Activity_2026062'!A14</f>
        <v>DEBIT</v>
      </c>
      <c r="B14" s="24">
        <f>'2025_Chase9335_Activity_2026062'!B14</f>
        <v>46017</v>
      </c>
      <c r="C14" s="8" t="str">
        <f>'2025_Chase9335_Activity_2026062'!C14</f>
        <v>Prime Video *EQ49V28H 888-802-3080 WA        12/25</v>
      </c>
      <c r="D14" s="8">
        <f>'2025_Chase9335_Activity_2026062'!D14</f>
        <v>-21.34</v>
      </c>
      <c r="E14" s="8" t="str">
        <f>'2025_Chase9335_Activity_2026062'!E14</f>
        <v>DEBIT_CARD</v>
      </c>
      <c r="F14" s="8">
        <f>'2025_Chase9335_Activity_2026062'!F14</f>
        <v>274021.24</v>
      </c>
      <c r="G14" s="8" t="str">
        <f>'2025_Chase9335_Activity_2026062'!G14</f>
        <v>Amazon Prime Video</v>
      </c>
      <c r="H14" s="26">
        <f t="shared" si="0"/>
        <v>45992</v>
      </c>
      <c r="I14" s="8" t="str">
        <f>IF($G14="","Uncategorized — Review",IFERROR(_xlfn.XLOOKUP($G14,Mapping!$A:$A,Mapping!$B:$B),"Uncategorized — Review"))</f>
        <v>Amazon Prime Video</v>
      </c>
      <c r="J14" s="8" t="str">
        <f>IF($G14="","Uncategorized — Review",IFERROR(_xlfn.XLOOKUP($G14,Mapping!$A:$A,Mapping!$C:$C),"Uncategorized — Review"))</f>
        <v>Personal — Owner</v>
      </c>
    </row>
    <row r="15" spans="1:10" x14ac:dyDescent="0.25">
      <c r="A15" s="8" t="str">
        <f>'2025_Chase9335_Activity_2026062'!A15</f>
        <v>DEBIT</v>
      </c>
      <c r="B15" s="24">
        <f>'2025_Chase9335_Activity_2026062'!B15</f>
        <v>46017</v>
      </c>
      <c r="C15" s="8" t="str">
        <f>'2025_Chase9335_Activity_2026062'!C15</f>
        <v>Prime Video *UL5DI8YO 888-802-3080 WA        12/25</v>
      </c>
      <c r="D15" s="8">
        <f>'2025_Chase9335_Activity_2026062'!D15</f>
        <v>-21.34</v>
      </c>
      <c r="E15" s="8" t="str">
        <f>'2025_Chase9335_Activity_2026062'!E15</f>
        <v>DEBIT_CARD</v>
      </c>
      <c r="F15" s="8">
        <f>'2025_Chase9335_Activity_2026062'!F15</f>
        <v>274042.58</v>
      </c>
      <c r="G15" s="8" t="str">
        <f>'2025_Chase9335_Activity_2026062'!G15</f>
        <v>Amazon Prime Video</v>
      </c>
      <c r="H15" s="26">
        <f t="shared" si="0"/>
        <v>45992</v>
      </c>
      <c r="I15" s="8" t="str">
        <f>IF($G15="","Uncategorized — Review",IFERROR(_xlfn.XLOOKUP($G15,Mapping!$A:$A,Mapping!$B:$B),"Uncategorized — Review"))</f>
        <v>Amazon Prime Video</v>
      </c>
      <c r="J15" s="8" t="str">
        <f>IF($G15="","Uncategorized — Review",IFERROR(_xlfn.XLOOKUP($G15,Mapping!$A:$A,Mapping!$C:$C),"Uncategorized — Review"))</f>
        <v>Personal — Owner</v>
      </c>
    </row>
    <row r="16" spans="1:10" x14ac:dyDescent="0.25">
      <c r="A16" s="8" t="str">
        <f>'2025_Chase9335_Activity_2026062'!A16</f>
        <v>DEBIT</v>
      </c>
      <c r="B16" s="24">
        <f>'2025_Chase9335_Activity_2026062'!B16</f>
        <v>46015</v>
      </c>
      <c r="C16" s="8" t="str">
        <f>'2025_Chase9335_Activity_2026062'!C16</f>
        <v>FOREIGN EXCHANGE RATE ADJUSTMENT FEE         12/23UKEEDOGS</v>
      </c>
      <c r="D16" s="8">
        <f>'2025_Chase9335_Activity_2026062'!D16</f>
        <v>-2.3199999999999998</v>
      </c>
      <c r="E16" s="8" t="str">
        <f>'2025_Chase9335_Activity_2026062'!E16</f>
        <v>FEE_TRANSACTION</v>
      </c>
      <c r="F16" s="8">
        <f>'2025_Chase9335_Activity_2026062'!F16</f>
        <v>274063.92</v>
      </c>
      <c r="G16" s="8" t="str">
        <f>'2025_Chase9335_Activity_2026062'!G16</f>
        <v>Personal - Travel (Canada)</v>
      </c>
      <c r="H16" s="26">
        <f t="shared" si="0"/>
        <v>45992</v>
      </c>
      <c r="I16" s="8" t="str">
        <f>IF($G16="","Uncategorized — Review",IFERROR(_xlfn.XLOOKUP($G16,Mapping!$A:$A,Mapping!$B:$B),"Uncategorized — Review"))</f>
        <v>Personal - Travel (Canada)</v>
      </c>
      <c r="J16" s="8" t="str">
        <f>IF($G16="","Uncategorized — Review",IFERROR(_xlfn.XLOOKUP($G16,Mapping!$A:$A,Mapping!$C:$C),"Uncategorized — Review"))</f>
        <v>Personal — Owner</v>
      </c>
    </row>
    <row r="17" spans="1:10" x14ac:dyDescent="0.25">
      <c r="A17" s="8" t="str">
        <f>'2025_Chase9335_Activity_2026062'!A17</f>
        <v>DEBIT</v>
      </c>
      <c r="B17" s="24">
        <f>'2025_Chase9335_Activity_2026062'!B17</f>
        <v>46015</v>
      </c>
      <c r="C17" s="8" t="str">
        <f>'2025_Chase9335_Activity_2026062'!C17</f>
        <v>FOREIGN EXCHANGE RATE ADJUSTMENT FEE         12/23HARBOURVI</v>
      </c>
      <c r="D17" s="8">
        <f>'2025_Chase9335_Activity_2026062'!D17</f>
        <v>-2.7</v>
      </c>
      <c r="E17" s="8" t="str">
        <f>'2025_Chase9335_Activity_2026062'!E17</f>
        <v>FEE_TRANSACTION</v>
      </c>
      <c r="F17" s="8">
        <f>'2025_Chase9335_Activity_2026062'!F17</f>
        <v>274066.24</v>
      </c>
      <c r="G17" s="8" t="str">
        <f>'2025_Chase9335_Activity_2026062'!G17</f>
        <v>Personal - Travel (Canada)</v>
      </c>
      <c r="H17" s="26">
        <f t="shared" si="0"/>
        <v>45992</v>
      </c>
      <c r="I17" s="8" t="str">
        <f>IF($G17="","Uncategorized — Review",IFERROR(_xlfn.XLOOKUP($G17,Mapping!$A:$A,Mapping!$B:$B),"Uncategorized — Review"))</f>
        <v>Personal - Travel (Canada)</v>
      </c>
      <c r="J17" s="8" t="str">
        <f>IF($G17="","Uncategorized — Review",IFERROR(_xlfn.XLOOKUP($G17,Mapping!$A:$A,Mapping!$C:$C),"Uncategorized — Review"))</f>
        <v>Personal — Owner</v>
      </c>
    </row>
    <row r="18" spans="1:10" x14ac:dyDescent="0.25">
      <c r="A18" s="8" t="str">
        <f>'2025_Chase9335_Activity_2026062'!A18</f>
        <v>DEBIT</v>
      </c>
      <c r="B18" s="24">
        <f>'2025_Chase9335_Activity_2026062'!B18</f>
        <v>46015</v>
      </c>
      <c r="C18" s="8" t="str">
        <f>'2025_Chase9335_Activity_2026062'!C18</f>
        <v>HARBOURVIEW DRUGSTORE UCLUELET BC            12/23 CA DOLLAR  123.38 X 0.7308316 (EXCHG RTE)</v>
      </c>
      <c r="D18" s="8">
        <f>'2025_Chase9335_Activity_2026062'!D18</f>
        <v>-90.17</v>
      </c>
      <c r="E18" s="8" t="str">
        <f>'2025_Chase9335_Activity_2026062'!E18</f>
        <v>DEBIT_CARD</v>
      </c>
      <c r="F18" s="8">
        <f>'2025_Chase9335_Activity_2026062'!F18</f>
        <v>274068.94</v>
      </c>
      <c r="G18" s="8" t="str">
        <f>'2025_Chase9335_Activity_2026062'!G18</f>
        <v>Personal - Travel (Canada)</v>
      </c>
      <c r="H18" s="26">
        <f t="shared" si="0"/>
        <v>45992</v>
      </c>
      <c r="I18" s="8" t="str">
        <f>IF($G18="","Uncategorized — Review",IFERROR(_xlfn.XLOOKUP($G18,Mapping!$A:$A,Mapping!$B:$B),"Uncategorized — Review"))</f>
        <v>Personal - Travel (Canada)</v>
      </c>
      <c r="J18" s="8" t="str">
        <f>IF($G18="","Uncategorized — Review",IFERROR(_xlfn.XLOOKUP($G18,Mapping!$A:$A,Mapping!$C:$C),"Uncategorized — Review"))</f>
        <v>Personal — Owner</v>
      </c>
    </row>
    <row r="19" spans="1:10" x14ac:dyDescent="0.25">
      <c r="A19" s="8" t="str">
        <f>'2025_Chase9335_Activity_2026062'!A19</f>
        <v>DEBIT</v>
      </c>
      <c r="B19" s="24">
        <f>'2025_Chase9335_Activity_2026062'!B19</f>
        <v>46015</v>
      </c>
      <c r="C19" s="8" t="str">
        <f>'2025_Chase9335_Activity_2026062'!C19</f>
        <v>UKEEDOGS TAQUERIA UCLUELET BC                12/23 CA DOLLAR  106.46 X 0.7281608 (EXCHG RTE)</v>
      </c>
      <c r="D19" s="8">
        <f>'2025_Chase9335_Activity_2026062'!D19</f>
        <v>-77.52</v>
      </c>
      <c r="E19" s="8" t="str">
        <f>'2025_Chase9335_Activity_2026062'!E19</f>
        <v>DEBIT_CARD</v>
      </c>
      <c r="F19" s="8">
        <f>'2025_Chase9335_Activity_2026062'!F19</f>
        <v>274159.11</v>
      </c>
      <c r="G19" s="8" t="str">
        <f>'2025_Chase9335_Activity_2026062'!G19</f>
        <v>Personal - Travel (Canada)</v>
      </c>
      <c r="H19" s="26">
        <f t="shared" si="0"/>
        <v>45992</v>
      </c>
      <c r="I19" s="8" t="str">
        <f>IF($G19="","Uncategorized — Review",IFERROR(_xlfn.XLOOKUP($G19,Mapping!$A:$A,Mapping!$B:$B),"Uncategorized — Review"))</f>
        <v>Personal - Travel (Canada)</v>
      </c>
      <c r="J19" s="8" t="str">
        <f>IF($G19="","Uncategorized — Review",IFERROR(_xlfn.XLOOKUP($G19,Mapping!$A:$A,Mapping!$C:$C),"Uncategorized — Review"))</f>
        <v>Personal — Owner</v>
      </c>
    </row>
    <row r="20" spans="1:10" x14ac:dyDescent="0.25">
      <c r="A20" s="8" t="str">
        <f>'2025_Chase9335_Activity_2026062'!A20</f>
        <v>DEBIT</v>
      </c>
      <c r="B20" s="24">
        <f>'2025_Chase9335_Activity_2026062'!B20</f>
        <v>46014</v>
      </c>
      <c r="C20" s="8" t="str">
        <f>'2025_Chase9335_Activity_2026062'!C20</f>
        <v>FOREIGN EXCHANGE RATE ADJUSTMENT FEE         12/22SQ *COMMO</v>
      </c>
      <c r="D20" s="8">
        <f>'2025_Chase9335_Activity_2026062'!D20</f>
        <v>-1.0900000000000001</v>
      </c>
      <c r="E20" s="8" t="str">
        <f>'2025_Chase9335_Activity_2026062'!E20</f>
        <v>FEE_TRANSACTION</v>
      </c>
      <c r="F20" s="8">
        <f>'2025_Chase9335_Activity_2026062'!F20</f>
        <v>274236.63</v>
      </c>
      <c r="G20" s="8" t="str">
        <f>'2025_Chase9335_Activity_2026062'!G20</f>
        <v>Personal - Travel (Canada)</v>
      </c>
      <c r="H20" s="26">
        <f t="shared" si="0"/>
        <v>45992</v>
      </c>
      <c r="I20" s="8" t="str">
        <f>IF($G20="","Uncategorized — Review",IFERROR(_xlfn.XLOOKUP($G20,Mapping!$A:$A,Mapping!$B:$B),"Uncategorized — Review"))</f>
        <v>Personal - Travel (Canada)</v>
      </c>
      <c r="J20" s="8" t="str">
        <f>IF($G20="","Uncategorized — Review",IFERROR(_xlfn.XLOOKUP($G20,Mapping!$A:$A,Mapping!$C:$C),"Uncategorized — Review"))</f>
        <v>Personal — Owner</v>
      </c>
    </row>
    <row r="21" spans="1:10" x14ac:dyDescent="0.25">
      <c r="A21" s="8" t="str">
        <f>'2025_Chase9335_Activity_2026062'!A21</f>
        <v>DEBIT</v>
      </c>
      <c r="B21" s="24">
        <f>'2025_Chase9335_Activity_2026062'!B21</f>
        <v>46014</v>
      </c>
      <c r="C21" s="8" t="str">
        <f>'2025_Chase9335_Activity_2026062'!C21</f>
        <v>SQ *COMMON LOAF BAKE SH Tofino BC            12/22 CA DOLLAR  50.27 X 0.7282674 (EXCHG RTE)</v>
      </c>
      <c r="D21" s="8">
        <f>'2025_Chase9335_Activity_2026062'!D21</f>
        <v>-36.61</v>
      </c>
      <c r="E21" s="8" t="str">
        <f>'2025_Chase9335_Activity_2026062'!E21</f>
        <v>DEBIT_CARD</v>
      </c>
      <c r="F21" s="8">
        <f>'2025_Chase9335_Activity_2026062'!F21</f>
        <v>274237.71999999997</v>
      </c>
      <c r="G21" s="8" t="str">
        <f>'2025_Chase9335_Activity_2026062'!G21</f>
        <v>Personal - Travel (Canada)</v>
      </c>
      <c r="H21" s="26">
        <f t="shared" si="0"/>
        <v>45992</v>
      </c>
      <c r="I21" s="8" t="str">
        <f>IF($G21="","Uncategorized — Review",IFERROR(_xlfn.XLOOKUP($G21,Mapping!$A:$A,Mapping!$B:$B),"Uncategorized — Review"))</f>
        <v>Personal - Travel (Canada)</v>
      </c>
      <c r="J21" s="8" t="str">
        <f>IF($G21="","Uncategorized — Review",IFERROR(_xlfn.XLOOKUP($G21,Mapping!$A:$A,Mapping!$C:$C),"Uncategorized — Review"))</f>
        <v>Personal — Owner</v>
      </c>
    </row>
    <row r="22" spans="1:10" x14ac:dyDescent="0.25">
      <c r="A22" s="8" t="str">
        <f>'2025_Chase9335_Activity_2026062'!A22</f>
        <v>DEBIT</v>
      </c>
      <c r="B22" s="24">
        <f>'2025_Chase9335_Activity_2026062'!B22</f>
        <v>46013</v>
      </c>
      <c r="C22" s="8" t="str">
        <f>'2025_Chase9335_Activity_2026062'!C22</f>
        <v>FOREIGN EXCHANGE RATE ADJUSTMENT FEE         12/21TST-Tacof</v>
      </c>
      <c r="D22" s="8">
        <f>'2025_Chase9335_Activity_2026062'!D22</f>
        <v>-1.67</v>
      </c>
      <c r="E22" s="8" t="str">
        <f>'2025_Chase9335_Activity_2026062'!E22</f>
        <v>FEE_TRANSACTION</v>
      </c>
      <c r="F22" s="8">
        <f>'2025_Chase9335_Activity_2026062'!F22</f>
        <v>274274.33</v>
      </c>
      <c r="G22" s="8" t="str">
        <f>'2025_Chase9335_Activity_2026062'!G22</f>
        <v>Personal - Travel (Canada)</v>
      </c>
      <c r="H22" s="26">
        <f t="shared" si="0"/>
        <v>45992</v>
      </c>
      <c r="I22" s="8" t="str">
        <f>IF($G22="","Uncategorized — Review",IFERROR(_xlfn.XLOOKUP($G22,Mapping!$A:$A,Mapping!$B:$B),"Uncategorized — Review"))</f>
        <v>Personal - Travel (Canada)</v>
      </c>
      <c r="J22" s="8" t="str">
        <f>IF($G22="","Uncategorized — Review",IFERROR(_xlfn.XLOOKUP($G22,Mapping!$A:$A,Mapping!$C:$C),"Uncategorized — Review"))</f>
        <v>Personal — Owner</v>
      </c>
    </row>
    <row r="23" spans="1:10" x14ac:dyDescent="0.25">
      <c r="A23" s="8" t="str">
        <f>'2025_Chase9335_Activity_2026062'!A23</f>
        <v>DEBIT</v>
      </c>
      <c r="B23" s="24">
        <f>'2025_Chase9335_Activity_2026062'!B23</f>
        <v>46013</v>
      </c>
      <c r="C23" s="8" t="str">
        <f>'2025_Chase9335_Activity_2026062'!C23</f>
        <v>FOREIGN EXCHANGE RATE ADJUSTMENT FEE         12/18SHED TOFI</v>
      </c>
      <c r="D23" s="8">
        <f>'2025_Chase9335_Activity_2026062'!D23</f>
        <v>-2.0099999999999998</v>
      </c>
      <c r="E23" s="8" t="str">
        <f>'2025_Chase9335_Activity_2026062'!E23</f>
        <v>FEE_TRANSACTION</v>
      </c>
      <c r="F23" s="8">
        <f>'2025_Chase9335_Activity_2026062'!F23</f>
        <v>274276</v>
      </c>
      <c r="G23" s="8" t="str">
        <f>'2025_Chase9335_Activity_2026062'!G23</f>
        <v>Personal - Travel (Canada)</v>
      </c>
      <c r="H23" s="26">
        <f t="shared" si="0"/>
        <v>45992</v>
      </c>
      <c r="I23" s="8" t="str">
        <f>IF($G23="","Uncategorized — Review",IFERROR(_xlfn.XLOOKUP($G23,Mapping!$A:$A,Mapping!$B:$B),"Uncategorized — Review"))</f>
        <v>Personal - Travel (Canada)</v>
      </c>
      <c r="J23" s="8" t="str">
        <f>IF($G23="","Uncategorized — Review",IFERROR(_xlfn.XLOOKUP($G23,Mapping!$A:$A,Mapping!$C:$C),"Uncategorized — Review"))</f>
        <v>Personal — Owner</v>
      </c>
    </row>
    <row r="24" spans="1:10" x14ac:dyDescent="0.25">
      <c r="A24" s="8" t="str">
        <f>'2025_Chase9335_Activity_2026062'!A24</f>
        <v>DEBIT</v>
      </c>
      <c r="B24" s="24">
        <f>'2025_Chase9335_Activity_2026062'!B24</f>
        <v>46013</v>
      </c>
      <c r="C24" s="8" t="str">
        <f>'2025_Chase9335_Activity_2026062'!C24</f>
        <v>FOREIGN EXCHANGE RATE ADJUSTMENT FEE         12/21TOFINO PH</v>
      </c>
      <c r="D24" s="8">
        <f>'2025_Chase9335_Activity_2026062'!D24</f>
        <v>-2.54</v>
      </c>
      <c r="E24" s="8" t="str">
        <f>'2025_Chase9335_Activity_2026062'!E24</f>
        <v>FEE_TRANSACTION</v>
      </c>
      <c r="F24" s="8">
        <f>'2025_Chase9335_Activity_2026062'!F24</f>
        <v>274278.01</v>
      </c>
      <c r="G24" s="8" t="str">
        <f>'2025_Chase9335_Activity_2026062'!G24</f>
        <v>Personal - Travel (Canada)</v>
      </c>
      <c r="H24" s="26">
        <f t="shared" si="0"/>
        <v>45992</v>
      </c>
      <c r="I24" s="8" t="str">
        <f>IF($G24="","Uncategorized — Review",IFERROR(_xlfn.XLOOKUP($G24,Mapping!$A:$A,Mapping!$B:$B),"Uncategorized — Review"))</f>
        <v>Personal - Travel (Canada)</v>
      </c>
      <c r="J24" s="8" t="str">
        <f>IF($G24="","Uncategorized — Review",IFERROR(_xlfn.XLOOKUP($G24,Mapping!$A:$A,Mapping!$C:$C),"Uncategorized — Review"))</f>
        <v>Personal — Owner</v>
      </c>
    </row>
    <row r="25" spans="1:10" x14ac:dyDescent="0.25">
      <c r="A25" s="8" t="str">
        <f>'2025_Chase9335_Activity_2026062'!A25</f>
        <v>DEBIT</v>
      </c>
      <c r="B25" s="24">
        <f>'2025_Chase9335_Activity_2026062'!B25</f>
        <v>46013</v>
      </c>
      <c r="C25" s="8" t="str">
        <f>'2025_Chase9335_Activity_2026062'!C25</f>
        <v>TOFINO PHARMACY TOFINO BC                    12/21 CA DOLLAR  116.79 X 0.7271170 (EXCHG RTE)</v>
      </c>
      <c r="D25" s="8">
        <f>'2025_Chase9335_Activity_2026062'!D25</f>
        <v>-84.92</v>
      </c>
      <c r="E25" s="8" t="str">
        <f>'2025_Chase9335_Activity_2026062'!E25</f>
        <v>DEBIT_CARD</v>
      </c>
      <c r="F25" s="8">
        <f>'2025_Chase9335_Activity_2026062'!F25</f>
        <v>274280.55</v>
      </c>
      <c r="G25" s="8" t="str">
        <f>'2025_Chase9335_Activity_2026062'!G25</f>
        <v>Personal - Travel (Canada)</v>
      </c>
      <c r="H25" s="26">
        <f t="shared" si="0"/>
        <v>45992</v>
      </c>
      <c r="I25" s="8" t="str">
        <f>IF($G25="","Uncategorized — Review",IFERROR(_xlfn.XLOOKUP($G25,Mapping!$A:$A,Mapping!$B:$B),"Uncategorized — Review"))</f>
        <v>Personal - Travel (Canada)</v>
      </c>
      <c r="J25" s="8" t="str">
        <f>IF($G25="","Uncategorized — Review",IFERROR(_xlfn.XLOOKUP($G25,Mapping!$A:$A,Mapping!$C:$C),"Uncategorized — Review"))</f>
        <v>Personal — Owner</v>
      </c>
    </row>
    <row r="26" spans="1:10" x14ac:dyDescent="0.25">
      <c r="A26" s="8" t="str">
        <f>'2025_Chase9335_Activity_2026062'!A26</f>
        <v>DEBIT</v>
      </c>
      <c r="B26" s="24">
        <f>'2025_Chase9335_Activity_2026062'!B26</f>
        <v>46013</v>
      </c>
      <c r="C26" s="8" t="str">
        <f>'2025_Chase9335_Activity_2026062'!C26</f>
        <v>Netflix.com netflix.com CA                   12/21</v>
      </c>
      <c r="D26" s="8">
        <f>'2025_Chase9335_Activity_2026062'!D26</f>
        <v>-24.99</v>
      </c>
      <c r="E26" s="8" t="str">
        <f>'2025_Chase9335_Activity_2026062'!E26</f>
        <v>DEBIT_CARD</v>
      </c>
      <c r="F26" s="8">
        <f>'2025_Chase9335_Activity_2026062'!F26</f>
        <v>274365.46999999997</v>
      </c>
      <c r="G26" s="8" t="str">
        <f>'2025_Chase9335_Activity_2026062'!G26</f>
        <v>Personal - Subscriptions</v>
      </c>
      <c r="H26" s="26">
        <f t="shared" si="0"/>
        <v>45992</v>
      </c>
      <c r="I26" s="8" t="str">
        <f>IF($G26="","Uncategorized — Review",IFERROR(_xlfn.XLOOKUP($G26,Mapping!$A:$A,Mapping!$B:$B),"Uncategorized — Review"))</f>
        <v>Personal - Subscriptions</v>
      </c>
      <c r="J26" s="8" t="str">
        <f>IF($G26="","Uncategorized — Review",IFERROR(_xlfn.XLOOKUP($G26,Mapping!$A:$A,Mapping!$C:$C),"Uncategorized — Review"))</f>
        <v>Personal — Owner</v>
      </c>
    </row>
    <row r="27" spans="1:10" x14ac:dyDescent="0.25">
      <c r="A27" s="8" t="str">
        <f>'2025_Chase9335_Activity_2026062'!A27</f>
        <v>DEBIT</v>
      </c>
      <c r="B27" s="24">
        <f>'2025_Chase9335_Activity_2026062'!B27</f>
        <v>46013</v>
      </c>
      <c r="C27" s="8" t="str">
        <f>'2025_Chase9335_Activity_2026062'!C27</f>
        <v>Prime Video *JS8BT11O 888-802-3080 WA        12/21</v>
      </c>
      <c r="D27" s="8">
        <f>'2025_Chase9335_Activity_2026062'!D27</f>
        <v>-4.1500000000000004</v>
      </c>
      <c r="E27" s="8" t="str">
        <f>'2025_Chase9335_Activity_2026062'!E27</f>
        <v>DEBIT_CARD</v>
      </c>
      <c r="F27" s="8">
        <f>'2025_Chase9335_Activity_2026062'!F27</f>
        <v>274390.46000000002</v>
      </c>
      <c r="G27" s="8" t="str">
        <f>'2025_Chase9335_Activity_2026062'!G27</f>
        <v>Amazon Prime Video</v>
      </c>
      <c r="H27" s="26">
        <f t="shared" si="0"/>
        <v>45992</v>
      </c>
      <c r="I27" s="8" t="str">
        <f>IF($G27="","Uncategorized — Review",IFERROR(_xlfn.XLOOKUP($G27,Mapping!$A:$A,Mapping!$B:$B),"Uncategorized — Review"))</f>
        <v>Amazon Prime Video</v>
      </c>
      <c r="J27" s="8" t="str">
        <f>IF($G27="","Uncategorized — Review",IFERROR(_xlfn.XLOOKUP($G27,Mapping!$A:$A,Mapping!$C:$C),"Uncategorized — Review"))</f>
        <v>Personal — Owner</v>
      </c>
    </row>
    <row r="28" spans="1:10" x14ac:dyDescent="0.25">
      <c r="A28" s="8" t="str">
        <f>'2025_Chase9335_Activity_2026062'!A28</f>
        <v>DEBIT</v>
      </c>
      <c r="B28" s="24">
        <f>'2025_Chase9335_Activity_2026062'!B28</f>
        <v>46013</v>
      </c>
      <c r="C28" s="8" t="str">
        <f>'2025_Chase9335_Activity_2026062'!C28</f>
        <v>TST-Tacofino - Tofino Tofino BC              12/21 CA DOLLAR  76.81 X 0.7271189 (EXCHG RTE)</v>
      </c>
      <c r="D28" s="8">
        <f>'2025_Chase9335_Activity_2026062'!D28</f>
        <v>-55.85</v>
      </c>
      <c r="E28" s="8" t="str">
        <f>'2025_Chase9335_Activity_2026062'!E28</f>
        <v>DEBIT_CARD</v>
      </c>
      <c r="F28" s="8">
        <f>'2025_Chase9335_Activity_2026062'!F28</f>
        <v>274394.61</v>
      </c>
      <c r="G28" s="8" t="str">
        <f>'2025_Chase9335_Activity_2026062'!G28</f>
        <v>Personal - Travel (Canada)</v>
      </c>
      <c r="H28" s="26">
        <f t="shared" si="0"/>
        <v>45992</v>
      </c>
      <c r="I28" s="8" t="str">
        <f>IF($G28="","Uncategorized — Review",IFERROR(_xlfn.XLOOKUP($G28,Mapping!$A:$A,Mapping!$B:$B),"Uncategorized — Review"))</f>
        <v>Personal - Travel (Canada)</v>
      </c>
      <c r="J28" s="8" t="str">
        <f>IF($G28="","Uncategorized — Review",IFERROR(_xlfn.XLOOKUP($G28,Mapping!$A:$A,Mapping!$C:$C),"Uncategorized — Review"))</f>
        <v>Personal — Owner</v>
      </c>
    </row>
    <row r="29" spans="1:10" x14ac:dyDescent="0.25">
      <c r="A29" s="8" t="str">
        <f>'2025_Chase9335_Activity_2026062'!A29</f>
        <v>DEBIT</v>
      </c>
      <c r="B29" s="24">
        <f>'2025_Chase9335_Activity_2026062'!B29</f>
        <v>46013</v>
      </c>
      <c r="C29" s="8" t="str">
        <f>'2025_Chase9335_Activity_2026062'!C29</f>
        <v>APPLE.COM/BILL 866-712-7753 CA               12/21</v>
      </c>
      <c r="D29" s="8">
        <f>'2025_Chase9335_Activity_2026062'!D29</f>
        <v>-30.89</v>
      </c>
      <c r="E29" s="8" t="str">
        <f>'2025_Chase9335_Activity_2026062'!E29</f>
        <v>DEBIT_CARD</v>
      </c>
      <c r="F29" s="8">
        <f>'2025_Chase9335_Activity_2026062'!F29</f>
        <v>274450.46000000002</v>
      </c>
      <c r="G29" s="8" t="str">
        <f>'2025_Chase9335_Activity_2026062'!G29</f>
        <v>Personal - Subscriptions</v>
      </c>
      <c r="H29" s="26">
        <f t="shared" si="0"/>
        <v>45992</v>
      </c>
      <c r="I29" s="8" t="str">
        <f>IF($G29="","Uncategorized — Review",IFERROR(_xlfn.XLOOKUP($G29,Mapping!$A:$A,Mapping!$B:$B),"Uncategorized — Review"))</f>
        <v>Personal - Subscriptions</v>
      </c>
      <c r="J29" s="8" t="str">
        <f>IF($G29="","Uncategorized — Review",IFERROR(_xlfn.XLOOKUP($G29,Mapping!$A:$A,Mapping!$C:$C),"Uncategorized — Review"))</f>
        <v>Personal — Owner</v>
      </c>
    </row>
    <row r="30" spans="1:10" x14ac:dyDescent="0.25">
      <c r="A30" s="8" t="str">
        <f>'2025_Chase9335_Activity_2026062'!A30</f>
        <v>DEBIT</v>
      </c>
      <c r="B30" s="24">
        <f>'2025_Chase9335_Activity_2026062'!B30</f>
        <v>46013</v>
      </c>
      <c r="C30" s="8" t="str">
        <f>'2025_Chase9335_Activity_2026062'!C30</f>
        <v>Prime Video *NO5MJ1I5 888-802-3080 WA        12/20</v>
      </c>
      <c r="D30" s="8">
        <f>'2025_Chase9335_Activity_2026062'!D30</f>
        <v>-3.19</v>
      </c>
      <c r="E30" s="8" t="str">
        <f>'2025_Chase9335_Activity_2026062'!E30</f>
        <v>DEBIT_CARD</v>
      </c>
      <c r="F30" s="8">
        <f>'2025_Chase9335_Activity_2026062'!F30</f>
        <v>274481.34999999998</v>
      </c>
      <c r="G30" s="8" t="str">
        <f>'2025_Chase9335_Activity_2026062'!G30</f>
        <v>Amazon Prime Video</v>
      </c>
      <c r="H30" s="26">
        <f t="shared" si="0"/>
        <v>45992</v>
      </c>
      <c r="I30" s="8" t="str">
        <f>IF($G30="","Uncategorized — Review",IFERROR(_xlfn.XLOOKUP($G30,Mapping!$A:$A,Mapping!$B:$B),"Uncategorized — Review"))</f>
        <v>Amazon Prime Video</v>
      </c>
      <c r="J30" s="8" t="str">
        <f>IF($G30="","Uncategorized — Review",IFERROR(_xlfn.XLOOKUP($G30,Mapping!$A:$A,Mapping!$C:$C),"Uncategorized — Review"))</f>
        <v>Personal — Owner</v>
      </c>
    </row>
    <row r="31" spans="1:10" x14ac:dyDescent="0.25">
      <c r="A31" s="8" t="str">
        <f>'2025_Chase9335_Activity_2026062'!A31</f>
        <v>DEBIT</v>
      </c>
      <c r="B31" s="24">
        <f>'2025_Chase9335_Activity_2026062'!B31</f>
        <v>46013</v>
      </c>
      <c r="C31" s="8" t="str">
        <f>'2025_Chase9335_Activity_2026062'!C31</f>
        <v>ANGEL WWW.ANGEL.COM UT                       12/19</v>
      </c>
      <c r="D31" s="8">
        <f>'2025_Chase9335_Activity_2026062'!D31</f>
        <v>-20</v>
      </c>
      <c r="E31" s="8" t="str">
        <f>'2025_Chase9335_Activity_2026062'!E31</f>
        <v>DEBIT_CARD</v>
      </c>
      <c r="F31" s="8">
        <f>'2025_Chase9335_Activity_2026062'!F31</f>
        <v>274484.53999999998</v>
      </c>
      <c r="G31" s="8" t="str">
        <f>'2025_Chase9335_Activity_2026062'!G31</f>
        <v>Personal - Subscriptions</v>
      </c>
      <c r="H31" s="26">
        <f t="shared" si="0"/>
        <v>45992</v>
      </c>
      <c r="I31" s="8" t="str">
        <f>IF($G31="","Uncategorized — Review",IFERROR(_xlfn.XLOOKUP($G31,Mapping!$A:$A,Mapping!$B:$B),"Uncategorized — Review"))</f>
        <v>Personal - Subscriptions</v>
      </c>
      <c r="J31" s="8" t="str">
        <f>IF($G31="","Uncategorized — Review",IFERROR(_xlfn.XLOOKUP($G31,Mapping!$A:$A,Mapping!$C:$C),"Uncategorized — Review"))</f>
        <v>Personal — Owner</v>
      </c>
    </row>
    <row r="32" spans="1:10" x14ac:dyDescent="0.25">
      <c r="A32" s="8" t="str">
        <f>'2025_Chase9335_Activity_2026062'!A32</f>
        <v>DEBIT</v>
      </c>
      <c r="B32" s="24">
        <f>'2025_Chase9335_Activity_2026062'!B32</f>
        <v>46013</v>
      </c>
      <c r="C32" s="8" t="str">
        <f>'2025_Chase9335_Activity_2026062'!C32</f>
        <v>SHED TOFINO BC                               12/18 CA DOLLAR  92.16 X 0.7271050 (EXCHG RTE)</v>
      </c>
      <c r="D32" s="8">
        <f>'2025_Chase9335_Activity_2026062'!D32</f>
        <v>-67.010000000000005</v>
      </c>
      <c r="E32" s="8" t="str">
        <f>'2025_Chase9335_Activity_2026062'!E32</f>
        <v>DEBIT_CARD</v>
      </c>
      <c r="F32" s="8">
        <f>'2025_Chase9335_Activity_2026062'!F32</f>
        <v>274504.53999999998</v>
      </c>
      <c r="G32" s="8" t="str">
        <f>'2025_Chase9335_Activity_2026062'!G32</f>
        <v>Personal - Travel (Canada)</v>
      </c>
      <c r="H32" s="26">
        <f t="shared" si="0"/>
        <v>45992</v>
      </c>
      <c r="I32" s="8" t="str">
        <f>IF($G32="","Uncategorized — Review",IFERROR(_xlfn.XLOOKUP($G32,Mapping!$A:$A,Mapping!$B:$B),"Uncategorized — Review"))</f>
        <v>Personal - Travel (Canada)</v>
      </c>
      <c r="J32" s="8" t="str">
        <f>IF($G32="","Uncategorized — Review",IFERROR(_xlfn.XLOOKUP($G32,Mapping!$A:$A,Mapping!$C:$C),"Uncategorized — Review"))</f>
        <v>Personal — Owner</v>
      </c>
    </row>
    <row r="33" spans="1:10" x14ac:dyDescent="0.25">
      <c r="A33" s="8" t="str">
        <f>'2025_Chase9335_Activity_2026062'!A33</f>
        <v>CREDIT</v>
      </c>
      <c r="B33" s="24">
        <f>'2025_Chase9335_Activity_2026062'!B33</f>
        <v>46013</v>
      </c>
      <c r="C33" s="8" t="str">
        <f>'2025_Chase9335_Activity_2026062'!C33</f>
        <v>Online Transfer from CHK ...3922 transaction#: 27426858962</v>
      </c>
      <c r="D33" s="8">
        <f>'2025_Chase9335_Activity_2026062'!D33</f>
        <v>90000</v>
      </c>
      <c r="E33" s="8" t="str">
        <f>'2025_Chase9335_Activity_2026062'!E33</f>
        <v>ACCT_XFER</v>
      </c>
      <c r="F33" s="8">
        <f>'2025_Chase9335_Activity_2026062'!F33</f>
        <v>274571.55</v>
      </c>
      <c r="G33" s="8" t="str">
        <f>'2025_Chase9335_Activity_2026062'!G33</f>
        <v>Transfer from DWG Capital Partners</v>
      </c>
      <c r="H33" s="26">
        <f t="shared" si="0"/>
        <v>45992</v>
      </c>
      <c r="I33" s="8" t="str">
        <f>IF($G33="","Uncategorized — Review",IFERROR(_xlfn.XLOOKUP($G33,Mapping!$A:$A,Mapping!$B:$B),"Uncategorized — Review"))</f>
        <v>Transfer from DWG Capital Partners</v>
      </c>
      <c r="J33" s="8" t="str">
        <f>IF($G33="","Uncategorized — Review",IFERROR(_xlfn.XLOOKUP($G33,Mapping!$A:$A,Mapping!$C:$C),"Uncategorized — Review"))</f>
        <v>Intercompany &amp; Savings Transfers</v>
      </c>
    </row>
    <row r="34" spans="1:10" x14ac:dyDescent="0.25">
      <c r="A34" s="8" t="str">
        <f>'2025_Chase9335_Activity_2026062'!A34</f>
        <v>DEBIT</v>
      </c>
      <c r="B34" s="24">
        <f>'2025_Chase9335_Activity_2026062'!B34</f>
        <v>46009</v>
      </c>
      <c r="C34" s="8" t="str">
        <f>'2025_Chase9335_Activity_2026062'!C34</f>
        <v>DOMESTIC WIRE FEE</v>
      </c>
      <c r="D34" s="8">
        <f>'2025_Chase9335_Activity_2026062'!D34</f>
        <v>-35</v>
      </c>
      <c r="E34" s="8" t="str">
        <f>'2025_Chase9335_Activity_2026062'!E34</f>
        <v>FEE_TRANSACTION</v>
      </c>
      <c r="F34" s="8">
        <f>'2025_Chase9335_Activity_2026062'!F34</f>
        <v>184571.55</v>
      </c>
      <c r="G34" s="8" t="str">
        <f>'2025_Chase9335_Activity_2026062'!G34</f>
        <v>Bank Fees</v>
      </c>
      <c r="H34" s="26">
        <f t="shared" si="0"/>
        <v>45992</v>
      </c>
      <c r="I34" s="8" t="str">
        <f>IF($G34="","Uncategorized — Review",IFERROR(_xlfn.XLOOKUP($G34,Mapping!$A:$A,Mapping!$B:$B),"Uncategorized — Review"))</f>
        <v>Bank Fees</v>
      </c>
      <c r="J34" s="8" t="str">
        <f>IF($G34="","Uncategorized — Review",IFERROR(_xlfn.XLOOKUP($G34,Mapping!$A:$A,Mapping!$C:$C),"Uncategorized — Review"))</f>
        <v>DWG Operating</v>
      </c>
    </row>
    <row r="35" spans="1:10" x14ac:dyDescent="0.25">
      <c r="A35" s="8" t="str">
        <f>'2025_Chase9335_Activity_2026062'!A35</f>
        <v>DEBIT</v>
      </c>
      <c r="B35" s="24">
        <f>'2025_Chase9335_Activity_2026062'!B35</f>
        <v>46009</v>
      </c>
      <c r="C35" s="8" t="str">
        <f>'2025_Chase9335_Activity_2026062'!C35</f>
        <v>ORIG CO NAME:AMERICAN EXPRESS       ORIG ID:2005032111 DESC DATE:251218 CO ENTRY DESCR:ACH PMT   SEC:CCD    TRACE#:021000020334823 EED:251218   IND ID:W9872                        IND NAME:JOHN DUNNING                                                                                                 ER AM TRN: 3520334823TC</v>
      </c>
      <c r="D35" s="8">
        <f>'2025_Chase9335_Activity_2026062'!D35</f>
        <v>-1625.86</v>
      </c>
      <c r="E35" s="8" t="str">
        <f>'2025_Chase9335_Activity_2026062'!E35</f>
        <v>ACH_DEBIT</v>
      </c>
      <c r="F35" s="8">
        <f>'2025_Chase9335_Activity_2026062'!F35</f>
        <v>184606.55</v>
      </c>
      <c r="G35" s="8" t="str">
        <f>'2025_Chase9335_Activity_2026062'!G35</f>
        <v>American Express Credit Card PMT</v>
      </c>
      <c r="H35" s="26">
        <f t="shared" si="0"/>
        <v>45992</v>
      </c>
      <c r="I35" s="8" t="str">
        <f>IF($G35="","Uncategorized — Review",IFERROR(_xlfn.XLOOKUP($G35,Mapping!$A:$A,Mapping!$B:$B),"Uncategorized — Review"))</f>
        <v>American Express Credit Card PMT</v>
      </c>
      <c r="J35" s="8" t="str">
        <f>IF($G35="","Uncategorized — Review",IFERROR(_xlfn.XLOOKUP($G35,Mapping!$A:$A,Mapping!$C:$C),"Uncategorized — Review"))</f>
        <v>Credit Card &amp; Loan Payments</v>
      </c>
    </row>
    <row r="36" spans="1:10" x14ac:dyDescent="0.25">
      <c r="A36" s="8" t="str">
        <f>'2025_Chase9335_Activity_2026062'!A36</f>
        <v>DEBIT</v>
      </c>
      <c r="B36" s="24">
        <f>'2025_Chase9335_Activity_2026062'!B36</f>
        <v>46009</v>
      </c>
      <c r="C36" s="8" t="str">
        <f>'2025_Chase9335_Activity_2026062'!C36</f>
        <v>DOMESTIC WIRE TRANSFER VIA: ZIONS BANCORP/124000054 A/C: GT TITLE SERVICES INC, REF: FILE NUMBER SL62787M: 2331 MESA ROAD #E4 &amp; E7 MOAB IMAD: 1218MMQFMP2M009181 TRN: 3781835351ES 12/18</v>
      </c>
      <c r="D36" s="8">
        <f>'2025_Chase9335_Activity_2026062'!D36</f>
        <v>-620000</v>
      </c>
      <c r="E36" s="8" t="str">
        <f>'2025_Chase9335_Activity_2026062'!E36</f>
        <v>WIRE_OUTGOING</v>
      </c>
      <c r="F36" s="8">
        <f>'2025_Chase9335_Activity_2026062'!F36</f>
        <v>186232.41</v>
      </c>
      <c r="G36" s="8" t="str">
        <f>'2025_Chase9335_Activity_2026062'!G36</f>
        <v>Deal Specific: Moab</v>
      </c>
      <c r="H36" s="26">
        <f t="shared" si="0"/>
        <v>45992</v>
      </c>
      <c r="I36" s="8" t="str">
        <f>IF($G36="","Uncategorized — Review",IFERROR(_xlfn.XLOOKUP($G36,Mapping!$A:$A,Mapping!$B:$B),"Uncategorized — Review"))</f>
        <v>Deal Specific: Moab</v>
      </c>
      <c r="J36" s="8" t="str">
        <f>IF($G36="","Uncategorized — Review",IFERROR(_xlfn.XLOOKUP($G36,Mapping!$A:$A,Mapping!$C:$C),"Uncategorized — Review"))</f>
        <v>Deal-Specific</v>
      </c>
    </row>
    <row r="37" spans="1:10" x14ac:dyDescent="0.25">
      <c r="A37" s="8" t="str">
        <f>'2025_Chase9335_Activity_2026062'!A37</f>
        <v>DEBIT</v>
      </c>
      <c r="B37" s="24">
        <f>'2025_Chase9335_Activity_2026062'!B37</f>
        <v>46008</v>
      </c>
      <c r="C37" s="8" t="str">
        <f>'2025_Chase9335_Activity_2026062'!C37</f>
        <v>Online Transfer to CHK ...3922 transaction#: 27362694361 12/17</v>
      </c>
      <c r="D37" s="8">
        <f>'2025_Chase9335_Activity_2026062'!D37</f>
        <v>-20000</v>
      </c>
      <c r="E37" s="8" t="str">
        <f>'2025_Chase9335_Activity_2026062'!E37</f>
        <v>ACCT_XFER</v>
      </c>
      <c r="F37" s="8">
        <f>'2025_Chase9335_Activity_2026062'!F37</f>
        <v>806232.41</v>
      </c>
      <c r="G37" s="8" t="str">
        <f>'2025_Chase9335_Activity_2026062'!G37</f>
        <v>Transfer to DWG Capital Partners</v>
      </c>
      <c r="H37" s="26">
        <f t="shared" si="0"/>
        <v>45992</v>
      </c>
      <c r="I37" s="8" t="str">
        <f>IF($G37="","Uncategorized — Review",IFERROR(_xlfn.XLOOKUP($G37,Mapping!$A:$A,Mapping!$B:$B),"Uncategorized — Review"))</f>
        <v>Transfer to DWG Capital Partners</v>
      </c>
      <c r="J37" s="8" t="str">
        <f>IF($G37="","Uncategorized — Review",IFERROR(_xlfn.XLOOKUP($G37,Mapping!$A:$A,Mapping!$C:$C),"Uncategorized — Review"))</f>
        <v>Intercompany &amp; Savings Transfers</v>
      </c>
    </row>
    <row r="38" spans="1:10" x14ac:dyDescent="0.25">
      <c r="A38" s="8" t="str">
        <f>'2025_Chase9335_Activity_2026062'!A38</f>
        <v>CREDIT</v>
      </c>
      <c r="B38" s="24">
        <f>'2025_Chase9335_Activity_2026062'!B38</f>
        <v>46008</v>
      </c>
      <c r="C38" s="8" t="str">
        <f>'2025_Chase9335_Activity_2026062'!C38</f>
        <v>ORIG CO NAME:T and T Machine        ORIG ID:945440567  DESC DATE:       CO ENTRY DESCR:PAYMENT   SEC:PPD    TRACE#:273976360263333 EED:251217   IND ID:                             IND NAME:John Dunning TRN: 3510263333TC</v>
      </c>
      <c r="D38" s="8">
        <f>'2025_Chase9335_Activity_2026062'!D38</f>
        <v>356.38</v>
      </c>
      <c r="E38" s="8" t="str">
        <f>'2025_Chase9335_Activity_2026062'!E38</f>
        <v>ACH_CREDIT</v>
      </c>
      <c r="F38" s="8">
        <f>'2025_Chase9335_Activity_2026062'!F38</f>
        <v>826232.41</v>
      </c>
      <c r="G38" s="8" t="str">
        <f>'2025_Chase9335_Activity_2026062'!G38</f>
        <v>Deal Specific: T&amp;T Machine</v>
      </c>
      <c r="H38" s="26">
        <f t="shared" si="0"/>
        <v>45992</v>
      </c>
      <c r="I38" s="8" t="str">
        <f>IF($G38="","Uncategorized — Review",IFERROR(_xlfn.XLOOKUP($G38,Mapping!$A:$A,Mapping!$B:$B),"Uncategorized — Review"))</f>
        <v>Deal Specific: T&amp;T Machine</v>
      </c>
      <c r="J38" s="8" t="str">
        <f>IF($G38="","Uncategorized — Review",IFERROR(_xlfn.XLOOKUP($G38,Mapping!$A:$A,Mapping!$C:$C),"Uncategorized — Review"))</f>
        <v>Deal-Specific</v>
      </c>
    </row>
    <row r="39" spans="1:10" x14ac:dyDescent="0.25">
      <c r="A39" s="8" t="str">
        <f>'2025_Chase9335_Activity_2026062'!A39</f>
        <v>CREDIT</v>
      </c>
      <c r="B39" s="24">
        <f>'2025_Chase9335_Activity_2026062'!B39</f>
        <v>46008</v>
      </c>
      <c r="C39" s="8" t="str">
        <f>'2025_Chase9335_Activity_2026062'!C39</f>
        <v>BOOK TRANSFER B/O: GI CAPITAL GROUP RICHMOND CA 94804-5637 US REF: ATTENTION MATHIS AIRPORT INDUSTRIALLLC CLIENT MATHIS AIRPORT INDUSTRIA L LLC TRN: 1360200351ES</v>
      </c>
      <c r="D39" s="8">
        <f>'2025_Chase9335_Activity_2026062'!D39</f>
        <v>625000</v>
      </c>
      <c r="E39" s="8" t="str">
        <f>'2025_Chase9335_Activity_2026062'!E39</f>
        <v>WIRE_INCOMING</v>
      </c>
      <c r="F39" s="8">
        <f>'2025_Chase9335_Activity_2026062'!F39</f>
        <v>825876.03</v>
      </c>
      <c r="G39" s="8" t="str">
        <f>'2025_Chase9335_Activity_2026062'!G39</f>
        <v>Deal Specific: Moab</v>
      </c>
      <c r="H39" s="26">
        <f t="shared" si="0"/>
        <v>45992</v>
      </c>
      <c r="I39" s="8" t="str">
        <f>IF($G39="","Uncategorized — Review",IFERROR(_xlfn.XLOOKUP($G39,Mapping!$A:$A,Mapping!$B:$B),"Uncategorized — Review"))</f>
        <v>Deal Specific: Moab</v>
      </c>
      <c r="J39" s="8" t="str">
        <f>IF($G39="","Uncategorized — Review",IFERROR(_xlfn.XLOOKUP($G39,Mapping!$A:$A,Mapping!$C:$C),"Uncategorized — Review"))</f>
        <v>Deal-Specific</v>
      </c>
    </row>
    <row r="40" spans="1:10" x14ac:dyDescent="0.25">
      <c r="A40" s="8" t="str">
        <f>'2025_Chase9335_Activity_2026062'!A40</f>
        <v>DEBIT</v>
      </c>
      <c r="B40" s="24">
        <f>'2025_Chase9335_Activity_2026062'!B40</f>
        <v>46007</v>
      </c>
      <c r="C40" s="8" t="str">
        <f>'2025_Chase9335_Activity_2026062'!C40</f>
        <v>ONLINE DOMESTIC WIRE FEE</v>
      </c>
      <c r="D40" s="8">
        <f>'2025_Chase9335_Activity_2026062'!D40</f>
        <v>-25</v>
      </c>
      <c r="E40" s="8" t="str">
        <f>'2025_Chase9335_Activity_2026062'!E40</f>
        <v>FEE_TRANSACTION</v>
      </c>
      <c r="F40" s="8">
        <f>'2025_Chase9335_Activity_2026062'!F40</f>
        <v>200876.03</v>
      </c>
      <c r="G40" s="8" t="str">
        <f>'2025_Chase9335_Activity_2026062'!G40</f>
        <v>Bank Fees</v>
      </c>
      <c r="H40" s="26">
        <f t="shared" si="0"/>
        <v>45992</v>
      </c>
      <c r="I40" s="8" t="str">
        <f>IF($G40="","Uncategorized — Review",IFERROR(_xlfn.XLOOKUP($G40,Mapping!$A:$A,Mapping!$B:$B),"Uncategorized — Review"))</f>
        <v>Bank Fees</v>
      </c>
      <c r="J40" s="8" t="str">
        <f>IF($G40="","Uncategorized — Review",IFERROR(_xlfn.XLOOKUP($G40,Mapping!$A:$A,Mapping!$C:$C),"Uncategorized — Review"))</f>
        <v>DWG Operating</v>
      </c>
    </row>
    <row r="41" spans="1:10" x14ac:dyDescent="0.25">
      <c r="A41" s="8" t="str">
        <f>'2025_Chase9335_Activity_2026062'!A41</f>
        <v>DEBIT</v>
      </c>
      <c r="B41" s="24">
        <f>'2025_Chase9335_Activity_2026062'!B41</f>
        <v>46007</v>
      </c>
      <c r="C41" s="8" t="str">
        <f>'2025_Chase9335_Activity_2026062'!C41</f>
        <v>ONLINE DOMESTIC WIRE FEE</v>
      </c>
      <c r="D41" s="8">
        <f>'2025_Chase9335_Activity_2026062'!D41</f>
        <v>-25</v>
      </c>
      <c r="E41" s="8" t="str">
        <f>'2025_Chase9335_Activity_2026062'!E41</f>
        <v>FEE_TRANSACTION</v>
      </c>
      <c r="F41" s="8">
        <f>'2025_Chase9335_Activity_2026062'!F41</f>
        <v>200901.03</v>
      </c>
      <c r="G41" s="8" t="str">
        <f>'2025_Chase9335_Activity_2026062'!G41</f>
        <v>Bank Fees</v>
      </c>
      <c r="H41" s="26">
        <f t="shared" si="0"/>
        <v>45992</v>
      </c>
      <c r="I41" s="8" t="str">
        <f>IF($G41="","Uncategorized — Review",IFERROR(_xlfn.XLOOKUP($G41,Mapping!$A:$A,Mapping!$B:$B),"Uncategorized — Review"))</f>
        <v>Bank Fees</v>
      </c>
      <c r="J41" s="8" t="str">
        <f>IF($G41="","Uncategorized — Review",IFERROR(_xlfn.XLOOKUP($G41,Mapping!$A:$A,Mapping!$C:$C),"Uncategorized — Review"))</f>
        <v>DWG Operating</v>
      </c>
    </row>
    <row r="42" spans="1:10" x14ac:dyDescent="0.25">
      <c r="A42" s="8" t="str">
        <f>'2025_Chase9335_Activity_2026062'!A42</f>
        <v>DEBIT</v>
      </c>
      <c r="B42" s="24">
        <f>'2025_Chase9335_Activity_2026062'!B42</f>
        <v>46007</v>
      </c>
      <c r="C42" s="8" t="str">
        <f>'2025_Chase9335_Activity_2026062'!C42</f>
        <v>Online Transfer to CHK ...9082 transaction#: 27356230130 12/16</v>
      </c>
      <c r="D42" s="8">
        <f>'2025_Chase9335_Activity_2026062'!D42</f>
        <v>-8000</v>
      </c>
      <c r="E42" s="8" t="str">
        <f>'2025_Chase9335_Activity_2026062'!E42</f>
        <v>ACCT_XFER</v>
      </c>
      <c r="F42" s="8">
        <f>'2025_Chase9335_Activity_2026062'!F42</f>
        <v>200926.03</v>
      </c>
      <c r="G42" s="8" t="str">
        <f>'2025_Chase9335_Activity_2026062'!G42</f>
        <v>Transfer to Hibbert</v>
      </c>
      <c r="H42" s="26">
        <f t="shared" si="0"/>
        <v>45992</v>
      </c>
      <c r="I42" s="8" t="str">
        <f>IF($G42="","Uncategorized — Review",IFERROR(_xlfn.XLOOKUP($G42,Mapping!$A:$A,Mapping!$B:$B),"Uncategorized — Review"))</f>
        <v>Transfer to Hibbert</v>
      </c>
      <c r="J42" s="8" t="str">
        <f>IF($G42="","Uncategorized — Review",IFERROR(_xlfn.XLOOKUP($G42,Mapping!$A:$A,Mapping!$C:$C),"Uncategorized — Review"))</f>
        <v>Intercompany &amp; Savings Transfers</v>
      </c>
    </row>
    <row r="43" spans="1:10" x14ac:dyDescent="0.25">
      <c r="A43" s="8" t="str">
        <f>'2025_Chase9335_Activity_2026062'!A43</f>
        <v>DEBIT</v>
      </c>
      <c r="B43" s="24">
        <f>'2025_Chase9335_Activity_2026062'!B43</f>
        <v>46007</v>
      </c>
      <c r="C43" s="8" t="str">
        <f>'2025_Chase9335_Activity_2026062'!C43</f>
        <v>ONLINE DOMESTIC WIRE TRANSFER VIA: CITIBANK NYC/021000089 A/C: MORGAN STANLEY BALTIMORE MD 21231 US REF: DAX MITCHELL ACCOUNT NUMBER 890-190608/TIME/22:32 IMAD: 1216MMQFMP2L032542 TRN: 3755585350ES 12/16</v>
      </c>
      <c r="D43" s="8">
        <f>'2025_Chase9335_Activity_2026062'!D43</f>
        <v>-39000</v>
      </c>
      <c r="E43" s="8" t="str">
        <f>'2025_Chase9335_Activity_2026062'!E43</f>
        <v>WIRE_OUTGOING</v>
      </c>
      <c r="F43" s="8">
        <f>'2025_Chase9335_Activity_2026062'!F43</f>
        <v>208926.03</v>
      </c>
      <c r="G43" s="8" t="str">
        <f>'2025_Chase9335_Activity_2026062'!G43</f>
        <v>Due to Dax – MAG Pass-Through 70%</v>
      </c>
      <c r="H43" s="26">
        <f t="shared" si="0"/>
        <v>45992</v>
      </c>
      <c r="I43" s="8" t="str">
        <f>IF($G43="","Uncategorized — Review",IFERROR(_xlfn.XLOOKUP($G43,Mapping!$A:$A,Mapping!$B:$B),"Uncategorized — Review"))</f>
        <v>Due to Dax – MAG Pass-Through 70%</v>
      </c>
      <c r="J43" s="8" t="str">
        <f>IF($G43="","Uncategorized — Review",IFERROR(_xlfn.XLOOKUP($G43,Mapping!$A:$A,Mapping!$C:$C),"Uncategorized — Review"))</f>
        <v>MAG Pass-Through</v>
      </c>
    </row>
    <row r="44" spans="1:10" x14ac:dyDescent="0.25">
      <c r="A44" s="8" t="str">
        <f>'2025_Chase9335_Activity_2026062'!A44</f>
        <v>DEBIT</v>
      </c>
      <c r="B44" s="24">
        <f>'2025_Chase9335_Activity_2026062'!B44</f>
        <v>46007</v>
      </c>
      <c r="C44" s="8" t="str">
        <f>'2025_Chase9335_Activity_2026062'!C44</f>
        <v>ONLINE DOMESTIC WIRE TRANSFER A/C: GI CAPITAL GROUP RICHMOND CA 94804-5637 US TRN: 3712475350ES 12/16</v>
      </c>
      <c r="D44" s="8">
        <f>'2025_Chase9335_Activity_2026062'!D44</f>
        <v>-21000</v>
      </c>
      <c r="E44" s="8" t="str">
        <f>'2025_Chase9335_Activity_2026062'!E44</f>
        <v>WIRE_OUTGOING</v>
      </c>
      <c r="F44" s="8">
        <f>'2025_Chase9335_Activity_2026062'!F44</f>
        <v>247926.03</v>
      </c>
      <c r="G44" s="8" t="str">
        <f>'2025_Chase9335_Activity_2026062'!G44</f>
        <v>Due to Andrew – MAG Pass-Through 30%</v>
      </c>
      <c r="H44" s="26">
        <f t="shared" si="0"/>
        <v>45992</v>
      </c>
      <c r="I44" s="8" t="str">
        <f>IF($G44="","Uncategorized — Review",IFERROR(_xlfn.XLOOKUP($G44,Mapping!$A:$A,Mapping!$B:$B),"Uncategorized — Review"))</f>
        <v>Due to Andrew – MAG Pass-Through 30%</v>
      </c>
      <c r="J44" s="8" t="str">
        <f>IF($G44="","Uncategorized — Review",IFERROR(_xlfn.XLOOKUP($G44,Mapping!$A:$A,Mapping!$C:$C),"Uncategorized — Review"))</f>
        <v>MAG Pass-Through</v>
      </c>
    </row>
    <row r="45" spans="1:10" x14ac:dyDescent="0.25">
      <c r="A45" s="8" t="str">
        <f>'2025_Chase9335_Activity_2026062'!A45</f>
        <v>DEBIT</v>
      </c>
      <c r="B45" s="24">
        <f>'2025_Chase9335_Activity_2026062'!B45</f>
        <v>46007</v>
      </c>
      <c r="C45" s="8" t="str">
        <f>'2025_Chase9335_Activity_2026062'!C45</f>
        <v>Zelle payment to Michael Paytonjian JPM99bynr7ac</v>
      </c>
      <c r="D45" s="8">
        <f>'2025_Chase9335_Activity_2026062'!D45</f>
        <v>-65</v>
      </c>
      <c r="E45" s="8" t="str">
        <f>'2025_Chase9335_Activity_2026062'!E45</f>
        <v>CHASE_TO_PARTNERFI</v>
      </c>
      <c r="F45" s="8">
        <f>'2025_Chase9335_Activity_2026062'!F45</f>
        <v>268926.03000000003</v>
      </c>
      <c r="G45" s="8" t="str">
        <f>'2025_Chase9335_Activity_2026062'!G45</f>
        <v>Office/Miscellaneous Reimbursement - Mike P.</v>
      </c>
      <c r="H45" s="26">
        <f t="shared" si="0"/>
        <v>45992</v>
      </c>
      <c r="I45" s="8" t="str">
        <f>IF($G45="","Uncategorized — Review",IFERROR(_xlfn.XLOOKUP($G45,Mapping!$A:$A,Mapping!$B:$B),"Uncategorized — Review"))</f>
        <v>Office/Miscellaneous Reimbursement - Mike P.</v>
      </c>
      <c r="J45" s="8" t="str">
        <f>IF($G45="","Uncategorized — Review",IFERROR(_xlfn.XLOOKUP($G45,Mapping!$A:$A,Mapping!$C:$C),"Uncategorized — Review"))</f>
        <v>Payroll &amp; Contractors</v>
      </c>
    </row>
    <row r="46" spans="1:10" x14ac:dyDescent="0.25">
      <c r="A46" s="8" t="str">
        <f>'2025_Chase9335_Activity_2026062'!A46</f>
        <v>DEBIT</v>
      </c>
      <c r="B46" s="24">
        <f>'2025_Chase9335_Activity_2026062'!B46</f>
        <v>46007</v>
      </c>
      <c r="C46" s="8" t="str">
        <f>'2025_Chase9335_Activity_2026062'!C46</f>
        <v>AMAZON MKTPL*9X8D452 Amzn.com/bill WA        12/16</v>
      </c>
      <c r="D46" s="8">
        <f>'2025_Chase9335_Activity_2026062'!D46</f>
        <v>-10.96</v>
      </c>
      <c r="E46" s="8" t="str">
        <f>'2025_Chase9335_Activity_2026062'!E46</f>
        <v>DEBIT_CARD</v>
      </c>
      <c r="F46" s="8">
        <f>'2025_Chase9335_Activity_2026062'!F46</f>
        <v>268991.03000000003</v>
      </c>
      <c r="G46" s="8" t="str">
        <f>'2025_Chase9335_Activity_2026062'!G46</f>
        <v>Amazon</v>
      </c>
      <c r="H46" s="26">
        <f t="shared" si="0"/>
        <v>45992</v>
      </c>
      <c r="I46" s="8" t="str">
        <f>IF($G46="","Uncategorized — Review",IFERROR(_xlfn.XLOOKUP($G46,Mapping!$A:$A,Mapping!$B:$B),"Uncategorized — Review"))</f>
        <v>Amazon</v>
      </c>
      <c r="J46" s="8" t="str">
        <f>IF($G46="","Uncategorized — Review",IFERROR(_xlfn.XLOOKUP($G46,Mapping!$A:$A,Mapping!$C:$C),"Uncategorized — Review"))</f>
        <v>Personal — Owner</v>
      </c>
    </row>
    <row r="47" spans="1:10" x14ac:dyDescent="0.25">
      <c r="A47" s="8" t="str">
        <f>'2025_Chase9335_Activity_2026062'!A47</f>
        <v>DEBIT</v>
      </c>
      <c r="B47" s="24">
        <f>'2025_Chase9335_Activity_2026062'!B47</f>
        <v>46006</v>
      </c>
      <c r="C47" s="8" t="str">
        <f>'2025_Chase9335_Activity_2026062'!C47</f>
        <v>DOMESTIC WIRE FEE</v>
      </c>
      <c r="D47" s="8">
        <f>'2025_Chase9335_Activity_2026062'!D47</f>
        <v>-35</v>
      </c>
      <c r="E47" s="8" t="str">
        <f>'2025_Chase9335_Activity_2026062'!E47</f>
        <v>FEE_TRANSACTION</v>
      </c>
      <c r="F47" s="8">
        <f>'2025_Chase9335_Activity_2026062'!F47</f>
        <v>269001.99</v>
      </c>
      <c r="G47" s="8" t="str">
        <f>'2025_Chase9335_Activity_2026062'!G47</f>
        <v>Bank Fees</v>
      </c>
      <c r="H47" s="26">
        <f t="shared" si="0"/>
        <v>45992</v>
      </c>
      <c r="I47" s="8" t="str">
        <f>IF($G47="","Uncategorized — Review",IFERROR(_xlfn.XLOOKUP($G47,Mapping!$A:$A,Mapping!$B:$B),"Uncategorized — Review"))</f>
        <v>Bank Fees</v>
      </c>
      <c r="J47" s="8" t="str">
        <f>IF($G47="","Uncategorized — Review",IFERROR(_xlfn.XLOOKUP($G47,Mapping!$A:$A,Mapping!$C:$C),"Uncategorized — Review"))</f>
        <v>DWG Operating</v>
      </c>
    </row>
    <row r="48" spans="1:10" x14ac:dyDescent="0.25">
      <c r="A48" s="8" t="str">
        <f>'2025_Chase9335_Activity_2026062'!A48</f>
        <v>DEBIT</v>
      </c>
      <c r="B48" s="24">
        <f>'2025_Chase9335_Activity_2026062'!B48</f>
        <v>46006</v>
      </c>
      <c r="C48" s="8" t="str">
        <f>'2025_Chase9335_Activity_2026062'!C48</f>
        <v>Basic Online Payroll Payment 11199665711 to ######5386</v>
      </c>
      <c r="D48" s="8">
        <f>'2025_Chase9335_Activity_2026062'!D48</f>
        <v>-5000</v>
      </c>
      <c r="E48" s="8" t="str">
        <f>'2025_Chase9335_Activity_2026062'!E48</f>
        <v>BASIC_PAYROLL</v>
      </c>
      <c r="F48" s="8">
        <f>'2025_Chase9335_Activity_2026062'!F48</f>
        <v>269036.99</v>
      </c>
      <c r="G48" s="8" t="str">
        <f>'2025_Chase9335_Activity_2026062'!G48</f>
        <v>Ben Mandel - Payroll</v>
      </c>
      <c r="H48" s="26">
        <f t="shared" si="0"/>
        <v>45992</v>
      </c>
      <c r="I48" s="8" t="str">
        <f>IF($G48="","Uncategorized — Review",IFERROR(_xlfn.XLOOKUP($G48,Mapping!$A:$A,Mapping!$B:$B),"Uncategorized — Review"))</f>
        <v>Ben Mandel - Payroll</v>
      </c>
      <c r="J48" s="8" t="str">
        <f>IF($G48="","Uncategorized — Review",IFERROR(_xlfn.XLOOKUP($G48,Mapping!$A:$A,Mapping!$C:$C),"Uncategorized — Review"))</f>
        <v>Payroll &amp; Contractors</v>
      </c>
    </row>
    <row r="49" spans="1:10" x14ac:dyDescent="0.25">
      <c r="A49" s="8" t="str">
        <f>'2025_Chase9335_Activity_2026062'!A49</f>
        <v>DEBIT</v>
      </c>
      <c r="B49" s="24">
        <f>'2025_Chase9335_Activity_2026062'!B49</f>
        <v>46006</v>
      </c>
      <c r="C49" s="8" t="str">
        <f>'2025_Chase9335_Activity_2026062'!C49</f>
        <v>DOMESTIC WIRE TRANSFER A/C: DD CLOVERDALE, LLC ATLANTA GA 30360-1434 US REF: 83.5K TO CHAD 16.5K TO OPERATIONAL ACCOUNT 7.5K TO LEASING OFFICE 3K F OR SIGNAG 6K SIMON MILLER TRN: 4062225349ES 12/15</v>
      </c>
      <c r="D49" s="8">
        <f>'2025_Chase9335_Activity_2026062'!D49</f>
        <v>-100000</v>
      </c>
      <c r="E49" s="8" t="str">
        <f>'2025_Chase9335_Activity_2026062'!E49</f>
        <v>WIRE_OUTGOING</v>
      </c>
      <c r="F49" s="8">
        <f>'2025_Chase9335_Activity_2026062'!F49</f>
        <v>274036.99</v>
      </c>
      <c r="G49" s="8" t="str">
        <f>'2025_Chase9335_Activity_2026062'!G49</f>
        <v>Deal Specific: Cloverdale</v>
      </c>
      <c r="H49" s="26">
        <f t="shared" si="0"/>
        <v>45992</v>
      </c>
      <c r="I49" s="8" t="str">
        <f>IF($G49="","Uncategorized — Review",IFERROR(_xlfn.XLOOKUP($G49,Mapping!$A:$A,Mapping!$B:$B),"Uncategorized — Review"))</f>
        <v>Deal Specific: Cloverdale</v>
      </c>
      <c r="J49" s="8" t="str">
        <f>IF($G49="","Uncategorized — Review",IFERROR(_xlfn.XLOOKUP($G49,Mapping!$A:$A,Mapping!$C:$C),"Uncategorized — Review"))</f>
        <v>Deal-Specific</v>
      </c>
    </row>
    <row r="50" spans="1:10" x14ac:dyDescent="0.25">
      <c r="A50" s="8" t="str">
        <f>'2025_Chase9335_Activity_2026062'!A50</f>
        <v>DEBIT</v>
      </c>
      <c r="B50" s="24">
        <f>'2025_Chase9335_Activity_2026062'!B50</f>
        <v>46006</v>
      </c>
      <c r="C50" s="8" t="str">
        <f>'2025_Chase9335_Activity_2026062'!C50</f>
        <v>Prime Video *486IX91S 888-802-3080 WA        12/15</v>
      </c>
      <c r="D50" s="8">
        <f>'2025_Chase9335_Activity_2026062'!D50</f>
        <v>-4.05</v>
      </c>
      <c r="E50" s="8" t="str">
        <f>'2025_Chase9335_Activity_2026062'!E50</f>
        <v>DEBIT_CARD</v>
      </c>
      <c r="F50" s="8">
        <f>'2025_Chase9335_Activity_2026062'!F50</f>
        <v>374036.99</v>
      </c>
      <c r="G50" s="8" t="str">
        <f>'2025_Chase9335_Activity_2026062'!G50</f>
        <v>Amazon Prime Video</v>
      </c>
      <c r="H50" s="26">
        <f t="shared" si="0"/>
        <v>45992</v>
      </c>
      <c r="I50" s="8" t="str">
        <f>IF($G50="","Uncategorized — Review",IFERROR(_xlfn.XLOOKUP($G50,Mapping!$A:$A,Mapping!$B:$B),"Uncategorized — Review"))</f>
        <v>Amazon Prime Video</v>
      </c>
      <c r="J50" s="8" t="str">
        <f>IF($G50="","Uncategorized — Review",IFERROR(_xlfn.XLOOKUP($G50,Mapping!$A:$A,Mapping!$C:$C),"Uncategorized — Review"))</f>
        <v>Personal — Owner</v>
      </c>
    </row>
    <row r="51" spans="1:10" x14ac:dyDescent="0.25">
      <c r="A51" s="8" t="str">
        <f>'2025_Chase9335_Activity_2026062'!A51</f>
        <v>DEBIT</v>
      </c>
      <c r="B51" s="24">
        <f>'2025_Chase9335_Activity_2026062'!B51</f>
        <v>46006</v>
      </c>
      <c r="C51" s="8" t="str">
        <f>'2025_Chase9335_Activity_2026062'!C51</f>
        <v>SIGNAL FOUNDATION SIGNAL.ORG CA              12/15</v>
      </c>
      <c r="D51" s="8">
        <f>'2025_Chase9335_Activity_2026062'!D51</f>
        <v>-5</v>
      </c>
      <c r="E51" s="8" t="str">
        <f>'2025_Chase9335_Activity_2026062'!E51</f>
        <v>DEBIT_CARD</v>
      </c>
      <c r="F51" s="8">
        <f>'2025_Chase9335_Activity_2026062'!F51</f>
        <v>374041.04</v>
      </c>
      <c r="G51" s="8" t="str">
        <f>'2025_Chase9335_Activity_2026062'!G51</f>
        <v>Personal - Donation</v>
      </c>
      <c r="H51" s="26">
        <f t="shared" si="0"/>
        <v>45992</v>
      </c>
      <c r="I51" s="8" t="str">
        <f>IF($G51="","Uncategorized — Review",IFERROR(_xlfn.XLOOKUP($G51,Mapping!$A:$A,Mapping!$B:$B),"Uncategorized — Review"))</f>
        <v>Personal - Donation</v>
      </c>
      <c r="J51" s="8" t="str">
        <f>IF($G51="","Uncategorized — Review",IFERROR(_xlfn.XLOOKUP($G51,Mapping!$A:$A,Mapping!$C:$C),"Uncategorized — Review"))</f>
        <v>Personal — Owner</v>
      </c>
    </row>
    <row r="52" spans="1:10" x14ac:dyDescent="0.25">
      <c r="A52" s="8" t="str">
        <f>'2025_Chase9335_Activity_2026062'!A52</f>
        <v>DEBIT</v>
      </c>
      <c r="B52" s="24">
        <f>'2025_Chase9335_Activity_2026062'!B52</f>
        <v>46006</v>
      </c>
      <c r="C52" s="8" t="str">
        <f>'2025_Chase9335_Activity_2026062'!C52</f>
        <v>Prime Video *N241Z7B8 888-802-3080 WA        12/14</v>
      </c>
      <c r="D52" s="8">
        <f>'2025_Chase9335_Activity_2026062'!D52</f>
        <v>-4.05</v>
      </c>
      <c r="E52" s="8" t="str">
        <f>'2025_Chase9335_Activity_2026062'!E52</f>
        <v>DEBIT_CARD</v>
      </c>
      <c r="F52" s="8">
        <f>'2025_Chase9335_Activity_2026062'!F52</f>
        <v>374046.04</v>
      </c>
      <c r="G52" s="8" t="str">
        <f>'2025_Chase9335_Activity_2026062'!G52</f>
        <v>Amazon Prime Video</v>
      </c>
      <c r="H52" s="26">
        <f t="shared" si="0"/>
        <v>45992</v>
      </c>
      <c r="I52" s="8" t="str">
        <f>IF($G52="","Uncategorized — Review",IFERROR(_xlfn.XLOOKUP($G52,Mapping!$A:$A,Mapping!$B:$B),"Uncategorized — Review"))</f>
        <v>Amazon Prime Video</v>
      </c>
      <c r="J52" s="8" t="str">
        <f>IF($G52="","Uncategorized — Review",IFERROR(_xlfn.XLOOKUP($G52,Mapping!$A:$A,Mapping!$C:$C),"Uncategorized — Review"))</f>
        <v>Personal — Owner</v>
      </c>
    </row>
    <row r="53" spans="1:10" x14ac:dyDescent="0.25">
      <c r="A53" s="8" t="str">
        <f>'2025_Chase9335_Activity_2026062'!A53</f>
        <v>DEBIT</v>
      </c>
      <c r="B53" s="24">
        <f>'2025_Chase9335_Activity_2026062'!B53</f>
        <v>46006</v>
      </c>
      <c r="C53" s="8" t="str">
        <f>'2025_Chase9335_Activity_2026062'!C53</f>
        <v>APPLE.COM/BILL 866-712-7753 CA               12/13</v>
      </c>
      <c r="D53" s="8">
        <f>'2025_Chase9335_Activity_2026062'!D53</f>
        <v>-52.53</v>
      </c>
      <c r="E53" s="8" t="str">
        <f>'2025_Chase9335_Activity_2026062'!E53</f>
        <v>DEBIT_CARD</v>
      </c>
      <c r="F53" s="8">
        <f>'2025_Chase9335_Activity_2026062'!F53</f>
        <v>374050.09</v>
      </c>
      <c r="G53" s="8" t="str">
        <f>'2025_Chase9335_Activity_2026062'!G53</f>
        <v>Personal - Subscriptions</v>
      </c>
      <c r="H53" s="26">
        <f t="shared" si="0"/>
        <v>45992</v>
      </c>
      <c r="I53" s="8" t="str">
        <f>IF($G53="","Uncategorized — Review",IFERROR(_xlfn.XLOOKUP($G53,Mapping!$A:$A,Mapping!$B:$B),"Uncategorized — Review"))</f>
        <v>Personal - Subscriptions</v>
      </c>
      <c r="J53" s="8" t="str">
        <f>IF($G53="","Uncategorized — Review",IFERROR(_xlfn.XLOOKUP($G53,Mapping!$A:$A,Mapping!$C:$C),"Uncategorized — Review"))</f>
        <v>Personal — Owner</v>
      </c>
    </row>
    <row r="54" spans="1:10" x14ac:dyDescent="0.25">
      <c r="A54" s="8" t="str">
        <f>'2025_Chase9335_Activity_2026062'!A54</f>
        <v>DEBIT</v>
      </c>
      <c r="B54" s="24">
        <f>'2025_Chase9335_Activity_2026062'!B54</f>
        <v>46006</v>
      </c>
      <c r="C54" s="8" t="str">
        <f>'2025_Chase9335_Activity_2026062'!C54</f>
        <v>Prime Video *BP3N71YR 888-802-3080 WA        12/13</v>
      </c>
      <c r="D54" s="8">
        <f>'2025_Chase9335_Activity_2026062'!D54</f>
        <v>-4.47</v>
      </c>
      <c r="E54" s="8" t="str">
        <f>'2025_Chase9335_Activity_2026062'!E54</f>
        <v>DEBIT_CARD</v>
      </c>
      <c r="F54" s="8">
        <f>'2025_Chase9335_Activity_2026062'!F54</f>
        <v>374102.62</v>
      </c>
      <c r="G54" s="8" t="str">
        <f>'2025_Chase9335_Activity_2026062'!G54</f>
        <v>Amazon Prime Video</v>
      </c>
      <c r="H54" s="26">
        <f t="shared" si="0"/>
        <v>45992</v>
      </c>
      <c r="I54" s="8" t="str">
        <f>IF($G54="","Uncategorized — Review",IFERROR(_xlfn.XLOOKUP($G54,Mapping!$A:$A,Mapping!$B:$B),"Uncategorized — Review"))</f>
        <v>Amazon Prime Video</v>
      </c>
      <c r="J54" s="8" t="str">
        <f>IF($G54="","Uncategorized — Review",IFERROR(_xlfn.XLOOKUP($G54,Mapping!$A:$A,Mapping!$C:$C),"Uncategorized — Review"))</f>
        <v>Personal — Owner</v>
      </c>
    </row>
    <row r="55" spans="1:10" x14ac:dyDescent="0.25">
      <c r="A55" s="8" t="str">
        <f>'2025_Chase9335_Activity_2026062'!A55</f>
        <v>CREDIT</v>
      </c>
      <c r="B55" s="24">
        <f>'2025_Chase9335_Activity_2026062'!B55</f>
        <v>46006</v>
      </c>
      <c r="C55" s="8" t="str">
        <f>'2025_Chase9335_Activity_2026062'!C55</f>
        <v>Online Transfer from CHK ...9082 transaction#: 27340212103</v>
      </c>
      <c r="D55" s="8">
        <f>'2025_Chase9335_Activity_2026062'!D55</f>
        <v>100000</v>
      </c>
      <c r="E55" s="8" t="str">
        <f>'2025_Chase9335_Activity_2026062'!E55</f>
        <v>ACCT_XFER</v>
      </c>
      <c r="F55" s="8">
        <f>'2025_Chase9335_Activity_2026062'!F55</f>
        <v>374107.09</v>
      </c>
      <c r="G55" s="8" t="str">
        <f>'2025_Chase9335_Activity_2026062'!G55</f>
        <v>Transfer from Hibbert</v>
      </c>
      <c r="H55" s="26">
        <f t="shared" si="0"/>
        <v>45992</v>
      </c>
      <c r="I55" s="8" t="str">
        <f>IF($G55="","Uncategorized — Review",IFERROR(_xlfn.XLOOKUP($G55,Mapping!$A:$A,Mapping!$B:$B),"Uncategorized — Review"))</f>
        <v>Transfer from Hibbert</v>
      </c>
      <c r="J55" s="8" t="str">
        <f>IF($G55="","Uncategorized — Review",IFERROR(_xlfn.XLOOKUP($G55,Mapping!$A:$A,Mapping!$C:$C),"Uncategorized — Review"))</f>
        <v>Intercompany &amp; Savings Transfers</v>
      </c>
    </row>
    <row r="56" spans="1:10" x14ac:dyDescent="0.25">
      <c r="A56" s="8" t="str">
        <f>'2025_Chase9335_Activity_2026062'!A56</f>
        <v>DEBIT</v>
      </c>
      <c r="B56" s="24">
        <f>'2025_Chase9335_Activity_2026062'!B56</f>
        <v>46003</v>
      </c>
      <c r="C56" s="8" t="str">
        <f>'2025_Chase9335_Activity_2026062'!C56</f>
        <v>DOMESTIC INCOMING WIRE FEE</v>
      </c>
      <c r="D56" s="8">
        <f>'2025_Chase9335_Activity_2026062'!D56</f>
        <v>-15</v>
      </c>
      <c r="E56" s="8" t="str">
        <f>'2025_Chase9335_Activity_2026062'!E56</f>
        <v>FEE_TRANSACTION</v>
      </c>
      <c r="F56" s="8">
        <f>'2025_Chase9335_Activity_2026062'!F56</f>
        <v>274107.09000000003</v>
      </c>
      <c r="G56" s="8" t="str">
        <f>'2025_Chase9335_Activity_2026062'!G56</f>
        <v>Bank Fees</v>
      </c>
      <c r="H56" s="26">
        <f t="shared" si="0"/>
        <v>45992</v>
      </c>
      <c r="I56" s="8" t="str">
        <f>IF($G56="","Uncategorized — Review",IFERROR(_xlfn.XLOOKUP($G56,Mapping!$A:$A,Mapping!$B:$B),"Uncategorized — Review"))</f>
        <v>Bank Fees</v>
      </c>
      <c r="J56" s="8" t="str">
        <f>IF($G56="","Uncategorized — Review",IFERROR(_xlfn.XLOOKUP($G56,Mapping!$A:$A,Mapping!$C:$C),"Uncategorized — Review"))</f>
        <v>DWG Operating</v>
      </c>
    </row>
    <row r="57" spans="1:10" x14ac:dyDescent="0.25">
      <c r="A57" s="8" t="str">
        <f>'2025_Chase9335_Activity_2026062'!A57</f>
        <v>DEBIT</v>
      </c>
      <c r="B57" s="24">
        <f>'2025_Chase9335_Activity_2026062'!B57</f>
        <v>46003</v>
      </c>
      <c r="C57" s="8" t="str">
        <f>'2025_Chase9335_Activity_2026062'!C57</f>
        <v>Online Transfer to CHK ...3922 transaction#: 27302563714 12/12</v>
      </c>
      <c r="D57" s="8">
        <f>'2025_Chase9335_Activity_2026062'!D57</f>
        <v>-5000</v>
      </c>
      <c r="E57" s="8" t="str">
        <f>'2025_Chase9335_Activity_2026062'!E57</f>
        <v>ACCT_XFER</v>
      </c>
      <c r="F57" s="8">
        <f>'2025_Chase9335_Activity_2026062'!F57</f>
        <v>274122.09000000003</v>
      </c>
      <c r="G57" s="8" t="str">
        <f>'2025_Chase9335_Activity_2026062'!G57</f>
        <v>Transfer to DWG Capital Partners</v>
      </c>
      <c r="H57" s="26">
        <f t="shared" si="0"/>
        <v>45992</v>
      </c>
      <c r="I57" s="8" t="str">
        <f>IF($G57="","Uncategorized — Review",IFERROR(_xlfn.XLOOKUP($G57,Mapping!$A:$A,Mapping!$B:$B),"Uncategorized — Review"))</f>
        <v>Transfer to DWG Capital Partners</v>
      </c>
      <c r="J57" s="8" t="str">
        <f>IF($G57="","Uncategorized — Review",IFERROR(_xlfn.XLOOKUP($G57,Mapping!$A:$A,Mapping!$C:$C),"Uncategorized — Review"))</f>
        <v>Intercompany &amp; Savings Transfers</v>
      </c>
    </row>
    <row r="58" spans="1:10" x14ac:dyDescent="0.25">
      <c r="A58" s="8" t="str">
        <f>'2025_Chase9335_Activity_2026062'!A58</f>
        <v>DEBIT</v>
      </c>
      <c r="B58" s="24">
        <f>'2025_Chase9335_Activity_2026062'!B58</f>
        <v>46003</v>
      </c>
      <c r="C58" s="8" t="str">
        <f>'2025_Chase9335_Activity_2026062'!C58</f>
        <v>BLOOMBERG* 37033964 BLOOMBERG.COM NY         12/12</v>
      </c>
      <c r="D58" s="8">
        <f>'2025_Chase9335_Activity_2026062'!D58</f>
        <v>-34.99</v>
      </c>
      <c r="E58" s="8" t="str">
        <f>'2025_Chase9335_Activity_2026062'!E58</f>
        <v>DEBIT_CARD</v>
      </c>
      <c r="F58" s="8">
        <f>'2025_Chase9335_Activity_2026062'!F58</f>
        <v>279122.09000000003</v>
      </c>
      <c r="G58" s="8" t="str">
        <f>'2025_Chase9335_Activity_2026062'!G58</f>
        <v>Personal - Subscriptions</v>
      </c>
      <c r="H58" s="26">
        <f t="shared" si="0"/>
        <v>45992</v>
      </c>
      <c r="I58" s="8" t="str">
        <f>IF($G58="","Uncategorized — Review",IFERROR(_xlfn.XLOOKUP($G58,Mapping!$A:$A,Mapping!$B:$B),"Uncategorized — Review"))</f>
        <v>Personal - Subscriptions</v>
      </c>
      <c r="J58" s="8" t="str">
        <f>IF($G58="","Uncategorized — Review",IFERROR(_xlfn.XLOOKUP($G58,Mapping!$A:$A,Mapping!$C:$C),"Uncategorized — Review"))</f>
        <v>Personal — Owner</v>
      </c>
    </row>
    <row r="59" spans="1:10" x14ac:dyDescent="0.25">
      <c r="A59" s="8" t="str">
        <f>'2025_Chase9335_Activity_2026062'!A59</f>
        <v>DEBIT</v>
      </c>
      <c r="B59" s="24">
        <f>'2025_Chase9335_Activity_2026062'!B59</f>
        <v>46003</v>
      </c>
      <c r="C59" s="8" t="str">
        <f>'2025_Chase9335_Activity_2026062'!C59</f>
        <v>Amazon.com*KH4NL97A3 Amzn.com/bill WA        12/12</v>
      </c>
      <c r="D59" s="8">
        <f>'2025_Chase9335_Activity_2026062'!D59</f>
        <v>-95.46</v>
      </c>
      <c r="E59" s="8" t="str">
        <f>'2025_Chase9335_Activity_2026062'!E59</f>
        <v>DEBIT_CARD</v>
      </c>
      <c r="F59" s="8">
        <f>'2025_Chase9335_Activity_2026062'!F59</f>
        <v>279157.08</v>
      </c>
      <c r="G59" s="8" t="str">
        <f>'2025_Chase9335_Activity_2026062'!G59</f>
        <v>Amazon</v>
      </c>
      <c r="H59" s="26">
        <f t="shared" si="0"/>
        <v>45992</v>
      </c>
      <c r="I59" s="8" t="str">
        <f>IF($G59="","Uncategorized — Review",IFERROR(_xlfn.XLOOKUP($G59,Mapping!$A:$A,Mapping!$B:$B),"Uncategorized — Review"))</f>
        <v>Amazon</v>
      </c>
      <c r="J59" s="8" t="str">
        <f>IF($G59="","Uncategorized — Review",IFERROR(_xlfn.XLOOKUP($G59,Mapping!$A:$A,Mapping!$C:$C),"Uncategorized — Review"))</f>
        <v>Personal — Owner</v>
      </c>
    </row>
    <row r="60" spans="1:10" x14ac:dyDescent="0.25">
      <c r="A60" s="8" t="str">
        <f>'2025_Chase9335_Activity_2026062'!A60</f>
        <v>CREDIT</v>
      </c>
      <c r="B60" s="24">
        <f>'2025_Chase9335_Activity_2026062'!B60</f>
        <v>46003</v>
      </c>
      <c r="C60" s="8" t="str">
        <f>'2025_Chase9335_Activity_2026062'!C60</f>
        <v>FEDWIRE CREDIT VIA: ORIGIN BANK/111102758 B/O: PRIMA TITLE GROUP LLC FORT WORTH TX 76102-2602 REF: CHASE NYC/CTR/BNF=POSEIDON ASSET GROUP, LLC LOS ANGELES CA 90066-3638 US/AC-000000007200 RFB=NOTPROVIDED OBI=/PURP/PROJECT TURBO IMAD: 1212MMQFMPQ4000274 TRN: 0539501346FF</v>
      </c>
      <c r="D60" s="8">
        <f>'2025_Chase9335_Activity_2026062'!D60</f>
        <v>75000</v>
      </c>
      <c r="E60" s="8" t="str">
        <f>'2025_Chase9335_Activity_2026062'!E60</f>
        <v>WIRE_INCOMING</v>
      </c>
      <c r="F60" s="8">
        <f>'2025_Chase9335_Activity_2026062'!F60</f>
        <v>279252.53999999998</v>
      </c>
      <c r="G60" s="8" t="str">
        <f>'2025_Chase9335_Activity_2026062'!G60</f>
        <v>MAG Capital Partners Pass-Through Wire – 70/30 Split</v>
      </c>
      <c r="H60" s="26">
        <f t="shared" si="0"/>
        <v>45992</v>
      </c>
      <c r="I60" s="8" t="str">
        <f>IF($G60="","Uncategorized — Review",IFERROR(_xlfn.XLOOKUP($G60,Mapping!$A:$A,Mapping!$B:$B),"Uncategorized — Review"))</f>
        <v>MAG Capital Partners Pass-Through Wire – 70/30 Split</v>
      </c>
      <c r="J60" s="8" t="str">
        <f>IF($G60="","Uncategorized — Review",IFERROR(_xlfn.XLOOKUP($G60,Mapping!$A:$A,Mapping!$C:$C),"Uncategorized — Review"))</f>
        <v>MAG Pass-Through</v>
      </c>
    </row>
    <row r="61" spans="1:10" x14ac:dyDescent="0.25">
      <c r="A61" s="8" t="str">
        <f>'2025_Chase9335_Activity_2026062'!A61</f>
        <v>DEBIT</v>
      </c>
      <c r="B61" s="24">
        <f>'2025_Chase9335_Activity_2026062'!B61</f>
        <v>46002</v>
      </c>
      <c r="C61" s="8" t="str">
        <f>'2025_Chase9335_Activity_2026062'!C61</f>
        <v>Online Transfer to CHK ...9082 transaction#: 27291506561 12/11</v>
      </c>
      <c r="D61" s="8">
        <f>'2025_Chase9335_Activity_2026062'!D61</f>
        <v>-20000</v>
      </c>
      <c r="E61" s="8" t="str">
        <f>'2025_Chase9335_Activity_2026062'!E61</f>
        <v>ACCT_XFER</v>
      </c>
      <c r="F61" s="8">
        <f>'2025_Chase9335_Activity_2026062'!F61</f>
        <v>204252.54</v>
      </c>
      <c r="G61" s="8" t="str">
        <f>'2025_Chase9335_Activity_2026062'!G61</f>
        <v>Transfer to Hibbert</v>
      </c>
      <c r="H61" s="26">
        <f t="shared" si="0"/>
        <v>45992</v>
      </c>
      <c r="I61" s="8" t="str">
        <f>IF($G61="","Uncategorized — Review",IFERROR(_xlfn.XLOOKUP($G61,Mapping!$A:$A,Mapping!$B:$B),"Uncategorized — Review"))</f>
        <v>Transfer to Hibbert</v>
      </c>
      <c r="J61" s="8" t="str">
        <f>IF($G61="","Uncategorized — Review",IFERROR(_xlfn.XLOOKUP($G61,Mapping!$A:$A,Mapping!$C:$C),"Uncategorized — Review"))</f>
        <v>Intercompany &amp; Savings Transfers</v>
      </c>
    </row>
    <row r="62" spans="1:10" x14ac:dyDescent="0.25">
      <c r="A62" s="8" t="str">
        <f>'2025_Chase9335_Activity_2026062'!A62</f>
        <v>DEBIT</v>
      </c>
      <c r="B62" s="24">
        <f>'2025_Chase9335_Activity_2026062'!B62</f>
        <v>46002</v>
      </c>
      <c r="C62" s="8" t="str">
        <f>'2025_Chase9335_Activity_2026062'!C62</f>
        <v>Online Transfer to CHK ...3608 transaction#: 27290673038 12/11</v>
      </c>
      <c r="D62" s="8">
        <f>'2025_Chase9335_Activity_2026062'!D62</f>
        <v>-17000</v>
      </c>
      <c r="E62" s="8" t="str">
        <f>'2025_Chase9335_Activity_2026062'!E62</f>
        <v>ACCT_XFER</v>
      </c>
      <c r="F62" s="8">
        <f>'2025_Chase9335_Activity_2026062'!F62</f>
        <v>224252.54</v>
      </c>
      <c r="G62" s="8" t="str">
        <f>'2025_Chase9335_Activity_2026062'!G62</f>
        <v>Transfer to Kecy Metals</v>
      </c>
      <c r="H62" s="26">
        <f t="shared" si="0"/>
        <v>45992</v>
      </c>
      <c r="I62" s="8" t="str">
        <f>IF($G62="","Uncategorized — Review",IFERROR(_xlfn.XLOOKUP($G62,Mapping!$A:$A,Mapping!$B:$B),"Uncategorized — Review"))</f>
        <v>Transfer to Kecy Metals</v>
      </c>
      <c r="J62" s="8" t="str">
        <f>IF($G62="","Uncategorized — Review",IFERROR(_xlfn.XLOOKUP($G62,Mapping!$A:$A,Mapping!$C:$C),"Uncategorized — Review"))</f>
        <v>Intercompany &amp; Savings Transfers</v>
      </c>
    </row>
    <row r="63" spans="1:10" x14ac:dyDescent="0.25">
      <c r="A63" s="8" t="str">
        <f>'2025_Chase9335_Activity_2026062'!A63</f>
        <v>DEBIT</v>
      </c>
      <c r="B63" s="24">
        <f>'2025_Chase9335_Activity_2026062'!B63</f>
        <v>46002</v>
      </c>
      <c r="C63" s="8" t="str">
        <f>'2025_Chase9335_Activity_2026062'!C63</f>
        <v>Online Transfer to CHK ...9769 transaction#: 27290695090 12/11</v>
      </c>
      <c r="D63" s="8">
        <f>'2025_Chase9335_Activity_2026062'!D63</f>
        <v>-14000</v>
      </c>
      <c r="E63" s="8" t="str">
        <f>'2025_Chase9335_Activity_2026062'!E63</f>
        <v>ACCT_XFER</v>
      </c>
      <c r="F63" s="8">
        <f>'2025_Chase9335_Activity_2026062'!F63</f>
        <v>241252.54</v>
      </c>
      <c r="G63" s="8" t="str">
        <f>'2025_Chase9335_Activity_2026062'!G63</f>
        <v>Transfer to JAL Southbend</v>
      </c>
      <c r="H63" s="26">
        <f t="shared" si="0"/>
        <v>45992</v>
      </c>
      <c r="I63" s="8" t="str">
        <f>IF($G63="","Uncategorized — Review",IFERROR(_xlfn.XLOOKUP($G63,Mapping!$A:$A,Mapping!$B:$B),"Uncategorized — Review"))</f>
        <v>Transfer to JAL Southbend</v>
      </c>
      <c r="J63" s="8" t="str">
        <f>IF($G63="","Uncategorized — Review",IFERROR(_xlfn.XLOOKUP($G63,Mapping!$A:$A,Mapping!$C:$C),"Uncategorized — Review"))</f>
        <v>Intercompany &amp; Savings Transfers</v>
      </c>
    </row>
    <row r="64" spans="1:10" x14ac:dyDescent="0.25">
      <c r="A64" s="8" t="str">
        <f>'2025_Chase9335_Activity_2026062'!A64</f>
        <v>DEBIT</v>
      </c>
      <c r="B64" s="24">
        <f>'2025_Chase9335_Activity_2026062'!B64</f>
        <v>46002</v>
      </c>
      <c r="C64" s="8" t="str">
        <f>'2025_Chase9335_Activity_2026062'!C64</f>
        <v>AA WIFI 1-877-350-0038 Fort Worth TX         12/11</v>
      </c>
      <c r="D64" s="8">
        <f>'2025_Chase9335_Activity_2026062'!D64</f>
        <v>-12</v>
      </c>
      <c r="E64" s="8" t="str">
        <f>'2025_Chase9335_Activity_2026062'!E64</f>
        <v>DEBIT_CARD</v>
      </c>
      <c r="F64" s="8">
        <f>'2025_Chase9335_Activity_2026062'!F64</f>
        <v>255252.54</v>
      </c>
      <c r="G64" s="8" t="str">
        <f>'2025_Chase9335_Activity_2026062'!G64</f>
        <v>Personal - Travel</v>
      </c>
      <c r="H64" s="26">
        <f t="shared" si="0"/>
        <v>45992</v>
      </c>
      <c r="I64" s="8" t="str">
        <f>IF($G64="","Uncategorized — Review",IFERROR(_xlfn.XLOOKUP($G64,Mapping!$A:$A,Mapping!$B:$B),"Uncategorized — Review"))</f>
        <v>Personal - Travel</v>
      </c>
      <c r="J64" s="8" t="str">
        <f>IF($G64="","Uncategorized — Review",IFERROR(_xlfn.XLOOKUP($G64,Mapping!$A:$A,Mapping!$C:$C),"Uncategorized — Review"))</f>
        <v>Personal — Owner</v>
      </c>
    </row>
    <row r="65" spans="1:10" x14ac:dyDescent="0.25">
      <c r="A65" s="8" t="str">
        <f>'2025_Chase9335_Activity_2026062'!A65</f>
        <v>DEBIT</v>
      </c>
      <c r="B65" s="24">
        <f>'2025_Chase9335_Activity_2026062'!B65</f>
        <v>46002</v>
      </c>
      <c r="C65" s="8" t="str">
        <f>'2025_Chase9335_Activity_2026062'!C65</f>
        <v>AMAZON MKTPL*148WA20 Amzn.com/bill WA        12/11</v>
      </c>
      <c r="D65" s="8">
        <f>'2025_Chase9335_Activity_2026062'!D65</f>
        <v>-35.590000000000003</v>
      </c>
      <c r="E65" s="8" t="str">
        <f>'2025_Chase9335_Activity_2026062'!E65</f>
        <v>DEBIT_CARD</v>
      </c>
      <c r="F65" s="8">
        <f>'2025_Chase9335_Activity_2026062'!F65</f>
        <v>255264.54</v>
      </c>
      <c r="G65" s="8" t="str">
        <f>'2025_Chase9335_Activity_2026062'!G65</f>
        <v>Amazon</v>
      </c>
      <c r="H65" s="26">
        <f t="shared" si="0"/>
        <v>45992</v>
      </c>
      <c r="I65" s="8" t="str">
        <f>IF($G65="","Uncategorized — Review",IFERROR(_xlfn.XLOOKUP($G65,Mapping!$A:$A,Mapping!$B:$B),"Uncategorized — Review"))</f>
        <v>Amazon</v>
      </c>
      <c r="J65" s="8" t="str">
        <f>IF($G65="","Uncategorized — Review",IFERROR(_xlfn.XLOOKUP($G65,Mapping!$A:$A,Mapping!$C:$C),"Uncategorized — Review"))</f>
        <v>Personal — Owner</v>
      </c>
    </row>
    <row r="66" spans="1:10" x14ac:dyDescent="0.25">
      <c r="A66" s="8" t="str">
        <f>'2025_Chase9335_Activity_2026062'!A66</f>
        <v>CREDIT</v>
      </c>
      <c r="B66" s="24">
        <f>'2025_Chase9335_Activity_2026062'!B66</f>
        <v>46001</v>
      </c>
      <c r="C66" s="8" t="str">
        <f>'2025_Chase9335_Activity_2026062'!C66</f>
        <v>ORIG CO NAME:Rabourn Road Ind       ORIG ID:945440567  DESC DATE:       CO ENTRY DESCR:PAYMENT   SEC:PPD    TRACE#:273976366021989 EED:251210   IND ID:                             IND NAME:John Dunning TRN: 3446021989TC</v>
      </c>
      <c r="D66" s="8">
        <f>'2025_Chase9335_Activity_2026062'!D66</f>
        <v>233.33</v>
      </c>
      <c r="E66" s="8" t="str">
        <f>'2025_Chase9335_Activity_2026062'!E66</f>
        <v>ACH_CREDIT</v>
      </c>
      <c r="F66" s="8">
        <f>'2025_Chase9335_Activity_2026062'!F66</f>
        <v>255300.13</v>
      </c>
      <c r="G66" s="8" t="str">
        <f>'2025_Chase9335_Activity_2026062'!G66</f>
        <v>Deal Specific: Rabourn Road</v>
      </c>
      <c r="H66" s="26">
        <f t="shared" si="0"/>
        <v>45992</v>
      </c>
      <c r="I66" s="8" t="str">
        <f>IF($G66="","Uncategorized — Review",IFERROR(_xlfn.XLOOKUP($G66,Mapping!$A:$A,Mapping!$B:$B),"Uncategorized — Review"))</f>
        <v>Deal Specific: Rabourn Road</v>
      </c>
      <c r="J66" s="8" t="str">
        <f>IF($G66="","Uncategorized — Review",IFERROR(_xlfn.XLOOKUP($G66,Mapping!$A:$A,Mapping!$C:$C),"Uncategorized — Review"))</f>
        <v>Deal-Specific</v>
      </c>
    </row>
    <row r="67" spans="1:10" x14ac:dyDescent="0.25">
      <c r="A67" s="8" t="str">
        <f>'2025_Chase9335_Activity_2026062'!A67</f>
        <v>CREDIT</v>
      </c>
      <c r="B67" s="24">
        <f>'2025_Chase9335_Activity_2026062'!B67</f>
        <v>46001</v>
      </c>
      <c r="C67" s="8" t="str">
        <f>'2025_Chase9335_Activity_2026062'!C67</f>
        <v>ORIG CO NAME:MRM Industrial P       ORIG ID:945440567  DESC DATE:       CO ENTRY DESCR:PAYMENT   SEC:PPD    TRACE#:273976366022333 EED:251210   IND ID:                             IND NAME:John Dunning TRN: 3446022333TC</v>
      </c>
      <c r="D67" s="8">
        <f>'2025_Chase9335_Activity_2026062'!D67</f>
        <v>241.87</v>
      </c>
      <c r="E67" s="8" t="str">
        <f>'2025_Chase9335_Activity_2026062'!E67</f>
        <v>ACH_CREDIT</v>
      </c>
      <c r="F67" s="8">
        <f>'2025_Chase9335_Activity_2026062'!F67</f>
        <v>255066.8</v>
      </c>
      <c r="G67" s="8" t="str">
        <f>'2025_Chase9335_Activity_2026062'!G67</f>
        <v>Deal Specific: MRM</v>
      </c>
      <c r="H67" s="26">
        <f t="shared" ref="H67:H130" si="1">IF($B67="","",DATE(YEAR($B67),MONTH($B67),1))</f>
        <v>45992</v>
      </c>
      <c r="I67" s="8" t="str">
        <f>IF($G67="","Uncategorized — Review",IFERROR(_xlfn.XLOOKUP($G67,Mapping!$A:$A,Mapping!$B:$B),"Uncategorized — Review"))</f>
        <v>Deal Specific: MRM</v>
      </c>
      <c r="J67" s="8" t="str">
        <f>IF($G67="","Uncategorized — Review",IFERROR(_xlfn.XLOOKUP($G67,Mapping!$A:$A,Mapping!$C:$C),"Uncategorized — Review"))</f>
        <v>Deal-Specific</v>
      </c>
    </row>
    <row r="68" spans="1:10" x14ac:dyDescent="0.25">
      <c r="A68" s="8" t="str">
        <f>'2025_Chase9335_Activity_2026062'!A68</f>
        <v>CREDIT</v>
      </c>
      <c r="B68" s="24">
        <f>'2025_Chase9335_Activity_2026062'!B68</f>
        <v>46001</v>
      </c>
      <c r="C68" s="8" t="str">
        <f>'2025_Chase9335_Activity_2026062'!C68</f>
        <v>ORIG CO NAME:Austin Iron Hold       ORIG ID:945440567  DESC DATE:       CO ENTRY DESCR:PAYMENT   SEC:PPD    TRACE#:273976366021977 EED:251210   IND ID:                             IND NAME:John Dunning TRN: 3446021977TC</v>
      </c>
      <c r="D68" s="8">
        <f>'2025_Chase9335_Activity_2026062'!D68</f>
        <v>350</v>
      </c>
      <c r="E68" s="8" t="str">
        <f>'2025_Chase9335_Activity_2026062'!E68</f>
        <v>ACH_CREDIT</v>
      </c>
      <c r="F68" s="8">
        <f>'2025_Chase9335_Activity_2026062'!F68</f>
        <v>254824.93</v>
      </c>
      <c r="G68" s="8" t="str">
        <f>'2025_Chase9335_Activity_2026062'!G68</f>
        <v>Deal Specific: Austin Iron</v>
      </c>
      <c r="H68" s="26">
        <f t="shared" si="1"/>
        <v>45992</v>
      </c>
      <c r="I68" s="8" t="str">
        <f>IF($G68="","Uncategorized — Review",IFERROR(_xlfn.XLOOKUP($G68,Mapping!$A:$A,Mapping!$B:$B),"Uncategorized — Review"))</f>
        <v>Deal Specific: Austin Iron</v>
      </c>
      <c r="J68" s="8" t="str">
        <f>IF($G68="","Uncategorized — Review",IFERROR(_xlfn.XLOOKUP($G68,Mapping!$A:$A,Mapping!$C:$C),"Uncategorized — Review"))</f>
        <v>Deal-Specific</v>
      </c>
    </row>
    <row r="69" spans="1:10" x14ac:dyDescent="0.25">
      <c r="A69" s="8" t="str">
        <f>'2025_Chase9335_Activity_2026062'!A69</f>
        <v>CREDIT</v>
      </c>
      <c r="B69" s="24">
        <f>'2025_Chase9335_Activity_2026062'!B69</f>
        <v>46001</v>
      </c>
      <c r="C69" s="8" t="str">
        <f>'2025_Chase9335_Activity_2026062'!C69</f>
        <v>ORIG CO NAME:Merit-Lancaster        ORIG ID:945440567  DESC DATE:       CO ENTRY DESCR:PAYMENT   SEC:PPD    TRACE#:273976366022018 EED:251210   IND ID:                             IND NAME:John Dunning TRN: 3446022018TC</v>
      </c>
      <c r="D69" s="8">
        <f>'2025_Chase9335_Activity_2026062'!D69</f>
        <v>476.41</v>
      </c>
      <c r="E69" s="8" t="str">
        <f>'2025_Chase9335_Activity_2026062'!E69</f>
        <v>ACH_CREDIT</v>
      </c>
      <c r="F69" s="8">
        <f>'2025_Chase9335_Activity_2026062'!F69</f>
        <v>254474.93</v>
      </c>
      <c r="G69" s="8" t="str">
        <f>'2025_Chase9335_Activity_2026062'!G69</f>
        <v>Deal Specific: Merit-Lancaster</v>
      </c>
      <c r="H69" s="26">
        <f t="shared" si="1"/>
        <v>45992</v>
      </c>
      <c r="I69" s="8" t="str">
        <f>IF($G69="","Uncategorized — Review",IFERROR(_xlfn.XLOOKUP($G69,Mapping!$A:$A,Mapping!$B:$B),"Uncategorized — Review"))</f>
        <v>Deal Specific: Merit-Lancaster</v>
      </c>
      <c r="J69" s="8" t="str">
        <f>IF($G69="","Uncategorized — Review",IFERROR(_xlfn.XLOOKUP($G69,Mapping!$A:$A,Mapping!$C:$C),"Uncategorized — Review"))</f>
        <v>Deal-Specific</v>
      </c>
    </row>
    <row r="70" spans="1:10" x14ac:dyDescent="0.25">
      <c r="A70" s="8" t="str">
        <f>'2025_Chase9335_Activity_2026062'!A70</f>
        <v>DEBIT</v>
      </c>
      <c r="B70" s="24">
        <f>'2025_Chase9335_Activity_2026062'!B70</f>
        <v>46000</v>
      </c>
      <c r="C70" s="8" t="str">
        <f>'2025_Chase9335_Activity_2026062'!C70</f>
        <v>Online RealTime vendor payment  11198698924 Payment Id REFERENCE#: 8198698924RX  to  Simon Miller 1766</v>
      </c>
      <c r="D70" s="8">
        <f>'2025_Chase9335_Activity_2026062'!D70</f>
        <v>-25000</v>
      </c>
      <c r="E70" s="8" t="str">
        <f>'2025_Chase9335_Activity_2026062'!E70</f>
        <v>ACH_PAYMENT</v>
      </c>
      <c r="F70" s="8">
        <f>'2025_Chase9335_Activity_2026062'!F70</f>
        <v>253998.52</v>
      </c>
      <c r="G70" s="8" t="str">
        <f>'2025_Chase9335_Activity_2026062'!G70</f>
        <v>Deal Specific: Cloverdale</v>
      </c>
      <c r="H70" s="26">
        <f t="shared" si="1"/>
        <v>45992</v>
      </c>
      <c r="I70" s="8" t="str">
        <f>IF($G70="","Uncategorized — Review",IFERROR(_xlfn.XLOOKUP($G70,Mapping!$A:$A,Mapping!$B:$B),"Uncategorized — Review"))</f>
        <v>Deal Specific: Cloverdale</v>
      </c>
      <c r="J70" s="8" t="str">
        <f>IF($G70="","Uncategorized — Review",IFERROR(_xlfn.XLOOKUP($G70,Mapping!$A:$A,Mapping!$C:$C),"Uncategorized — Review"))</f>
        <v>Deal-Specific</v>
      </c>
    </row>
    <row r="71" spans="1:10" x14ac:dyDescent="0.25">
      <c r="A71" s="8" t="str">
        <f>'2025_Chase9335_Activity_2026062'!A71</f>
        <v>DEBIT</v>
      </c>
      <c r="B71" s="24">
        <f>'2025_Chase9335_Activity_2026062'!B71</f>
        <v>46000</v>
      </c>
      <c r="C71" s="8" t="str">
        <f>'2025_Chase9335_Activity_2026062'!C71</f>
        <v>Online RealTime vendor payment  11198710012 Payment Id REFERENCE#: 8198710012RX  to  Simon Miller 1766</v>
      </c>
      <c r="D71" s="8">
        <f>'2025_Chase9335_Activity_2026062'!D71</f>
        <v>-25000</v>
      </c>
      <c r="E71" s="8" t="str">
        <f>'2025_Chase9335_Activity_2026062'!E71</f>
        <v>ACH_PAYMENT</v>
      </c>
      <c r="F71" s="8">
        <f>'2025_Chase9335_Activity_2026062'!F71</f>
        <v>278998.52</v>
      </c>
      <c r="G71" s="8" t="str">
        <f>'2025_Chase9335_Activity_2026062'!G71</f>
        <v>Deal Specific: Cloverdale</v>
      </c>
      <c r="H71" s="26">
        <f t="shared" si="1"/>
        <v>45992</v>
      </c>
      <c r="I71" s="8" t="str">
        <f>IF($G71="","Uncategorized — Review",IFERROR(_xlfn.XLOOKUP($G71,Mapping!$A:$A,Mapping!$B:$B),"Uncategorized — Review"))</f>
        <v>Deal Specific: Cloverdale</v>
      </c>
      <c r="J71" s="8" t="str">
        <f>IF($G71="","Uncategorized — Review",IFERROR(_xlfn.XLOOKUP($G71,Mapping!$A:$A,Mapping!$C:$C),"Uncategorized — Review"))</f>
        <v>Deal-Specific</v>
      </c>
    </row>
    <row r="72" spans="1:10" x14ac:dyDescent="0.25">
      <c r="A72" s="8" t="str">
        <f>'2025_Chase9335_Activity_2026062'!A72</f>
        <v>DEBIT</v>
      </c>
      <c r="B72" s="24">
        <f>'2025_Chase9335_Activity_2026062'!B72</f>
        <v>46000</v>
      </c>
      <c r="C72" s="8" t="str">
        <f>'2025_Chase9335_Activity_2026062'!C72</f>
        <v>DICE.FM DICE.FM NY                           12/09</v>
      </c>
      <c r="D72" s="8">
        <f>'2025_Chase9335_Activity_2026062'!D72</f>
        <v>-65.42</v>
      </c>
      <c r="E72" s="8" t="str">
        <f>'2025_Chase9335_Activity_2026062'!E72</f>
        <v>DEBIT_CARD</v>
      </c>
      <c r="F72" s="8">
        <f>'2025_Chase9335_Activity_2026062'!F72</f>
        <v>303998.52</v>
      </c>
      <c r="G72" s="8" t="str">
        <f>'2025_Chase9335_Activity_2026062'!G72</f>
        <v>Personal - Subscriptions</v>
      </c>
      <c r="H72" s="26">
        <f t="shared" si="1"/>
        <v>45992</v>
      </c>
      <c r="I72" s="8" t="str">
        <f>IF($G72="","Uncategorized — Review",IFERROR(_xlfn.XLOOKUP($G72,Mapping!$A:$A,Mapping!$B:$B),"Uncategorized — Review"))</f>
        <v>Personal - Subscriptions</v>
      </c>
      <c r="J72" s="8" t="str">
        <f>IF($G72="","Uncategorized — Review",IFERROR(_xlfn.XLOOKUP($G72,Mapping!$A:$A,Mapping!$C:$C),"Uncategorized — Review"))</f>
        <v>Personal — Owner</v>
      </c>
    </row>
    <row r="73" spans="1:10" x14ac:dyDescent="0.25">
      <c r="A73" s="8" t="str">
        <f>'2025_Chase9335_Activity_2026062'!A73</f>
        <v>DEBIT</v>
      </c>
      <c r="B73" s="24">
        <f>'2025_Chase9335_Activity_2026062'!B73</f>
        <v>46000</v>
      </c>
      <c r="C73" s="8" t="str">
        <f>'2025_Chase9335_Activity_2026062'!C73</f>
        <v>Prime Video *838F929A 888-802-3080 WA        12/08</v>
      </c>
      <c r="D73" s="8">
        <f>'2025_Chase9335_Activity_2026062'!D73</f>
        <v>-4.05</v>
      </c>
      <c r="E73" s="8" t="str">
        <f>'2025_Chase9335_Activity_2026062'!E73</f>
        <v>DEBIT_CARD</v>
      </c>
      <c r="F73" s="8">
        <f>'2025_Chase9335_Activity_2026062'!F73</f>
        <v>304063.94</v>
      </c>
      <c r="G73" s="8" t="str">
        <f>'2025_Chase9335_Activity_2026062'!G73</f>
        <v>Amazon Prime Video</v>
      </c>
      <c r="H73" s="26">
        <f t="shared" si="1"/>
        <v>45992</v>
      </c>
      <c r="I73" s="8" t="str">
        <f>IF($G73="","Uncategorized — Review",IFERROR(_xlfn.XLOOKUP($G73,Mapping!$A:$A,Mapping!$B:$B),"Uncategorized — Review"))</f>
        <v>Amazon Prime Video</v>
      </c>
      <c r="J73" s="8" t="str">
        <f>IF($G73="","Uncategorized — Review",IFERROR(_xlfn.XLOOKUP($G73,Mapping!$A:$A,Mapping!$C:$C),"Uncategorized — Review"))</f>
        <v>Personal — Owner</v>
      </c>
    </row>
    <row r="74" spans="1:10" x14ac:dyDescent="0.25">
      <c r="A74" s="8" t="str">
        <f>'2025_Chase9335_Activity_2026062'!A74</f>
        <v>DEBIT</v>
      </c>
      <c r="B74" s="24">
        <f>'2025_Chase9335_Activity_2026062'!B74</f>
        <v>46000</v>
      </c>
      <c r="C74" s="8" t="str">
        <f>'2025_Chase9335_Activity_2026062'!C74</f>
        <v>BESTBUYCOM807117232087 888BESTBUY MN         12/08</v>
      </c>
      <c r="D74" s="8">
        <f>'2025_Chase9335_Activity_2026062'!D74</f>
        <v>-4143.72</v>
      </c>
      <c r="E74" s="8" t="str">
        <f>'2025_Chase9335_Activity_2026062'!E74</f>
        <v>DEBIT_CARD</v>
      </c>
      <c r="F74" s="8">
        <f>'2025_Chase9335_Activity_2026062'!F74</f>
        <v>304067.99</v>
      </c>
      <c r="G74" s="8" t="str">
        <f>'2025_Chase9335_Activity_2026062'!G74</f>
        <v>DWG Operations</v>
      </c>
      <c r="H74" s="26">
        <f t="shared" si="1"/>
        <v>45992</v>
      </c>
      <c r="I74" s="8" t="str">
        <f>IF($G74="","Uncategorized — Review",IFERROR(_xlfn.XLOOKUP($G74,Mapping!$A:$A,Mapping!$B:$B),"Uncategorized — Review"))</f>
        <v>DWG Operations</v>
      </c>
      <c r="J74" s="8" t="str">
        <f>IF($G74="","Uncategorized — Review",IFERROR(_xlfn.XLOOKUP($G74,Mapping!$A:$A,Mapping!$C:$C),"Uncategorized — Review"))</f>
        <v>DWG Operating</v>
      </c>
    </row>
    <row r="75" spans="1:10" x14ac:dyDescent="0.25">
      <c r="A75" s="8" t="str">
        <f>'2025_Chase9335_Activity_2026062'!A75</f>
        <v>DEBIT</v>
      </c>
      <c r="B75" s="24">
        <f>'2025_Chase9335_Activity_2026062'!B75</f>
        <v>45999</v>
      </c>
      <c r="C75" s="8" t="str">
        <f>'2025_Chase9335_Activity_2026062'!C75</f>
        <v>Online RealTime vendor payment  11198699171 Payment Id REFERENCE#: 8198699171RX  to  Simon Miller 1766</v>
      </c>
      <c r="D75" s="8">
        <f>'2025_Chase9335_Activity_2026062'!D75</f>
        <v>-5000</v>
      </c>
      <c r="E75" s="8" t="str">
        <f>'2025_Chase9335_Activity_2026062'!E75</f>
        <v>ACH_PAYMENT</v>
      </c>
      <c r="F75" s="8">
        <f>'2025_Chase9335_Activity_2026062'!F75</f>
        <v>308211.71000000002</v>
      </c>
      <c r="G75" s="8" t="str">
        <f>'2025_Chase9335_Activity_2026062'!G75</f>
        <v>Deal Specific: Cloverdale</v>
      </c>
      <c r="H75" s="26">
        <f t="shared" si="1"/>
        <v>45992</v>
      </c>
      <c r="I75" s="8" t="str">
        <f>IF($G75="","Uncategorized — Review",IFERROR(_xlfn.XLOOKUP($G75,Mapping!$A:$A,Mapping!$B:$B),"Uncategorized — Review"))</f>
        <v>Deal Specific: Cloverdale</v>
      </c>
      <c r="J75" s="8" t="str">
        <f>IF($G75="","Uncategorized — Review",IFERROR(_xlfn.XLOOKUP($G75,Mapping!$A:$A,Mapping!$C:$C),"Uncategorized — Review"))</f>
        <v>Deal-Specific</v>
      </c>
    </row>
    <row r="76" spans="1:10" x14ac:dyDescent="0.25">
      <c r="A76" s="8" t="str">
        <f>'2025_Chase9335_Activity_2026062'!A76</f>
        <v>DEBIT</v>
      </c>
      <c r="B76" s="24">
        <f>'2025_Chase9335_Activity_2026062'!B76</f>
        <v>45999</v>
      </c>
      <c r="C76" s="8" t="str">
        <f>'2025_Chase9335_Activity_2026062'!C76</f>
        <v>UBER *ONE MEMBERSHIP SAN FRANCISCO CA684170  12/08</v>
      </c>
      <c r="D76" s="8">
        <f>'2025_Chase9335_Activity_2026062'!D76</f>
        <v>-9.99</v>
      </c>
      <c r="E76" s="8" t="str">
        <f>'2025_Chase9335_Activity_2026062'!E76</f>
        <v>DEBIT_CARD</v>
      </c>
      <c r="F76" s="8">
        <f>'2025_Chase9335_Activity_2026062'!F76</f>
        <v>313211.71000000002</v>
      </c>
      <c r="G76" s="8" t="str">
        <f>'2025_Chase9335_Activity_2026062'!G76</f>
        <v>Personal - Subscriptions</v>
      </c>
      <c r="H76" s="26">
        <f t="shared" si="1"/>
        <v>45992</v>
      </c>
      <c r="I76" s="8" t="str">
        <f>IF($G76="","Uncategorized — Review",IFERROR(_xlfn.XLOOKUP($G76,Mapping!$A:$A,Mapping!$B:$B),"Uncategorized — Review"))</f>
        <v>Personal - Subscriptions</v>
      </c>
      <c r="J76" s="8" t="str">
        <f>IF($G76="","Uncategorized — Review",IFERROR(_xlfn.XLOOKUP($G76,Mapping!$A:$A,Mapping!$C:$C),"Uncategorized — Review"))</f>
        <v>Personal — Owner</v>
      </c>
    </row>
    <row r="77" spans="1:10" x14ac:dyDescent="0.25">
      <c r="A77" s="8" t="str">
        <f>'2025_Chase9335_Activity_2026062'!A77</f>
        <v>DEBIT</v>
      </c>
      <c r="B77" s="24">
        <f>'2025_Chase9335_Activity_2026062'!B77</f>
        <v>45999</v>
      </c>
      <c r="C77" s="8" t="str">
        <f>'2025_Chase9335_Activity_2026062'!C77</f>
        <v>Prime Video *BW92H7CP 888-802-3080 WA        12/08</v>
      </c>
      <c r="D77" s="8">
        <f>'2025_Chase9335_Activity_2026062'!D77</f>
        <v>-4.26</v>
      </c>
      <c r="E77" s="8" t="str">
        <f>'2025_Chase9335_Activity_2026062'!E77</f>
        <v>DEBIT_CARD</v>
      </c>
      <c r="F77" s="8">
        <f>'2025_Chase9335_Activity_2026062'!F77</f>
        <v>313221.7</v>
      </c>
      <c r="G77" s="8" t="str">
        <f>'2025_Chase9335_Activity_2026062'!G77</f>
        <v>Amazon Prime Video</v>
      </c>
      <c r="H77" s="26">
        <f t="shared" si="1"/>
        <v>45992</v>
      </c>
      <c r="I77" s="8" t="str">
        <f>IF($G77="","Uncategorized — Review",IFERROR(_xlfn.XLOOKUP($G77,Mapping!$A:$A,Mapping!$B:$B),"Uncategorized — Review"))</f>
        <v>Amazon Prime Video</v>
      </c>
      <c r="J77" s="8" t="str">
        <f>IF($G77="","Uncategorized — Review",IFERROR(_xlfn.XLOOKUP($G77,Mapping!$A:$A,Mapping!$C:$C),"Uncategorized — Review"))</f>
        <v>Personal — Owner</v>
      </c>
    </row>
    <row r="78" spans="1:10" x14ac:dyDescent="0.25">
      <c r="A78" s="8" t="str">
        <f>'2025_Chase9335_Activity_2026062'!A78</f>
        <v>DEBIT</v>
      </c>
      <c r="B78" s="24">
        <f>'2025_Chase9335_Activity_2026062'!B78</f>
        <v>45999</v>
      </c>
      <c r="C78" s="8" t="str">
        <f>'2025_Chase9335_Activity_2026062'!C78</f>
        <v>Prime Video *WH6XD44H 888-802-3080 WA        12/07</v>
      </c>
      <c r="D78" s="8">
        <f>'2025_Chase9335_Activity_2026062'!D78</f>
        <v>-4.05</v>
      </c>
      <c r="E78" s="8" t="str">
        <f>'2025_Chase9335_Activity_2026062'!E78</f>
        <v>DEBIT_CARD</v>
      </c>
      <c r="F78" s="8">
        <f>'2025_Chase9335_Activity_2026062'!F78</f>
        <v>313225.96000000002</v>
      </c>
      <c r="G78" s="8" t="str">
        <f>'2025_Chase9335_Activity_2026062'!G78</f>
        <v>Amazon Prime Video</v>
      </c>
      <c r="H78" s="26">
        <f t="shared" si="1"/>
        <v>45992</v>
      </c>
      <c r="I78" s="8" t="str">
        <f>IF($G78="","Uncategorized — Review",IFERROR(_xlfn.XLOOKUP($G78,Mapping!$A:$A,Mapping!$B:$B),"Uncategorized — Review"))</f>
        <v>Amazon Prime Video</v>
      </c>
      <c r="J78" s="8" t="str">
        <f>IF($G78="","Uncategorized — Review",IFERROR(_xlfn.XLOOKUP($G78,Mapping!$A:$A,Mapping!$C:$C),"Uncategorized — Review"))</f>
        <v>Personal — Owner</v>
      </c>
    </row>
    <row r="79" spans="1:10" x14ac:dyDescent="0.25">
      <c r="A79" s="8" t="str">
        <f>'2025_Chase9335_Activity_2026062'!A79</f>
        <v>DEBIT</v>
      </c>
      <c r="B79" s="24">
        <f>'2025_Chase9335_Activity_2026062'!B79</f>
        <v>45999</v>
      </c>
      <c r="C79" s="8" t="str">
        <f>'2025_Chase9335_Activity_2026062'!C79</f>
        <v>Prime Video *543VL2CO 888-802-3080 WA        12/07</v>
      </c>
      <c r="D79" s="8">
        <f>'2025_Chase9335_Activity_2026062'!D79</f>
        <v>-4.26</v>
      </c>
      <c r="E79" s="8" t="str">
        <f>'2025_Chase9335_Activity_2026062'!E79</f>
        <v>DEBIT_CARD</v>
      </c>
      <c r="F79" s="8">
        <f>'2025_Chase9335_Activity_2026062'!F79</f>
        <v>313230.01</v>
      </c>
      <c r="G79" s="8" t="str">
        <f>'2025_Chase9335_Activity_2026062'!G79</f>
        <v>Amazon Prime Video</v>
      </c>
      <c r="H79" s="26">
        <f t="shared" si="1"/>
        <v>45992</v>
      </c>
      <c r="I79" s="8" t="str">
        <f>IF($G79="","Uncategorized — Review",IFERROR(_xlfn.XLOOKUP($G79,Mapping!$A:$A,Mapping!$B:$B),"Uncategorized — Review"))</f>
        <v>Amazon Prime Video</v>
      </c>
      <c r="J79" s="8" t="str">
        <f>IF($G79="","Uncategorized — Review",IFERROR(_xlfn.XLOOKUP($G79,Mapping!$A:$A,Mapping!$C:$C),"Uncategorized — Review"))</f>
        <v>Personal — Owner</v>
      </c>
    </row>
    <row r="80" spans="1:10" x14ac:dyDescent="0.25">
      <c r="A80" s="8" t="str">
        <f>'2025_Chase9335_Activity_2026062'!A80</f>
        <v>DEBIT</v>
      </c>
      <c r="B80" s="24">
        <f>'2025_Chase9335_Activity_2026062'!B80</f>
        <v>45999</v>
      </c>
      <c r="C80" s="8" t="str">
        <f>'2025_Chase9335_Activity_2026062'!C80</f>
        <v>SQ *EXECUTIVE PARKING S gosq.com GA          12/07</v>
      </c>
      <c r="D80" s="8">
        <f>'2025_Chase9335_Activity_2026062'!D80</f>
        <v>-7</v>
      </c>
      <c r="E80" s="8" t="str">
        <f>'2025_Chase9335_Activity_2026062'!E80</f>
        <v>DEBIT_CARD</v>
      </c>
      <c r="F80" s="8">
        <f>'2025_Chase9335_Activity_2026062'!F80</f>
        <v>313234.27</v>
      </c>
      <c r="G80" s="8" t="str">
        <f>'2025_Chase9335_Activity_2026062'!G80</f>
        <v>Personal - Car</v>
      </c>
      <c r="H80" s="26">
        <f t="shared" si="1"/>
        <v>45992</v>
      </c>
      <c r="I80" s="8" t="str">
        <f>IF($G80="","Uncategorized — Review",IFERROR(_xlfn.XLOOKUP($G80,Mapping!$A:$A,Mapping!$B:$B),"Uncategorized — Review"))</f>
        <v>Personal - Car &amp; Auto</v>
      </c>
      <c r="J80" s="8" t="str">
        <f>IF($G80="","Uncategorized — Review",IFERROR(_xlfn.XLOOKUP($G80,Mapping!$A:$A,Mapping!$C:$C),"Uncategorized — Review"))</f>
        <v>Personal — Owner</v>
      </c>
    </row>
    <row r="81" spans="1:10" x14ac:dyDescent="0.25">
      <c r="A81" s="8" t="str">
        <f>'2025_Chase9335_Activity_2026062'!A81</f>
        <v>DEBIT</v>
      </c>
      <c r="B81" s="24">
        <f>'2025_Chase9335_Activity_2026062'!B81</f>
        <v>45999</v>
      </c>
      <c r="C81" s="8" t="str">
        <f>'2025_Chase9335_Activity_2026062'!C81</f>
        <v>AA WIFI 1-888-649-6711 Fort Worth TX         12/07</v>
      </c>
      <c r="D81" s="8">
        <f>'2025_Chase9335_Activity_2026062'!D81</f>
        <v>-28</v>
      </c>
      <c r="E81" s="8" t="str">
        <f>'2025_Chase9335_Activity_2026062'!E81</f>
        <v>DEBIT_CARD</v>
      </c>
      <c r="F81" s="8">
        <f>'2025_Chase9335_Activity_2026062'!F81</f>
        <v>313241.27</v>
      </c>
      <c r="G81" s="8" t="str">
        <f>'2025_Chase9335_Activity_2026062'!G81</f>
        <v>Personal - Travel</v>
      </c>
      <c r="H81" s="26">
        <f t="shared" si="1"/>
        <v>45992</v>
      </c>
      <c r="I81" s="8" t="str">
        <f>IF($G81="","Uncategorized — Review",IFERROR(_xlfn.XLOOKUP($G81,Mapping!$A:$A,Mapping!$B:$B),"Uncategorized — Review"))</f>
        <v>Personal - Travel</v>
      </c>
      <c r="J81" s="8" t="str">
        <f>IF($G81="","Uncategorized — Review",IFERROR(_xlfn.XLOOKUP($G81,Mapping!$A:$A,Mapping!$C:$C),"Uncategorized — Review"))</f>
        <v>Personal — Owner</v>
      </c>
    </row>
    <row r="82" spans="1:10" x14ac:dyDescent="0.25">
      <c r="A82" s="8" t="str">
        <f>'2025_Chase9335_Activity_2026062'!A82</f>
        <v>DEBIT</v>
      </c>
      <c r="B82" s="24">
        <f>'2025_Chase9335_Activity_2026062'!B82</f>
        <v>45999</v>
      </c>
      <c r="C82" s="8" t="str">
        <f>'2025_Chase9335_Activity_2026062'!C82</f>
        <v>AMAZON MKTPL*BI3JE3D Amzn.com/bill WA        12/07</v>
      </c>
      <c r="D82" s="8">
        <f>'2025_Chase9335_Activity_2026062'!D82</f>
        <v>-526.75</v>
      </c>
      <c r="E82" s="8" t="str">
        <f>'2025_Chase9335_Activity_2026062'!E82</f>
        <v>DEBIT_CARD</v>
      </c>
      <c r="F82" s="8">
        <f>'2025_Chase9335_Activity_2026062'!F82</f>
        <v>313269.27</v>
      </c>
      <c r="G82" s="8" t="str">
        <f>'2025_Chase9335_Activity_2026062'!G82</f>
        <v>Amazon</v>
      </c>
      <c r="H82" s="26">
        <f t="shared" si="1"/>
        <v>45992</v>
      </c>
      <c r="I82" s="8" t="str">
        <f>IF($G82="","Uncategorized — Review",IFERROR(_xlfn.XLOOKUP($G82,Mapping!$A:$A,Mapping!$B:$B),"Uncategorized — Review"))</f>
        <v>Amazon</v>
      </c>
      <c r="J82" s="8" t="str">
        <f>IF($G82="","Uncategorized — Review",IFERROR(_xlfn.XLOOKUP($G82,Mapping!$A:$A,Mapping!$C:$C),"Uncategorized — Review"))</f>
        <v>Personal — Owner</v>
      </c>
    </row>
    <row r="83" spans="1:10" x14ac:dyDescent="0.25">
      <c r="A83" s="8" t="str">
        <f>'2025_Chase9335_Activity_2026062'!A83</f>
        <v>DEBIT</v>
      </c>
      <c r="B83" s="24">
        <f>'2025_Chase9335_Activity_2026062'!B83</f>
        <v>45999</v>
      </c>
      <c r="C83" s="8" t="str">
        <f>'2025_Chase9335_Activity_2026062'!C83</f>
        <v>APPLE.COM/BILL 866-712-7753 CA               12/07</v>
      </c>
      <c r="D83" s="8">
        <f>'2025_Chase9335_Activity_2026062'!D83</f>
        <v>-30.89</v>
      </c>
      <c r="E83" s="8" t="str">
        <f>'2025_Chase9335_Activity_2026062'!E83</f>
        <v>DEBIT_CARD</v>
      </c>
      <c r="F83" s="8">
        <f>'2025_Chase9335_Activity_2026062'!F83</f>
        <v>313796.02</v>
      </c>
      <c r="G83" s="8" t="str">
        <f>'2025_Chase9335_Activity_2026062'!G83</f>
        <v>Personal - Subscriptions</v>
      </c>
      <c r="H83" s="26">
        <f t="shared" si="1"/>
        <v>45992</v>
      </c>
      <c r="I83" s="8" t="str">
        <f>IF($G83="","Uncategorized — Review",IFERROR(_xlfn.XLOOKUP($G83,Mapping!$A:$A,Mapping!$B:$B),"Uncategorized — Review"))</f>
        <v>Personal - Subscriptions</v>
      </c>
      <c r="J83" s="8" t="str">
        <f>IF($G83="","Uncategorized — Review",IFERROR(_xlfn.XLOOKUP($G83,Mapping!$A:$A,Mapping!$C:$C),"Uncategorized — Review"))</f>
        <v>Personal — Owner</v>
      </c>
    </row>
    <row r="84" spans="1:10" x14ac:dyDescent="0.25">
      <c r="A84" s="8" t="str">
        <f>'2025_Chase9335_Activity_2026062'!A84</f>
        <v>DEBIT</v>
      </c>
      <c r="B84" s="24">
        <f>'2025_Chase9335_Activity_2026062'!B84</f>
        <v>45999</v>
      </c>
      <c r="C84" s="8" t="str">
        <f>'2025_Chase9335_Activity_2026062'!C84</f>
        <v>APPLE.COM/BILL 866-712-7753 CA               12/06</v>
      </c>
      <c r="D84" s="8">
        <f>'2025_Chase9335_Activity_2026062'!D84</f>
        <v>-9.99</v>
      </c>
      <c r="E84" s="8" t="str">
        <f>'2025_Chase9335_Activity_2026062'!E84</f>
        <v>DEBIT_CARD</v>
      </c>
      <c r="F84" s="8">
        <f>'2025_Chase9335_Activity_2026062'!F84</f>
        <v>313826.90999999997</v>
      </c>
      <c r="G84" s="8" t="str">
        <f>'2025_Chase9335_Activity_2026062'!G84</f>
        <v>Personal - Subscriptions</v>
      </c>
      <c r="H84" s="26">
        <f t="shared" si="1"/>
        <v>45992</v>
      </c>
      <c r="I84" s="8" t="str">
        <f>IF($G84="","Uncategorized — Review",IFERROR(_xlfn.XLOOKUP($G84,Mapping!$A:$A,Mapping!$B:$B),"Uncategorized — Review"))</f>
        <v>Personal - Subscriptions</v>
      </c>
      <c r="J84" s="8" t="str">
        <f>IF($G84="","Uncategorized — Review",IFERROR(_xlfn.XLOOKUP($G84,Mapping!$A:$A,Mapping!$C:$C),"Uncategorized — Review"))</f>
        <v>Personal — Owner</v>
      </c>
    </row>
    <row r="85" spans="1:10" x14ac:dyDescent="0.25">
      <c r="A85" s="8" t="str">
        <f>'2025_Chase9335_Activity_2026062'!A85</f>
        <v>DEBIT</v>
      </c>
      <c r="B85" s="24">
        <f>'2025_Chase9335_Activity_2026062'!B85</f>
        <v>45999</v>
      </c>
      <c r="C85" s="8" t="str">
        <f>'2025_Chase9335_Activity_2026062'!C85</f>
        <v>Prime Video *BI2OE7E7 888-802-3080 WA        12/05</v>
      </c>
      <c r="D85" s="8">
        <f>'2025_Chase9335_Activity_2026062'!D85</f>
        <v>-4.26</v>
      </c>
      <c r="E85" s="8" t="str">
        <f>'2025_Chase9335_Activity_2026062'!E85</f>
        <v>DEBIT_CARD</v>
      </c>
      <c r="F85" s="8">
        <f>'2025_Chase9335_Activity_2026062'!F85</f>
        <v>313836.90000000002</v>
      </c>
      <c r="G85" s="8" t="str">
        <f>'2025_Chase9335_Activity_2026062'!G85</f>
        <v>Amazon Prime Video</v>
      </c>
      <c r="H85" s="26">
        <f t="shared" si="1"/>
        <v>45992</v>
      </c>
      <c r="I85" s="8" t="str">
        <f>IF($G85="","Uncategorized — Review",IFERROR(_xlfn.XLOOKUP($G85,Mapping!$A:$A,Mapping!$B:$B),"Uncategorized — Review"))</f>
        <v>Amazon Prime Video</v>
      </c>
      <c r="J85" s="8" t="str">
        <f>IF($G85="","Uncategorized — Review",IFERROR(_xlfn.XLOOKUP($G85,Mapping!$A:$A,Mapping!$C:$C),"Uncategorized — Review"))</f>
        <v>Personal — Owner</v>
      </c>
    </row>
    <row r="86" spans="1:10" x14ac:dyDescent="0.25">
      <c r="A86" s="8" t="str">
        <f>'2025_Chase9335_Activity_2026062'!A86</f>
        <v>DEBIT</v>
      </c>
      <c r="B86" s="24">
        <f>'2025_Chase9335_Activity_2026062'!B86</f>
        <v>45999</v>
      </c>
      <c r="C86" s="8" t="str">
        <f>'2025_Chase9335_Activity_2026062'!C86</f>
        <v>FRANKLIN PLANNER 800-654-1776 UT             12/06</v>
      </c>
      <c r="D86" s="8">
        <f>'2025_Chase9335_Activity_2026062'!D86</f>
        <v>-461.77</v>
      </c>
      <c r="E86" s="8" t="str">
        <f>'2025_Chase9335_Activity_2026062'!E86</f>
        <v>DEBIT_CARD</v>
      </c>
      <c r="F86" s="8">
        <f>'2025_Chase9335_Activity_2026062'!F86</f>
        <v>313841.15999999997</v>
      </c>
      <c r="G86" s="8" t="str">
        <f>'2025_Chase9335_Activity_2026062'!G86</f>
        <v>DWG Operations</v>
      </c>
      <c r="H86" s="26">
        <f t="shared" si="1"/>
        <v>45992</v>
      </c>
      <c r="I86" s="8" t="str">
        <f>IF($G86="","Uncategorized — Review",IFERROR(_xlfn.XLOOKUP($G86,Mapping!$A:$A,Mapping!$B:$B),"Uncategorized — Review"))</f>
        <v>DWG Operations</v>
      </c>
      <c r="J86" s="8" t="str">
        <f>IF($G86="","Uncategorized — Review",IFERROR(_xlfn.XLOOKUP($G86,Mapping!$A:$A,Mapping!$C:$C),"Uncategorized — Review"))</f>
        <v>DWG Operating</v>
      </c>
    </row>
    <row r="87" spans="1:10" x14ac:dyDescent="0.25">
      <c r="A87" s="8" t="str">
        <f>'2025_Chase9335_Activity_2026062'!A87</f>
        <v>DEBIT</v>
      </c>
      <c r="B87" s="24">
        <f>'2025_Chase9335_Activity_2026062'!B87</f>
        <v>45996</v>
      </c>
      <c r="C87" s="8" t="str">
        <f>'2025_Chase9335_Activity_2026062'!C87</f>
        <v>ONLINE DOMESTIC WIRE FEE</v>
      </c>
      <c r="D87" s="8">
        <f>'2025_Chase9335_Activity_2026062'!D87</f>
        <v>-25</v>
      </c>
      <c r="E87" s="8" t="str">
        <f>'2025_Chase9335_Activity_2026062'!E87</f>
        <v>FEE_TRANSACTION</v>
      </c>
      <c r="F87" s="8">
        <f>'2025_Chase9335_Activity_2026062'!F87</f>
        <v>314302.93</v>
      </c>
      <c r="G87" s="8" t="str">
        <f>'2025_Chase9335_Activity_2026062'!G87</f>
        <v>Bank Fees</v>
      </c>
      <c r="H87" s="26">
        <f t="shared" si="1"/>
        <v>45992</v>
      </c>
      <c r="I87" s="8" t="str">
        <f>IF($G87="","Uncategorized — Review",IFERROR(_xlfn.XLOOKUP($G87,Mapping!$A:$A,Mapping!$B:$B),"Uncategorized — Review"))</f>
        <v>Bank Fees</v>
      </c>
      <c r="J87" s="8" t="str">
        <f>IF($G87="","Uncategorized — Review",IFERROR(_xlfn.XLOOKUP($G87,Mapping!$A:$A,Mapping!$C:$C),"Uncategorized — Review"))</f>
        <v>DWG Operating</v>
      </c>
    </row>
    <row r="88" spans="1:10" x14ac:dyDescent="0.25">
      <c r="A88" s="8" t="str">
        <f>'2025_Chase9335_Activity_2026062'!A88</f>
        <v>DEBIT</v>
      </c>
      <c r="B88" s="24">
        <f>'2025_Chase9335_Activity_2026062'!B88</f>
        <v>45996</v>
      </c>
      <c r="C88" s="8" t="str">
        <f>'2025_Chase9335_Activity_2026062'!C88</f>
        <v>ORIG CO NAME:AMERICAN EXPRESS       ORIG ID:2005032111 DESC DATE:251205 CO ENTRY DESCR:ACH PMT   SEC:CCD    TRACE#:021000023302668 EED:251205   IND ID:A4978                        IND NAME:JOHN DUNNING                                                                                                 ER AM TRN: 3393302668TC</v>
      </c>
      <c r="D88" s="8">
        <f>'2025_Chase9335_Activity_2026062'!D88</f>
        <v>-4281.72</v>
      </c>
      <c r="E88" s="8" t="str">
        <f>'2025_Chase9335_Activity_2026062'!E88</f>
        <v>ACH_DEBIT</v>
      </c>
      <c r="F88" s="8">
        <f>'2025_Chase9335_Activity_2026062'!F88</f>
        <v>314327.93</v>
      </c>
      <c r="G88" s="8" t="str">
        <f>'2025_Chase9335_Activity_2026062'!G88</f>
        <v>American Express Credit Card PMT</v>
      </c>
      <c r="H88" s="26">
        <f t="shared" si="1"/>
        <v>45992</v>
      </c>
      <c r="I88" s="8" t="str">
        <f>IF($G88="","Uncategorized — Review",IFERROR(_xlfn.XLOOKUP($G88,Mapping!$A:$A,Mapping!$B:$B),"Uncategorized — Review"))</f>
        <v>American Express Credit Card PMT</v>
      </c>
      <c r="J88" s="8" t="str">
        <f>IF($G88="","Uncategorized — Review",IFERROR(_xlfn.XLOOKUP($G88,Mapping!$A:$A,Mapping!$C:$C),"Uncategorized — Review"))</f>
        <v>Credit Card &amp; Loan Payments</v>
      </c>
    </row>
    <row r="89" spans="1:10" x14ac:dyDescent="0.25">
      <c r="A89" s="8" t="str">
        <f>'2025_Chase9335_Activity_2026062'!A89</f>
        <v>DEBIT</v>
      </c>
      <c r="B89" s="24">
        <f>'2025_Chase9335_Activity_2026062'!B89</f>
        <v>45996</v>
      </c>
      <c r="C89" s="8" t="str">
        <f>'2025_Chase9335_Activity_2026062'!C89</f>
        <v>ORIG CO NAME:AMERICAN EXPRESS       ORIG ID:2005032111 DESC DATE:251205 CO ENTRY DESCR:ACH PMT   SEC:CCD    TRACE#:021000023302693 EED:251205   IND ID:A1086                        IND NAME:JOHN DUNNING                                                                                                 ER AM TRN: 3393302693TC</v>
      </c>
      <c r="D89" s="8">
        <f>'2025_Chase9335_Activity_2026062'!D89</f>
        <v>-10000</v>
      </c>
      <c r="E89" s="8" t="str">
        <f>'2025_Chase9335_Activity_2026062'!E89</f>
        <v>ACH_DEBIT</v>
      </c>
      <c r="F89" s="8">
        <f>'2025_Chase9335_Activity_2026062'!F89</f>
        <v>318609.65000000002</v>
      </c>
      <c r="G89" s="8" t="str">
        <f>'2025_Chase9335_Activity_2026062'!G89</f>
        <v>American Express Credit Card PMT</v>
      </c>
      <c r="H89" s="26">
        <f t="shared" si="1"/>
        <v>45992</v>
      </c>
      <c r="I89" s="8" t="str">
        <f>IF($G89="","Uncategorized — Review",IFERROR(_xlfn.XLOOKUP($G89,Mapping!$A:$A,Mapping!$B:$B),"Uncategorized — Review"))</f>
        <v>American Express Credit Card PMT</v>
      </c>
      <c r="J89" s="8" t="str">
        <f>IF($G89="","Uncategorized — Review",IFERROR(_xlfn.XLOOKUP($G89,Mapping!$A:$A,Mapping!$C:$C),"Uncategorized — Review"))</f>
        <v>Credit Card &amp; Loan Payments</v>
      </c>
    </row>
    <row r="90" spans="1:10" x14ac:dyDescent="0.25">
      <c r="A90" s="8" t="str">
        <f>'2025_Chase9335_Activity_2026062'!A90</f>
        <v>DEBIT</v>
      </c>
      <c r="B90" s="24">
        <f>'2025_Chase9335_Activity_2026062'!B90</f>
        <v>45996</v>
      </c>
      <c r="C90" s="8" t="str">
        <f>'2025_Chase9335_Activity_2026062'!C90</f>
        <v>ONLINE DOMESTIC WIRE TRANSFER A/C: TOP SHIELD ROOFING SYSTEMS LLC ALEDO TX 76008-4318 US TRN: 3003465339ES 12/05</v>
      </c>
      <c r="D90" s="8">
        <f>'2025_Chase9335_Activity_2026062'!D90</f>
        <v>-15500</v>
      </c>
      <c r="E90" s="8" t="str">
        <f>'2025_Chase9335_Activity_2026062'!E90</f>
        <v>WIRE_OUTGOING</v>
      </c>
      <c r="F90" s="8">
        <f>'2025_Chase9335_Activity_2026062'!F90</f>
        <v>328609.65000000002</v>
      </c>
      <c r="G90" s="8" t="str">
        <f>'2025_Chase9335_Activity_2026062'!G90</f>
        <v>Wire to Top Shield Roofing CO</v>
      </c>
      <c r="H90" s="26">
        <f t="shared" si="1"/>
        <v>45992</v>
      </c>
      <c r="I90" s="8" t="str">
        <f>IF($G90="","Uncategorized — Review",IFERROR(_xlfn.XLOOKUP($G90,Mapping!$A:$A,Mapping!$B:$B),"Uncategorized — Review"))</f>
        <v>Wire to Top Shield Roofing CO</v>
      </c>
      <c r="J90" s="8" t="str">
        <f>IF($G90="","Uncategorized — Review",IFERROR(_xlfn.XLOOKUP($G90,Mapping!$A:$A,Mapping!$C:$C),"Uncategorized — Review"))</f>
        <v>Wire Transfers — Outgoing</v>
      </c>
    </row>
    <row r="91" spans="1:10" x14ac:dyDescent="0.25">
      <c r="A91" s="8" t="str">
        <f>'2025_Chase9335_Activity_2026062'!A91</f>
        <v>DEBIT</v>
      </c>
      <c r="B91" s="24">
        <f>'2025_Chase9335_Activity_2026062'!B91</f>
        <v>45996</v>
      </c>
      <c r="C91" s="8" t="str">
        <f>'2025_Chase9335_Activity_2026062'!C91</f>
        <v>Amazon.com*BI41G36X2 Amzn.com/bill WA        12/04</v>
      </c>
      <c r="D91" s="8">
        <f>'2025_Chase9335_Activity_2026062'!D91</f>
        <v>-42</v>
      </c>
      <c r="E91" s="8" t="str">
        <f>'2025_Chase9335_Activity_2026062'!E91</f>
        <v>DEBIT_CARD</v>
      </c>
      <c r="F91" s="8">
        <f>'2025_Chase9335_Activity_2026062'!F91</f>
        <v>344109.65</v>
      </c>
      <c r="G91" s="8" t="str">
        <f>'2025_Chase9335_Activity_2026062'!G91</f>
        <v>Amazon</v>
      </c>
      <c r="H91" s="26">
        <f t="shared" si="1"/>
        <v>45992</v>
      </c>
      <c r="I91" s="8" t="str">
        <f>IF($G91="","Uncategorized — Review",IFERROR(_xlfn.XLOOKUP($G91,Mapping!$A:$A,Mapping!$B:$B),"Uncategorized — Review"))</f>
        <v>Amazon</v>
      </c>
      <c r="J91" s="8" t="str">
        <f>IF($G91="","Uncategorized — Review",IFERROR(_xlfn.XLOOKUP($G91,Mapping!$A:$A,Mapping!$C:$C),"Uncategorized — Review"))</f>
        <v>Personal — Owner</v>
      </c>
    </row>
    <row r="92" spans="1:10" x14ac:dyDescent="0.25">
      <c r="A92" s="8" t="str">
        <f>'2025_Chase9335_Activity_2026062'!A92</f>
        <v>DEBIT</v>
      </c>
      <c r="B92" s="24">
        <f>'2025_Chase9335_Activity_2026062'!B92</f>
        <v>45995</v>
      </c>
      <c r="C92" s="8" t="str">
        <f>'2025_Chase9335_Activity_2026062'!C92</f>
        <v>ONLINE DOMESTIC WIRE FEE</v>
      </c>
      <c r="D92" s="8">
        <f>'2025_Chase9335_Activity_2026062'!D92</f>
        <v>-25</v>
      </c>
      <c r="E92" s="8" t="str">
        <f>'2025_Chase9335_Activity_2026062'!E92</f>
        <v>FEE_TRANSACTION</v>
      </c>
      <c r="F92" s="8">
        <f>'2025_Chase9335_Activity_2026062'!F92</f>
        <v>344151.65</v>
      </c>
      <c r="G92" s="8" t="str">
        <f>'2025_Chase9335_Activity_2026062'!G92</f>
        <v>Bank Fees</v>
      </c>
      <c r="H92" s="26">
        <f t="shared" si="1"/>
        <v>45992</v>
      </c>
      <c r="I92" s="8" t="str">
        <f>IF($G92="","Uncategorized — Review",IFERROR(_xlfn.XLOOKUP($G92,Mapping!$A:$A,Mapping!$B:$B),"Uncategorized — Review"))</f>
        <v>Bank Fees</v>
      </c>
      <c r="J92" s="8" t="str">
        <f>IF($G92="","Uncategorized — Review",IFERROR(_xlfn.XLOOKUP($G92,Mapping!$A:$A,Mapping!$C:$C),"Uncategorized — Review"))</f>
        <v>DWG Operating</v>
      </c>
    </row>
    <row r="93" spans="1:10" x14ac:dyDescent="0.25">
      <c r="A93" s="8" t="str">
        <f>'2025_Chase9335_Activity_2026062'!A93</f>
        <v>DEBIT</v>
      </c>
      <c r="B93" s="24">
        <f>'2025_Chase9335_Activity_2026062'!B93</f>
        <v>45995</v>
      </c>
      <c r="C93" s="8" t="str">
        <f>'2025_Chase9335_Activity_2026062'!C93</f>
        <v>ONLINE DOMESTIC WIRE FEE</v>
      </c>
      <c r="D93" s="8">
        <f>'2025_Chase9335_Activity_2026062'!D93</f>
        <v>-25</v>
      </c>
      <c r="E93" s="8" t="str">
        <f>'2025_Chase9335_Activity_2026062'!E93</f>
        <v>FEE_TRANSACTION</v>
      </c>
      <c r="F93" s="8">
        <f>'2025_Chase9335_Activity_2026062'!F93</f>
        <v>344176.65</v>
      </c>
      <c r="G93" s="8" t="str">
        <f>'2025_Chase9335_Activity_2026062'!G93</f>
        <v>Bank Fees</v>
      </c>
      <c r="H93" s="26">
        <f t="shared" si="1"/>
        <v>45992</v>
      </c>
      <c r="I93" s="8" t="str">
        <f>IF($G93="","Uncategorized — Review",IFERROR(_xlfn.XLOOKUP($G93,Mapping!$A:$A,Mapping!$B:$B),"Uncategorized — Review"))</f>
        <v>Bank Fees</v>
      </c>
      <c r="J93" s="8" t="str">
        <f>IF($G93="","Uncategorized — Review",IFERROR(_xlfn.XLOOKUP($G93,Mapping!$A:$A,Mapping!$C:$C),"Uncategorized — Review"))</f>
        <v>DWG Operating</v>
      </c>
    </row>
    <row r="94" spans="1:10" x14ac:dyDescent="0.25">
      <c r="A94" s="8" t="str">
        <f>'2025_Chase9335_Activity_2026062'!A94</f>
        <v>DEBIT</v>
      </c>
      <c r="B94" s="24">
        <f>'2025_Chase9335_Activity_2026062'!B94</f>
        <v>45995</v>
      </c>
      <c r="C94" s="8" t="str">
        <f>'2025_Chase9335_Activity_2026062'!C94</f>
        <v>ORIG CO NAME:AMERICAN EXPRESS       ORIG ID:2005032111 DESC DATE:251204 CO ENTRY DESCR:ACH PMT   SEC:CCD    TRACE#:021000022289298 EED:251204   IND ID:W0630                        IND NAME:JOHN DUNNING                                                                                                 ER AM TRN: 3382289298TC</v>
      </c>
      <c r="D94" s="8">
        <f>'2025_Chase9335_Activity_2026062'!D94</f>
        <v>-16724.330000000002</v>
      </c>
      <c r="E94" s="8" t="str">
        <f>'2025_Chase9335_Activity_2026062'!E94</f>
        <v>ACH_DEBIT</v>
      </c>
      <c r="F94" s="8">
        <f>'2025_Chase9335_Activity_2026062'!F94</f>
        <v>344201.65</v>
      </c>
      <c r="G94" s="8" t="str">
        <f>'2025_Chase9335_Activity_2026062'!G94</f>
        <v>American Express Credit Card PMT</v>
      </c>
      <c r="H94" s="26">
        <f t="shared" si="1"/>
        <v>45992</v>
      </c>
      <c r="I94" s="8" t="str">
        <f>IF($G94="","Uncategorized — Review",IFERROR(_xlfn.XLOOKUP($G94,Mapping!$A:$A,Mapping!$B:$B),"Uncategorized — Review"))</f>
        <v>American Express Credit Card PMT</v>
      </c>
      <c r="J94" s="8" t="str">
        <f>IF($G94="","Uncategorized — Review",IFERROR(_xlfn.XLOOKUP($G94,Mapping!$A:$A,Mapping!$C:$C),"Uncategorized — Review"))</f>
        <v>Credit Card &amp; Loan Payments</v>
      </c>
    </row>
    <row r="95" spans="1:10" x14ac:dyDescent="0.25">
      <c r="A95" s="8" t="str">
        <f>'2025_Chase9335_Activity_2026062'!A95</f>
        <v>DEBIT</v>
      </c>
      <c r="B95" s="24">
        <f>'2025_Chase9335_Activity_2026062'!B95</f>
        <v>45995</v>
      </c>
      <c r="C95" s="8" t="str">
        <f>'2025_Chase9335_Activity_2026062'!C95</f>
        <v>Zelle payment to Michael Paytonjian JPM99bx3x6mm</v>
      </c>
      <c r="D95" s="8">
        <f>'2025_Chase9335_Activity_2026062'!D95</f>
        <v>-110</v>
      </c>
      <c r="E95" s="8" t="str">
        <f>'2025_Chase9335_Activity_2026062'!E95</f>
        <v>CHASE_TO_PARTNERFI</v>
      </c>
      <c r="F95" s="8">
        <f>'2025_Chase9335_Activity_2026062'!F95</f>
        <v>360925.98</v>
      </c>
      <c r="G95" s="8" t="str">
        <f>'2025_Chase9335_Activity_2026062'!G95</f>
        <v>Office/Miscellaneous Reimbursement - Mike P.</v>
      </c>
      <c r="H95" s="26">
        <f t="shared" si="1"/>
        <v>45992</v>
      </c>
      <c r="I95" s="8" t="str">
        <f>IF($G95="","Uncategorized — Review",IFERROR(_xlfn.XLOOKUP($G95,Mapping!$A:$A,Mapping!$B:$B),"Uncategorized — Review"))</f>
        <v>Office/Miscellaneous Reimbursement - Mike P.</v>
      </c>
      <c r="J95" s="8" t="str">
        <f>IF($G95="","Uncategorized — Review",IFERROR(_xlfn.XLOOKUP($G95,Mapping!$A:$A,Mapping!$C:$C),"Uncategorized — Review"))</f>
        <v>Payroll &amp; Contractors</v>
      </c>
    </row>
    <row r="96" spans="1:10" x14ac:dyDescent="0.25">
      <c r="A96" s="8" t="str">
        <f>'2025_Chase9335_Activity_2026062'!A96</f>
        <v>DEBIT</v>
      </c>
      <c r="B96" s="24">
        <f>'2025_Chase9335_Activity_2026062'!B96</f>
        <v>45995</v>
      </c>
      <c r="C96" s="8" t="str">
        <f>'2025_Chase9335_Activity_2026062'!C96</f>
        <v>Online Transfer to CHK ...1168 transaction#: 27206012968 12/04</v>
      </c>
      <c r="D96" s="8">
        <f>'2025_Chase9335_Activity_2026062'!D96</f>
        <v>-20000</v>
      </c>
      <c r="E96" s="8" t="str">
        <f>'2025_Chase9335_Activity_2026062'!E96</f>
        <v>ACCT_XFER</v>
      </c>
      <c r="F96" s="8">
        <f>'2025_Chase9335_Activity_2026062'!F96</f>
        <v>361035.98</v>
      </c>
      <c r="G96" s="8" t="str">
        <f>'2025_Chase9335_Activity_2026062'!G96</f>
        <v>Transfer to DWG Capital Group</v>
      </c>
      <c r="H96" s="26">
        <f t="shared" si="1"/>
        <v>45992</v>
      </c>
      <c r="I96" s="8" t="str">
        <f>IF($G96="","Uncategorized — Review",IFERROR(_xlfn.XLOOKUP($G96,Mapping!$A:$A,Mapping!$B:$B),"Uncategorized — Review"))</f>
        <v>Transfer to DWG Capital Group</v>
      </c>
      <c r="J96" s="8" t="str">
        <f>IF($G96="","Uncategorized — Review",IFERROR(_xlfn.XLOOKUP($G96,Mapping!$A:$A,Mapping!$C:$C),"Uncategorized — Review"))</f>
        <v>Intercompany &amp; Savings Transfers</v>
      </c>
    </row>
    <row r="97" spans="1:10" x14ac:dyDescent="0.25">
      <c r="A97" s="8" t="str">
        <f>'2025_Chase9335_Activity_2026062'!A97</f>
        <v>DEBIT</v>
      </c>
      <c r="B97" s="24">
        <f>'2025_Chase9335_Activity_2026062'!B97</f>
        <v>45995</v>
      </c>
      <c r="C97" s="8" t="str">
        <f>'2025_Chase9335_Activity_2026062'!C97</f>
        <v>Online Transfer to CHK ...7753 transaction#: 27203501824 12/04</v>
      </c>
      <c r="D97" s="8">
        <f>'2025_Chase9335_Activity_2026062'!D97</f>
        <v>-1300</v>
      </c>
      <c r="E97" s="8" t="str">
        <f>'2025_Chase9335_Activity_2026062'!E97</f>
        <v>ACCT_XFER</v>
      </c>
      <c r="F97" s="8">
        <f>'2025_Chase9335_Activity_2026062'!F97</f>
        <v>381035.98</v>
      </c>
      <c r="G97" s="8" t="str">
        <f>'2025_Chase9335_Activity_2026062'!G97</f>
        <v>Transfer to DWG Capital Group_Costar</v>
      </c>
      <c r="H97" s="26">
        <f t="shared" si="1"/>
        <v>45992</v>
      </c>
      <c r="I97" s="8" t="str">
        <f>IF($G97="","Uncategorized — Review",IFERROR(_xlfn.XLOOKUP($G97,Mapping!$A:$A,Mapping!$B:$B),"Uncategorized — Review"))</f>
        <v>Transfer to DWG Capital Group_Costar</v>
      </c>
      <c r="J97" s="8" t="str">
        <f>IF($G97="","Uncategorized — Review",IFERROR(_xlfn.XLOOKUP($G97,Mapping!$A:$A,Mapping!$C:$C),"Uncategorized — Review"))</f>
        <v>Intercompany &amp; Savings Transfers</v>
      </c>
    </row>
    <row r="98" spans="1:10" x14ac:dyDescent="0.25">
      <c r="A98" s="8" t="str">
        <f>'2025_Chase9335_Activity_2026062'!A98</f>
        <v>DEBIT</v>
      </c>
      <c r="B98" s="24">
        <f>'2025_Chase9335_Activity_2026062'!B98</f>
        <v>45995</v>
      </c>
      <c r="C98" s="8" t="str">
        <f>'2025_Chase9335_Activity_2026062'!C98</f>
        <v>Basic Online Payroll Payment 11198257373 to #####5026</v>
      </c>
      <c r="D98" s="8">
        <f>'2025_Chase9335_Activity_2026062'!D98</f>
        <v>-6000</v>
      </c>
      <c r="E98" s="8" t="str">
        <f>'2025_Chase9335_Activity_2026062'!E98</f>
        <v>BASIC_PAYROLL</v>
      </c>
      <c r="F98" s="8">
        <f>'2025_Chase9335_Activity_2026062'!F98</f>
        <v>382335.98</v>
      </c>
      <c r="G98" s="8" t="str">
        <f>'2025_Chase9335_Activity_2026062'!G98</f>
        <v>Employee Bonus</v>
      </c>
      <c r="H98" s="26">
        <f t="shared" si="1"/>
        <v>45992</v>
      </c>
      <c r="I98" s="8" t="str">
        <f>IF($G98="","Uncategorized — Review",IFERROR(_xlfn.XLOOKUP($G98,Mapping!$A:$A,Mapping!$B:$B),"Uncategorized — Review"))</f>
        <v>Employee Bonus</v>
      </c>
      <c r="J98" s="8" t="str">
        <f>IF($G98="","Uncategorized — Review",IFERROR(_xlfn.XLOOKUP($G98,Mapping!$A:$A,Mapping!$C:$C),"Uncategorized — Review"))</f>
        <v>Payroll &amp; Contractors</v>
      </c>
    </row>
    <row r="99" spans="1:10" x14ac:dyDescent="0.25">
      <c r="A99" s="8" t="str">
        <f>'2025_Chase9335_Activity_2026062'!A99</f>
        <v>DEBIT</v>
      </c>
      <c r="B99" s="24">
        <f>'2025_Chase9335_Activity_2026062'!B99</f>
        <v>45995</v>
      </c>
      <c r="C99" s="8" t="str">
        <f>'2025_Chase9335_Activity_2026062'!C99</f>
        <v>ONLINE DOMESTIC WIRE TRANSFER VIA: WELLS FARGO NA/121000248 A/C: KEVIN WONG HAWTHORNE CA 90250 US REF: STRYTEN ENERGY/TIME/17:21 IMAD: 1204MMQFMP2M022780 TRN: 3379325338ES 12/04</v>
      </c>
      <c r="D99" s="8">
        <f>'2025_Chase9335_Activity_2026062'!D99</f>
        <v>-25000</v>
      </c>
      <c r="E99" s="8" t="str">
        <f>'2025_Chase9335_Activity_2026062'!E99</f>
        <v>WIRE_OUTGOING</v>
      </c>
      <c r="F99" s="8">
        <f>'2025_Chase9335_Activity_2026062'!F99</f>
        <v>388335.98</v>
      </c>
      <c r="G99" s="8" t="str">
        <f>'2025_Chase9335_Activity_2026062'!G99</f>
        <v>Wire Out — Stryten Commission Payments</v>
      </c>
      <c r="H99" s="26">
        <f t="shared" si="1"/>
        <v>45992</v>
      </c>
      <c r="I99" s="8" t="str">
        <f>IF($G99="","Uncategorized — Review",IFERROR(_xlfn.XLOOKUP($G99,Mapping!$A:$A,Mapping!$B:$B),"Uncategorized — Review"))</f>
        <v>Wire Out — Stryten Commission Payments</v>
      </c>
      <c r="J99" s="8" t="str">
        <f>IF($G99="","Uncategorized — Review",IFERROR(_xlfn.XLOOKUP($G99,Mapping!$A:$A,Mapping!$C:$C),"Uncategorized — Review"))</f>
        <v>Commissions — Outgoing</v>
      </c>
    </row>
    <row r="100" spans="1:10" x14ac:dyDescent="0.25">
      <c r="A100" s="8" t="str">
        <f>'2025_Chase9335_Activity_2026062'!A100</f>
        <v>DEBIT</v>
      </c>
      <c r="B100" s="24">
        <f>'2025_Chase9335_Activity_2026062'!B100</f>
        <v>45995</v>
      </c>
      <c r="C100" s="8" t="str">
        <f>'2025_Chase9335_Activity_2026062'!C100</f>
        <v>ONLINE DOMESTIC WIRE TRANSFER A/C: EHW REAL ESTATE, LLC PHOENIX AZ 85016-5811 US REF: STRYTEN ENERGY TRN: 3095195338ES 12/04</v>
      </c>
      <c r="D100" s="8">
        <f>'2025_Chase9335_Activity_2026062'!D100</f>
        <v>-17820</v>
      </c>
      <c r="E100" s="8" t="str">
        <f>'2025_Chase9335_Activity_2026062'!E100</f>
        <v>WIRE_OUTGOING</v>
      </c>
      <c r="F100" s="8">
        <f>'2025_Chase9335_Activity_2026062'!F100</f>
        <v>413335.98</v>
      </c>
      <c r="G100" s="8" t="str">
        <f>'2025_Chase9335_Activity_2026062'!G100</f>
        <v>Wire Out — Stryten Commission Payments</v>
      </c>
      <c r="H100" s="26">
        <f t="shared" si="1"/>
        <v>45992</v>
      </c>
      <c r="I100" s="8" t="str">
        <f>IF($G100="","Uncategorized — Review",IFERROR(_xlfn.XLOOKUP($G100,Mapping!$A:$A,Mapping!$B:$B),"Uncategorized — Review"))</f>
        <v>Wire Out — Stryten Commission Payments</v>
      </c>
      <c r="J100" s="8" t="str">
        <f>IF($G100="","Uncategorized — Review",IFERROR(_xlfn.XLOOKUP($G100,Mapping!$A:$A,Mapping!$C:$C),"Uncategorized — Review"))</f>
        <v>Commissions — Outgoing</v>
      </c>
    </row>
    <row r="101" spans="1:10" x14ac:dyDescent="0.25">
      <c r="A101" s="8" t="str">
        <f>'2025_Chase9335_Activity_2026062'!A101</f>
        <v>DEBIT</v>
      </c>
      <c r="B101" s="24">
        <f>'2025_Chase9335_Activity_2026062'!B101</f>
        <v>45995</v>
      </c>
      <c r="C101" s="8" t="str">
        <f>'2025_Chase9335_Activity_2026062'!C101</f>
        <v>SP 7 FOR ALL MANKIND 7FORALLMANKIN CA        12/04</v>
      </c>
      <c r="D101" s="8">
        <f>'2025_Chase9335_Activity_2026062'!D101</f>
        <v>-328.19</v>
      </c>
      <c r="E101" s="8" t="str">
        <f>'2025_Chase9335_Activity_2026062'!E101</f>
        <v>DEBIT_CARD</v>
      </c>
      <c r="F101" s="8">
        <f>'2025_Chase9335_Activity_2026062'!F101</f>
        <v>431155.98</v>
      </c>
      <c r="G101" s="8" t="str">
        <f>'2025_Chase9335_Activity_2026062'!G101</f>
        <v>Personal - Clothing</v>
      </c>
      <c r="H101" s="26">
        <f t="shared" si="1"/>
        <v>45992</v>
      </c>
      <c r="I101" s="8" t="str">
        <f>IF($G101="","Uncategorized — Review",IFERROR(_xlfn.XLOOKUP($G101,Mapping!$A:$A,Mapping!$B:$B),"Uncategorized — Review"))</f>
        <v>Personal - Clothing</v>
      </c>
      <c r="J101" s="8" t="str">
        <f>IF($G101="","Uncategorized — Review",IFERROR(_xlfn.XLOOKUP($G101,Mapping!$A:$A,Mapping!$C:$C),"Uncategorized — Review"))</f>
        <v>Personal — Owner</v>
      </c>
    </row>
    <row r="102" spans="1:10" x14ac:dyDescent="0.25">
      <c r="A102" s="8" t="str">
        <f>'2025_Chase9335_Activity_2026062'!A102</f>
        <v>DEBIT</v>
      </c>
      <c r="B102" s="24">
        <f>'2025_Chase9335_Activity_2026062'!B102</f>
        <v>45994</v>
      </c>
      <c r="C102" s="8" t="str">
        <f>'2025_Chase9335_Activity_2026062'!C102</f>
        <v>ONLINE DOMESTIC WIRE FEE</v>
      </c>
      <c r="D102" s="8">
        <f>'2025_Chase9335_Activity_2026062'!D102</f>
        <v>-25</v>
      </c>
      <c r="E102" s="8" t="str">
        <f>'2025_Chase9335_Activity_2026062'!E102</f>
        <v>FEE_TRANSACTION</v>
      </c>
      <c r="F102" s="8">
        <f>'2025_Chase9335_Activity_2026062'!F102</f>
        <v>431484.17</v>
      </c>
      <c r="G102" s="8" t="str">
        <f>'2025_Chase9335_Activity_2026062'!G102</f>
        <v>Bank Fees</v>
      </c>
      <c r="H102" s="26">
        <f t="shared" si="1"/>
        <v>45992</v>
      </c>
      <c r="I102" s="8" t="str">
        <f>IF($G102="","Uncategorized — Review",IFERROR(_xlfn.XLOOKUP($G102,Mapping!$A:$A,Mapping!$B:$B),"Uncategorized — Review"))</f>
        <v>Bank Fees</v>
      </c>
      <c r="J102" s="8" t="str">
        <f>IF($G102="","Uncategorized — Review",IFERROR(_xlfn.XLOOKUP($G102,Mapping!$A:$A,Mapping!$C:$C),"Uncategorized — Review"))</f>
        <v>DWG Operating</v>
      </c>
    </row>
    <row r="103" spans="1:10" x14ac:dyDescent="0.25">
      <c r="A103" s="8" t="str">
        <f>'2025_Chase9335_Activity_2026062'!A103</f>
        <v>DEBIT</v>
      </c>
      <c r="B103" s="24">
        <f>'2025_Chase9335_Activity_2026062'!B103</f>
        <v>45994</v>
      </c>
      <c r="C103" s="8" t="str">
        <f>'2025_Chase9335_Activity_2026062'!C103</f>
        <v>ONLINE DOMESTIC WIRE FEE</v>
      </c>
      <c r="D103" s="8">
        <f>'2025_Chase9335_Activity_2026062'!D103</f>
        <v>-25</v>
      </c>
      <c r="E103" s="8" t="str">
        <f>'2025_Chase9335_Activity_2026062'!E103</f>
        <v>FEE_TRANSACTION</v>
      </c>
      <c r="F103" s="8">
        <f>'2025_Chase9335_Activity_2026062'!F103</f>
        <v>431509.17</v>
      </c>
      <c r="G103" s="8" t="str">
        <f>'2025_Chase9335_Activity_2026062'!G103</f>
        <v>Bank Fees</v>
      </c>
      <c r="H103" s="26">
        <f t="shared" si="1"/>
        <v>45992</v>
      </c>
      <c r="I103" s="8" t="str">
        <f>IF($G103="","Uncategorized — Review",IFERROR(_xlfn.XLOOKUP($G103,Mapping!$A:$A,Mapping!$B:$B),"Uncategorized — Review"))</f>
        <v>Bank Fees</v>
      </c>
      <c r="J103" s="8" t="str">
        <f>IF($G103="","Uncategorized — Review",IFERROR(_xlfn.XLOOKUP($G103,Mapping!$A:$A,Mapping!$C:$C),"Uncategorized — Review"))</f>
        <v>DWG Operating</v>
      </c>
    </row>
    <row r="104" spans="1:10" x14ac:dyDescent="0.25">
      <c r="A104" s="8" t="str">
        <f>'2025_Chase9335_Activity_2026062'!A104</f>
        <v>DEBIT</v>
      </c>
      <c r="B104" s="24">
        <f>'2025_Chase9335_Activity_2026062'!B104</f>
        <v>45994</v>
      </c>
      <c r="C104" s="8" t="str">
        <f>'2025_Chase9335_Activity_2026062'!C104</f>
        <v>ORIG CO NAME:AMERICAN EXPRESS       ORIG ID:2005032111 DESC DATE:251203 CO ENTRY DESCR:ACH PMT   SEC:CCD    TRACE#:021000024931761 EED:251203   IND ID:M0306                        IND NAME:JOHN DUNNING                                                                                                 ER AM TRN: 3374931761TC</v>
      </c>
      <c r="D104" s="8">
        <f>'2025_Chase9335_Activity_2026062'!D104</f>
        <v>-10000</v>
      </c>
      <c r="E104" s="8" t="str">
        <f>'2025_Chase9335_Activity_2026062'!E104</f>
        <v>ACH_DEBIT</v>
      </c>
      <c r="F104" s="8">
        <f>'2025_Chase9335_Activity_2026062'!F104</f>
        <v>431534.17</v>
      </c>
      <c r="G104" s="8" t="str">
        <f>'2025_Chase9335_Activity_2026062'!G104</f>
        <v>American Express Credit Card PMT</v>
      </c>
      <c r="H104" s="26">
        <f t="shared" si="1"/>
        <v>45992</v>
      </c>
      <c r="I104" s="8" t="str">
        <f>IF($G104="","Uncategorized — Review",IFERROR(_xlfn.XLOOKUP($G104,Mapping!$A:$A,Mapping!$B:$B),"Uncategorized — Review"))</f>
        <v>American Express Credit Card PMT</v>
      </c>
      <c r="J104" s="8" t="str">
        <f>IF($G104="","Uncategorized — Review",IFERROR(_xlfn.XLOOKUP($G104,Mapping!$A:$A,Mapping!$C:$C),"Uncategorized — Review"))</f>
        <v>Credit Card &amp; Loan Payments</v>
      </c>
    </row>
    <row r="105" spans="1:10" x14ac:dyDescent="0.25">
      <c r="A105" s="8" t="str">
        <f>'2025_Chase9335_Activity_2026062'!A105</f>
        <v>DEBIT</v>
      </c>
      <c r="B105" s="24">
        <f>'2025_Chase9335_Activity_2026062'!B105</f>
        <v>45994</v>
      </c>
      <c r="C105" s="8" t="str">
        <f>'2025_Chase9335_Activity_2026062'!C105</f>
        <v>ORIG CO NAME:AMERICAN EXPRESS       ORIG ID:2005032111 DESC DATE:251203 CO ENTRY DESCR:ACH PMT   SEC:CCD    TRACE#:021000024931184 EED:251203   IND ID:M1498                        IND NAME:JOHN DUNNING                                                                                                 ER AM TRN: 3374931184TC</v>
      </c>
      <c r="D105" s="8">
        <f>'2025_Chase9335_Activity_2026062'!D105</f>
        <v>-10000</v>
      </c>
      <c r="E105" s="8" t="str">
        <f>'2025_Chase9335_Activity_2026062'!E105</f>
        <v>ACH_DEBIT</v>
      </c>
      <c r="F105" s="8">
        <f>'2025_Chase9335_Activity_2026062'!F105</f>
        <v>441534.17</v>
      </c>
      <c r="G105" s="8" t="str">
        <f>'2025_Chase9335_Activity_2026062'!G105</f>
        <v>American Express Credit Card PMT</v>
      </c>
      <c r="H105" s="26">
        <f t="shared" si="1"/>
        <v>45992</v>
      </c>
      <c r="I105" s="8" t="str">
        <f>IF($G105="","Uncategorized — Review",IFERROR(_xlfn.XLOOKUP($G105,Mapping!$A:$A,Mapping!$B:$B),"Uncategorized — Review"))</f>
        <v>American Express Credit Card PMT</v>
      </c>
      <c r="J105" s="8" t="str">
        <f>IF($G105="","Uncategorized — Review",IFERROR(_xlfn.XLOOKUP($G105,Mapping!$A:$A,Mapping!$C:$C),"Uncategorized — Review"))</f>
        <v>Credit Card &amp; Loan Payments</v>
      </c>
    </row>
    <row r="106" spans="1:10" x14ac:dyDescent="0.25">
      <c r="A106" s="8" t="str">
        <f>'2025_Chase9335_Activity_2026062'!A106</f>
        <v>DEBIT</v>
      </c>
      <c r="B106" s="24">
        <f>'2025_Chase9335_Activity_2026062'!B106</f>
        <v>45994</v>
      </c>
      <c r="C106" s="8" t="str">
        <f>'2025_Chase9335_Activity_2026062'!C106</f>
        <v>Online RealTime payroll payment  11198085465 Payment Id REFERENCE#: 8198085465RX  to  6812</v>
      </c>
      <c r="D106" s="8">
        <f>'2025_Chase9335_Activity_2026062'!D106</f>
        <v>-6000</v>
      </c>
      <c r="E106" s="8" t="str">
        <f>'2025_Chase9335_Activity_2026062'!E106</f>
        <v>BASIC_PAYROLL</v>
      </c>
      <c r="F106" s="8">
        <f>'2025_Chase9335_Activity_2026062'!F106</f>
        <v>451534.17</v>
      </c>
      <c r="G106" s="8" t="str">
        <f>'2025_Chase9335_Activity_2026062'!G106</f>
        <v>Employee Bonus</v>
      </c>
      <c r="H106" s="26">
        <f t="shared" si="1"/>
        <v>45992</v>
      </c>
      <c r="I106" s="8" t="str">
        <f>IF($G106="","Uncategorized — Review",IFERROR(_xlfn.XLOOKUP($G106,Mapping!$A:$A,Mapping!$B:$B),"Uncategorized — Review"))</f>
        <v>Employee Bonus</v>
      </c>
      <c r="J106" s="8" t="str">
        <f>IF($G106="","Uncategorized — Review",IFERROR(_xlfn.XLOOKUP($G106,Mapping!$A:$A,Mapping!$C:$C),"Uncategorized — Review"))</f>
        <v>Payroll &amp; Contractors</v>
      </c>
    </row>
    <row r="107" spans="1:10" x14ac:dyDescent="0.25">
      <c r="A107" s="8" t="str">
        <f>'2025_Chase9335_Activity_2026062'!A107</f>
        <v>DEBIT</v>
      </c>
      <c r="B107" s="24">
        <f>'2025_Chase9335_Activity_2026062'!B107</f>
        <v>45994</v>
      </c>
      <c r="C107" s="8" t="str">
        <f>'2025_Chase9335_Activity_2026062'!C107</f>
        <v>ONLINE DOMESTIC WIRE TRANSFER A/C: BRAD J BEACH OR SHELBY P BEACH KAYSVILLE UT 84037-6899 US REF: STRYTEN ENERGY/ACC/212137688 BRAD BEACH 502 W PKWY DR KAYSVILLE UT 840 37 US TRN: 3561145337ES 12/03</v>
      </c>
      <c r="D107" s="8">
        <f>'2025_Chase9335_Activity_2026062'!D107</f>
        <v>-5000</v>
      </c>
      <c r="E107" s="8" t="str">
        <f>'2025_Chase9335_Activity_2026062'!E107</f>
        <v>WIRE_OUTGOING</v>
      </c>
      <c r="F107" s="8">
        <f>'2025_Chase9335_Activity_2026062'!F107</f>
        <v>457534.17</v>
      </c>
      <c r="G107" s="8" t="str">
        <f>'2025_Chase9335_Activity_2026062'!G107</f>
        <v>Wire Out — Stryten Commission Payments</v>
      </c>
      <c r="H107" s="26">
        <f t="shared" si="1"/>
        <v>45992</v>
      </c>
      <c r="I107" s="8" t="str">
        <f>IF($G107="","Uncategorized — Review",IFERROR(_xlfn.XLOOKUP($G107,Mapping!$A:$A,Mapping!$B:$B),"Uncategorized — Review"))</f>
        <v>Wire Out — Stryten Commission Payments</v>
      </c>
      <c r="J107" s="8" t="str">
        <f>IF($G107="","Uncategorized — Review",IFERROR(_xlfn.XLOOKUP($G107,Mapping!$A:$A,Mapping!$C:$C),"Uncategorized — Review"))</f>
        <v>Commissions — Outgoing</v>
      </c>
    </row>
    <row r="108" spans="1:10" x14ac:dyDescent="0.25">
      <c r="A108" s="8" t="str">
        <f>'2025_Chase9335_Activity_2026062'!A108</f>
        <v>DEBIT</v>
      </c>
      <c r="B108" s="24">
        <f>'2025_Chase9335_Activity_2026062'!B108</f>
        <v>45994</v>
      </c>
      <c r="C108" s="8" t="str">
        <f>'2025_Chase9335_Activity_2026062'!C108</f>
        <v>ONLINE DOMESTIC WIRE TRANSFER A/C: JOSEPH C WHITNER MIAMI FL 33133-3184 US REF:/ACC/309234364 JC WHITNER 2369 OVERBROOK ST MIAMI FL 33133 US TRN: 3483875337ES 12/03</v>
      </c>
      <c r="D108" s="8">
        <f>'2025_Chase9335_Activity_2026062'!D108</f>
        <v>-10000</v>
      </c>
      <c r="E108" s="8" t="str">
        <f>'2025_Chase9335_Activity_2026062'!E108</f>
        <v>WIRE_OUTGOING</v>
      </c>
      <c r="F108" s="8">
        <f>'2025_Chase9335_Activity_2026062'!F108</f>
        <v>462534.17</v>
      </c>
      <c r="G108" s="8" t="str">
        <f>'2025_Chase9335_Activity_2026062'!G108</f>
        <v>Outgoing wire to JC Whitner</v>
      </c>
      <c r="H108" s="26">
        <f t="shared" si="1"/>
        <v>45992</v>
      </c>
      <c r="I108" s="8" t="str">
        <f>IF($G108="","Uncategorized — Review",IFERROR(_xlfn.XLOOKUP($G108,Mapping!$A:$A,Mapping!$B:$B),"Uncategorized — Review"))</f>
        <v>Outgoing wire to JC Whitner</v>
      </c>
      <c r="J108" s="8" t="str">
        <f>IF($G108="","Uncategorized — Review",IFERROR(_xlfn.XLOOKUP($G108,Mapping!$A:$A,Mapping!$C:$C),"Uncategorized — Review"))</f>
        <v>Wire Transfers — Outgoing</v>
      </c>
    </row>
    <row r="109" spans="1:10" x14ac:dyDescent="0.25">
      <c r="A109" s="8" t="str">
        <f>'2025_Chase9335_Activity_2026062'!A109</f>
        <v>DEBIT</v>
      </c>
      <c r="B109" s="24">
        <f>'2025_Chase9335_Activity_2026062'!B109</f>
        <v>45994</v>
      </c>
      <c r="C109" s="8" t="str">
        <f>'2025_Chase9335_Activity_2026062'!C109</f>
        <v>Online Transfer to CHK ...3922 transaction#: 27190267467 12/03</v>
      </c>
      <c r="D109" s="8">
        <f>'2025_Chase9335_Activity_2026062'!D109</f>
        <v>-500</v>
      </c>
      <c r="E109" s="8" t="str">
        <f>'2025_Chase9335_Activity_2026062'!E109</f>
        <v>ACCT_XFER</v>
      </c>
      <c r="F109" s="8">
        <f>'2025_Chase9335_Activity_2026062'!F109</f>
        <v>472534.17</v>
      </c>
      <c r="G109" s="8" t="str">
        <f>'2025_Chase9335_Activity_2026062'!G109</f>
        <v>Transfer to DWG Capital Partners</v>
      </c>
      <c r="H109" s="26">
        <f t="shared" si="1"/>
        <v>45992</v>
      </c>
      <c r="I109" s="8" t="str">
        <f>IF($G109="","Uncategorized — Review",IFERROR(_xlfn.XLOOKUP($G109,Mapping!$A:$A,Mapping!$B:$B),"Uncategorized — Review"))</f>
        <v>Transfer to DWG Capital Partners</v>
      </c>
      <c r="J109" s="8" t="str">
        <f>IF($G109="","Uncategorized — Review",IFERROR(_xlfn.XLOOKUP($G109,Mapping!$A:$A,Mapping!$C:$C),"Uncategorized — Review"))</f>
        <v>Intercompany &amp; Savings Transfers</v>
      </c>
    </row>
    <row r="110" spans="1:10" x14ac:dyDescent="0.25">
      <c r="A110" s="8" t="str">
        <f>'2025_Chase9335_Activity_2026062'!A110</f>
        <v>DEBIT</v>
      </c>
      <c r="B110" s="24">
        <f>'2025_Chase9335_Activity_2026062'!B110</f>
        <v>45994</v>
      </c>
      <c r="C110" s="8" t="str">
        <f>'2025_Chase9335_Activity_2026062'!C110</f>
        <v>APPLE.COM/BILL 866-712-7753 CA               12/03</v>
      </c>
      <c r="D110" s="8">
        <f>'2025_Chase9335_Activity_2026062'!D110</f>
        <v>-20.56</v>
      </c>
      <c r="E110" s="8" t="str">
        <f>'2025_Chase9335_Activity_2026062'!E110</f>
        <v>DEBIT_CARD</v>
      </c>
      <c r="F110" s="8">
        <f>'2025_Chase9335_Activity_2026062'!F110</f>
        <v>473034.17</v>
      </c>
      <c r="G110" s="8" t="str">
        <f>'2025_Chase9335_Activity_2026062'!G110</f>
        <v>Personal - Subscriptions</v>
      </c>
      <c r="H110" s="26">
        <f t="shared" si="1"/>
        <v>45992</v>
      </c>
      <c r="I110" s="8" t="str">
        <f>IF($G110="","Uncategorized — Review",IFERROR(_xlfn.XLOOKUP($G110,Mapping!$A:$A,Mapping!$B:$B),"Uncategorized — Review"))</f>
        <v>Personal - Subscriptions</v>
      </c>
      <c r="J110" s="8" t="str">
        <f>IF($G110="","Uncategorized — Review",IFERROR(_xlfn.XLOOKUP($G110,Mapping!$A:$A,Mapping!$C:$C),"Uncategorized — Review"))</f>
        <v>Personal — Owner</v>
      </c>
    </row>
    <row r="111" spans="1:10" x14ac:dyDescent="0.25">
      <c r="A111" s="8" t="str">
        <f>'2025_Chase9335_Activity_2026062'!A111</f>
        <v>DEBIT</v>
      </c>
      <c r="B111" s="24">
        <f>'2025_Chase9335_Activity_2026062'!B111</f>
        <v>45994</v>
      </c>
      <c r="C111" s="8" t="str">
        <f>'2025_Chase9335_Activity_2026062'!C111</f>
        <v>Amazon.com*BB83K0UV1 Amzn.com/bill WA        12/02</v>
      </c>
      <c r="D111" s="8">
        <f>'2025_Chase9335_Activity_2026062'!D111</f>
        <v>-8.69</v>
      </c>
      <c r="E111" s="8" t="str">
        <f>'2025_Chase9335_Activity_2026062'!E111</f>
        <v>DEBIT_CARD</v>
      </c>
      <c r="F111" s="8">
        <f>'2025_Chase9335_Activity_2026062'!F111</f>
        <v>473054.73</v>
      </c>
      <c r="G111" s="8" t="str">
        <f>'2025_Chase9335_Activity_2026062'!G111</f>
        <v>Amazon</v>
      </c>
      <c r="H111" s="26">
        <f t="shared" si="1"/>
        <v>45992</v>
      </c>
      <c r="I111" s="8" t="str">
        <f>IF($G111="","Uncategorized — Review",IFERROR(_xlfn.XLOOKUP($G111,Mapping!$A:$A,Mapping!$B:$B),"Uncategorized — Review"))</f>
        <v>Amazon</v>
      </c>
      <c r="J111" s="8" t="str">
        <f>IF($G111="","Uncategorized — Review",IFERROR(_xlfn.XLOOKUP($G111,Mapping!$A:$A,Mapping!$C:$C),"Uncategorized — Review"))</f>
        <v>Personal — Owner</v>
      </c>
    </row>
    <row r="112" spans="1:10" x14ac:dyDescent="0.25">
      <c r="A112" s="8" t="str">
        <f>'2025_Chase9335_Activity_2026062'!A112</f>
        <v>DEBIT</v>
      </c>
      <c r="B112" s="24">
        <f>'2025_Chase9335_Activity_2026062'!B112</f>
        <v>45993</v>
      </c>
      <c r="C112" s="8" t="str">
        <f>'2025_Chase9335_Activity_2026062'!C112</f>
        <v>DOMESTIC INCOMING WIRE FEE</v>
      </c>
      <c r="D112" s="8">
        <f>'2025_Chase9335_Activity_2026062'!D112</f>
        <v>-15</v>
      </c>
      <c r="E112" s="8" t="str">
        <f>'2025_Chase9335_Activity_2026062'!E112</f>
        <v>FEE_TRANSACTION</v>
      </c>
      <c r="F112" s="8">
        <f>'2025_Chase9335_Activity_2026062'!F112</f>
        <v>473063.42</v>
      </c>
      <c r="G112" s="8" t="str">
        <f>'2025_Chase9335_Activity_2026062'!G112</f>
        <v>Bank Fees</v>
      </c>
      <c r="H112" s="26">
        <f t="shared" si="1"/>
        <v>45992</v>
      </c>
      <c r="I112" s="8" t="str">
        <f>IF($G112="","Uncategorized — Review",IFERROR(_xlfn.XLOOKUP($G112,Mapping!$A:$A,Mapping!$B:$B),"Uncategorized — Review"))</f>
        <v>Bank Fees</v>
      </c>
      <c r="J112" s="8" t="str">
        <f>IF($G112="","Uncategorized — Review",IFERROR(_xlfn.XLOOKUP($G112,Mapping!$A:$A,Mapping!$C:$C),"Uncategorized — Review"))</f>
        <v>DWG Operating</v>
      </c>
    </row>
    <row r="113" spans="1:10" x14ac:dyDescent="0.25">
      <c r="A113" s="8" t="str">
        <f>'2025_Chase9335_Activity_2026062'!A113</f>
        <v>DEBIT</v>
      </c>
      <c r="B113" s="24">
        <f>'2025_Chase9335_Activity_2026062'!B113</f>
        <v>45993</v>
      </c>
      <c r="C113" s="8" t="str">
        <f>'2025_Chase9335_Activity_2026062'!C113</f>
        <v>DOMESTIC INCOMING WIRE FEE</v>
      </c>
      <c r="D113" s="8">
        <f>'2025_Chase9335_Activity_2026062'!D113</f>
        <v>-15</v>
      </c>
      <c r="E113" s="8" t="str">
        <f>'2025_Chase9335_Activity_2026062'!E113</f>
        <v>FEE_TRANSACTION</v>
      </c>
      <c r="F113" s="8">
        <f>'2025_Chase9335_Activity_2026062'!F113</f>
        <v>473078.42</v>
      </c>
      <c r="G113" s="8" t="str">
        <f>'2025_Chase9335_Activity_2026062'!G113</f>
        <v>Bank Fees</v>
      </c>
      <c r="H113" s="26">
        <f t="shared" si="1"/>
        <v>45992</v>
      </c>
      <c r="I113" s="8" t="str">
        <f>IF($G113="","Uncategorized — Review",IFERROR(_xlfn.XLOOKUP($G113,Mapping!$A:$A,Mapping!$B:$B),"Uncategorized — Review"))</f>
        <v>Bank Fees</v>
      </c>
      <c r="J113" s="8" t="str">
        <f>IF($G113="","Uncategorized — Review",IFERROR(_xlfn.XLOOKUP($G113,Mapping!$A:$A,Mapping!$C:$C),"Uncategorized — Review"))</f>
        <v>DWG Operating</v>
      </c>
    </row>
    <row r="114" spans="1:10" x14ac:dyDescent="0.25">
      <c r="A114" s="8" t="str">
        <f>'2025_Chase9335_Activity_2026062'!A114</f>
        <v>DEBIT</v>
      </c>
      <c r="B114" s="24">
        <f>'2025_Chase9335_Activity_2026062'!B114</f>
        <v>45993</v>
      </c>
      <c r="C114" s="8" t="str">
        <f>'2025_Chase9335_Activity_2026062'!C114</f>
        <v>ONLINE DOMESTIC WIRE FEE</v>
      </c>
      <c r="D114" s="8">
        <f>'2025_Chase9335_Activity_2026062'!D114</f>
        <v>-25</v>
      </c>
      <c r="E114" s="8" t="str">
        <f>'2025_Chase9335_Activity_2026062'!E114</f>
        <v>FEE_TRANSACTION</v>
      </c>
      <c r="F114" s="8">
        <f>'2025_Chase9335_Activity_2026062'!F114</f>
        <v>473093.42</v>
      </c>
      <c r="G114" s="8" t="str">
        <f>'2025_Chase9335_Activity_2026062'!G114</f>
        <v>Bank Fees</v>
      </c>
      <c r="H114" s="26">
        <f t="shared" si="1"/>
        <v>45992</v>
      </c>
      <c r="I114" s="8" t="str">
        <f>IF($G114="","Uncategorized — Review",IFERROR(_xlfn.XLOOKUP($G114,Mapping!$A:$A,Mapping!$B:$B),"Uncategorized — Review"))</f>
        <v>Bank Fees</v>
      </c>
      <c r="J114" s="8" t="str">
        <f>IF($G114="","Uncategorized — Review",IFERROR(_xlfn.XLOOKUP($G114,Mapping!$A:$A,Mapping!$C:$C),"Uncategorized — Review"))</f>
        <v>DWG Operating</v>
      </c>
    </row>
    <row r="115" spans="1:10" x14ac:dyDescent="0.25">
      <c r="A115" s="8" t="str">
        <f>'2025_Chase9335_Activity_2026062'!A115</f>
        <v>DEBIT</v>
      </c>
      <c r="B115" s="24">
        <f>'2025_Chase9335_Activity_2026062'!B115</f>
        <v>45993</v>
      </c>
      <c r="C115" s="8" t="str">
        <f>'2025_Chase9335_Activity_2026062'!C115</f>
        <v>ONLINE DOMESTIC WIRE FEE</v>
      </c>
      <c r="D115" s="8">
        <f>'2025_Chase9335_Activity_2026062'!D115</f>
        <v>-25</v>
      </c>
      <c r="E115" s="8" t="str">
        <f>'2025_Chase9335_Activity_2026062'!E115</f>
        <v>FEE_TRANSACTION</v>
      </c>
      <c r="F115" s="8">
        <f>'2025_Chase9335_Activity_2026062'!F115</f>
        <v>473118.42</v>
      </c>
      <c r="G115" s="8" t="str">
        <f>'2025_Chase9335_Activity_2026062'!G115</f>
        <v>Bank Fees</v>
      </c>
      <c r="H115" s="26">
        <f t="shared" si="1"/>
        <v>45992</v>
      </c>
      <c r="I115" s="8" t="str">
        <f>IF($G115="","Uncategorized — Review",IFERROR(_xlfn.XLOOKUP($G115,Mapping!$A:$A,Mapping!$B:$B),"Uncategorized — Review"))</f>
        <v>Bank Fees</v>
      </c>
      <c r="J115" s="8" t="str">
        <f>IF($G115="","Uncategorized — Review",IFERROR(_xlfn.XLOOKUP($G115,Mapping!$A:$A,Mapping!$C:$C),"Uncategorized — Review"))</f>
        <v>DWG Operating</v>
      </c>
    </row>
    <row r="116" spans="1:10" x14ac:dyDescent="0.25">
      <c r="A116" s="8" t="str">
        <f>'2025_Chase9335_Activity_2026062'!A116</f>
        <v>DEBIT</v>
      </c>
      <c r="B116" s="24">
        <f>'2025_Chase9335_Activity_2026062'!B116</f>
        <v>45993</v>
      </c>
      <c r="C116" s="8" t="str">
        <f>'2025_Chase9335_Activity_2026062'!C116</f>
        <v>Online Transfer to CHK ...3922 transaction#: 27183519742 12/02</v>
      </c>
      <c r="D116" s="8">
        <f>'2025_Chase9335_Activity_2026062'!D116</f>
        <v>-500</v>
      </c>
      <c r="E116" s="8" t="str">
        <f>'2025_Chase9335_Activity_2026062'!E116</f>
        <v>ACCT_XFER</v>
      </c>
      <c r="F116" s="8">
        <f>'2025_Chase9335_Activity_2026062'!F116</f>
        <v>473143.42</v>
      </c>
      <c r="G116" s="8" t="str">
        <f>'2025_Chase9335_Activity_2026062'!G116</f>
        <v>Transfer to DWG Capital Partners</v>
      </c>
      <c r="H116" s="26">
        <f t="shared" si="1"/>
        <v>45992</v>
      </c>
      <c r="I116" s="8" t="str">
        <f>IF($G116="","Uncategorized — Review",IFERROR(_xlfn.XLOOKUP($G116,Mapping!$A:$A,Mapping!$B:$B),"Uncategorized — Review"))</f>
        <v>Transfer to DWG Capital Partners</v>
      </c>
      <c r="J116" s="8" t="str">
        <f>IF($G116="","Uncategorized — Review",IFERROR(_xlfn.XLOOKUP($G116,Mapping!$A:$A,Mapping!$C:$C),"Uncategorized — Review"))</f>
        <v>Intercompany &amp; Savings Transfers</v>
      </c>
    </row>
    <row r="117" spans="1:10" x14ac:dyDescent="0.25">
      <c r="A117" s="8" t="str">
        <f>'2025_Chase9335_Activity_2026062'!A117</f>
        <v>DEBIT</v>
      </c>
      <c r="B117" s="24">
        <f>'2025_Chase9335_Activity_2026062'!B117</f>
        <v>45993</v>
      </c>
      <c r="C117" s="8" t="str">
        <f>'2025_Chase9335_Activity_2026062'!C117</f>
        <v>Basic Online Payroll Payment 11197932937 to ######5386</v>
      </c>
      <c r="D117" s="8">
        <f>'2025_Chase9335_Activity_2026062'!D117</f>
        <v>-5000</v>
      </c>
      <c r="E117" s="8" t="str">
        <f>'2025_Chase9335_Activity_2026062'!E117</f>
        <v>BASIC_PAYROLL</v>
      </c>
      <c r="F117" s="8">
        <f>'2025_Chase9335_Activity_2026062'!F117</f>
        <v>473643.42</v>
      </c>
      <c r="G117" s="8" t="str">
        <f>'2025_Chase9335_Activity_2026062'!G117</f>
        <v>Ben Mandel - Payroll</v>
      </c>
      <c r="H117" s="26">
        <f t="shared" si="1"/>
        <v>45992</v>
      </c>
      <c r="I117" s="8" t="str">
        <f>IF($G117="","Uncategorized — Review",IFERROR(_xlfn.XLOOKUP($G117,Mapping!$A:$A,Mapping!$B:$B),"Uncategorized — Review"))</f>
        <v>Ben Mandel - Payroll</v>
      </c>
      <c r="J117" s="8" t="str">
        <f>IF($G117="","Uncategorized — Review",IFERROR(_xlfn.XLOOKUP($G117,Mapping!$A:$A,Mapping!$C:$C),"Uncategorized — Review"))</f>
        <v>Payroll &amp; Contractors</v>
      </c>
    </row>
    <row r="118" spans="1:10" x14ac:dyDescent="0.25">
      <c r="A118" s="8" t="str">
        <f>'2025_Chase9335_Activity_2026062'!A118</f>
        <v>DEBIT</v>
      </c>
      <c r="B118" s="24">
        <f>'2025_Chase9335_Activity_2026062'!B118</f>
        <v>45993</v>
      </c>
      <c r="C118" s="8" t="str">
        <f>'2025_Chase9335_Activity_2026062'!C118</f>
        <v>ONLINE DOMESTIC WIRE TRANSFER A/C: HUGH GEHRKE LOS ANGELES CA 90025 US TRN: 3870135336ES 12/02</v>
      </c>
      <c r="D118" s="8">
        <f>'2025_Chase9335_Activity_2026062'!D118</f>
        <v>-10000</v>
      </c>
      <c r="E118" s="8" t="str">
        <f>'2025_Chase9335_Activity_2026062'!E118</f>
        <v>WIRE_OUTGOING</v>
      </c>
      <c r="F118" s="8">
        <f>'2025_Chase9335_Activity_2026062'!F118</f>
        <v>478643.42</v>
      </c>
      <c r="G118" s="8" t="str">
        <f>'2025_Chase9335_Activity_2026062'!G118</f>
        <v>Employee Bonus</v>
      </c>
      <c r="H118" s="26">
        <f t="shared" si="1"/>
        <v>45992</v>
      </c>
      <c r="I118" s="8" t="str">
        <f>IF($G118="","Uncategorized — Review",IFERROR(_xlfn.XLOOKUP($G118,Mapping!$A:$A,Mapping!$B:$B),"Uncategorized — Review"))</f>
        <v>Employee Bonus</v>
      </c>
      <c r="J118" s="8" t="str">
        <f>IF($G118="","Uncategorized — Review",IFERROR(_xlfn.XLOOKUP($G118,Mapping!$A:$A,Mapping!$C:$C),"Uncategorized — Review"))</f>
        <v>Payroll &amp; Contractors</v>
      </c>
    </row>
    <row r="119" spans="1:10" x14ac:dyDescent="0.25">
      <c r="A119" s="8" t="str">
        <f>'2025_Chase9335_Activity_2026062'!A119</f>
        <v>DEBIT</v>
      </c>
      <c r="B119" s="24">
        <f>'2025_Chase9335_Activity_2026062'!B119</f>
        <v>45993</v>
      </c>
      <c r="C119" s="8" t="str">
        <f>'2025_Chase9335_Activity_2026062'!C119</f>
        <v>POWERHOUSE PILATES WWW.POWERHOUS CA          12/02</v>
      </c>
      <c r="D119" s="8">
        <f>'2025_Chase9335_Activity_2026062'!D119</f>
        <v>-220</v>
      </c>
      <c r="E119" s="8" t="str">
        <f>'2025_Chase9335_Activity_2026062'!E119</f>
        <v>DEBIT_CARD</v>
      </c>
      <c r="F119" s="8">
        <f>'2025_Chase9335_Activity_2026062'!F119</f>
        <v>488643.42</v>
      </c>
      <c r="G119" s="8" t="str">
        <f>'2025_Chase9335_Activity_2026062'!G119</f>
        <v>Personal - Health (incl. Ins.)</v>
      </c>
      <c r="H119" s="26">
        <f t="shared" si="1"/>
        <v>45992</v>
      </c>
      <c r="I119" s="8" t="str">
        <f>IF($G119="","Uncategorized — Review",IFERROR(_xlfn.XLOOKUP($G119,Mapping!$A:$A,Mapping!$B:$B),"Uncategorized — Review"))</f>
        <v>Personal - Health (incl. Ins.)</v>
      </c>
      <c r="J119" s="8" t="str">
        <f>IF($G119="","Uncategorized — Review",IFERROR(_xlfn.XLOOKUP($G119,Mapping!$A:$A,Mapping!$C:$C),"Uncategorized — Review"))</f>
        <v>Personal — Owner</v>
      </c>
    </row>
    <row r="120" spans="1:10" x14ac:dyDescent="0.25">
      <c r="A120" s="8" t="str">
        <f>'2025_Chase9335_Activity_2026062'!A120</f>
        <v>DEBIT</v>
      </c>
      <c r="B120" s="24">
        <f>'2025_Chase9335_Activity_2026062'!B120</f>
        <v>45993</v>
      </c>
      <c r="C120" s="8" t="str">
        <f>'2025_Chase9335_Activity_2026062'!C120</f>
        <v>Zelle payment to Michael Paytonjian JPM99bwue3di</v>
      </c>
      <c r="D120" s="8">
        <f>'2025_Chase9335_Activity_2026062'!D120</f>
        <v>-25</v>
      </c>
      <c r="E120" s="8" t="str">
        <f>'2025_Chase9335_Activity_2026062'!E120</f>
        <v>CHASE_TO_PARTNERFI</v>
      </c>
      <c r="F120" s="8">
        <f>'2025_Chase9335_Activity_2026062'!F120</f>
        <v>488863.42</v>
      </c>
      <c r="G120" s="8" t="str">
        <f>'2025_Chase9335_Activity_2026062'!G120</f>
        <v>Office/Miscellaneous Reimbursement - Mike P.</v>
      </c>
      <c r="H120" s="26">
        <f t="shared" si="1"/>
        <v>45992</v>
      </c>
      <c r="I120" s="8" t="str">
        <f>IF($G120="","Uncategorized — Review",IFERROR(_xlfn.XLOOKUP($G120,Mapping!$A:$A,Mapping!$B:$B),"Uncategorized — Review"))</f>
        <v>Office/Miscellaneous Reimbursement - Mike P.</v>
      </c>
      <c r="J120" s="8" t="str">
        <f>IF($G120="","Uncategorized — Review",IFERROR(_xlfn.XLOOKUP($G120,Mapping!$A:$A,Mapping!$C:$C),"Uncategorized — Review"))</f>
        <v>Payroll &amp; Contractors</v>
      </c>
    </row>
    <row r="121" spans="1:10" x14ac:dyDescent="0.25">
      <c r="A121" s="8" t="str">
        <f>'2025_Chase9335_Activity_2026062'!A121</f>
        <v>DEBIT</v>
      </c>
      <c r="B121" s="24">
        <f>'2025_Chase9335_Activity_2026062'!B121</f>
        <v>45993</v>
      </c>
      <c r="C121" s="8" t="str">
        <f>'2025_Chase9335_Activity_2026062'!C121</f>
        <v>ONLINE DOMESTIC WIRE TRANSFER VIA: BK AMER NYC/026009593 A/C: MICHAEL PAYTONJIAN HASLET TX 76052 US IMAD: 1202MMQFMP2K024346 TRN: 3524595336ES 12/02</v>
      </c>
      <c r="D121" s="8">
        <f>'2025_Chase9335_Activity_2026062'!D121</f>
        <v>-6000</v>
      </c>
      <c r="E121" s="8" t="str">
        <f>'2025_Chase9335_Activity_2026062'!E121</f>
        <v>WIRE_OUTGOING</v>
      </c>
      <c r="F121" s="8">
        <f>'2025_Chase9335_Activity_2026062'!F121</f>
        <v>488888.42</v>
      </c>
      <c r="G121" s="8" t="str">
        <f>'2025_Chase9335_Activity_2026062'!G121</f>
        <v>Employee Bonus</v>
      </c>
      <c r="H121" s="26">
        <f t="shared" si="1"/>
        <v>45992</v>
      </c>
      <c r="I121" s="8" t="str">
        <f>IF($G121="","Uncategorized — Review",IFERROR(_xlfn.XLOOKUP($G121,Mapping!$A:$A,Mapping!$B:$B),"Uncategorized — Review"))</f>
        <v>Employee Bonus</v>
      </c>
      <c r="J121" s="8" t="str">
        <f>IF($G121="","Uncategorized — Review",IFERROR(_xlfn.XLOOKUP($G121,Mapping!$A:$A,Mapping!$C:$C),"Uncategorized — Review"))</f>
        <v>Payroll &amp; Contractors</v>
      </c>
    </row>
    <row r="122" spans="1:10" x14ac:dyDescent="0.25">
      <c r="A122" s="8" t="str">
        <f>'2025_Chase9335_Activity_2026062'!A122</f>
        <v>DEBIT</v>
      </c>
      <c r="B122" s="24">
        <f>'2025_Chase9335_Activity_2026062'!B122</f>
        <v>45993</v>
      </c>
      <c r="C122" s="8" t="str">
        <f>'2025_Chase9335_Activity_2026062'!C122</f>
        <v>AMAZON MKTPL*BB3C15K Amzn.com/bill WA        12/02</v>
      </c>
      <c r="D122" s="8">
        <f>'2025_Chase9335_Activity_2026062'!D122</f>
        <v>-10.39</v>
      </c>
      <c r="E122" s="8" t="str">
        <f>'2025_Chase9335_Activity_2026062'!E122</f>
        <v>DEBIT_CARD</v>
      </c>
      <c r="F122" s="8">
        <f>'2025_Chase9335_Activity_2026062'!F122</f>
        <v>494888.42</v>
      </c>
      <c r="G122" s="8" t="str">
        <f>'2025_Chase9335_Activity_2026062'!G122</f>
        <v>Amazon</v>
      </c>
      <c r="H122" s="26">
        <f t="shared" si="1"/>
        <v>45992</v>
      </c>
      <c r="I122" s="8" t="str">
        <f>IF($G122="","Uncategorized — Review",IFERROR(_xlfn.XLOOKUP($G122,Mapping!$A:$A,Mapping!$B:$B),"Uncategorized — Review"))</f>
        <v>Amazon</v>
      </c>
      <c r="J122" s="8" t="str">
        <f>IF($G122="","Uncategorized — Review",IFERROR(_xlfn.XLOOKUP($G122,Mapping!$A:$A,Mapping!$C:$C),"Uncategorized — Review"))</f>
        <v>Personal — Owner</v>
      </c>
    </row>
    <row r="123" spans="1:10" x14ac:dyDescent="0.25">
      <c r="A123" s="8" t="str">
        <f>'2025_Chase9335_Activity_2026062'!A123</f>
        <v>DEBIT</v>
      </c>
      <c r="B123" s="24">
        <f>'2025_Chase9335_Activity_2026062'!B123</f>
        <v>45993</v>
      </c>
      <c r="C123" s="8" t="str">
        <f>'2025_Chase9335_Activity_2026062'!C123</f>
        <v>AMAZON MKTPL*BB5VX4Y Amzn.com/bill WA        12/02</v>
      </c>
      <c r="D123" s="8">
        <f>'2025_Chase9335_Activity_2026062'!D123</f>
        <v>-12.13</v>
      </c>
      <c r="E123" s="8" t="str">
        <f>'2025_Chase9335_Activity_2026062'!E123</f>
        <v>DEBIT_CARD</v>
      </c>
      <c r="F123" s="8">
        <f>'2025_Chase9335_Activity_2026062'!F123</f>
        <v>494898.81</v>
      </c>
      <c r="G123" s="8" t="str">
        <f>'2025_Chase9335_Activity_2026062'!G123</f>
        <v>Amazon</v>
      </c>
      <c r="H123" s="26">
        <f t="shared" si="1"/>
        <v>45992</v>
      </c>
      <c r="I123" s="8" t="str">
        <f>IF($G123="","Uncategorized — Review",IFERROR(_xlfn.XLOOKUP($G123,Mapping!$A:$A,Mapping!$B:$B),"Uncategorized — Review"))</f>
        <v>Amazon</v>
      </c>
      <c r="J123" s="8" t="str">
        <f>IF($G123="","Uncategorized — Review",IFERROR(_xlfn.XLOOKUP($G123,Mapping!$A:$A,Mapping!$C:$C),"Uncategorized — Review"))</f>
        <v>Personal — Owner</v>
      </c>
    </row>
    <row r="124" spans="1:10" x14ac:dyDescent="0.25">
      <c r="A124" s="8" t="str">
        <f>'2025_Chase9335_Activity_2026062'!A124</f>
        <v>CREDIT</v>
      </c>
      <c r="B124" s="24">
        <f>'2025_Chase9335_Activity_2026062'!B124</f>
        <v>45993</v>
      </c>
      <c r="C124" s="8" t="str">
        <f>'2025_Chase9335_Activity_2026062'!C124</f>
        <v>FEDWIRE CREDIT VIA: BANK OF AMERICA, N.A./026009593 B/O: CT SOCAL COMM FBSC/CT BS FXBC RIVERSIDE CA 92505 REF: CHASE NYC/CTR/BNF=POSEIDON ASSET GROUP, LLC LOS ANGELES CA 90066-3638 US/AC-000000007200 RFB=NOTPROVIDED OBI=/URI/FN-FBSC2509203 RETURN OF I NITI A/LDE POSIT ON BEHALF OF DWG C APIT A/LGROU P PRO IMAD: 1202B6B7HU2R005291 TRN: 0170361336FF</v>
      </c>
      <c r="D124" s="8">
        <f>'2025_Chase9335_Activity_2026062'!D124</f>
        <v>50000</v>
      </c>
      <c r="E124" s="8" t="str">
        <f>'2025_Chase9335_Activity_2026062'!E124</f>
        <v>WIRE_INCOMING</v>
      </c>
      <c r="F124" s="8">
        <f>'2025_Chase9335_Activity_2026062'!F124</f>
        <v>494910.94</v>
      </c>
      <c r="G124" s="8" t="str">
        <f>'2025_Chase9335_Activity_2026062'!G124</f>
        <v>Incoming Commission: Stryten Energy</v>
      </c>
      <c r="H124" s="26">
        <f t="shared" si="1"/>
        <v>45992</v>
      </c>
      <c r="I124" s="8" t="str">
        <f>IF($G124="","Uncategorized — Review",IFERROR(_xlfn.XLOOKUP($G124,Mapping!$A:$A,Mapping!$B:$B),"Uncategorized — Review"))</f>
        <v>Incoming Commission: Stryten Energy</v>
      </c>
      <c r="J124" s="8" t="str">
        <f>IF($G124="","Uncategorized — Review",IFERROR(_xlfn.XLOOKUP($G124,Mapping!$A:$A,Mapping!$C:$C),"Uncategorized — Review"))</f>
        <v>Commissions — Incoming</v>
      </c>
    </row>
    <row r="125" spans="1:10" x14ac:dyDescent="0.25">
      <c r="A125" s="8" t="str">
        <f>'2025_Chase9335_Activity_2026062'!A125</f>
        <v>CREDIT</v>
      </c>
      <c r="B125" s="24">
        <f>'2025_Chase9335_Activity_2026062'!B125</f>
        <v>45993</v>
      </c>
      <c r="C125" s="8" t="str">
        <f>'2025_Chase9335_Activity_2026062'!C125</f>
        <v>FEDWIRE CREDIT VIA: BANK OF AMERICA, N.A./026009593 B/O: CT SOCAL COMM FBSC/CT BS FXBC RIVERSIDE CA 92505 REF: CHASE NYC/CTR/BNF=POSEIDON ASSET GROUP, LLC LOS ANGELES CA 90066-3638 US/AC-000000007200 RFB=NOTPROVIDED OBI=/URI/FN-FBSC2509203 PAYMENT OF PERS O/NAL GUARANTY FEE ON BEHALF O F JOH N/BARK ER DUN IMAD: 1202B6B7HU3R005294 TRN: 0170421336FF</v>
      </c>
      <c r="D125" s="8">
        <f>'2025_Chase9335_Activity_2026062'!D125</f>
        <v>75750</v>
      </c>
      <c r="E125" s="8" t="str">
        <f>'2025_Chase9335_Activity_2026062'!E125</f>
        <v>WIRE_INCOMING</v>
      </c>
      <c r="F125" s="8">
        <f>'2025_Chase9335_Activity_2026062'!F125</f>
        <v>444910.94</v>
      </c>
      <c r="G125" s="8" t="str">
        <f>'2025_Chase9335_Activity_2026062'!G125</f>
        <v>Incoming Commission: Stryten Energy</v>
      </c>
      <c r="H125" s="26">
        <f t="shared" si="1"/>
        <v>45992</v>
      </c>
      <c r="I125" s="8" t="str">
        <f>IF($G125="","Uncategorized — Review",IFERROR(_xlfn.XLOOKUP($G125,Mapping!$A:$A,Mapping!$B:$B),"Uncategorized — Review"))</f>
        <v>Incoming Commission: Stryten Energy</v>
      </c>
      <c r="J125" s="8" t="str">
        <f>IF($G125="","Uncategorized — Review",IFERROR(_xlfn.XLOOKUP($G125,Mapping!$A:$A,Mapping!$C:$C),"Uncategorized — Review"))</f>
        <v>Commissions — Incoming</v>
      </c>
    </row>
    <row r="126" spans="1:10" x14ac:dyDescent="0.25">
      <c r="A126" s="8" t="str">
        <f>'2025_Chase9335_Activity_2026062'!A126</f>
        <v>DEBIT</v>
      </c>
      <c r="B126" s="24">
        <f>'2025_Chase9335_Activity_2026062'!B126</f>
        <v>45992</v>
      </c>
      <c r="C126" s="8" t="str">
        <f>'2025_Chase9335_Activity_2026062'!C126</f>
        <v>DOMESTIC INCOMING WIRE FEE</v>
      </c>
      <c r="D126" s="8">
        <f>'2025_Chase9335_Activity_2026062'!D126</f>
        <v>-15</v>
      </c>
      <c r="E126" s="8" t="str">
        <f>'2025_Chase9335_Activity_2026062'!E126</f>
        <v>FEE_TRANSACTION</v>
      </c>
      <c r="F126" s="8">
        <f>'2025_Chase9335_Activity_2026062'!F126</f>
        <v>369160.94</v>
      </c>
      <c r="G126" s="8" t="str">
        <f>'2025_Chase9335_Activity_2026062'!G126</f>
        <v>Bank Fees</v>
      </c>
      <c r="H126" s="26">
        <f t="shared" si="1"/>
        <v>45992</v>
      </c>
      <c r="I126" s="8" t="str">
        <f>IF($G126="","Uncategorized — Review",IFERROR(_xlfn.XLOOKUP($G126,Mapping!$A:$A,Mapping!$B:$B),"Uncategorized — Review"))</f>
        <v>Bank Fees</v>
      </c>
      <c r="J126" s="8" t="str">
        <f>IF($G126="","Uncategorized — Review",IFERROR(_xlfn.XLOOKUP($G126,Mapping!$A:$A,Mapping!$C:$C),"Uncategorized — Review"))</f>
        <v>DWG Operating</v>
      </c>
    </row>
    <row r="127" spans="1:10" x14ac:dyDescent="0.25">
      <c r="A127" s="8" t="str">
        <f>'2025_Chase9335_Activity_2026062'!A127</f>
        <v>DEBIT</v>
      </c>
      <c r="B127" s="24">
        <f>'2025_Chase9335_Activity_2026062'!B127</f>
        <v>45992</v>
      </c>
      <c r="C127" s="8" t="str">
        <f>'2025_Chase9335_Activity_2026062'!C127</f>
        <v>DOMESTIC INCOMING WIRE FEE</v>
      </c>
      <c r="D127" s="8">
        <f>'2025_Chase9335_Activity_2026062'!D127</f>
        <v>-15</v>
      </c>
      <c r="E127" s="8" t="str">
        <f>'2025_Chase9335_Activity_2026062'!E127</f>
        <v>FEE_TRANSACTION</v>
      </c>
      <c r="F127" s="8">
        <f>'2025_Chase9335_Activity_2026062'!F127</f>
        <v>369175.94</v>
      </c>
      <c r="G127" s="8" t="str">
        <f>'2025_Chase9335_Activity_2026062'!G127</f>
        <v>Bank Fees</v>
      </c>
      <c r="H127" s="26">
        <f t="shared" si="1"/>
        <v>45992</v>
      </c>
      <c r="I127" s="8" t="str">
        <f>IF($G127="","Uncategorized — Review",IFERROR(_xlfn.XLOOKUP($G127,Mapping!$A:$A,Mapping!$B:$B),"Uncategorized — Review"))</f>
        <v>Bank Fees</v>
      </c>
      <c r="J127" s="8" t="str">
        <f>IF($G127="","Uncategorized — Review",IFERROR(_xlfn.XLOOKUP($G127,Mapping!$A:$A,Mapping!$C:$C),"Uncategorized — Review"))</f>
        <v>DWG Operating</v>
      </c>
    </row>
    <row r="128" spans="1:10" x14ac:dyDescent="0.25">
      <c r="A128" s="8" t="str">
        <f>'2025_Chase9335_Activity_2026062'!A128</f>
        <v>DEBIT</v>
      </c>
      <c r="B128" s="24">
        <f>'2025_Chase9335_Activity_2026062'!B128</f>
        <v>45992</v>
      </c>
      <c r="C128" s="8" t="str">
        <f>'2025_Chase9335_Activity_2026062'!C128</f>
        <v>Online Transfer to CHK ...3922 transaction#: 27165554859 12/01</v>
      </c>
      <c r="D128" s="8">
        <f>'2025_Chase9335_Activity_2026062'!D128</f>
        <v>-500</v>
      </c>
      <c r="E128" s="8" t="str">
        <f>'2025_Chase9335_Activity_2026062'!E128</f>
        <v>ACCT_XFER</v>
      </c>
      <c r="F128" s="8">
        <f>'2025_Chase9335_Activity_2026062'!F128</f>
        <v>369190.94</v>
      </c>
      <c r="G128" s="8" t="str">
        <f>'2025_Chase9335_Activity_2026062'!G128</f>
        <v>Transfer to DWG Capital Partners</v>
      </c>
      <c r="H128" s="26">
        <f t="shared" si="1"/>
        <v>45992</v>
      </c>
      <c r="I128" s="8" t="str">
        <f>IF($G128="","Uncategorized — Review",IFERROR(_xlfn.XLOOKUP($G128,Mapping!$A:$A,Mapping!$B:$B),"Uncategorized — Review"))</f>
        <v>Transfer to DWG Capital Partners</v>
      </c>
      <c r="J128" s="8" t="str">
        <f>IF($G128="","Uncategorized — Review",IFERROR(_xlfn.XLOOKUP($G128,Mapping!$A:$A,Mapping!$C:$C),"Uncategorized — Review"))</f>
        <v>Intercompany &amp; Savings Transfers</v>
      </c>
    </row>
    <row r="129" spans="1:10" x14ac:dyDescent="0.25">
      <c r="A129" s="8" t="str">
        <f>'2025_Chase9335_Activity_2026062'!A129</f>
        <v>DEBIT</v>
      </c>
      <c r="B129" s="24">
        <f>'2025_Chase9335_Activity_2026062'!B129</f>
        <v>45992</v>
      </c>
      <c r="C129" s="8" t="str">
        <f>'2025_Chase9335_Activity_2026062'!C129</f>
        <v>Experian* Credit Repor 479-3436237 CA        12/01</v>
      </c>
      <c r="D129" s="8">
        <f>'2025_Chase9335_Activity_2026062'!D129</f>
        <v>-27.05</v>
      </c>
      <c r="E129" s="8" t="str">
        <f>'2025_Chase9335_Activity_2026062'!E129</f>
        <v>DEBIT_CARD</v>
      </c>
      <c r="F129" s="8">
        <f>'2025_Chase9335_Activity_2026062'!F129</f>
        <v>369690.94</v>
      </c>
      <c r="G129" s="8" t="str">
        <f>'2025_Chase9335_Activity_2026062'!G129</f>
        <v>Personal - Subscriptions</v>
      </c>
      <c r="H129" s="26">
        <f t="shared" si="1"/>
        <v>45992</v>
      </c>
      <c r="I129" s="8" t="str">
        <f>IF($G129="","Uncategorized — Review",IFERROR(_xlfn.XLOOKUP($G129,Mapping!$A:$A,Mapping!$B:$B),"Uncategorized — Review"))</f>
        <v>Personal - Subscriptions</v>
      </c>
      <c r="J129" s="8" t="str">
        <f>IF($G129="","Uncategorized — Review",IFERROR(_xlfn.XLOOKUP($G129,Mapping!$A:$A,Mapping!$C:$C),"Uncategorized — Review"))</f>
        <v>Personal — Owner</v>
      </c>
    </row>
    <row r="130" spans="1:10" x14ac:dyDescent="0.25">
      <c r="A130" s="8" t="str">
        <f>'2025_Chase9335_Activity_2026062'!A130</f>
        <v>DEBIT</v>
      </c>
      <c r="B130" s="24">
        <f>'2025_Chase9335_Activity_2026062'!B130</f>
        <v>45992</v>
      </c>
      <c r="C130" s="8" t="str">
        <f>'2025_Chase9335_Activity_2026062'!C130</f>
        <v>ETSY, INC. BROOKLYN NY                       11/30</v>
      </c>
      <c r="D130" s="8">
        <f>'2025_Chase9335_Activity_2026062'!D130</f>
        <v>-311.14</v>
      </c>
      <c r="E130" s="8" t="str">
        <f>'2025_Chase9335_Activity_2026062'!E130</f>
        <v>DEBIT_CARD</v>
      </c>
      <c r="F130" s="8">
        <f>'2025_Chase9335_Activity_2026062'!F130</f>
        <v>369717.99</v>
      </c>
      <c r="G130" s="8" t="str">
        <f>'2025_Chase9335_Activity_2026062'!G130</f>
        <v>Personal - Shopping</v>
      </c>
      <c r="H130" s="26">
        <f t="shared" si="1"/>
        <v>45992</v>
      </c>
      <c r="I130" s="8" t="str">
        <f>IF($G130="","Uncategorized — Review",IFERROR(_xlfn.XLOOKUP($G130,Mapping!$A:$A,Mapping!$B:$B),"Uncategorized — Review"))</f>
        <v>Personal - Shopping</v>
      </c>
      <c r="J130" s="8" t="str">
        <f>IF($G130="","Uncategorized — Review",IFERROR(_xlfn.XLOOKUP($G130,Mapping!$A:$A,Mapping!$C:$C),"Uncategorized — Review"))</f>
        <v>Personal — Owner</v>
      </c>
    </row>
    <row r="131" spans="1:10" x14ac:dyDescent="0.25">
      <c r="A131" s="8" t="str">
        <f>'2025_Chase9335_Activity_2026062'!A131</f>
        <v>DEBIT</v>
      </c>
      <c r="B131" s="24">
        <f>'2025_Chase9335_Activity_2026062'!B131</f>
        <v>45992</v>
      </c>
      <c r="C131" s="8" t="str">
        <f>'2025_Chase9335_Activity_2026062'!C131</f>
        <v>FANDANGO    * FANDANGO.COM CA                11/30</v>
      </c>
      <c r="D131" s="8">
        <f>'2025_Chase9335_Activity_2026062'!D131</f>
        <v>-70.72</v>
      </c>
      <c r="E131" s="8" t="str">
        <f>'2025_Chase9335_Activity_2026062'!E131</f>
        <v>DEBIT_CARD</v>
      </c>
      <c r="F131" s="8">
        <f>'2025_Chase9335_Activity_2026062'!F131</f>
        <v>370029.13</v>
      </c>
      <c r="G131" s="8" t="str">
        <f>'2025_Chase9335_Activity_2026062'!G131</f>
        <v>Personal - Entertainment</v>
      </c>
      <c r="H131" s="26">
        <f t="shared" ref="H131:H194" si="2">IF($B131="","",DATE(YEAR($B131),MONTH($B131),1))</f>
        <v>45992</v>
      </c>
      <c r="I131" s="8" t="str">
        <f>IF($G131="","Uncategorized — Review",IFERROR(_xlfn.XLOOKUP($G131,Mapping!$A:$A,Mapping!$B:$B),"Uncategorized — Review"))</f>
        <v>Personal - Entertainment</v>
      </c>
      <c r="J131" s="8" t="str">
        <f>IF($G131="","Uncategorized — Review",IFERROR(_xlfn.XLOOKUP($G131,Mapping!$A:$A,Mapping!$C:$C),"Uncategorized — Review"))</f>
        <v>Personal — Owner</v>
      </c>
    </row>
    <row r="132" spans="1:10" x14ac:dyDescent="0.25">
      <c r="A132" s="8" t="str">
        <f>'2025_Chase9335_Activity_2026062'!A132</f>
        <v>DEBIT</v>
      </c>
      <c r="B132" s="24">
        <f>'2025_Chase9335_Activity_2026062'!B132</f>
        <v>45992</v>
      </c>
      <c r="C132" s="8" t="str">
        <f>'2025_Chase9335_Activity_2026062'!C132</f>
        <v>Online Transfer to CHK ...1168 transaction#: 27139556362 12/01</v>
      </c>
      <c r="D132" s="8">
        <f>'2025_Chase9335_Activity_2026062'!D132</f>
        <v>-10000</v>
      </c>
      <c r="E132" s="8" t="str">
        <f>'2025_Chase9335_Activity_2026062'!E132</f>
        <v>ACCT_XFER</v>
      </c>
      <c r="F132" s="8">
        <f>'2025_Chase9335_Activity_2026062'!F132</f>
        <v>370099.85</v>
      </c>
      <c r="G132" s="8" t="str">
        <f>'2025_Chase9335_Activity_2026062'!G132</f>
        <v>Transfer to DWG Capital Group</v>
      </c>
      <c r="H132" s="26">
        <f t="shared" si="2"/>
        <v>45992</v>
      </c>
      <c r="I132" s="8" t="str">
        <f>IF($G132="","Uncategorized — Review",IFERROR(_xlfn.XLOOKUP($G132,Mapping!$A:$A,Mapping!$B:$B),"Uncategorized — Review"))</f>
        <v>Transfer to DWG Capital Group</v>
      </c>
      <c r="J132" s="8" t="str">
        <f>IF($G132="","Uncategorized — Review",IFERROR(_xlfn.XLOOKUP($G132,Mapping!$A:$A,Mapping!$C:$C),"Uncategorized — Review"))</f>
        <v>Intercompany &amp; Savings Transfers</v>
      </c>
    </row>
    <row r="133" spans="1:10" x14ac:dyDescent="0.25">
      <c r="A133" s="8" t="str">
        <f>'2025_Chase9335_Activity_2026062'!A133</f>
        <v>DEBIT</v>
      </c>
      <c r="B133" s="24">
        <f>'2025_Chase9335_Activity_2026062'!B133</f>
        <v>45992</v>
      </c>
      <c r="C133" s="8" t="str">
        <f>'2025_Chase9335_Activity_2026062'!C133</f>
        <v>Online Transfer to CHK ...1168 transaction#: 27139532703 12/01</v>
      </c>
      <c r="D133" s="8">
        <f>'2025_Chase9335_Activity_2026062'!D133</f>
        <v>-20000</v>
      </c>
      <c r="E133" s="8" t="str">
        <f>'2025_Chase9335_Activity_2026062'!E133</f>
        <v>ACCT_XFER</v>
      </c>
      <c r="F133" s="8">
        <f>'2025_Chase9335_Activity_2026062'!F133</f>
        <v>380099.85</v>
      </c>
      <c r="G133" s="8" t="str">
        <f>'2025_Chase9335_Activity_2026062'!G133</f>
        <v>Transfer to DWG Capital Group</v>
      </c>
      <c r="H133" s="26">
        <f t="shared" si="2"/>
        <v>45992</v>
      </c>
      <c r="I133" s="8" t="str">
        <f>IF($G133="","Uncategorized — Review",IFERROR(_xlfn.XLOOKUP($G133,Mapping!$A:$A,Mapping!$B:$B),"Uncategorized — Review"))</f>
        <v>Transfer to DWG Capital Group</v>
      </c>
      <c r="J133" s="8" t="str">
        <f>IF($G133="","Uncategorized — Review",IFERROR(_xlfn.XLOOKUP($G133,Mapping!$A:$A,Mapping!$C:$C),"Uncategorized — Review"))</f>
        <v>Intercompany &amp; Savings Transfers</v>
      </c>
    </row>
    <row r="134" spans="1:10" x14ac:dyDescent="0.25">
      <c r="A134" s="8" t="str">
        <f>'2025_Chase9335_Activity_2026062'!A134</f>
        <v>DEBIT</v>
      </c>
      <c r="B134" s="24">
        <f>'2025_Chase9335_Activity_2026062'!B134</f>
        <v>45992</v>
      </c>
      <c r="C134" s="8" t="str">
        <f>'2025_Chase9335_Activity_2026062'!C134</f>
        <v>SP TRUECLASSICTEES.C TRUECLASSICTE CA        11/29</v>
      </c>
      <c r="D134" s="8">
        <f>'2025_Chase9335_Activity_2026062'!D134</f>
        <v>-101.76</v>
      </c>
      <c r="E134" s="8" t="str">
        <f>'2025_Chase9335_Activity_2026062'!E134</f>
        <v>DEBIT_CARD</v>
      </c>
      <c r="F134" s="8">
        <f>'2025_Chase9335_Activity_2026062'!F134</f>
        <v>400099.85</v>
      </c>
      <c r="G134" s="8" t="str">
        <f>'2025_Chase9335_Activity_2026062'!G134</f>
        <v>Personal - Shopping</v>
      </c>
      <c r="H134" s="26">
        <f t="shared" si="2"/>
        <v>45992</v>
      </c>
      <c r="I134" s="8" t="str">
        <f>IF($G134="","Uncategorized — Review",IFERROR(_xlfn.XLOOKUP($G134,Mapping!$A:$A,Mapping!$B:$B),"Uncategorized — Review"))</f>
        <v>Personal - Shopping</v>
      </c>
      <c r="J134" s="8" t="str">
        <f>IF($G134="","Uncategorized — Review",IFERROR(_xlfn.XLOOKUP($G134,Mapping!$A:$A,Mapping!$C:$C),"Uncategorized — Review"))</f>
        <v>Personal — Owner</v>
      </c>
    </row>
    <row r="135" spans="1:10" x14ac:dyDescent="0.25">
      <c r="A135" s="8" t="str">
        <f>'2025_Chase9335_Activity_2026062'!A135</f>
        <v>DEBIT</v>
      </c>
      <c r="B135" s="24">
        <f>'2025_Chase9335_Activity_2026062'!B135</f>
        <v>45992</v>
      </c>
      <c r="C135" s="8" t="str">
        <f>'2025_Chase9335_Activity_2026062'!C135</f>
        <v>YESGLASSES* NO169440 YESGLASSES.CO DE        11/29</v>
      </c>
      <c r="D135" s="8">
        <f>'2025_Chase9335_Activity_2026062'!D135</f>
        <v>-135.6</v>
      </c>
      <c r="E135" s="8" t="str">
        <f>'2025_Chase9335_Activity_2026062'!E135</f>
        <v>DEBIT_CARD</v>
      </c>
      <c r="F135" s="8">
        <f>'2025_Chase9335_Activity_2026062'!F135</f>
        <v>400201.61</v>
      </c>
      <c r="G135" s="8" t="str">
        <f>'2025_Chase9335_Activity_2026062'!G135</f>
        <v>Personal - Shopping</v>
      </c>
      <c r="H135" s="26">
        <f t="shared" si="2"/>
        <v>45992</v>
      </c>
      <c r="I135" s="8" t="str">
        <f>IF($G135="","Uncategorized — Review",IFERROR(_xlfn.XLOOKUP($G135,Mapping!$A:$A,Mapping!$B:$B),"Uncategorized — Review"))</f>
        <v>Personal - Shopping</v>
      </c>
      <c r="J135" s="8" t="str">
        <f>IF($G135="","Uncategorized — Review",IFERROR(_xlfn.XLOOKUP($G135,Mapping!$A:$A,Mapping!$C:$C),"Uncategorized — Review"))</f>
        <v>Personal — Owner</v>
      </c>
    </row>
    <row r="136" spans="1:10" x14ac:dyDescent="0.25">
      <c r="A136" s="8" t="str">
        <f>'2025_Chase9335_Activity_2026062'!A136</f>
        <v>DEBIT</v>
      </c>
      <c r="B136" s="24">
        <f>'2025_Chase9335_Activity_2026062'!B136</f>
        <v>45992</v>
      </c>
      <c r="C136" s="8" t="str">
        <f>'2025_Chase9335_Activity_2026062'!C136</f>
        <v>YESGLASSES* NO169436 YESGLASSES.CO DE        11/29</v>
      </c>
      <c r="D136" s="8">
        <f>'2025_Chase9335_Activity_2026062'!D136</f>
        <v>-128.4</v>
      </c>
      <c r="E136" s="8" t="str">
        <f>'2025_Chase9335_Activity_2026062'!E136</f>
        <v>DEBIT_CARD</v>
      </c>
      <c r="F136" s="8">
        <f>'2025_Chase9335_Activity_2026062'!F136</f>
        <v>400337.21</v>
      </c>
      <c r="G136" s="8" t="str">
        <f>'2025_Chase9335_Activity_2026062'!G136</f>
        <v>Personal - Shopping</v>
      </c>
      <c r="H136" s="26">
        <f t="shared" si="2"/>
        <v>45992</v>
      </c>
      <c r="I136" s="8" t="str">
        <f>IF($G136="","Uncategorized — Review",IFERROR(_xlfn.XLOOKUP($G136,Mapping!$A:$A,Mapping!$B:$B),"Uncategorized — Review"))</f>
        <v>Personal - Shopping</v>
      </c>
      <c r="J136" s="8" t="str">
        <f>IF($G136="","Uncategorized — Review",IFERROR(_xlfn.XLOOKUP($G136,Mapping!$A:$A,Mapping!$C:$C),"Uncategorized — Review"))</f>
        <v>Personal — Owner</v>
      </c>
    </row>
    <row r="137" spans="1:10" x14ac:dyDescent="0.25">
      <c r="A137" s="8" t="str">
        <f>'2025_Chase9335_Activity_2026062'!A137</f>
        <v>DEBIT</v>
      </c>
      <c r="B137" s="24">
        <f>'2025_Chase9335_Activity_2026062'!B137</f>
        <v>45992</v>
      </c>
      <c r="C137" s="8" t="str">
        <f>'2025_Chase9335_Activity_2026062'!C137</f>
        <v>AMAZON MKTPL*BB0QA40 Amzn.com/bill WA        11/29</v>
      </c>
      <c r="D137" s="8">
        <f>'2025_Chase9335_Activity_2026062'!D137</f>
        <v>-49.46</v>
      </c>
      <c r="E137" s="8" t="str">
        <f>'2025_Chase9335_Activity_2026062'!E137</f>
        <v>DEBIT_CARD</v>
      </c>
      <c r="F137" s="8">
        <f>'2025_Chase9335_Activity_2026062'!F137</f>
        <v>400465.61</v>
      </c>
      <c r="G137" s="8" t="str">
        <f>'2025_Chase9335_Activity_2026062'!G137</f>
        <v>Amazon</v>
      </c>
      <c r="H137" s="26">
        <f t="shared" si="2"/>
        <v>45992</v>
      </c>
      <c r="I137" s="8" t="str">
        <f>IF($G137="","Uncategorized — Review",IFERROR(_xlfn.XLOOKUP($G137,Mapping!$A:$A,Mapping!$B:$B),"Uncategorized — Review"))</f>
        <v>Amazon</v>
      </c>
      <c r="J137" s="8" t="str">
        <f>IF($G137="","Uncategorized — Review",IFERROR(_xlfn.XLOOKUP($G137,Mapping!$A:$A,Mapping!$C:$C),"Uncategorized — Review"))</f>
        <v>Personal — Owner</v>
      </c>
    </row>
    <row r="138" spans="1:10" x14ac:dyDescent="0.25">
      <c r="A138" s="8" t="str">
        <f>'2025_Chase9335_Activity_2026062'!A138</f>
        <v>DEBIT</v>
      </c>
      <c r="B138" s="24">
        <f>'2025_Chase9335_Activity_2026062'!B138</f>
        <v>45992</v>
      </c>
      <c r="C138" s="8" t="str">
        <f>'2025_Chase9335_Activity_2026062'!C138</f>
        <v>APPLE CASH SENT MONE 1INFINITELOOP CA        11/28</v>
      </c>
      <c r="D138" s="8">
        <f>'2025_Chase9335_Activity_2026062'!D138</f>
        <v>-31</v>
      </c>
      <c r="E138" s="8" t="str">
        <f>'2025_Chase9335_Activity_2026062'!E138</f>
        <v>DEBIT_CARD</v>
      </c>
      <c r="F138" s="8">
        <f>'2025_Chase9335_Activity_2026062'!F138</f>
        <v>400515.07</v>
      </c>
      <c r="G138" s="8" t="str">
        <f>'2025_Chase9335_Activity_2026062'!G138</f>
        <v>Apple Payment</v>
      </c>
      <c r="H138" s="26">
        <f t="shared" si="2"/>
        <v>45992</v>
      </c>
      <c r="I138" s="8" t="str">
        <f>IF($G138="","Uncategorized — Review",IFERROR(_xlfn.XLOOKUP($G138,Mapping!$A:$A,Mapping!$B:$B),"Uncategorized — Review"))</f>
        <v>Apple Payment</v>
      </c>
      <c r="J138" s="8" t="str">
        <f>IF($G138="","Uncategorized — Review",IFERROR(_xlfn.XLOOKUP($G138,Mapping!$A:$A,Mapping!$C:$C),"Uncategorized — Review"))</f>
        <v>P2P Payments (Zelle/Venmo/PayPal)</v>
      </c>
    </row>
    <row r="139" spans="1:10" x14ac:dyDescent="0.25">
      <c r="A139" s="8" t="str">
        <f>'2025_Chase9335_Activity_2026062'!A139</f>
        <v>CREDIT</v>
      </c>
      <c r="B139" s="24">
        <f>'2025_Chase9335_Activity_2026062'!B139</f>
        <v>45992</v>
      </c>
      <c r="C139" s="8" t="str">
        <f>'2025_Chase9335_Activity_2026062'!C139</f>
        <v>FEDWIRE CREDIT VIA: BANK OF AMERICA, N.A./026009593 B/O: CT SOCAL COMM FBSC/CT BS FXBC RIVERSIDE CA 92505 REF: CHASE NYC/CTR/BNF=POSEIDON ASSET GROUP, LLC LOS ANGELES CA 90066-3638 US/AC-000000007200 RFB=NOTPROVIDED OBI=/URI/FN-FBSC2509203 MORTGAGE BR OKER A/GEF EE FOR FORT SMITH INDUST RIAL/HOLDIN GS, LL IMAD: 1201B6B7HU2R022871 TRN: 1486331335FF</v>
      </c>
      <c r="D139" s="8">
        <f>'2025_Chase9335_Activity_2026062'!D139</f>
        <v>75750</v>
      </c>
      <c r="E139" s="8" t="str">
        <f>'2025_Chase9335_Activity_2026062'!E139</f>
        <v>WIRE_INCOMING</v>
      </c>
      <c r="F139" s="8">
        <f>'2025_Chase9335_Activity_2026062'!F139</f>
        <v>400546.07</v>
      </c>
      <c r="G139" s="8" t="str">
        <f>'2025_Chase9335_Activity_2026062'!G139</f>
        <v>Incoming Commission: Stryten Energy</v>
      </c>
      <c r="H139" s="26">
        <f t="shared" si="2"/>
        <v>45992</v>
      </c>
      <c r="I139" s="8" t="str">
        <f>IF($G139="","Uncategorized — Review",IFERROR(_xlfn.XLOOKUP($G139,Mapping!$A:$A,Mapping!$B:$B),"Uncategorized — Review"))</f>
        <v>Incoming Commission: Stryten Energy</v>
      </c>
      <c r="J139" s="8" t="str">
        <f>IF($G139="","Uncategorized — Review",IFERROR(_xlfn.XLOOKUP($G139,Mapping!$A:$A,Mapping!$C:$C),"Uncategorized — Review"))</f>
        <v>Commissions — Incoming</v>
      </c>
    </row>
    <row r="140" spans="1:10" x14ac:dyDescent="0.25">
      <c r="A140" s="8" t="str">
        <f>'2025_Chase9335_Activity_2026062'!A140</f>
        <v>CREDIT</v>
      </c>
      <c r="B140" s="24">
        <f>'2025_Chase9335_Activity_2026062'!B140</f>
        <v>45992</v>
      </c>
      <c r="C140" s="8" t="str">
        <f>'2025_Chase9335_Activity_2026062'!C140</f>
        <v>FEDWIRE CREDIT VIA: BANK OF AMERICA, N.A./026009593 B/O: CT SOCAL COMM FBSC/CT BS FXBC RIVERSIDE CA 92505 REF: CHASE NYC/CTR/BNF=POSEIDON ASSET GROUP, LLC LOS ANGELES CA 90066-3638 US/AC-000000007200 RFB=NOTPROVIDED OBI=/URI/FN-FBSC2509203 BROKERAGE F EE F O/RFO RT SMITH INDUSTRIAL HOLD INGS ,/LLC P ROPAD IMAD: 1201B6B7HU2R022874 TRN: 1486341335FF</v>
      </c>
      <c r="D140" s="8">
        <f>'2025_Chase9335_Activity_2026062'!D140</f>
        <v>116689.39</v>
      </c>
      <c r="E140" s="8" t="str">
        <f>'2025_Chase9335_Activity_2026062'!E140</f>
        <v>WIRE_INCOMING</v>
      </c>
      <c r="F140" s="8">
        <f>'2025_Chase9335_Activity_2026062'!F140</f>
        <v>324796.07</v>
      </c>
      <c r="G140" s="8" t="str">
        <f>'2025_Chase9335_Activity_2026062'!G140</f>
        <v>Incoming Commission: Stryten Energy</v>
      </c>
      <c r="H140" s="26">
        <f t="shared" si="2"/>
        <v>45992</v>
      </c>
      <c r="I140" s="8" t="str">
        <f>IF($G140="","Uncategorized — Review",IFERROR(_xlfn.XLOOKUP($G140,Mapping!$A:$A,Mapping!$B:$B),"Uncategorized — Review"))</f>
        <v>Incoming Commission: Stryten Energy</v>
      </c>
      <c r="J140" s="8" t="str">
        <f>IF($G140="","Uncategorized — Review",IFERROR(_xlfn.XLOOKUP($G140,Mapping!$A:$A,Mapping!$C:$C),"Uncategorized — Review"))</f>
        <v>Commissions — Incoming</v>
      </c>
    </row>
    <row r="141" spans="1:10" x14ac:dyDescent="0.25">
      <c r="A141" s="8" t="str">
        <f>'2025_Chase9335_Activity_2026062'!A141</f>
        <v>DEBIT</v>
      </c>
      <c r="B141" s="24">
        <f>'2025_Chase9335_Activity_2026062'!B141</f>
        <v>45989</v>
      </c>
      <c r="C141" s="8" t="str">
        <f>'2025_Chase9335_Activity_2026062'!C141</f>
        <v>ORIG CO NAME:MARICOPA COUNTY        ORIG ID:0000408976 DESC DATE:251128 CO ENTRY DESCR:TAXPAYMENTSEC:CCD    TRACE#:021000022060032 EED:251128   IND ID:9067914                      IND NAME:JOHN *DUNNING                                                                                                602-506-8511 TRN: 3322060032TC</v>
      </c>
      <c r="D141" s="8">
        <f>'2025_Chase9335_Activity_2026062'!D141</f>
        <v>-46528.05</v>
      </c>
      <c r="E141" s="8" t="str">
        <f>'2025_Chase9335_Activity_2026062'!E141</f>
        <v>ACH_DEBIT</v>
      </c>
      <c r="F141" s="8">
        <f>'2025_Chase9335_Activity_2026062'!F141</f>
        <v>208106.68</v>
      </c>
      <c r="G141" s="8" t="str">
        <f>'2025_Chase9335_Activity_2026062'!G141</f>
        <v>Deal Specific: Hibbert</v>
      </c>
      <c r="H141" s="26">
        <f t="shared" si="2"/>
        <v>45962</v>
      </c>
      <c r="I141" s="8" t="str">
        <f>IF($G141="","Uncategorized — Review",IFERROR(_xlfn.XLOOKUP($G141,Mapping!$A:$A,Mapping!$B:$B),"Uncategorized — Review"))</f>
        <v>Deal Specific: Hibbert</v>
      </c>
      <c r="J141" s="8" t="str">
        <f>IF($G141="","Uncategorized — Review",IFERROR(_xlfn.XLOOKUP($G141,Mapping!$A:$A,Mapping!$C:$C),"Uncategorized — Review"))</f>
        <v>Deal-Specific</v>
      </c>
    </row>
    <row r="142" spans="1:10" x14ac:dyDescent="0.25">
      <c r="A142" s="8" t="str">
        <f>'2025_Chase9335_Activity_2026062'!A142</f>
        <v>DEBIT</v>
      </c>
      <c r="B142" s="24">
        <f>'2025_Chase9335_Activity_2026062'!B142</f>
        <v>45989</v>
      </c>
      <c r="C142" s="8" t="str">
        <f>'2025_Chase9335_Activity_2026062'!C142</f>
        <v>Online Transfer to CHK ...3922 transaction#: 27127534065 11/28</v>
      </c>
      <c r="D142" s="8">
        <f>'2025_Chase9335_Activity_2026062'!D142</f>
        <v>-5000</v>
      </c>
      <c r="E142" s="8" t="str">
        <f>'2025_Chase9335_Activity_2026062'!E142</f>
        <v>ACCT_XFER</v>
      </c>
      <c r="F142" s="8">
        <f>'2025_Chase9335_Activity_2026062'!F142</f>
        <v>254634.73</v>
      </c>
      <c r="G142" s="8" t="str">
        <f>'2025_Chase9335_Activity_2026062'!G142</f>
        <v>Transfer to DWG Capital Partners</v>
      </c>
      <c r="H142" s="26">
        <f t="shared" si="2"/>
        <v>45962</v>
      </c>
      <c r="I142" s="8" t="str">
        <f>IF($G142="","Uncategorized — Review",IFERROR(_xlfn.XLOOKUP($G142,Mapping!$A:$A,Mapping!$B:$B),"Uncategorized — Review"))</f>
        <v>Transfer to DWG Capital Partners</v>
      </c>
      <c r="J142" s="8" t="str">
        <f>IF($G142="","Uncategorized — Review",IFERROR(_xlfn.XLOOKUP($G142,Mapping!$A:$A,Mapping!$C:$C),"Uncategorized — Review"))</f>
        <v>Intercompany &amp; Savings Transfers</v>
      </c>
    </row>
    <row r="143" spans="1:10" x14ac:dyDescent="0.25">
      <c r="A143" s="8" t="str">
        <f>'2025_Chase9335_Activity_2026062'!A143</f>
        <v>DEBIT</v>
      </c>
      <c r="B143" s="24">
        <f>'2025_Chase9335_Activity_2026062'!B143</f>
        <v>45989</v>
      </c>
      <c r="C143" s="8" t="str">
        <f>'2025_Chase9335_Activity_2026062'!C143</f>
        <v>Online Transfer to CHK ...9082 transaction#: 27127524493 11/28</v>
      </c>
      <c r="D143" s="8">
        <f>'2025_Chase9335_Activity_2026062'!D143</f>
        <v>-5000</v>
      </c>
      <c r="E143" s="8" t="str">
        <f>'2025_Chase9335_Activity_2026062'!E143</f>
        <v>ACCT_XFER</v>
      </c>
      <c r="F143" s="8">
        <f>'2025_Chase9335_Activity_2026062'!F143</f>
        <v>259634.73</v>
      </c>
      <c r="G143" s="8" t="str">
        <f>'2025_Chase9335_Activity_2026062'!G143</f>
        <v>Transfer to Hibbert</v>
      </c>
      <c r="H143" s="26">
        <f t="shared" si="2"/>
        <v>45962</v>
      </c>
      <c r="I143" s="8" t="str">
        <f>IF($G143="","Uncategorized — Review",IFERROR(_xlfn.XLOOKUP($G143,Mapping!$A:$A,Mapping!$B:$B),"Uncategorized — Review"))</f>
        <v>Transfer to Hibbert</v>
      </c>
      <c r="J143" s="8" t="str">
        <f>IF($G143="","Uncategorized — Review",IFERROR(_xlfn.XLOOKUP($G143,Mapping!$A:$A,Mapping!$C:$C),"Uncategorized — Review"))</f>
        <v>Intercompany &amp; Savings Transfers</v>
      </c>
    </row>
    <row r="144" spans="1:10" x14ac:dyDescent="0.25">
      <c r="A144" s="8" t="str">
        <f>'2025_Chase9335_Activity_2026062'!A144</f>
        <v>DEBIT</v>
      </c>
      <c r="B144" s="24">
        <f>'2025_Chase9335_Activity_2026062'!B144</f>
        <v>45989</v>
      </c>
      <c r="C144" s="8" t="str">
        <f>'2025_Chase9335_Activity_2026062'!C144</f>
        <v>Prime Video *B20BY0BT 888-802-3080 WA        11/27</v>
      </c>
      <c r="D144" s="8">
        <f>'2025_Chase9335_Activity_2026062'!D144</f>
        <v>-4.05</v>
      </c>
      <c r="E144" s="8" t="str">
        <f>'2025_Chase9335_Activity_2026062'!E144</f>
        <v>DEBIT_CARD</v>
      </c>
      <c r="F144" s="8">
        <f>'2025_Chase9335_Activity_2026062'!F144</f>
        <v>264634.73</v>
      </c>
      <c r="G144" s="8" t="str">
        <f>'2025_Chase9335_Activity_2026062'!G144</f>
        <v>Amazon Prime Video</v>
      </c>
      <c r="H144" s="26">
        <f t="shared" si="2"/>
        <v>45962</v>
      </c>
      <c r="I144" s="8" t="str">
        <f>IF($G144="","Uncategorized — Review",IFERROR(_xlfn.XLOOKUP($G144,Mapping!$A:$A,Mapping!$B:$B),"Uncategorized — Review"))</f>
        <v>Amazon Prime Video</v>
      </c>
      <c r="J144" s="8" t="str">
        <f>IF($G144="","Uncategorized — Review",IFERROR(_xlfn.XLOOKUP($G144,Mapping!$A:$A,Mapping!$C:$C),"Uncategorized — Review"))</f>
        <v>Personal — Owner</v>
      </c>
    </row>
    <row r="145" spans="1:10" x14ac:dyDescent="0.25">
      <c r="A145" s="8" t="str">
        <f>'2025_Chase9335_Activity_2026062'!A145</f>
        <v>DEBIT</v>
      </c>
      <c r="B145" s="24">
        <f>'2025_Chase9335_Activity_2026062'!B145</f>
        <v>45989</v>
      </c>
      <c r="C145" s="8" t="str">
        <f>'2025_Chase9335_Activity_2026062'!C145</f>
        <v>AMAZON MKTPL*B25GO6H Amzn.com/bill WA        11/26</v>
      </c>
      <c r="D145" s="8">
        <f>'2025_Chase9335_Activity_2026062'!D145</f>
        <v>-17.55</v>
      </c>
      <c r="E145" s="8" t="str">
        <f>'2025_Chase9335_Activity_2026062'!E145</f>
        <v>DEBIT_CARD</v>
      </c>
      <c r="F145" s="8">
        <f>'2025_Chase9335_Activity_2026062'!F145</f>
        <v>264638.78000000003</v>
      </c>
      <c r="G145" s="8" t="str">
        <f>'2025_Chase9335_Activity_2026062'!G145</f>
        <v>Amazon</v>
      </c>
      <c r="H145" s="26">
        <f t="shared" si="2"/>
        <v>45962</v>
      </c>
      <c r="I145" s="8" t="str">
        <f>IF($G145="","Uncategorized — Review",IFERROR(_xlfn.XLOOKUP($G145,Mapping!$A:$A,Mapping!$B:$B),"Uncategorized — Review"))</f>
        <v>Amazon</v>
      </c>
      <c r="J145" s="8" t="str">
        <f>IF($G145="","Uncategorized — Review",IFERROR(_xlfn.XLOOKUP($G145,Mapping!$A:$A,Mapping!$C:$C),"Uncategorized — Review"))</f>
        <v>Personal — Owner</v>
      </c>
    </row>
    <row r="146" spans="1:10" x14ac:dyDescent="0.25">
      <c r="A146" s="8" t="str">
        <f>'2025_Chase9335_Activity_2026062'!A146</f>
        <v>DEBIT</v>
      </c>
      <c r="B146" s="24">
        <f>'2025_Chase9335_Activity_2026062'!B146</f>
        <v>45987</v>
      </c>
      <c r="C146" s="8" t="str">
        <f>'2025_Chase9335_Activity_2026062'!C146</f>
        <v>ORIG CO NAME:AMERICAN EXPRESS       ORIG ID:2005032111 DESC DATE:251126 CO ENTRY DESCR:ACH PMT   SEC:CCD    TRACE#:021000021403220 EED:251126   IND ID:A9562                        IND NAME:JOHN DUNNING                                                                                                 ER AM TRN: 3301403220TC</v>
      </c>
      <c r="D146" s="8">
        <f>'2025_Chase9335_Activity_2026062'!D146</f>
        <v>-1484</v>
      </c>
      <c r="E146" s="8" t="str">
        <f>'2025_Chase9335_Activity_2026062'!E146</f>
        <v>ACH_DEBIT</v>
      </c>
      <c r="F146" s="8">
        <f>'2025_Chase9335_Activity_2026062'!F146</f>
        <v>264656.33</v>
      </c>
      <c r="G146" s="8" t="str">
        <f>'2025_Chase9335_Activity_2026062'!G146</f>
        <v>American Express Credit Card PMT</v>
      </c>
      <c r="H146" s="26">
        <f t="shared" si="2"/>
        <v>45962</v>
      </c>
      <c r="I146" s="8" t="str">
        <f>IF($G146="","Uncategorized — Review",IFERROR(_xlfn.XLOOKUP($G146,Mapping!$A:$A,Mapping!$B:$B),"Uncategorized — Review"))</f>
        <v>American Express Credit Card PMT</v>
      </c>
      <c r="J146" s="8" t="str">
        <f>IF($G146="","Uncategorized — Review",IFERROR(_xlfn.XLOOKUP($G146,Mapping!$A:$A,Mapping!$C:$C),"Uncategorized — Review"))</f>
        <v>Credit Card &amp; Loan Payments</v>
      </c>
    </row>
    <row r="147" spans="1:10" x14ac:dyDescent="0.25">
      <c r="A147" s="8" t="str">
        <f>'2025_Chase9335_Activity_2026062'!A147</f>
        <v>DEBIT</v>
      </c>
      <c r="B147" s="24">
        <f>'2025_Chase9335_Activity_2026062'!B147</f>
        <v>45987</v>
      </c>
      <c r="C147" s="8" t="str">
        <f>'2025_Chase9335_Activity_2026062'!C147</f>
        <v>ORIG CO NAME:AMERICAN EXPRESS       ORIG ID:2005032111 DESC DATE:251126 CO ENTRY DESCR:ACH PMT   SEC:CCD    TRACE#:021000021403939 EED:251126   IND ID:A6396                        IND NAME:JOHN DUNNING                                                                                                 ER AM TRN: 3301403939TC</v>
      </c>
      <c r="D147" s="8">
        <f>'2025_Chase9335_Activity_2026062'!D147</f>
        <v>-2134.33</v>
      </c>
      <c r="E147" s="8" t="str">
        <f>'2025_Chase9335_Activity_2026062'!E147</f>
        <v>ACH_DEBIT</v>
      </c>
      <c r="F147" s="8">
        <f>'2025_Chase9335_Activity_2026062'!F147</f>
        <v>266140.33</v>
      </c>
      <c r="G147" s="8" t="str">
        <f>'2025_Chase9335_Activity_2026062'!G147</f>
        <v>American Express Credit Card PMT</v>
      </c>
      <c r="H147" s="26">
        <f t="shared" si="2"/>
        <v>45962</v>
      </c>
      <c r="I147" s="8" t="str">
        <f>IF($G147="","Uncategorized — Review",IFERROR(_xlfn.XLOOKUP($G147,Mapping!$A:$A,Mapping!$B:$B),"Uncategorized — Review"))</f>
        <v>American Express Credit Card PMT</v>
      </c>
      <c r="J147" s="8" t="str">
        <f>IF($G147="","Uncategorized — Review",IFERROR(_xlfn.XLOOKUP($G147,Mapping!$A:$A,Mapping!$C:$C),"Uncategorized — Review"))</f>
        <v>Credit Card &amp; Loan Payments</v>
      </c>
    </row>
    <row r="148" spans="1:10" x14ac:dyDescent="0.25">
      <c r="A148" s="8" t="str">
        <f>'2025_Chase9335_Activity_2026062'!A148</f>
        <v>DEBIT</v>
      </c>
      <c r="B148" s="24">
        <f>'2025_Chase9335_Activity_2026062'!B148</f>
        <v>45987</v>
      </c>
      <c r="C148" s="8" t="str">
        <f>'2025_Chase9335_Activity_2026062'!C148</f>
        <v>ORIG CO NAME:AMERICAN EXPRESS       ORIG ID:2005032111 DESC DATE:251126 CO ENTRY DESCR:ACH PMT   SEC:TEL    TRACE#:021000021402990 EED:251126   IND ID:S3648                        IND NAME:JOHN DUNNING                                                                                                 ER AM TRN: 3301402990TC</v>
      </c>
      <c r="D148" s="8">
        <f>'2025_Chase9335_Activity_2026062'!D148</f>
        <v>-2439.5300000000002</v>
      </c>
      <c r="E148" s="8" t="str">
        <f>'2025_Chase9335_Activity_2026062'!E148</f>
        <v>ACH_DEBIT</v>
      </c>
      <c r="F148" s="8">
        <f>'2025_Chase9335_Activity_2026062'!F148</f>
        <v>268274.65999999997</v>
      </c>
      <c r="G148" s="8" t="str">
        <f>'2025_Chase9335_Activity_2026062'!G148</f>
        <v>American Express Credit Card PMT</v>
      </c>
      <c r="H148" s="26">
        <f t="shared" si="2"/>
        <v>45962</v>
      </c>
      <c r="I148" s="8" t="str">
        <f>IF($G148="","Uncategorized — Review",IFERROR(_xlfn.XLOOKUP($G148,Mapping!$A:$A,Mapping!$B:$B),"Uncategorized — Review"))</f>
        <v>American Express Credit Card PMT</v>
      </c>
      <c r="J148" s="8" t="str">
        <f>IF($G148="","Uncategorized — Review",IFERROR(_xlfn.XLOOKUP($G148,Mapping!$A:$A,Mapping!$C:$C),"Uncategorized — Review"))</f>
        <v>Credit Card &amp; Loan Payments</v>
      </c>
    </row>
    <row r="149" spans="1:10" x14ac:dyDescent="0.25">
      <c r="A149" s="8" t="str">
        <f>'2025_Chase9335_Activity_2026062'!A149</f>
        <v>DEBIT</v>
      </c>
      <c r="B149" s="24">
        <f>'2025_Chase9335_Activity_2026062'!B149</f>
        <v>45987</v>
      </c>
      <c r="C149" s="8" t="str">
        <f>'2025_Chase9335_Activity_2026062'!C149</f>
        <v>ORIG CO NAME:AMERICAN EXPRESS       ORIG ID:2005032111 DESC DATE:251126 CO ENTRY DESCR:ACH PMT   SEC:CCD    TRACE#:021000021403975 EED:251126   IND ID:A3246                        IND NAME:JOHN DUNNING                                                                                                 ER AM TRN: 3301403975TC</v>
      </c>
      <c r="D149" s="8">
        <f>'2025_Chase9335_Activity_2026062'!D149</f>
        <v>-2815.05</v>
      </c>
      <c r="E149" s="8" t="str">
        <f>'2025_Chase9335_Activity_2026062'!E149</f>
        <v>ACH_DEBIT</v>
      </c>
      <c r="F149" s="8">
        <f>'2025_Chase9335_Activity_2026062'!F149</f>
        <v>270714.19</v>
      </c>
      <c r="G149" s="8" t="str">
        <f>'2025_Chase9335_Activity_2026062'!G149</f>
        <v>American Express Credit Card PMT</v>
      </c>
      <c r="H149" s="26">
        <f t="shared" si="2"/>
        <v>45962</v>
      </c>
      <c r="I149" s="8" t="str">
        <f>IF($G149="","Uncategorized — Review",IFERROR(_xlfn.XLOOKUP($G149,Mapping!$A:$A,Mapping!$B:$B),"Uncategorized — Review"))</f>
        <v>American Express Credit Card PMT</v>
      </c>
      <c r="J149" s="8" t="str">
        <f>IF($G149="","Uncategorized — Review",IFERROR(_xlfn.XLOOKUP($G149,Mapping!$A:$A,Mapping!$C:$C),"Uncategorized — Review"))</f>
        <v>Credit Card &amp; Loan Payments</v>
      </c>
    </row>
    <row r="150" spans="1:10" x14ac:dyDescent="0.25">
      <c r="A150" s="8" t="str">
        <f>'2025_Chase9335_Activity_2026062'!A150</f>
        <v>DEBIT</v>
      </c>
      <c r="B150" s="24">
        <f>'2025_Chase9335_Activity_2026062'!B150</f>
        <v>45987</v>
      </c>
      <c r="C150" s="8" t="str">
        <f>'2025_Chase9335_Activity_2026062'!C150</f>
        <v>Prime Video *B21HS8SW 888-802-3080 WA        11/26</v>
      </c>
      <c r="D150" s="8">
        <f>'2025_Chase9335_Activity_2026062'!D150</f>
        <v>-4.47</v>
      </c>
      <c r="E150" s="8" t="str">
        <f>'2025_Chase9335_Activity_2026062'!E150</f>
        <v>DEBIT_CARD</v>
      </c>
      <c r="F150" s="8">
        <f>'2025_Chase9335_Activity_2026062'!F150</f>
        <v>273529.24</v>
      </c>
      <c r="G150" s="8" t="str">
        <f>'2025_Chase9335_Activity_2026062'!G150</f>
        <v>Amazon Prime Video</v>
      </c>
      <c r="H150" s="26">
        <f t="shared" si="2"/>
        <v>45962</v>
      </c>
      <c r="I150" s="8" t="str">
        <f>IF($G150="","Uncategorized — Review",IFERROR(_xlfn.XLOOKUP($G150,Mapping!$A:$A,Mapping!$B:$B),"Uncategorized — Review"))</f>
        <v>Amazon Prime Video</v>
      </c>
      <c r="J150" s="8" t="str">
        <f>IF($G150="","Uncategorized — Review",IFERROR(_xlfn.XLOOKUP($G150,Mapping!$A:$A,Mapping!$C:$C),"Uncategorized — Review"))</f>
        <v>Personal — Owner</v>
      </c>
    </row>
    <row r="151" spans="1:10" x14ac:dyDescent="0.25">
      <c r="A151" s="8" t="str">
        <f>'2025_Chase9335_Activity_2026062'!A151</f>
        <v>CREDIT</v>
      </c>
      <c r="B151" s="24">
        <f>'2025_Chase9335_Activity_2026062'!B151</f>
        <v>45987</v>
      </c>
      <c r="C151" s="8" t="str">
        <f>'2025_Chase9335_Activity_2026062'!C151</f>
        <v>Online Transfer from CHK ...3922 transaction#: 27101422763</v>
      </c>
      <c r="D151" s="8">
        <f>'2025_Chase9335_Activity_2026062'!D151</f>
        <v>270000</v>
      </c>
      <c r="E151" s="8" t="str">
        <f>'2025_Chase9335_Activity_2026062'!E151</f>
        <v>ACCT_XFER</v>
      </c>
      <c r="F151" s="8">
        <f>'2025_Chase9335_Activity_2026062'!F151</f>
        <v>273533.71000000002</v>
      </c>
      <c r="G151" s="8" t="str">
        <f>'2025_Chase9335_Activity_2026062'!G151</f>
        <v>Transfer from DWG Capital Partners</v>
      </c>
      <c r="H151" s="26">
        <f t="shared" si="2"/>
        <v>45962</v>
      </c>
      <c r="I151" s="8" t="str">
        <f>IF($G151="","Uncategorized — Review",IFERROR(_xlfn.XLOOKUP($G151,Mapping!$A:$A,Mapping!$B:$B),"Uncategorized — Review"))</f>
        <v>Transfer from DWG Capital Partners</v>
      </c>
      <c r="J151" s="8" t="str">
        <f>IF($G151="","Uncategorized — Review",IFERROR(_xlfn.XLOOKUP($G151,Mapping!$A:$A,Mapping!$C:$C),"Uncategorized — Review"))</f>
        <v>Intercompany &amp; Savings Transfers</v>
      </c>
    </row>
    <row r="152" spans="1:10" x14ac:dyDescent="0.25">
      <c r="A152" s="8" t="str">
        <f>'2025_Chase9335_Activity_2026062'!A152</f>
        <v>DEBIT</v>
      </c>
      <c r="B152" s="24">
        <f>'2025_Chase9335_Activity_2026062'!B152</f>
        <v>45986</v>
      </c>
      <c r="C152" s="8" t="str">
        <f>'2025_Chase9335_Activity_2026062'!C152</f>
        <v>APPLE COM BILL CUPERTINO CA          289656  11/25</v>
      </c>
      <c r="D152" s="8">
        <f>'2025_Chase9335_Activity_2026062'!D152</f>
        <v>-30.89</v>
      </c>
      <c r="E152" s="8" t="str">
        <f>'2025_Chase9335_Activity_2026062'!E152</f>
        <v>DEBIT_CARD</v>
      </c>
      <c r="F152" s="8">
        <f>'2025_Chase9335_Activity_2026062'!F152</f>
        <v>3533.71</v>
      </c>
      <c r="G152" s="8" t="str">
        <f>'2025_Chase9335_Activity_2026062'!G152</f>
        <v>Personal - Subscriptions</v>
      </c>
      <c r="H152" s="26">
        <f t="shared" si="2"/>
        <v>45962</v>
      </c>
      <c r="I152" s="8" t="str">
        <f>IF($G152="","Uncategorized — Review",IFERROR(_xlfn.XLOOKUP($G152,Mapping!$A:$A,Mapping!$B:$B),"Uncategorized — Review"))</f>
        <v>Personal - Subscriptions</v>
      </c>
      <c r="J152" s="8" t="str">
        <f>IF($G152="","Uncategorized — Review",IFERROR(_xlfn.XLOOKUP($G152,Mapping!$A:$A,Mapping!$C:$C),"Uncategorized — Review"))</f>
        <v>Personal — Owner</v>
      </c>
    </row>
    <row r="153" spans="1:10" x14ac:dyDescent="0.25">
      <c r="A153" s="8" t="str">
        <f>'2025_Chase9335_Activity_2026062'!A153</f>
        <v>DEBIT</v>
      </c>
      <c r="B153" s="24">
        <f>'2025_Chase9335_Activity_2026062'!B153</f>
        <v>45986</v>
      </c>
      <c r="C153" s="8" t="str">
        <f>'2025_Chase9335_Activity_2026062'!C153</f>
        <v>Prime Video *B26226V6 888-802-3080 WA        11/25</v>
      </c>
      <c r="D153" s="8">
        <f>'2025_Chase9335_Activity_2026062'!D153</f>
        <v>-4.05</v>
      </c>
      <c r="E153" s="8" t="str">
        <f>'2025_Chase9335_Activity_2026062'!E153</f>
        <v>DEBIT_CARD</v>
      </c>
      <c r="F153" s="8">
        <f>'2025_Chase9335_Activity_2026062'!F153</f>
        <v>3564.6</v>
      </c>
      <c r="G153" s="8" t="str">
        <f>'2025_Chase9335_Activity_2026062'!G153</f>
        <v>Amazon Prime Video</v>
      </c>
      <c r="H153" s="26">
        <f t="shared" si="2"/>
        <v>45962</v>
      </c>
      <c r="I153" s="8" t="str">
        <f>IF($G153="","Uncategorized — Review",IFERROR(_xlfn.XLOOKUP($G153,Mapping!$A:$A,Mapping!$B:$B),"Uncategorized — Review"))</f>
        <v>Amazon Prime Video</v>
      </c>
      <c r="J153" s="8" t="str">
        <f>IF($G153="","Uncategorized — Review",IFERROR(_xlfn.XLOOKUP($G153,Mapping!$A:$A,Mapping!$C:$C),"Uncategorized — Review"))</f>
        <v>Personal — Owner</v>
      </c>
    </row>
    <row r="154" spans="1:10" x14ac:dyDescent="0.25">
      <c r="A154" s="8" t="str">
        <f>'2025_Chase9335_Activity_2026062'!A154</f>
        <v>DEBIT</v>
      </c>
      <c r="B154" s="24">
        <f>'2025_Chase9335_Activity_2026062'!B154</f>
        <v>45985</v>
      </c>
      <c r="C154" s="8" t="str">
        <f>'2025_Chase9335_Activity_2026062'!C154</f>
        <v>Prime Video *B21K83CJ 888-802-3080 WA        11/24</v>
      </c>
      <c r="D154" s="8">
        <f>'2025_Chase9335_Activity_2026062'!D154</f>
        <v>-4.05</v>
      </c>
      <c r="E154" s="8" t="str">
        <f>'2025_Chase9335_Activity_2026062'!E154</f>
        <v>DEBIT_CARD</v>
      </c>
      <c r="F154" s="8">
        <f>'2025_Chase9335_Activity_2026062'!F154</f>
        <v>3568.65</v>
      </c>
      <c r="G154" s="8" t="str">
        <f>'2025_Chase9335_Activity_2026062'!G154</f>
        <v>Amazon Prime Video</v>
      </c>
      <c r="H154" s="26">
        <f t="shared" si="2"/>
        <v>45962</v>
      </c>
      <c r="I154" s="8" t="str">
        <f>IF($G154="","Uncategorized — Review",IFERROR(_xlfn.XLOOKUP($G154,Mapping!$A:$A,Mapping!$B:$B),"Uncategorized — Review"))</f>
        <v>Amazon Prime Video</v>
      </c>
      <c r="J154" s="8" t="str">
        <f>IF($G154="","Uncategorized — Review",IFERROR(_xlfn.XLOOKUP($G154,Mapping!$A:$A,Mapping!$C:$C),"Uncategorized — Review"))</f>
        <v>Personal — Owner</v>
      </c>
    </row>
    <row r="155" spans="1:10" x14ac:dyDescent="0.25">
      <c r="A155" s="8" t="str">
        <f>'2025_Chase9335_Activity_2026062'!A155</f>
        <v>DEBIT</v>
      </c>
      <c r="B155" s="24">
        <f>'2025_Chase9335_Activity_2026062'!B155</f>
        <v>45985</v>
      </c>
      <c r="C155" s="8" t="str">
        <f>'2025_Chase9335_Activity_2026062'!C155</f>
        <v>Prime Video *B239Y9OX 888-802-3080 WA        11/24</v>
      </c>
      <c r="D155" s="8">
        <f>'2025_Chase9335_Activity_2026062'!D155</f>
        <v>-4.26</v>
      </c>
      <c r="E155" s="8" t="str">
        <f>'2025_Chase9335_Activity_2026062'!E155</f>
        <v>DEBIT_CARD</v>
      </c>
      <c r="F155" s="8">
        <f>'2025_Chase9335_Activity_2026062'!F155</f>
        <v>3572.7</v>
      </c>
      <c r="G155" s="8" t="str">
        <f>'2025_Chase9335_Activity_2026062'!G155</f>
        <v>Amazon Prime Video</v>
      </c>
      <c r="H155" s="26">
        <f t="shared" si="2"/>
        <v>45962</v>
      </c>
      <c r="I155" s="8" t="str">
        <f>IF($G155="","Uncategorized — Review",IFERROR(_xlfn.XLOOKUP($G155,Mapping!$A:$A,Mapping!$B:$B),"Uncategorized — Review"))</f>
        <v>Amazon Prime Video</v>
      </c>
      <c r="J155" s="8" t="str">
        <f>IF($G155="","Uncategorized — Review",IFERROR(_xlfn.XLOOKUP($G155,Mapping!$A:$A,Mapping!$C:$C),"Uncategorized — Review"))</f>
        <v>Personal — Owner</v>
      </c>
    </row>
    <row r="156" spans="1:10" x14ac:dyDescent="0.25">
      <c r="A156" s="8" t="str">
        <f>'2025_Chase9335_Activity_2026062'!A156</f>
        <v>DEBIT</v>
      </c>
      <c r="B156" s="24">
        <f>'2025_Chase9335_Activity_2026062'!B156</f>
        <v>45985</v>
      </c>
      <c r="C156" s="8" t="str">
        <f>'2025_Chase9335_Activity_2026062'!C156</f>
        <v>EBAY O*11-13873-84344 SAN JOSE CA    144527  11/23</v>
      </c>
      <c r="D156" s="8">
        <f>'2025_Chase9335_Activity_2026062'!D156</f>
        <v>-28.54</v>
      </c>
      <c r="E156" s="8" t="str">
        <f>'2025_Chase9335_Activity_2026062'!E156</f>
        <v>DEBIT_CARD</v>
      </c>
      <c r="F156" s="8">
        <f>'2025_Chase9335_Activity_2026062'!F156</f>
        <v>3576.96</v>
      </c>
      <c r="G156" s="8" t="str">
        <f>'2025_Chase9335_Activity_2026062'!G156</f>
        <v>Personal - Shopping</v>
      </c>
      <c r="H156" s="26">
        <f t="shared" si="2"/>
        <v>45962</v>
      </c>
      <c r="I156" s="8" t="str">
        <f>IF($G156="","Uncategorized — Review",IFERROR(_xlfn.XLOOKUP($G156,Mapping!$A:$A,Mapping!$B:$B),"Uncategorized — Review"))</f>
        <v>Personal - Shopping</v>
      </c>
      <c r="J156" s="8" t="str">
        <f>IF($G156="","Uncategorized — Review",IFERROR(_xlfn.XLOOKUP($G156,Mapping!$A:$A,Mapping!$C:$C),"Uncategorized — Review"))</f>
        <v>Personal — Owner</v>
      </c>
    </row>
    <row r="157" spans="1:10" x14ac:dyDescent="0.25">
      <c r="A157" s="8" t="str">
        <f>'2025_Chase9335_Activity_2026062'!A157</f>
        <v>DEBIT</v>
      </c>
      <c r="B157" s="24">
        <f>'2025_Chase9335_Activity_2026062'!B157</f>
        <v>45985</v>
      </c>
      <c r="C157" s="8" t="str">
        <f>'2025_Chase9335_Activity_2026062'!C157</f>
        <v>Prime Video *B22RW1NH 888-802-3080 WA        11/23</v>
      </c>
      <c r="D157" s="8">
        <f>'2025_Chase9335_Activity_2026062'!D157</f>
        <v>-4.05</v>
      </c>
      <c r="E157" s="8" t="str">
        <f>'2025_Chase9335_Activity_2026062'!E157</f>
        <v>DEBIT_CARD</v>
      </c>
      <c r="F157" s="8">
        <f>'2025_Chase9335_Activity_2026062'!F157</f>
        <v>3605.5</v>
      </c>
      <c r="G157" s="8" t="str">
        <f>'2025_Chase9335_Activity_2026062'!G157</f>
        <v>Amazon Prime Video</v>
      </c>
      <c r="H157" s="26">
        <f t="shared" si="2"/>
        <v>45962</v>
      </c>
      <c r="I157" s="8" t="str">
        <f>IF($G157="","Uncategorized — Review",IFERROR(_xlfn.XLOOKUP($G157,Mapping!$A:$A,Mapping!$B:$B),"Uncategorized — Review"))</f>
        <v>Amazon Prime Video</v>
      </c>
      <c r="J157" s="8" t="str">
        <f>IF($G157="","Uncategorized — Review",IFERROR(_xlfn.XLOOKUP($G157,Mapping!$A:$A,Mapping!$C:$C),"Uncategorized — Review"))</f>
        <v>Personal — Owner</v>
      </c>
    </row>
    <row r="158" spans="1:10" x14ac:dyDescent="0.25">
      <c r="A158" s="8" t="str">
        <f>'2025_Chase9335_Activity_2026062'!A158</f>
        <v>DEBIT</v>
      </c>
      <c r="B158" s="24">
        <f>'2025_Chase9335_Activity_2026062'!B158</f>
        <v>45985</v>
      </c>
      <c r="C158" s="8" t="str">
        <f>'2025_Chase9335_Activity_2026062'!C158</f>
        <v>Amazon.com*B017Q1YW0 Amzn.com/bill WA        11/23</v>
      </c>
      <c r="D158" s="8">
        <f>'2025_Chase9335_Activity_2026062'!D158</f>
        <v>-42</v>
      </c>
      <c r="E158" s="8" t="str">
        <f>'2025_Chase9335_Activity_2026062'!E158</f>
        <v>DEBIT_CARD</v>
      </c>
      <c r="F158" s="8">
        <f>'2025_Chase9335_Activity_2026062'!F158</f>
        <v>3609.55</v>
      </c>
      <c r="G158" s="8" t="str">
        <f>'2025_Chase9335_Activity_2026062'!G158</f>
        <v>Amazon</v>
      </c>
      <c r="H158" s="26">
        <f t="shared" si="2"/>
        <v>45962</v>
      </c>
      <c r="I158" s="8" t="str">
        <f>IF($G158="","Uncategorized — Review",IFERROR(_xlfn.XLOOKUP($G158,Mapping!$A:$A,Mapping!$B:$B),"Uncategorized — Review"))</f>
        <v>Amazon</v>
      </c>
      <c r="J158" s="8" t="str">
        <f>IF($G158="","Uncategorized — Review",IFERROR(_xlfn.XLOOKUP($G158,Mapping!$A:$A,Mapping!$C:$C),"Uncategorized — Review"))</f>
        <v>Personal — Owner</v>
      </c>
    </row>
    <row r="159" spans="1:10" x14ac:dyDescent="0.25">
      <c r="A159" s="8" t="str">
        <f>'2025_Chase9335_Activity_2026062'!A159</f>
        <v>DEBIT</v>
      </c>
      <c r="B159" s="24">
        <f>'2025_Chase9335_Activity_2026062'!B159</f>
        <v>45985</v>
      </c>
      <c r="C159" s="8" t="str">
        <f>'2025_Chase9335_Activity_2026062'!C159</f>
        <v>VINEYARD CHURCH WWW.VINEYARDC CA             11/23</v>
      </c>
      <c r="D159" s="8">
        <f>'2025_Chase9335_Activity_2026062'!D159</f>
        <v>-23</v>
      </c>
      <c r="E159" s="8" t="str">
        <f>'2025_Chase9335_Activity_2026062'!E159</f>
        <v>DEBIT_CARD</v>
      </c>
      <c r="F159" s="8">
        <f>'2025_Chase9335_Activity_2026062'!F159</f>
        <v>3651.55</v>
      </c>
      <c r="G159" s="8" t="str">
        <f>'2025_Chase9335_Activity_2026062'!G159</f>
        <v>Personal - Donation</v>
      </c>
      <c r="H159" s="26">
        <f t="shared" si="2"/>
        <v>45962</v>
      </c>
      <c r="I159" s="8" t="str">
        <f>IF($G159="","Uncategorized — Review",IFERROR(_xlfn.XLOOKUP($G159,Mapping!$A:$A,Mapping!$B:$B),"Uncategorized — Review"))</f>
        <v>Personal - Donation</v>
      </c>
      <c r="J159" s="8" t="str">
        <f>IF($G159="","Uncategorized — Review",IFERROR(_xlfn.XLOOKUP($G159,Mapping!$A:$A,Mapping!$C:$C),"Uncategorized — Review"))</f>
        <v>Personal — Owner</v>
      </c>
    </row>
    <row r="160" spans="1:10" x14ac:dyDescent="0.25">
      <c r="A160" s="8" t="str">
        <f>'2025_Chase9335_Activity_2026062'!A160</f>
        <v>DEBIT</v>
      </c>
      <c r="B160" s="24">
        <f>'2025_Chase9335_Activity_2026062'!B160</f>
        <v>45985</v>
      </c>
      <c r="C160" s="8" t="str">
        <f>'2025_Chase9335_Activity_2026062'!C160</f>
        <v>APPLE COM BILL CUPERTINO CA          319474  11/22</v>
      </c>
      <c r="D160" s="8">
        <f>'2025_Chase9335_Activity_2026062'!D160</f>
        <v>-30.89</v>
      </c>
      <c r="E160" s="8" t="str">
        <f>'2025_Chase9335_Activity_2026062'!E160</f>
        <v>DEBIT_CARD</v>
      </c>
      <c r="F160" s="8">
        <f>'2025_Chase9335_Activity_2026062'!F160</f>
        <v>3674.55</v>
      </c>
      <c r="G160" s="8" t="str">
        <f>'2025_Chase9335_Activity_2026062'!G160</f>
        <v>Personal - Subscriptions</v>
      </c>
      <c r="H160" s="26">
        <f t="shared" si="2"/>
        <v>45962</v>
      </c>
      <c r="I160" s="8" t="str">
        <f>IF($G160="","Uncategorized — Review",IFERROR(_xlfn.XLOOKUP($G160,Mapping!$A:$A,Mapping!$B:$B),"Uncategorized — Review"))</f>
        <v>Personal - Subscriptions</v>
      </c>
      <c r="J160" s="8" t="str">
        <f>IF($G160="","Uncategorized — Review",IFERROR(_xlfn.XLOOKUP($G160,Mapping!$A:$A,Mapping!$C:$C),"Uncategorized — Review"))</f>
        <v>Personal — Owner</v>
      </c>
    </row>
    <row r="161" spans="1:10" x14ac:dyDescent="0.25">
      <c r="A161" s="8" t="str">
        <f>'2025_Chase9335_Activity_2026062'!A161</f>
        <v>DEBIT</v>
      </c>
      <c r="B161" s="24">
        <f>'2025_Chase9335_Activity_2026062'!B161</f>
        <v>45985</v>
      </c>
      <c r="C161" s="8" t="str">
        <f>'2025_Chase9335_Activity_2026062'!C161</f>
        <v>WAYMO 844-261-3753 CA                        11/22</v>
      </c>
      <c r="D161" s="8">
        <f>'2025_Chase9335_Activity_2026062'!D161</f>
        <v>-50.45</v>
      </c>
      <c r="E161" s="8" t="str">
        <f>'2025_Chase9335_Activity_2026062'!E161</f>
        <v>DEBIT_CARD</v>
      </c>
      <c r="F161" s="8">
        <f>'2025_Chase9335_Activity_2026062'!F161</f>
        <v>3705.44</v>
      </c>
      <c r="G161" s="8" t="str">
        <f>'2025_Chase9335_Activity_2026062'!G161</f>
        <v>Personal - Car</v>
      </c>
      <c r="H161" s="26">
        <f t="shared" si="2"/>
        <v>45962</v>
      </c>
      <c r="I161" s="8" t="str">
        <f>IF($G161="","Uncategorized — Review",IFERROR(_xlfn.XLOOKUP($G161,Mapping!$A:$A,Mapping!$B:$B),"Uncategorized — Review"))</f>
        <v>Personal - Car &amp; Auto</v>
      </c>
      <c r="J161" s="8" t="str">
        <f>IF($G161="","Uncategorized — Review",IFERROR(_xlfn.XLOOKUP($G161,Mapping!$A:$A,Mapping!$C:$C),"Uncategorized — Review"))</f>
        <v>Personal — Owner</v>
      </c>
    </row>
    <row r="162" spans="1:10" x14ac:dyDescent="0.25">
      <c r="A162" s="8" t="str">
        <f>'2025_Chase9335_Activity_2026062'!A162</f>
        <v>DEBIT</v>
      </c>
      <c r="B162" s="24">
        <f>'2025_Chase9335_Activity_2026062'!B162</f>
        <v>45985</v>
      </c>
      <c r="C162" s="8" t="str">
        <f>'2025_Chase9335_Activity_2026062'!C162</f>
        <v>Prime Video *B03F60IX 888-802-3080 WA        11/22</v>
      </c>
      <c r="D162" s="8">
        <f>'2025_Chase9335_Activity_2026062'!D162</f>
        <v>-4.26</v>
      </c>
      <c r="E162" s="8" t="str">
        <f>'2025_Chase9335_Activity_2026062'!E162</f>
        <v>DEBIT_CARD</v>
      </c>
      <c r="F162" s="8">
        <f>'2025_Chase9335_Activity_2026062'!F162</f>
        <v>3755.89</v>
      </c>
      <c r="G162" s="8" t="str">
        <f>'2025_Chase9335_Activity_2026062'!G162</f>
        <v>Amazon Prime Video</v>
      </c>
      <c r="H162" s="26">
        <f t="shared" si="2"/>
        <v>45962</v>
      </c>
      <c r="I162" s="8" t="str">
        <f>IF($G162="","Uncategorized — Review",IFERROR(_xlfn.XLOOKUP($G162,Mapping!$A:$A,Mapping!$B:$B),"Uncategorized — Review"))</f>
        <v>Amazon Prime Video</v>
      </c>
      <c r="J162" s="8" t="str">
        <f>IF($G162="","Uncategorized — Review",IFERROR(_xlfn.XLOOKUP($G162,Mapping!$A:$A,Mapping!$C:$C),"Uncategorized — Review"))</f>
        <v>Personal — Owner</v>
      </c>
    </row>
    <row r="163" spans="1:10" x14ac:dyDescent="0.25">
      <c r="A163" s="8" t="str">
        <f>'2025_Chase9335_Activity_2026062'!A163</f>
        <v>DEBIT</v>
      </c>
      <c r="B163" s="24">
        <f>'2025_Chase9335_Activity_2026062'!B163</f>
        <v>45982</v>
      </c>
      <c r="C163" s="8" t="str">
        <f>'2025_Chase9335_Activity_2026062'!C163</f>
        <v>Online Transfer to CHK ...1168 transaction#: 27047021636 11/21</v>
      </c>
      <c r="D163" s="8">
        <f>'2025_Chase9335_Activity_2026062'!D163</f>
        <v>-10000</v>
      </c>
      <c r="E163" s="8" t="str">
        <f>'2025_Chase9335_Activity_2026062'!E163</f>
        <v>ACCT_XFER</v>
      </c>
      <c r="F163" s="8">
        <f>'2025_Chase9335_Activity_2026062'!F163</f>
        <v>3760.15</v>
      </c>
      <c r="G163" s="8" t="str">
        <f>'2025_Chase9335_Activity_2026062'!G163</f>
        <v>Transfer to DWG Capital Group</v>
      </c>
      <c r="H163" s="26">
        <f t="shared" si="2"/>
        <v>45962</v>
      </c>
      <c r="I163" s="8" t="str">
        <f>IF($G163="","Uncategorized — Review",IFERROR(_xlfn.XLOOKUP($G163,Mapping!$A:$A,Mapping!$B:$B),"Uncategorized — Review"))</f>
        <v>Transfer to DWG Capital Group</v>
      </c>
      <c r="J163" s="8" t="str">
        <f>IF($G163="","Uncategorized — Review",IFERROR(_xlfn.XLOOKUP($G163,Mapping!$A:$A,Mapping!$C:$C),"Uncategorized — Review"))</f>
        <v>Intercompany &amp; Savings Transfers</v>
      </c>
    </row>
    <row r="164" spans="1:10" x14ac:dyDescent="0.25">
      <c r="A164" s="8" t="str">
        <f>'2025_Chase9335_Activity_2026062'!A164</f>
        <v>DEBIT</v>
      </c>
      <c r="B164" s="24">
        <f>'2025_Chase9335_Activity_2026062'!B164</f>
        <v>45982</v>
      </c>
      <c r="C164" s="8" t="str">
        <f>'2025_Chase9335_Activity_2026062'!C164</f>
        <v>Netflix.com 408-5403700 CA                   11/21</v>
      </c>
      <c r="D164" s="8">
        <f>'2025_Chase9335_Activity_2026062'!D164</f>
        <v>-24.99</v>
      </c>
      <c r="E164" s="8" t="str">
        <f>'2025_Chase9335_Activity_2026062'!E164</f>
        <v>DEBIT_CARD</v>
      </c>
      <c r="F164" s="8">
        <f>'2025_Chase9335_Activity_2026062'!F164</f>
        <v>13760.15</v>
      </c>
      <c r="G164" s="8" t="str">
        <f>'2025_Chase9335_Activity_2026062'!G164</f>
        <v>Personal - Subscriptions</v>
      </c>
      <c r="H164" s="26">
        <f t="shared" si="2"/>
        <v>45962</v>
      </c>
      <c r="I164" s="8" t="str">
        <f>IF($G164="","Uncategorized — Review",IFERROR(_xlfn.XLOOKUP($G164,Mapping!$A:$A,Mapping!$B:$B),"Uncategorized — Review"))</f>
        <v>Personal - Subscriptions</v>
      </c>
      <c r="J164" s="8" t="str">
        <f>IF($G164="","Uncategorized — Review",IFERROR(_xlfn.XLOOKUP($G164,Mapping!$A:$A,Mapping!$C:$C),"Uncategorized — Review"))</f>
        <v>Personal — Owner</v>
      </c>
    </row>
    <row r="165" spans="1:10" x14ac:dyDescent="0.25">
      <c r="A165" s="8" t="str">
        <f>'2025_Chase9335_Activity_2026062'!A165</f>
        <v>DEBIT</v>
      </c>
      <c r="B165" s="24">
        <f>'2025_Chase9335_Activity_2026062'!B165</f>
        <v>45981</v>
      </c>
      <c r="C165" s="8" t="str">
        <f>'2025_Chase9335_Activity_2026062'!C165</f>
        <v>Amazon Tips*B06PC9A5 Amzn.com/bill WA        11/19</v>
      </c>
      <c r="D165" s="8">
        <f>'2025_Chase9335_Activity_2026062'!D165</f>
        <v>-5</v>
      </c>
      <c r="E165" s="8" t="str">
        <f>'2025_Chase9335_Activity_2026062'!E165</f>
        <v>DEBIT_CARD</v>
      </c>
      <c r="F165" s="8">
        <f>'2025_Chase9335_Activity_2026062'!F165</f>
        <v>13785.14</v>
      </c>
      <c r="G165" s="8" t="str">
        <f>'2025_Chase9335_Activity_2026062'!G165</f>
        <v>Amazon</v>
      </c>
      <c r="H165" s="26">
        <f t="shared" si="2"/>
        <v>45962</v>
      </c>
      <c r="I165" s="8" t="str">
        <f>IF($G165="","Uncategorized — Review",IFERROR(_xlfn.XLOOKUP($G165,Mapping!$A:$A,Mapping!$B:$B),"Uncategorized — Review"))</f>
        <v>Amazon</v>
      </c>
      <c r="J165" s="8" t="str">
        <f>IF($G165="","Uncategorized — Review",IFERROR(_xlfn.XLOOKUP($G165,Mapping!$A:$A,Mapping!$C:$C),"Uncategorized — Review"))</f>
        <v>Personal — Owner</v>
      </c>
    </row>
    <row r="166" spans="1:10" x14ac:dyDescent="0.25">
      <c r="A166" s="8" t="str">
        <f>'2025_Chase9335_Activity_2026062'!A166</f>
        <v>DEBIT</v>
      </c>
      <c r="B166" s="24">
        <f>'2025_Chase9335_Activity_2026062'!B166</f>
        <v>45981</v>
      </c>
      <c r="C166" s="8" t="str">
        <f>'2025_Chase9335_Activity_2026062'!C166</f>
        <v>ANGEL WWW.ANGEL.COM UT                       11/19</v>
      </c>
      <c r="D166" s="8">
        <f>'2025_Chase9335_Activity_2026062'!D166</f>
        <v>-20</v>
      </c>
      <c r="E166" s="8" t="str">
        <f>'2025_Chase9335_Activity_2026062'!E166</f>
        <v>DEBIT_CARD</v>
      </c>
      <c r="F166" s="8">
        <f>'2025_Chase9335_Activity_2026062'!F166</f>
        <v>13790.14</v>
      </c>
      <c r="G166" s="8" t="str">
        <f>'2025_Chase9335_Activity_2026062'!G166</f>
        <v>Personal - Subscriptions</v>
      </c>
      <c r="H166" s="26">
        <f t="shared" si="2"/>
        <v>45962</v>
      </c>
      <c r="I166" s="8" t="str">
        <f>IF($G166="","Uncategorized — Review",IFERROR(_xlfn.XLOOKUP($G166,Mapping!$A:$A,Mapping!$B:$B),"Uncategorized — Review"))</f>
        <v>Personal - Subscriptions</v>
      </c>
      <c r="J166" s="8" t="str">
        <f>IF($G166="","Uncategorized — Review",IFERROR(_xlfn.XLOOKUP($G166,Mapping!$A:$A,Mapping!$C:$C),"Uncategorized — Review"))</f>
        <v>Personal — Owner</v>
      </c>
    </row>
    <row r="167" spans="1:10" x14ac:dyDescent="0.25">
      <c r="A167" s="8" t="str">
        <f>'2025_Chase9335_Activity_2026062'!A167</f>
        <v>DEBIT</v>
      </c>
      <c r="B167" s="24">
        <f>'2025_Chase9335_Activity_2026062'!B167</f>
        <v>45980</v>
      </c>
      <c r="C167" s="8" t="str">
        <f>'2025_Chase9335_Activity_2026062'!C167</f>
        <v>Amazon.com*B025R3ZQ2 Amzn.com/bill WA        11/18</v>
      </c>
      <c r="D167" s="8">
        <f>'2025_Chase9335_Activity_2026062'!D167</f>
        <v>-51.98</v>
      </c>
      <c r="E167" s="8" t="str">
        <f>'2025_Chase9335_Activity_2026062'!E167</f>
        <v>DEBIT_CARD</v>
      </c>
      <c r="F167" s="8">
        <f>'2025_Chase9335_Activity_2026062'!F167</f>
        <v>13810.14</v>
      </c>
      <c r="G167" s="8" t="str">
        <f>'2025_Chase9335_Activity_2026062'!G167</f>
        <v>Amazon</v>
      </c>
      <c r="H167" s="26">
        <f t="shared" si="2"/>
        <v>45962</v>
      </c>
      <c r="I167" s="8" t="str">
        <f>IF($G167="","Uncategorized — Review",IFERROR(_xlfn.XLOOKUP($G167,Mapping!$A:$A,Mapping!$B:$B),"Uncategorized — Review"))</f>
        <v>Amazon</v>
      </c>
      <c r="J167" s="8" t="str">
        <f>IF($G167="","Uncategorized — Review",IFERROR(_xlfn.XLOOKUP($G167,Mapping!$A:$A,Mapping!$C:$C),"Uncategorized — Review"))</f>
        <v>Personal — Owner</v>
      </c>
    </row>
    <row r="168" spans="1:10" x14ac:dyDescent="0.25">
      <c r="A168" s="8" t="str">
        <f>'2025_Chase9335_Activity_2026062'!A168</f>
        <v>DEBIT</v>
      </c>
      <c r="B168" s="24">
        <f>'2025_Chase9335_Activity_2026062'!B168</f>
        <v>45980</v>
      </c>
      <c r="C168" s="8" t="str">
        <f>'2025_Chase9335_Activity_2026062'!C168</f>
        <v>Amazon.com*B02OW9LO2 Amzn.com/bill WA        11/18</v>
      </c>
      <c r="D168" s="8">
        <f>'2025_Chase9335_Activity_2026062'!D168</f>
        <v>-32.799999999999997</v>
      </c>
      <c r="E168" s="8" t="str">
        <f>'2025_Chase9335_Activity_2026062'!E168</f>
        <v>DEBIT_CARD</v>
      </c>
      <c r="F168" s="8">
        <f>'2025_Chase9335_Activity_2026062'!F168</f>
        <v>13862.12</v>
      </c>
      <c r="G168" s="8" t="str">
        <f>'2025_Chase9335_Activity_2026062'!G168</f>
        <v>Amazon</v>
      </c>
      <c r="H168" s="26">
        <f t="shared" si="2"/>
        <v>45962</v>
      </c>
      <c r="I168" s="8" t="str">
        <f>IF($G168="","Uncategorized — Review",IFERROR(_xlfn.XLOOKUP($G168,Mapping!$A:$A,Mapping!$B:$B),"Uncategorized — Review"))</f>
        <v>Amazon</v>
      </c>
      <c r="J168" s="8" t="str">
        <f>IF($G168="","Uncategorized — Review",IFERROR(_xlfn.XLOOKUP($G168,Mapping!$A:$A,Mapping!$C:$C),"Uncategorized — Review"))</f>
        <v>Personal — Owner</v>
      </c>
    </row>
    <row r="169" spans="1:10" x14ac:dyDescent="0.25">
      <c r="A169" s="8" t="str">
        <f>'2025_Chase9335_Activity_2026062'!A169</f>
        <v>DEBIT</v>
      </c>
      <c r="B169" s="24">
        <f>'2025_Chase9335_Activity_2026062'!B169</f>
        <v>45980</v>
      </c>
      <c r="C169" s="8" t="str">
        <f>'2025_Chase9335_Activity_2026062'!C169</f>
        <v>Amazon.com*B03DQ1AK1 Amzn.com/bill WA        11/18</v>
      </c>
      <c r="D169" s="8">
        <f>'2025_Chase9335_Activity_2026062'!D169</f>
        <v>-15.3</v>
      </c>
      <c r="E169" s="8" t="str">
        <f>'2025_Chase9335_Activity_2026062'!E169</f>
        <v>DEBIT_CARD</v>
      </c>
      <c r="F169" s="8">
        <f>'2025_Chase9335_Activity_2026062'!F169</f>
        <v>13894.92</v>
      </c>
      <c r="G169" s="8" t="str">
        <f>'2025_Chase9335_Activity_2026062'!G169</f>
        <v>Amazon</v>
      </c>
      <c r="H169" s="26">
        <f t="shared" si="2"/>
        <v>45962</v>
      </c>
      <c r="I169" s="8" t="str">
        <f>IF($G169="","Uncategorized — Review",IFERROR(_xlfn.XLOOKUP($G169,Mapping!$A:$A,Mapping!$B:$B),"Uncategorized — Review"))</f>
        <v>Amazon</v>
      </c>
      <c r="J169" s="8" t="str">
        <f>IF($G169="","Uncategorized — Review",IFERROR(_xlfn.XLOOKUP($G169,Mapping!$A:$A,Mapping!$C:$C),"Uncategorized — Review"))</f>
        <v>Personal — Owner</v>
      </c>
    </row>
    <row r="170" spans="1:10" x14ac:dyDescent="0.25">
      <c r="A170" s="8" t="str">
        <f>'2025_Chase9335_Activity_2026062'!A170</f>
        <v>DEBIT</v>
      </c>
      <c r="B170" s="24">
        <f>'2025_Chase9335_Activity_2026062'!B170</f>
        <v>45979</v>
      </c>
      <c r="C170" s="8" t="str">
        <f>'2025_Chase9335_Activity_2026062'!C170</f>
        <v>Amazon.com*B00JT84V2 Amzn.com/bill WA        11/18</v>
      </c>
      <c r="D170" s="8">
        <f>'2025_Chase9335_Activity_2026062'!D170</f>
        <v>-54.16</v>
      </c>
      <c r="E170" s="8" t="str">
        <f>'2025_Chase9335_Activity_2026062'!E170</f>
        <v>DEBIT_CARD</v>
      </c>
      <c r="F170" s="8">
        <f>'2025_Chase9335_Activity_2026062'!F170</f>
        <v>13910.22</v>
      </c>
      <c r="G170" s="8" t="str">
        <f>'2025_Chase9335_Activity_2026062'!G170</f>
        <v>Amazon</v>
      </c>
      <c r="H170" s="26">
        <f t="shared" si="2"/>
        <v>45962</v>
      </c>
      <c r="I170" s="8" t="str">
        <f>IF($G170="","Uncategorized — Review",IFERROR(_xlfn.XLOOKUP($G170,Mapping!$A:$A,Mapping!$B:$B),"Uncategorized — Review"))</f>
        <v>Amazon</v>
      </c>
      <c r="J170" s="8" t="str">
        <f>IF($G170="","Uncategorized — Review",IFERROR(_xlfn.XLOOKUP($G170,Mapping!$A:$A,Mapping!$C:$C),"Uncategorized — Review"))</f>
        <v>Personal — Owner</v>
      </c>
    </row>
    <row r="171" spans="1:10" x14ac:dyDescent="0.25">
      <c r="A171" s="8" t="str">
        <f>'2025_Chase9335_Activity_2026062'!A171</f>
        <v>DEBIT</v>
      </c>
      <c r="B171" s="24">
        <f>'2025_Chase9335_Activity_2026062'!B171</f>
        <v>45978</v>
      </c>
      <c r="C171" s="8" t="str">
        <f>'2025_Chase9335_Activity_2026062'!C171</f>
        <v>Online Transfer to CHK ...1168 transaction#: 26997500273 11/17</v>
      </c>
      <c r="D171" s="8">
        <f>'2025_Chase9335_Activity_2026062'!D171</f>
        <v>-15000</v>
      </c>
      <c r="E171" s="8" t="str">
        <f>'2025_Chase9335_Activity_2026062'!E171</f>
        <v>ACCT_XFER</v>
      </c>
      <c r="F171" s="8">
        <f>'2025_Chase9335_Activity_2026062'!F171</f>
        <v>13964.38</v>
      </c>
      <c r="G171" s="8" t="str">
        <f>'2025_Chase9335_Activity_2026062'!G171</f>
        <v>Transfer to DWG Capital Group</v>
      </c>
      <c r="H171" s="26">
        <f t="shared" si="2"/>
        <v>45962</v>
      </c>
      <c r="I171" s="8" t="str">
        <f>IF($G171="","Uncategorized — Review",IFERROR(_xlfn.XLOOKUP($G171,Mapping!$A:$A,Mapping!$B:$B),"Uncategorized — Review"))</f>
        <v>Transfer to DWG Capital Group</v>
      </c>
      <c r="J171" s="8" t="str">
        <f>IF($G171="","Uncategorized — Review",IFERROR(_xlfn.XLOOKUP($G171,Mapping!$A:$A,Mapping!$C:$C),"Uncategorized — Review"))</f>
        <v>Intercompany &amp; Savings Transfers</v>
      </c>
    </row>
    <row r="172" spans="1:10" x14ac:dyDescent="0.25">
      <c r="A172" s="8" t="str">
        <f>'2025_Chase9335_Activity_2026062'!A172</f>
        <v>DEBIT</v>
      </c>
      <c r="B172" s="24">
        <f>'2025_Chase9335_Activity_2026062'!B172</f>
        <v>45978</v>
      </c>
      <c r="C172" s="8" t="str">
        <f>'2025_Chase9335_Activity_2026062'!C172</f>
        <v>Prime Video *B88J84IP 888-802-3080 WA        11/17</v>
      </c>
      <c r="D172" s="8">
        <f>'2025_Chase9335_Activity_2026062'!D172</f>
        <v>-4.05</v>
      </c>
      <c r="E172" s="8" t="str">
        <f>'2025_Chase9335_Activity_2026062'!E172</f>
        <v>DEBIT_CARD</v>
      </c>
      <c r="F172" s="8">
        <f>'2025_Chase9335_Activity_2026062'!F172</f>
        <v>28964.38</v>
      </c>
      <c r="G172" s="8" t="str">
        <f>'2025_Chase9335_Activity_2026062'!G172</f>
        <v>Amazon Prime Video</v>
      </c>
      <c r="H172" s="26">
        <f t="shared" si="2"/>
        <v>45962</v>
      </c>
      <c r="I172" s="8" t="str">
        <f>IF($G172="","Uncategorized — Review",IFERROR(_xlfn.XLOOKUP($G172,Mapping!$A:$A,Mapping!$B:$B),"Uncategorized — Review"))</f>
        <v>Amazon Prime Video</v>
      </c>
      <c r="J172" s="8" t="str">
        <f>IF($G172="","Uncategorized — Review",IFERROR(_xlfn.XLOOKUP($G172,Mapping!$A:$A,Mapping!$C:$C),"Uncategorized — Review"))</f>
        <v>Personal — Owner</v>
      </c>
    </row>
    <row r="173" spans="1:10" x14ac:dyDescent="0.25">
      <c r="A173" s="8" t="str">
        <f>'2025_Chase9335_Activity_2026062'!A173</f>
        <v>DEBIT</v>
      </c>
      <c r="B173" s="24">
        <f>'2025_Chase9335_Activity_2026062'!B173</f>
        <v>45978</v>
      </c>
      <c r="C173" s="8" t="str">
        <f>'2025_Chase9335_Activity_2026062'!C173</f>
        <v>Online Transfer to CHK ...1168 transaction#: 26986352426 11/17</v>
      </c>
      <c r="D173" s="8">
        <f>'2025_Chase9335_Activity_2026062'!D173</f>
        <v>-10000</v>
      </c>
      <c r="E173" s="8" t="str">
        <f>'2025_Chase9335_Activity_2026062'!E173</f>
        <v>ACCT_XFER</v>
      </c>
      <c r="F173" s="8">
        <f>'2025_Chase9335_Activity_2026062'!F173</f>
        <v>28968.43</v>
      </c>
      <c r="G173" s="8" t="str">
        <f>'2025_Chase9335_Activity_2026062'!G173</f>
        <v>Transfer to DWG Capital Group</v>
      </c>
      <c r="H173" s="26">
        <f t="shared" si="2"/>
        <v>45962</v>
      </c>
      <c r="I173" s="8" t="str">
        <f>IF($G173="","Uncategorized — Review",IFERROR(_xlfn.XLOOKUP($G173,Mapping!$A:$A,Mapping!$B:$B),"Uncategorized — Review"))</f>
        <v>Transfer to DWG Capital Group</v>
      </c>
      <c r="J173" s="8" t="str">
        <f>IF($G173="","Uncategorized — Review",IFERROR(_xlfn.XLOOKUP($G173,Mapping!$A:$A,Mapping!$C:$C),"Uncategorized — Review"))</f>
        <v>Intercompany &amp; Savings Transfers</v>
      </c>
    </row>
    <row r="174" spans="1:10" x14ac:dyDescent="0.25">
      <c r="A174" s="8" t="str">
        <f>'2025_Chase9335_Activity_2026062'!A174</f>
        <v>DEBIT</v>
      </c>
      <c r="B174" s="24">
        <f>'2025_Chase9335_Activity_2026062'!B174</f>
        <v>45978</v>
      </c>
      <c r="C174" s="8" t="str">
        <f>'2025_Chase9335_Activity_2026062'!C174</f>
        <v>Prime Video *B85K33K0 888-802-3080 WA        11/15</v>
      </c>
      <c r="D174" s="8">
        <f>'2025_Chase9335_Activity_2026062'!D174</f>
        <v>-4.05</v>
      </c>
      <c r="E174" s="8" t="str">
        <f>'2025_Chase9335_Activity_2026062'!E174</f>
        <v>DEBIT_CARD</v>
      </c>
      <c r="F174" s="8">
        <f>'2025_Chase9335_Activity_2026062'!F174</f>
        <v>38968.43</v>
      </c>
      <c r="G174" s="8" t="str">
        <f>'2025_Chase9335_Activity_2026062'!G174</f>
        <v>Amazon Prime Video</v>
      </c>
      <c r="H174" s="26">
        <f t="shared" si="2"/>
        <v>45962</v>
      </c>
      <c r="I174" s="8" t="str">
        <f>IF($G174="","Uncategorized — Review",IFERROR(_xlfn.XLOOKUP($G174,Mapping!$A:$A,Mapping!$B:$B),"Uncategorized — Review"))</f>
        <v>Amazon Prime Video</v>
      </c>
      <c r="J174" s="8" t="str">
        <f>IF($G174="","Uncategorized — Review",IFERROR(_xlfn.XLOOKUP($G174,Mapping!$A:$A,Mapping!$C:$C),"Uncategorized — Review"))</f>
        <v>Personal — Owner</v>
      </c>
    </row>
    <row r="175" spans="1:10" x14ac:dyDescent="0.25">
      <c r="A175" s="8" t="str">
        <f>'2025_Chase9335_Activity_2026062'!A175</f>
        <v>DEBIT</v>
      </c>
      <c r="B175" s="24">
        <f>'2025_Chase9335_Activity_2026062'!B175</f>
        <v>45978</v>
      </c>
      <c r="C175" s="8" t="str">
        <f>'2025_Chase9335_Activity_2026062'!C175</f>
        <v>APPLE.COM/BILL 866-712-7753 CA               11/16</v>
      </c>
      <c r="D175" s="8">
        <f>'2025_Chase9335_Activity_2026062'!D175</f>
        <v>-30.89</v>
      </c>
      <c r="E175" s="8" t="str">
        <f>'2025_Chase9335_Activity_2026062'!E175</f>
        <v>DEBIT_CARD</v>
      </c>
      <c r="F175" s="8">
        <f>'2025_Chase9335_Activity_2026062'!F175</f>
        <v>38972.480000000003</v>
      </c>
      <c r="G175" s="8" t="str">
        <f>'2025_Chase9335_Activity_2026062'!G175</f>
        <v>Personal - Subscriptions</v>
      </c>
      <c r="H175" s="26">
        <f t="shared" si="2"/>
        <v>45962</v>
      </c>
      <c r="I175" s="8" t="str">
        <f>IF($G175="","Uncategorized — Review",IFERROR(_xlfn.XLOOKUP($G175,Mapping!$A:$A,Mapping!$B:$B),"Uncategorized — Review"))</f>
        <v>Personal - Subscriptions</v>
      </c>
      <c r="J175" s="8" t="str">
        <f>IF($G175="","Uncategorized — Review",IFERROR(_xlfn.XLOOKUP($G175,Mapping!$A:$A,Mapping!$C:$C),"Uncategorized — Review"))</f>
        <v>Personal — Owner</v>
      </c>
    </row>
    <row r="176" spans="1:10" x14ac:dyDescent="0.25">
      <c r="A176" s="8" t="str">
        <f>'2025_Chase9335_Activity_2026062'!A176</f>
        <v>CREDIT</v>
      </c>
      <c r="B176" s="24">
        <f>'2025_Chase9335_Activity_2026062'!B176</f>
        <v>45975</v>
      </c>
      <c r="C176" s="8" t="str">
        <f>'2025_Chase9335_Activity_2026062'!C176</f>
        <v>ORIG CO NAME:T and T Machine        ORIG ID:945440567  DESC DATE:       CO ENTRY DESCR:PAYMENT   SEC:PPD    TRACE#:273976363524379 EED:251114   IND ID:                             IND NAME:John Dunning TRN: 3183524379TC</v>
      </c>
      <c r="D176" s="8">
        <f>'2025_Chase9335_Activity_2026062'!D176</f>
        <v>356.38</v>
      </c>
      <c r="E176" s="8" t="str">
        <f>'2025_Chase9335_Activity_2026062'!E176</f>
        <v>ACH_CREDIT</v>
      </c>
      <c r="F176" s="8">
        <f>'2025_Chase9335_Activity_2026062'!F176</f>
        <v>39003.370000000003</v>
      </c>
      <c r="G176" s="8" t="str">
        <f>'2025_Chase9335_Activity_2026062'!G176</f>
        <v>Deal Specific: T&amp;T Machine</v>
      </c>
      <c r="H176" s="26">
        <f t="shared" si="2"/>
        <v>45962</v>
      </c>
      <c r="I176" s="8" t="str">
        <f>IF($G176="","Uncategorized — Review",IFERROR(_xlfn.XLOOKUP($G176,Mapping!$A:$A,Mapping!$B:$B),"Uncategorized — Review"))</f>
        <v>Deal Specific: T&amp;T Machine</v>
      </c>
      <c r="J176" s="8" t="str">
        <f>IF($G176="","Uncategorized — Review",IFERROR(_xlfn.XLOOKUP($G176,Mapping!$A:$A,Mapping!$C:$C),"Uncategorized — Review"))</f>
        <v>Deal-Specific</v>
      </c>
    </row>
    <row r="177" spans="1:10" x14ac:dyDescent="0.25">
      <c r="A177" s="8" t="str">
        <f>'2025_Chase9335_Activity_2026062'!A177</f>
        <v>DEBIT</v>
      </c>
      <c r="B177" s="24">
        <f>'2025_Chase9335_Activity_2026062'!B177</f>
        <v>45974</v>
      </c>
      <c r="C177" s="8" t="str">
        <f>'2025_Chase9335_Activity_2026062'!C177</f>
        <v>VENMO *Menashe Oved New York NY              11/13</v>
      </c>
      <c r="D177" s="8">
        <f>'2025_Chase9335_Activity_2026062'!D177</f>
        <v>-750</v>
      </c>
      <c r="E177" s="8" t="str">
        <f>'2025_Chase9335_Activity_2026062'!E177</f>
        <v>DEBIT_CARD</v>
      </c>
      <c r="F177" s="8">
        <f>'2025_Chase9335_Activity_2026062'!F177</f>
        <v>38646.99</v>
      </c>
      <c r="G177" s="8" t="str">
        <f>'2025_Chase9335_Activity_2026062'!G177</f>
        <v>Zelle to Menashe</v>
      </c>
      <c r="H177" s="26">
        <f t="shared" si="2"/>
        <v>45962</v>
      </c>
      <c r="I177" s="8" t="str">
        <f>IF($G177="","Uncategorized — Review",IFERROR(_xlfn.XLOOKUP($G177,Mapping!$A:$A,Mapping!$B:$B),"Uncategorized — Review"))</f>
        <v>Zelle to Menashe</v>
      </c>
      <c r="J177" s="8" t="str">
        <f>IF($G177="","Uncategorized — Review",IFERROR(_xlfn.XLOOKUP($G177,Mapping!$A:$A,Mapping!$C:$C),"Uncategorized — Review"))</f>
        <v>P2P Payments (Zelle/Venmo/PayPal)</v>
      </c>
    </row>
    <row r="178" spans="1:10" x14ac:dyDescent="0.25">
      <c r="A178" s="8" t="str">
        <f>'2025_Chase9335_Activity_2026062'!A178</f>
        <v>DEBIT</v>
      </c>
      <c r="B178" s="24">
        <f>'2025_Chase9335_Activity_2026062'!B178</f>
        <v>45974</v>
      </c>
      <c r="C178" s="8" t="str">
        <f>'2025_Chase9335_Activity_2026062'!C178</f>
        <v>Zelle payment to Michael Paytonjian JPM99bujofvq</v>
      </c>
      <c r="D178" s="8">
        <f>'2025_Chase9335_Activity_2026062'!D178</f>
        <v>-75</v>
      </c>
      <c r="E178" s="8" t="str">
        <f>'2025_Chase9335_Activity_2026062'!E178</f>
        <v>CHASE_TO_PARTNERFI</v>
      </c>
      <c r="F178" s="8">
        <f>'2025_Chase9335_Activity_2026062'!F178</f>
        <v>39396.99</v>
      </c>
      <c r="G178" s="8" t="str">
        <f>'2025_Chase9335_Activity_2026062'!G178</f>
        <v>Office/Miscellaneous Reimbursement - Mike P.</v>
      </c>
      <c r="H178" s="26">
        <f t="shared" si="2"/>
        <v>45962</v>
      </c>
      <c r="I178" s="8" t="str">
        <f>IF($G178="","Uncategorized — Review",IFERROR(_xlfn.XLOOKUP($G178,Mapping!$A:$A,Mapping!$B:$B),"Uncategorized — Review"))</f>
        <v>Office/Miscellaneous Reimbursement - Mike P.</v>
      </c>
      <c r="J178" s="8" t="str">
        <f>IF($G178="","Uncategorized — Review",IFERROR(_xlfn.XLOOKUP($G178,Mapping!$A:$A,Mapping!$C:$C),"Uncategorized — Review"))</f>
        <v>Payroll &amp; Contractors</v>
      </c>
    </row>
    <row r="179" spans="1:10" x14ac:dyDescent="0.25">
      <c r="A179" s="8" t="str">
        <f>'2025_Chase9335_Activity_2026062'!A179</f>
        <v>DEBIT</v>
      </c>
      <c r="B179" s="24">
        <f>'2025_Chase9335_Activity_2026062'!B179</f>
        <v>45974</v>
      </c>
      <c r="C179" s="8" t="str">
        <f>'2025_Chase9335_Activity_2026062'!C179</f>
        <v>Online Transfer to CHK ...3922 transaction#: 26945932671 11/13</v>
      </c>
      <c r="D179" s="8">
        <f>'2025_Chase9335_Activity_2026062'!D179</f>
        <v>-5000</v>
      </c>
      <c r="E179" s="8" t="str">
        <f>'2025_Chase9335_Activity_2026062'!E179</f>
        <v>ACCT_XFER</v>
      </c>
      <c r="F179" s="8">
        <f>'2025_Chase9335_Activity_2026062'!F179</f>
        <v>39471.99</v>
      </c>
      <c r="G179" s="8" t="str">
        <f>'2025_Chase9335_Activity_2026062'!G179</f>
        <v>Transfer to DWG Capital Partners</v>
      </c>
      <c r="H179" s="26">
        <f t="shared" si="2"/>
        <v>45962</v>
      </c>
      <c r="I179" s="8" t="str">
        <f>IF($G179="","Uncategorized — Review",IFERROR(_xlfn.XLOOKUP($G179,Mapping!$A:$A,Mapping!$B:$B),"Uncategorized — Review"))</f>
        <v>Transfer to DWG Capital Partners</v>
      </c>
      <c r="J179" s="8" t="str">
        <f>IF($G179="","Uncategorized — Review",IFERROR(_xlfn.XLOOKUP($G179,Mapping!$A:$A,Mapping!$C:$C),"Uncategorized — Review"))</f>
        <v>Intercompany &amp; Savings Transfers</v>
      </c>
    </row>
    <row r="180" spans="1:10" x14ac:dyDescent="0.25">
      <c r="A180" s="8" t="str">
        <f>'2025_Chase9335_Activity_2026062'!A180</f>
        <v>DEBIT</v>
      </c>
      <c r="B180" s="24">
        <f>'2025_Chase9335_Activity_2026062'!B180</f>
        <v>45974</v>
      </c>
      <c r="C180" s="8" t="str">
        <f>'2025_Chase9335_Activity_2026062'!C180</f>
        <v>ORIG CO NAME:FRANCHISE TAX BO       ORIG ID:1282532045 DESC DATE:251113 CO ENTRY DESCR:PAYMENTS  SEC:CCD    TRACE#:042000014168223 EED:251113   IND ID:123335803    PM              IND NAME:DWG CAPI TRN: 3174168223TC</v>
      </c>
      <c r="D180" s="8">
        <f>'2025_Chase9335_Activity_2026062'!D180</f>
        <v>-102.9</v>
      </c>
      <c r="E180" s="8" t="str">
        <f>'2025_Chase9335_Activity_2026062'!E180</f>
        <v>ACH_DEBIT</v>
      </c>
      <c r="F180" s="8">
        <f>'2025_Chase9335_Activity_2026062'!F180</f>
        <v>44471.99</v>
      </c>
      <c r="G180" s="8" t="str">
        <f>'2025_Chase9335_Activity_2026062'!G180</f>
        <v>IRS Tax Payment</v>
      </c>
      <c r="H180" s="26">
        <f t="shared" si="2"/>
        <v>45962</v>
      </c>
      <c r="I180" s="8" t="str">
        <f>IF($G180="","Uncategorized — Review",IFERROR(_xlfn.XLOOKUP($G180,Mapping!$A:$A,Mapping!$B:$B),"Uncategorized — Review"))</f>
        <v>IRS Tax Payment</v>
      </c>
      <c r="J180" s="8" t="str">
        <f>IF($G180="","Uncategorized — Review",IFERROR(_xlfn.XLOOKUP($G180,Mapping!$A:$A,Mapping!$C:$C),"Uncategorized — Review"))</f>
        <v>DWG Operating</v>
      </c>
    </row>
    <row r="181" spans="1:10" x14ac:dyDescent="0.25">
      <c r="A181" s="8" t="str">
        <f>'2025_Chase9335_Activity_2026062'!A181</f>
        <v>DEBIT</v>
      </c>
      <c r="B181" s="24">
        <f>'2025_Chase9335_Activity_2026062'!B181</f>
        <v>45973</v>
      </c>
      <c r="C181" s="8" t="str">
        <f>'2025_Chase9335_Activity_2026062'!C181</f>
        <v>BLOOMBERG* 37033964 BLOOMBERG.COM NY         11/12</v>
      </c>
      <c r="D181" s="8">
        <f>'2025_Chase9335_Activity_2026062'!D181</f>
        <v>-34.99</v>
      </c>
      <c r="E181" s="8" t="str">
        <f>'2025_Chase9335_Activity_2026062'!E181</f>
        <v>DEBIT_CARD</v>
      </c>
      <c r="F181" s="8">
        <f>'2025_Chase9335_Activity_2026062'!F181</f>
        <v>44574.89</v>
      </c>
      <c r="G181" s="8" t="str">
        <f>'2025_Chase9335_Activity_2026062'!G181</f>
        <v>Personal - Subscriptions</v>
      </c>
      <c r="H181" s="26">
        <f t="shared" si="2"/>
        <v>45962</v>
      </c>
      <c r="I181" s="8" t="str">
        <f>IF($G181="","Uncategorized — Review",IFERROR(_xlfn.XLOOKUP($G181,Mapping!$A:$A,Mapping!$B:$B),"Uncategorized — Review"))</f>
        <v>Personal - Subscriptions</v>
      </c>
      <c r="J181" s="8" t="str">
        <f>IF($G181="","Uncategorized — Review",IFERROR(_xlfn.XLOOKUP($G181,Mapping!$A:$A,Mapping!$C:$C),"Uncategorized — Review"))</f>
        <v>Personal — Owner</v>
      </c>
    </row>
    <row r="182" spans="1:10" x14ac:dyDescent="0.25">
      <c r="A182" s="8" t="str">
        <f>'2025_Chase9335_Activity_2026062'!A182</f>
        <v>DEBIT</v>
      </c>
      <c r="B182" s="24">
        <f>'2025_Chase9335_Activity_2026062'!B182</f>
        <v>45973</v>
      </c>
      <c r="C182" s="8" t="str">
        <f>'2025_Chase9335_Activity_2026062'!C182</f>
        <v>Amazon.com*B89ET8CA1 Amzn.com/bill WA        11/11</v>
      </c>
      <c r="D182" s="8">
        <f>'2025_Chase9335_Activity_2026062'!D182</f>
        <v>-40.450000000000003</v>
      </c>
      <c r="E182" s="8" t="str">
        <f>'2025_Chase9335_Activity_2026062'!E182</f>
        <v>DEBIT_CARD</v>
      </c>
      <c r="F182" s="8">
        <f>'2025_Chase9335_Activity_2026062'!F182</f>
        <v>44609.88</v>
      </c>
      <c r="G182" s="8" t="str">
        <f>'2025_Chase9335_Activity_2026062'!G182</f>
        <v>Amazon</v>
      </c>
      <c r="H182" s="26">
        <f t="shared" si="2"/>
        <v>45962</v>
      </c>
      <c r="I182" s="8" t="str">
        <f>IF($G182="","Uncategorized — Review",IFERROR(_xlfn.XLOOKUP($G182,Mapping!$A:$A,Mapping!$B:$B),"Uncategorized — Review"))</f>
        <v>Amazon</v>
      </c>
      <c r="J182" s="8" t="str">
        <f>IF($G182="","Uncategorized — Review",IFERROR(_xlfn.XLOOKUP($G182,Mapping!$A:$A,Mapping!$C:$C),"Uncategorized — Review"))</f>
        <v>Personal — Owner</v>
      </c>
    </row>
    <row r="183" spans="1:10" x14ac:dyDescent="0.25">
      <c r="A183" s="8" t="str">
        <f>'2025_Chase9335_Activity_2026062'!A183</f>
        <v>DEBIT</v>
      </c>
      <c r="B183" s="24">
        <f>'2025_Chase9335_Activity_2026062'!B183</f>
        <v>45973</v>
      </c>
      <c r="C183" s="8" t="str">
        <f>'2025_Chase9335_Activity_2026062'!C183</f>
        <v>APPLE CASH SENT MONE 1INFINITELOOP CA        11/10</v>
      </c>
      <c r="D183" s="8">
        <f>'2025_Chase9335_Activity_2026062'!D183</f>
        <v>-200</v>
      </c>
      <c r="E183" s="8" t="str">
        <f>'2025_Chase9335_Activity_2026062'!E183</f>
        <v>DEBIT_CARD</v>
      </c>
      <c r="F183" s="8">
        <f>'2025_Chase9335_Activity_2026062'!F183</f>
        <v>44650.33</v>
      </c>
      <c r="G183" s="8" t="str">
        <f>'2025_Chase9335_Activity_2026062'!G183</f>
        <v>Apple Payment</v>
      </c>
      <c r="H183" s="26">
        <f t="shared" si="2"/>
        <v>45962</v>
      </c>
      <c r="I183" s="8" t="str">
        <f>IF($G183="","Uncategorized — Review",IFERROR(_xlfn.XLOOKUP($G183,Mapping!$A:$A,Mapping!$B:$B),"Uncategorized — Review"))</f>
        <v>Apple Payment</v>
      </c>
      <c r="J183" s="8" t="str">
        <f>IF($G183="","Uncategorized — Review",IFERROR(_xlfn.XLOOKUP($G183,Mapping!$A:$A,Mapping!$C:$C),"Uncategorized — Review"))</f>
        <v>P2P Payments (Zelle/Venmo/PayPal)</v>
      </c>
    </row>
    <row r="184" spans="1:10" x14ac:dyDescent="0.25">
      <c r="A184" s="8" t="str">
        <f>'2025_Chase9335_Activity_2026062'!A184</f>
        <v>CREDIT</v>
      </c>
      <c r="B184" s="24">
        <f>'2025_Chase9335_Activity_2026062'!B184</f>
        <v>45973</v>
      </c>
      <c r="C184" s="8" t="str">
        <f>'2025_Chase9335_Activity_2026062'!C184</f>
        <v>ORIG CO NAME:Rabourn Road Ind       ORIG ID:945440567  DESC DATE:       CO ENTRY DESCR:PAYMENT   SEC:PPD    TRACE#:273976367729164 EED:251112   IND ID:                             IND NAME:John Dunning TRN: 3167729164TC</v>
      </c>
      <c r="D184" s="8">
        <f>'2025_Chase9335_Activity_2026062'!D184</f>
        <v>233.33</v>
      </c>
      <c r="E184" s="8" t="str">
        <f>'2025_Chase9335_Activity_2026062'!E184</f>
        <v>ACH_CREDIT</v>
      </c>
      <c r="F184" s="8">
        <f>'2025_Chase9335_Activity_2026062'!F184</f>
        <v>44850.33</v>
      </c>
      <c r="G184" s="8" t="str">
        <f>'2025_Chase9335_Activity_2026062'!G184</f>
        <v>Deal Specific: Rabourn Road</v>
      </c>
      <c r="H184" s="26">
        <f t="shared" si="2"/>
        <v>45962</v>
      </c>
      <c r="I184" s="8" t="str">
        <f>IF($G184="","Uncategorized — Review",IFERROR(_xlfn.XLOOKUP($G184,Mapping!$A:$A,Mapping!$B:$B),"Uncategorized — Review"))</f>
        <v>Deal Specific: Rabourn Road</v>
      </c>
      <c r="J184" s="8" t="str">
        <f>IF($G184="","Uncategorized — Review",IFERROR(_xlfn.XLOOKUP($G184,Mapping!$A:$A,Mapping!$C:$C),"Uncategorized — Review"))</f>
        <v>Deal-Specific</v>
      </c>
    </row>
    <row r="185" spans="1:10" x14ac:dyDescent="0.25">
      <c r="A185" s="8" t="str">
        <f>'2025_Chase9335_Activity_2026062'!A185</f>
        <v>CREDIT</v>
      </c>
      <c r="B185" s="24">
        <f>'2025_Chase9335_Activity_2026062'!B185</f>
        <v>45973</v>
      </c>
      <c r="C185" s="8" t="str">
        <f>'2025_Chase9335_Activity_2026062'!C185</f>
        <v>ORIG CO NAME:MRM Industrial P       ORIG ID:945440567  DESC DATE:       CO ENTRY DESCR:PAYMENT   SEC:PPD    TRACE#:273976367729109 EED:251112   IND ID:                             IND NAME:John Dunning TRN: 3167729109TC</v>
      </c>
      <c r="D185" s="8">
        <f>'2025_Chase9335_Activity_2026062'!D185</f>
        <v>241.87</v>
      </c>
      <c r="E185" s="8" t="str">
        <f>'2025_Chase9335_Activity_2026062'!E185</f>
        <v>ACH_CREDIT</v>
      </c>
      <c r="F185" s="8">
        <f>'2025_Chase9335_Activity_2026062'!F185</f>
        <v>44617</v>
      </c>
      <c r="G185" s="8" t="str">
        <f>'2025_Chase9335_Activity_2026062'!G185</f>
        <v>Deal Specific: MRM</v>
      </c>
      <c r="H185" s="26">
        <f t="shared" si="2"/>
        <v>45962</v>
      </c>
      <c r="I185" s="8" t="str">
        <f>IF($G185="","Uncategorized — Review",IFERROR(_xlfn.XLOOKUP($G185,Mapping!$A:$A,Mapping!$B:$B),"Uncategorized — Review"))</f>
        <v>Deal Specific: MRM</v>
      </c>
      <c r="J185" s="8" t="str">
        <f>IF($G185="","Uncategorized — Review",IFERROR(_xlfn.XLOOKUP($G185,Mapping!$A:$A,Mapping!$C:$C),"Uncategorized — Review"))</f>
        <v>Deal-Specific</v>
      </c>
    </row>
    <row r="186" spans="1:10" x14ac:dyDescent="0.25">
      <c r="A186" s="8" t="str">
        <f>'2025_Chase9335_Activity_2026062'!A186</f>
        <v>CREDIT</v>
      </c>
      <c r="B186" s="24">
        <f>'2025_Chase9335_Activity_2026062'!B186</f>
        <v>45973</v>
      </c>
      <c r="C186" s="8" t="str">
        <f>'2025_Chase9335_Activity_2026062'!C186</f>
        <v>ORIG CO NAME:Austin Iron Hold       ORIG ID:945440567  DESC DATE:       CO ENTRY DESCR:PAYMENT   SEC:PPD    TRACE#:273976367729225 EED:251112   IND ID:                             IND NAME:John Dunning TRN: 3167729225TC</v>
      </c>
      <c r="D186" s="8">
        <f>'2025_Chase9335_Activity_2026062'!D186</f>
        <v>350</v>
      </c>
      <c r="E186" s="8" t="str">
        <f>'2025_Chase9335_Activity_2026062'!E186</f>
        <v>ACH_CREDIT</v>
      </c>
      <c r="F186" s="8">
        <f>'2025_Chase9335_Activity_2026062'!F186</f>
        <v>44375.13</v>
      </c>
      <c r="G186" s="8" t="str">
        <f>'2025_Chase9335_Activity_2026062'!G186</f>
        <v>Deal Specific: Austin Iron</v>
      </c>
      <c r="H186" s="26">
        <f t="shared" si="2"/>
        <v>45962</v>
      </c>
      <c r="I186" s="8" t="str">
        <f>IF($G186="","Uncategorized — Review",IFERROR(_xlfn.XLOOKUP($G186,Mapping!$A:$A,Mapping!$B:$B),"Uncategorized — Review"))</f>
        <v>Deal Specific: Austin Iron</v>
      </c>
      <c r="J186" s="8" t="str">
        <f>IF($G186="","Uncategorized — Review",IFERROR(_xlfn.XLOOKUP($G186,Mapping!$A:$A,Mapping!$C:$C),"Uncategorized — Review"))</f>
        <v>Deal-Specific</v>
      </c>
    </row>
    <row r="187" spans="1:10" x14ac:dyDescent="0.25">
      <c r="A187" s="8" t="str">
        <f>'2025_Chase9335_Activity_2026062'!A187</f>
        <v>CREDIT</v>
      </c>
      <c r="B187" s="24">
        <f>'2025_Chase9335_Activity_2026062'!B187</f>
        <v>45973</v>
      </c>
      <c r="C187" s="8" t="str">
        <f>'2025_Chase9335_Activity_2026062'!C187</f>
        <v>ORIG CO NAME:Merit-Lancaster        ORIG ID:945440567  DESC DATE:       CO ENTRY DESCR:PAYMENT   SEC:PPD    TRACE#:273976367729145 EED:251112   IND ID:                             IND NAME:John Dunning TRN: 3167729145TC</v>
      </c>
      <c r="D187" s="8">
        <f>'2025_Chase9335_Activity_2026062'!D187</f>
        <v>476.41</v>
      </c>
      <c r="E187" s="8" t="str">
        <f>'2025_Chase9335_Activity_2026062'!E187</f>
        <v>ACH_CREDIT</v>
      </c>
      <c r="F187" s="8">
        <f>'2025_Chase9335_Activity_2026062'!F187</f>
        <v>44025.13</v>
      </c>
      <c r="G187" s="8" t="str">
        <f>'2025_Chase9335_Activity_2026062'!G187</f>
        <v>Deal Specific: Merit-Lancaster</v>
      </c>
      <c r="H187" s="26">
        <f t="shared" si="2"/>
        <v>45962</v>
      </c>
      <c r="I187" s="8" t="str">
        <f>IF($G187="","Uncategorized — Review",IFERROR(_xlfn.XLOOKUP($G187,Mapping!$A:$A,Mapping!$B:$B),"Uncategorized — Review"))</f>
        <v>Deal Specific: Merit-Lancaster</v>
      </c>
      <c r="J187" s="8" t="str">
        <f>IF($G187="","Uncategorized — Review",IFERROR(_xlfn.XLOOKUP($G187,Mapping!$A:$A,Mapping!$C:$C),"Uncategorized — Review"))</f>
        <v>Deal-Specific</v>
      </c>
    </row>
    <row r="188" spans="1:10" x14ac:dyDescent="0.25">
      <c r="A188" s="8" t="str">
        <f>'2025_Chase9335_Activity_2026062'!A188</f>
        <v>DEBIT</v>
      </c>
      <c r="B188" s="24">
        <f>'2025_Chase9335_Activity_2026062'!B188</f>
        <v>45971</v>
      </c>
      <c r="C188" s="8" t="str">
        <f>'2025_Chase9335_Activity_2026062'!C188</f>
        <v>Zelle payment to Michael Paytonjian JPM99bu86iny</v>
      </c>
      <c r="D188" s="8">
        <f>'2025_Chase9335_Activity_2026062'!D188</f>
        <v>-125</v>
      </c>
      <c r="E188" s="8" t="str">
        <f>'2025_Chase9335_Activity_2026062'!E188</f>
        <v>CHASE_TO_PARTNERFI</v>
      </c>
      <c r="F188" s="8">
        <f>'2025_Chase9335_Activity_2026062'!F188</f>
        <v>43548.72</v>
      </c>
      <c r="G188" s="8" t="str">
        <f>'2025_Chase9335_Activity_2026062'!G188</f>
        <v>Office/Miscellaneous Reimbursement - Mike P.</v>
      </c>
      <c r="H188" s="26">
        <f t="shared" si="2"/>
        <v>45962</v>
      </c>
      <c r="I188" s="8" t="str">
        <f>IF($G188="","Uncategorized — Review",IFERROR(_xlfn.XLOOKUP($G188,Mapping!$A:$A,Mapping!$B:$B),"Uncategorized — Review"))</f>
        <v>Office/Miscellaneous Reimbursement - Mike P.</v>
      </c>
      <c r="J188" s="8" t="str">
        <f>IF($G188="","Uncategorized — Review",IFERROR(_xlfn.XLOOKUP($G188,Mapping!$A:$A,Mapping!$C:$C),"Uncategorized — Review"))</f>
        <v>Payroll &amp; Contractors</v>
      </c>
    </row>
    <row r="189" spans="1:10" x14ac:dyDescent="0.25">
      <c r="A189" s="8" t="str">
        <f>'2025_Chase9335_Activity_2026062'!A189</f>
        <v>DEBIT</v>
      </c>
      <c r="B189" s="24">
        <f>'2025_Chase9335_Activity_2026062'!B189</f>
        <v>45971</v>
      </c>
      <c r="C189" s="8" t="str">
        <f>'2025_Chase9335_Activity_2026062'!C189</f>
        <v>Prime Video *BT0PH49O 888-802-3080 WA        11/10</v>
      </c>
      <c r="D189" s="8">
        <f>'2025_Chase9335_Activity_2026062'!D189</f>
        <v>-21.34</v>
      </c>
      <c r="E189" s="8" t="str">
        <f>'2025_Chase9335_Activity_2026062'!E189</f>
        <v>DEBIT_CARD</v>
      </c>
      <c r="F189" s="8">
        <f>'2025_Chase9335_Activity_2026062'!F189</f>
        <v>43673.72</v>
      </c>
      <c r="G189" s="8" t="str">
        <f>'2025_Chase9335_Activity_2026062'!G189</f>
        <v>Amazon Prime Video</v>
      </c>
      <c r="H189" s="26">
        <f t="shared" si="2"/>
        <v>45962</v>
      </c>
      <c r="I189" s="8" t="str">
        <f>IF($G189="","Uncategorized — Review",IFERROR(_xlfn.XLOOKUP($G189,Mapping!$A:$A,Mapping!$B:$B),"Uncategorized — Review"))</f>
        <v>Amazon Prime Video</v>
      </c>
      <c r="J189" s="8" t="str">
        <f>IF($G189="","Uncategorized — Review",IFERROR(_xlfn.XLOOKUP($G189,Mapping!$A:$A,Mapping!$C:$C),"Uncategorized — Review"))</f>
        <v>Personal — Owner</v>
      </c>
    </row>
    <row r="190" spans="1:10" x14ac:dyDescent="0.25">
      <c r="A190" s="8" t="str">
        <f>'2025_Chase9335_Activity_2026062'!A190</f>
        <v>DEBIT</v>
      </c>
      <c r="B190" s="24">
        <f>'2025_Chase9335_Activity_2026062'!B190</f>
        <v>45971</v>
      </c>
      <c r="C190" s="8" t="str">
        <f>'2025_Chase9335_Activity_2026062'!C190</f>
        <v>APPLE.COM/BILL 866-712-7753 CA               11/09</v>
      </c>
      <c r="D190" s="8">
        <f>'2025_Chase9335_Activity_2026062'!D190</f>
        <v>-30.89</v>
      </c>
      <c r="E190" s="8" t="str">
        <f>'2025_Chase9335_Activity_2026062'!E190</f>
        <v>DEBIT_CARD</v>
      </c>
      <c r="F190" s="8">
        <f>'2025_Chase9335_Activity_2026062'!F190</f>
        <v>43695.06</v>
      </c>
      <c r="G190" s="8" t="str">
        <f>'2025_Chase9335_Activity_2026062'!G190</f>
        <v>Personal - Subscriptions</v>
      </c>
      <c r="H190" s="26">
        <f t="shared" si="2"/>
        <v>45962</v>
      </c>
      <c r="I190" s="8" t="str">
        <f>IF($G190="","Uncategorized — Review",IFERROR(_xlfn.XLOOKUP($G190,Mapping!$A:$A,Mapping!$B:$B),"Uncategorized — Review"))</f>
        <v>Personal - Subscriptions</v>
      </c>
      <c r="J190" s="8" t="str">
        <f>IF($G190="","Uncategorized — Review",IFERROR(_xlfn.XLOOKUP($G190,Mapping!$A:$A,Mapping!$C:$C),"Uncategorized — Review"))</f>
        <v>Personal — Owner</v>
      </c>
    </row>
    <row r="191" spans="1:10" x14ac:dyDescent="0.25">
      <c r="A191" s="8" t="str">
        <f>'2025_Chase9335_Activity_2026062'!A191</f>
        <v>DEBIT</v>
      </c>
      <c r="B191" s="24">
        <f>'2025_Chase9335_Activity_2026062'!B191</f>
        <v>45971</v>
      </c>
      <c r="C191" s="8" t="str">
        <f>'2025_Chase9335_Activity_2026062'!C191</f>
        <v>UBER *ONE MEMBERSHIP SAN FRANCISCO CA613294  11/08</v>
      </c>
      <c r="D191" s="8">
        <f>'2025_Chase9335_Activity_2026062'!D191</f>
        <v>-9.99</v>
      </c>
      <c r="E191" s="8" t="str">
        <f>'2025_Chase9335_Activity_2026062'!E191</f>
        <v>DEBIT_CARD</v>
      </c>
      <c r="F191" s="8">
        <f>'2025_Chase9335_Activity_2026062'!F191</f>
        <v>43725.95</v>
      </c>
      <c r="G191" s="8" t="str">
        <f>'2025_Chase9335_Activity_2026062'!G191</f>
        <v>Personal - Subscriptions</v>
      </c>
      <c r="H191" s="26">
        <f t="shared" si="2"/>
        <v>45962</v>
      </c>
      <c r="I191" s="8" t="str">
        <f>IF($G191="","Uncategorized — Review",IFERROR(_xlfn.XLOOKUP($G191,Mapping!$A:$A,Mapping!$B:$B),"Uncategorized — Review"))</f>
        <v>Personal - Subscriptions</v>
      </c>
      <c r="J191" s="8" t="str">
        <f>IF($G191="","Uncategorized — Review",IFERROR(_xlfn.XLOOKUP($G191,Mapping!$A:$A,Mapping!$C:$C),"Uncategorized — Review"))</f>
        <v>Personal — Owner</v>
      </c>
    </row>
    <row r="192" spans="1:10" x14ac:dyDescent="0.25">
      <c r="A192" s="8" t="str">
        <f>'2025_Chase9335_Activity_2026062'!A192</f>
        <v>DEBIT</v>
      </c>
      <c r="B192" s="24">
        <f>'2025_Chase9335_Activity_2026062'!B192</f>
        <v>45968</v>
      </c>
      <c r="C192" s="8" t="str">
        <f>'2025_Chase9335_Activity_2026062'!C192</f>
        <v>Prime Video *BT8XO7EP 888-802-3080 WA        11/07</v>
      </c>
      <c r="D192" s="8">
        <f>'2025_Chase9335_Activity_2026062'!D192</f>
        <v>-6.39</v>
      </c>
      <c r="E192" s="8" t="str">
        <f>'2025_Chase9335_Activity_2026062'!E192</f>
        <v>DEBIT_CARD</v>
      </c>
      <c r="F192" s="8">
        <f>'2025_Chase9335_Activity_2026062'!F192</f>
        <v>43735.94</v>
      </c>
      <c r="G192" s="8" t="str">
        <f>'2025_Chase9335_Activity_2026062'!G192</f>
        <v>Amazon Prime Video</v>
      </c>
      <c r="H192" s="26">
        <f t="shared" si="2"/>
        <v>45962</v>
      </c>
      <c r="I192" s="8" t="str">
        <f>IF($G192="","Uncategorized — Review",IFERROR(_xlfn.XLOOKUP($G192,Mapping!$A:$A,Mapping!$B:$B),"Uncategorized — Review"))</f>
        <v>Amazon Prime Video</v>
      </c>
      <c r="J192" s="8" t="str">
        <f>IF($G192="","Uncategorized — Review",IFERROR(_xlfn.XLOOKUP($G192,Mapping!$A:$A,Mapping!$C:$C),"Uncategorized — Review"))</f>
        <v>Personal — Owner</v>
      </c>
    </row>
    <row r="193" spans="1:10" x14ac:dyDescent="0.25">
      <c r="A193" s="8" t="str">
        <f>'2025_Chase9335_Activity_2026062'!A193</f>
        <v>DEBIT</v>
      </c>
      <c r="B193" s="24">
        <f>'2025_Chase9335_Activity_2026062'!B193</f>
        <v>45968</v>
      </c>
      <c r="C193" s="8" t="str">
        <f>'2025_Chase9335_Activity_2026062'!C193</f>
        <v>AA WIFI 1-888-649-6711 Fort Worth TX         11/06</v>
      </c>
      <c r="D193" s="8">
        <f>'2025_Chase9335_Activity_2026062'!D193</f>
        <v>-24</v>
      </c>
      <c r="E193" s="8" t="str">
        <f>'2025_Chase9335_Activity_2026062'!E193</f>
        <v>DEBIT_CARD</v>
      </c>
      <c r="F193" s="8">
        <f>'2025_Chase9335_Activity_2026062'!F193</f>
        <v>43742.33</v>
      </c>
      <c r="G193" s="8" t="str">
        <f>'2025_Chase9335_Activity_2026062'!G193</f>
        <v>Personal - Travel</v>
      </c>
      <c r="H193" s="26">
        <f t="shared" si="2"/>
        <v>45962</v>
      </c>
      <c r="I193" s="8" t="str">
        <f>IF($G193="","Uncategorized — Review",IFERROR(_xlfn.XLOOKUP($G193,Mapping!$A:$A,Mapping!$B:$B),"Uncategorized — Review"))</f>
        <v>Personal - Travel</v>
      </c>
      <c r="J193" s="8" t="str">
        <f>IF($G193="","Uncategorized — Review",IFERROR(_xlfn.XLOOKUP($G193,Mapping!$A:$A,Mapping!$C:$C),"Uncategorized — Review"))</f>
        <v>Personal — Owner</v>
      </c>
    </row>
    <row r="194" spans="1:10" x14ac:dyDescent="0.25">
      <c r="A194" s="8" t="str">
        <f>'2025_Chase9335_Activity_2026062'!A194</f>
        <v>DEBIT</v>
      </c>
      <c r="B194" s="24">
        <f>'2025_Chase9335_Activity_2026062'!B194</f>
        <v>45967</v>
      </c>
      <c r="C194" s="8" t="str">
        <f>'2025_Chase9335_Activity_2026062'!C194</f>
        <v>APPLE COM BILL CUPERTINO CA          376104  11/06</v>
      </c>
      <c r="D194" s="8">
        <f>'2025_Chase9335_Activity_2026062'!D194</f>
        <v>-9.99</v>
      </c>
      <c r="E194" s="8" t="str">
        <f>'2025_Chase9335_Activity_2026062'!E194</f>
        <v>DEBIT_CARD</v>
      </c>
      <c r="F194" s="8">
        <f>'2025_Chase9335_Activity_2026062'!F194</f>
        <v>43766.33</v>
      </c>
      <c r="G194" s="8" t="str">
        <f>'2025_Chase9335_Activity_2026062'!G194</f>
        <v>Personal - Subscriptions</v>
      </c>
      <c r="H194" s="26">
        <f t="shared" si="2"/>
        <v>45962</v>
      </c>
      <c r="I194" s="8" t="str">
        <f>IF($G194="","Uncategorized — Review",IFERROR(_xlfn.XLOOKUP($G194,Mapping!$A:$A,Mapping!$B:$B),"Uncategorized — Review"))</f>
        <v>Personal - Subscriptions</v>
      </c>
      <c r="J194" s="8" t="str">
        <f>IF($G194="","Uncategorized — Review",IFERROR(_xlfn.XLOOKUP($G194,Mapping!$A:$A,Mapping!$C:$C),"Uncategorized — Review"))</f>
        <v>Personal — Owner</v>
      </c>
    </row>
    <row r="195" spans="1:10" x14ac:dyDescent="0.25">
      <c r="A195" s="8" t="str">
        <f>'2025_Chase9335_Activity_2026062'!A195</f>
        <v>CREDIT</v>
      </c>
      <c r="B195" s="24">
        <f>'2025_Chase9335_Activity_2026062'!B195</f>
        <v>45967</v>
      </c>
      <c r="C195" s="8" t="str">
        <f>'2025_Chase9335_Activity_2026062'!C195</f>
        <v>ORIG CO NAME:2331 Mesa Dev LL       ORIG ID:9024218048 DESC DATE:251106 CO ENTRY DESCR:ACH Pmt   SEC:CCD    TRACE#:021000025106353 EED:251106   IND ID:11194655113                  IND NAME:                           Reimbursement for E4 and E7 Propert y Appraisals TRN: 3105106353TC</v>
      </c>
      <c r="D195" s="8">
        <f>'2025_Chase9335_Activity_2026062'!D195</f>
        <v>1675</v>
      </c>
      <c r="E195" s="8" t="str">
        <f>'2025_Chase9335_Activity_2026062'!E195</f>
        <v>ACH_CREDIT</v>
      </c>
      <c r="F195" s="8">
        <f>'2025_Chase9335_Activity_2026062'!F195</f>
        <v>43776.32</v>
      </c>
      <c r="G195" s="8" t="str">
        <f>'2025_Chase9335_Activity_2026062'!G195</f>
        <v>Deal Specific: Moab</v>
      </c>
      <c r="H195" s="26">
        <f t="shared" ref="H195:H258" si="3">IF($B195="","",DATE(YEAR($B195),MONTH($B195),1))</f>
        <v>45962</v>
      </c>
      <c r="I195" s="8" t="str">
        <f>IF($G195="","Uncategorized — Review",IFERROR(_xlfn.XLOOKUP($G195,Mapping!$A:$A,Mapping!$B:$B),"Uncategorized — Review"))</f>
        <v>Deal Specific: Moab</v>
      </c>
      <c r="J195" s="8" t="str">
        <f>IF($G195="","Uncategorized — Review",IFERROR(_xlfn.XLOOKUP($G195,Mapping!$A:$A,Mapping!$C:$C),"Uncategorized — Review"))</f>
        <v>Deal-Specific</v>
      </c>
    </row>
    <row r="196" spans="1:10" x14ac:dyDescent="0.25">
      <c r="A196" s="8" t="str">
        <f>'2025_Chase9335_Activity_2026062'!A196</f>
        <v>DEBIT</v>
      </c>
      <c r="B196" s="24">
        <f>'2025_Chase9335_Activity_2026062'!B196</f>
        <v>45966</v>
      </c>
      <c r="C196" s="8" t="str">
        <f>'2025_Chase9335_Activity_2026062'!C196</f>
        <v>Online Transfer to CHK ...1168 transaction#: 26851553614 11/05</v>
      </c>
      <c r="D196" s="8">
        <f>'2025_Chase9335_Activity_2026062'!D196</f>
        <v>-10000</v>
      </c>
      <c r="E196" s="8" t="str">
        <f>'2025_Chase9335_Activity_2026062'!E196</f>
        <v>ACCT_XFER</v>
      </c>
      <c r="F196" s="8">
        <f>'2025_Chase9335_Activity_2026062'!F196</f>
        <v>42101.32</v>
      </c>
      <c r="G196" s="8" t="str">
        <f>'2025_Chase9335_Activity_2026062'!G196</f>
        <v>Transfer to DWG Capital Group</v>
      </c>
      <c r="H196" s="26">
        <f t="shared" si="3"/>
        <v>45962</v>
      </c>
      <c r="I196" s="8" t="str">
        <f>IF($G196="","Uncategorized — Review",IFERROR(_xlfn.XLOOKUP($G196,Mapping!$A:$A,Mapping!$B:$B),"Uncategorized — Review"))</f>
        <v>Transfer to DWG Capital Group</v>
      </c>
      <c r="J196" s="8" t="str">
        <f>IF($G196="","Uncategorized — Review",IFERROR(_xlfn.XLOOKUP($G196,Mapping!$A:$A,Mapping!$C:$C),"Uncategorized — Review"))</f>
        <v>Intercompany &amp; Savings Transfers</v>
      </c>
    </row>
    <row r="197" spans="1:10" x14ac:dyDescent="0.25">
      <c r="A197" s="8" t="str">
        <f>'2025_Chase9335_Activity_2026062'!A197</f>
        <v>DEBIT</v>
      </c>
      <c r="B197" s="24">
        <f>'2025_Chase9335_Activity_2026062'!B197</f>
        <v>45966</v>
      </c>
      <c r="C197" s="8" t="str">
        <f>'2025_Chase9335_Activity_2026062'!C197</f>
        <v>Zelle payment to Michael Paytonjian JPM99btl41v8</v>
      </c>
      <c r="D197" s="8">
        <f>'2025_Chase9335_Activity_2026062'!D197</f>
        <v>-32</v>
      </c>
      <c r="E197" s="8" t="str">
        <f>'2025_Chase9335_Activity_2026062'!E197</f>
        <v>CHASE_TO_PARTNERFI</v>
      </c>
      <c r="F197" s="8">
        <f>'2025_Chase9335_Activity_2026062'!F197</f>
        <v>52101.32</v>
      </c>
      <c r="G197" s="8" t="str">
        <f>'2025_Chase9335_Activity_2026062'!G197</f>
        <v>Office/Miscellaneous Reimbursement - Mike P.</v>
      </c>
      <c r="H197" s="26">
        <f t="shared" si="3"/>
        <v>45962</v>
      </c>
      <c r="I197" s="8" t="str">
        <f>IF($G197="","Uncategorized — Review",IFERROR(_xlfn.XLOOKUP($G197,Mapping!$A:$A,Mapping!$B:$B),"Uncategorized — Review"))</f>
        <v>Office/Miscellaneous Reimbursement - Mike P.</v>
      </c>
      <c r="J197" s="8" t="str">
        <f>IF($G197="","Uncategorized — Review",IFERROR(_xlfn.XLOOKUP($G197,Mapping!$A:$A,Mapping!$C:$C),"Uncategorized — Review"))</f>
        <v>Payroll &amp; Contractors</v>
      </c>
    </row>
    <row r="198" spans="1:10" x14ac:dyDescent="0.25">
      <c r="A198" s="8" t="str">
        <f>'2025_Chase9335_Activity_2026062'!A198</f>
        <v>DEBIT</v>
      </c>
      <c r="B198" s="24">
        <f>'2025_Chase9335_Activity_2026062'!B198</f>
        <v>45964</v>
      </c>
      <c r="C198" s="8" t="str">
        <f>'2025_Chase9335_Activity_2026062'!C198</f>
        <v>Zelle payment to Michael Paytonjian JPM99btcl27y</v>
      </c>
      <c r="D198" s="8">
        <f>'2025_Chase9335_Activity_2026062'!D198</f>
        <v>-165</v>
      </c>
      <c r="E198" s="8" t="str">
        <f>'2025_Chase9335_Activity_2026062'!E198</f>
        <v>CHASE_TO_PARTNERFI</v>
      </c>
      <c r="F198" s="8">
        <f>'2025_Chase9335_Activity_2026062'!F198</f>
        <v>52133.32</v>
      </c>
      <c r="G198" s="8" t="str">
        <f>'2025_Chase9335_Activity_2026062'!G198</f>
        <v>Office/Miscellaneous Reimbursement - Mike P.</v>
      </c>
      <c r="H198" s="26">
        <f t="shared" si="3"/>
        <v>45962</v>
      </c>
      <c r="I198" s="8" t="str">
        <f>IF($G198="","Uncategorized — Review",IFERROR(_xlfn.XLOOKUP($G198,Mapping!$A:$A,Mapping!$B:$B),"Uncategorized — Review"))</f>
        <v>Office/Miscellaneous Reimbursement - Mike P.</v>
      </c>
      <c r="J198" s="8" t="str">
        <f>IF($G198="","Uncategorized — Review",IFERROR(_xlfn.XLOOKUP($G198,Mapping!$A:$A,Mapping!$C:$C),"Uncategorized — Review"))</f>
        <v>Payroll &amp; Contractors</v>
      </c>
    </row>
    <row r="199" spans="1:10" x14ac:dyDescent="0.25">
      <c r="A199" s="8" t="str">
        <f>'2025_Chase9335_Activity_2026062'!A199</f>
        <v>DEBIT</v>
      </c>
      <c r="B199" s="24">
        <f>'2025_Chase9335_Activity_2026062'!B199</f>
        <v>45964</v>
      </c>
      <c r="C199" s="8" t="str">
        <f>'2025_Chase9335_Activity_2026062'!C199</f>
        <v>Online Transfer to CHK ...1168 transaction#: 26805756804 11/03</v>
      </c>
      <c r="D199" s="8">
        <f>'2025_Chase9335_Activity_2026062'!D199</f>
        <v>-20000</v>
      </c>
      <c r="E199" s="8" t="str">
        <f>'2025_Chase9335_Activity_2026062'!E199</f>
        <v>ACCT_XFER</v>
      </c>
      <c r="F199" s="8">
        <f>'2025_Chase9335_Activity_2026062'!F199</f>
        <v>52298.32</v>
      </c>
      <c r="G199" s="8" t="str">
        <f>'2025_Chase9335_Activity_2026062'!G199</f>
        <v>Transfer to DWG Capital Group</v>
      </c>
      <c r="H199" s="26">
        <f t="shared" si="3"/>
        <v>45962</v>
      </c>
      <c r="I199" s="8" t="str">
        <f>IF($G199="","Uncategorized — Review",IFERROR(_xlfn.XLOOKUP($G199,Mapping!$A:$A,Mapping!$B:$B),"Uncategorized — Review"))</f>
        <v>Transfer to DWG Capital Group</v>
      </c>
      <c r="J199" s="8" t="str">
        <f>IF($G199="","Uncategorized — Review",IFERROR(_xlfn.XLOOKUP($G199,Mapping!$A:$A,Mapping!$C:$C),"Uncategorized — Review"))</f>
        <v>Intercompany &amp; Savings Transfers</v>
      </c>
    </row>
    <row r="200" spans="1:10" x14ac:dyDescent="0.25">
      <c r="A200" s="8" t="str">
        <f>'2025_Chase9335_Activity_2026062'!A200</f>
        <v>DEBIT</v>
      </c>
      <c r="B200" s="24">
        <f>'2025_Chase9335_Activity_2026062'!B200</f>
        <v>45964</v>
      </c>
      <c r="C200" s="8" t="str">
        <f>'2025_Chase9335_Activity_2026062'!C200</f>
        <v>Experian* Credit Repor 479-3436237 CA        11/01</v>
      </c>
      <c r="D200" s="8">
        <f>'2025_Chase9335_Activity_2026062'!D200</f>
        <v>-27.05</v>
      </c>
      <c r="E200" s="8" t="str">
        <f>'2025_Chase9335_Activity_2026062'!E200</f>
        <v>DEBIT_CARD</v>
      </c>
      <c r="F200" s="8">
        <f>'2025_Chase9335_Activity_2026062'!F200</f>
        <v>72298.320000000007</v>
      </c>
      <c r="G200" s="8" t="str">
        <f>'2025_Chase9335_Activity_2026062'!G200</f>
        <v>Personal - Subscriptions</v>
      </c>
      <c r="H200" s="26">
        <f t="shared" si="3"/>
        <v>45962</v>
      </c>
      <c r="I200" s="8" t="str">
        <f>IF($G200="","Uncategorized — Review",IFERROR(_xlfn.XLOOKUP($G200,Mapping!$A:$A,Mapping!$B:$B),"Uncategorized — Review"))</f>
        <v>Personal - Subscriptions</v>
      </c>
      <c r="J200" s="8" t="str">
        <f>IF($G200="","Uncategorized — Review",IFERROR(_xlfn.XLOOKUP($G200,Mapping!$A:$A,Mapping!$C:$C),"Uncategorized — Review"))</f>
        <v>Personal — Owner</v>
      </c>
    </row>
    <row r="201" spans="1:10" x14ac:dyDescent="0.25">
      <c r="A201" s="8" t="str">
        <f>'2025_Chase9335_Activity_2026062'!A201</f>
        <v>DEBIT</v>
      </c>
      <c r="B201" s="24">
        <f>'2025_Chase9335_Activity_2026062'!B201</f>
        <v>45964</v>
      </c>
      <c r="C201" s="8" t="str">
        <f>'2025_Chase9335_Activity_2026062'!C201</f>
        <v>Prime Video *NK43B00T 888-802-3080 WA        11/01</v>
      </c>
      <c r="D201" s="8">
        <f>'2025_Chase9335_Activity_2026062'!D201</f>
        <v>-4.05</v>
      </c>
      <c r="E201" s="8" t="str">
        <f>'2025_Chase9335_Activity_2026062'!E201</f>
        <v>DEBIT_CARD</v>
      </c>
      <c r="F201" s="8">
        <f>'2025_Chase9335_Activity_2026062'!F201</f>
        <v>72325.37</v>
      </c>
      <c r="G201" s="8" t="str">
        <f>'2025_Chase9335_Activity_2026062'!G201</f>
        <v>Amazon Prime Video</v>
      </c>
      <c r="H201" s="26">
        <f t="shared" si="3"/>
        <v>45962</v>
      </c>
      <c r="I201" s="8" t="str">
        <f>IF($G201="","Uncategorized — Review",IFERROR(_xlfn.XLOOKUP($G201,Mapping!$A:$A,Mapping!$B:$B),"Uncategorized — Review"))</f>
        <v>Amazon Prime Video</v>
      </c>
      <c r="J201" s="8" t="str">
        <f>IF($G201="","Uncategorized — Review",IFERROR(_xlfn.XLOOKUP($G201,Mapping!$A:$A,Mapping!$C:$C),"Uncategorized — Review"))</f>
        <v>Personal — Owner</v>
      </c>
    </row>
    <row r="202" spans="1:10" x14ac:dyDescent="0.25">
      <c r="A202" s="8" t="str">
        <f>'2025_Chase9335_Activity_2026062'!A202</f>
        <v>DEBIT</v>
      </c>
      <c r="B202" s="24">
        <f>'2025_Chase9335_Activity_2026062'!B202</f>
        <v>45960</v>
      </c>
      <c r="C202" s="8" t="str">
        <f>'2025_Chase9335_Activity_2026062'!C202</f>
        <v>Zelle payment to Ashley Sarshar 26772129118</v>
      </c>
      <c r="D202" s="8">
        <f>'2025_Chase9335_Activity_2026062'!D202</f>
        <v>-22</v>
      </c>
      <c r="E202" s="8" t="str">
        <f>'2025_Chase9335_Activity_2026062'!E202</f>
        <v>QUICKPAY_DEBIT</v>
      </c>
      <c r="F202" s="8">
        <f>'2025_Chase9335_Activity_2026062'!F202</f>
        <v>72329.42</v>
      </c>
      <c r="G202" s="8" t="str">
        <f>'2025_Chase9335_Activity_2026062'!G202</f>
        <v>Zelle to Ashley Sarshar</v>
      </c>
      <c r="H202" s="26">
        <f t="shared" si="3"/>
        <v>45931</v>
      </c>
      <c r="I202" s="8" t="str">
        <f>IF($G202="","Uncategorized — Review",IFERROR(_xlfn.XLOOKUP($G202,Mapping!$A:$A,Mapping!$B:$B),"Uncategorized — Review"))</f>
        <v>Zelle to Ashley Sarshar</v>
      </c>
      <c r="J202" s="8" t="str">
        <f>IF($G202="","Uncategorized — Review",IFERROR(_xlfn.XLOOKUP($G202,Mapping!$A:$A,Mapping!$C:$C),"Uncategorized — Review"))</f>
        <v>P2P Payments (Zelle/Venmo/PayPal)</v>
      </c>
    </row>
    <row r="203" spans="1:10" x14ac:dyDescent="0.25">
      <c r="A203" s="8" t="str">
        <f>'2025_Chase9335_Activity_2026062'!A203</f>
        <v>DEBIT</v>
      </c>
      <c r="B203" s="24">
        <f>'2025_Chase9335_Activity_2026062'!B203</f>
        <v>45960</v>
      </c>
      <c r="C203" s="8" t="str">
        <f>'2025_Chase9335_Activity_2026062'!C203</f>
        <v>Online Transfer to CHK ...3922 transaction#: 26768022537 10/30</v>
      </c>
      <c r="D203" s="8">
        <f>'2025_Chase9335_Activity_2026062'!D203</f>
        <v>-5000</v>
      </c>
      <c r="E203" s="8" t="str">
        <f>'2025_Chase9335_Activity_2026062'!E203</f>
        <v>ACCT_XFER</v>
      </c>
      <c r="F203" s="8">
        <f>'2025_Chase9335_Activity_2026062'!F203</f>
        <v>72351.42</v>
      </c>
      <c r="G203" s="8" t="str">
        <f>'2025_Chase9335_Activity_2026062'!G203</f>
        <v>Transfer to DWG Capital Partners</v>
      </c>
      <c r="H203" s="26">
        <f t="shared" si="3"/>
        <v>45931</v>
      </c>
      <c r="I203" s="8" t="str">
        <f>IF($G203="","Uncategorized — Review",IFERROR(_xlfn.XLOOKUP($G203,Mapping!$A:$A,Mapping!$B:$B),"Uncategorized — Review"))</f>
        <v>Transfer to DWG Capital Partners</v>
      </c>
      <c r="J203" s="8" t="str">
        <f>IF($G203="","Uncategorized — Review",IFERROR(_xlfn.XLOOKUP($G203,Mapping!$A:$A,Mapping!$C:$C),"Uncategorized — Review"))</f>
        <v>Intercompany &amp; Savings Transfers</v>
      </c>
    </row>
    <row r="204" spans="1:10" x14ac:dyDescent="0.25">
      <c r="A204" s="8" t="str">
        <f>'2025_Chase9335_Activity_2026062'!A204</f>
        <v>DEBIT</v>
      </c>
      <c r="B204" s="24">
        <f>'2025_Chase9335_Activity_2026062'!B204</f>
        <v>45960</v>
      </c>
      <c r="C204" s="8" t="str">
        <f>'2025_Chase9335_Activity_2026062'!C204</f>
        <v>APPLE.COM/BILL 866-712-7753 CA               10/30</v>
      </c>
      <c r="D204" s="8">
        <f>'2025_Chase9335_Activity_2026062'!D204</f>
        <v>-51.45</v>
      </c>
      <c r="E204" s="8" t="str">
        <f>'2025_Chase9335_Activity_2026062'!E204</f>
        <v>DEBIT_CARD</v>
      </c>
      <c r="F204" s="8">
        <f>'2025_Chase9335_Activity_2026062'!F204</f>
        <v>77351.42</v>
      </c>
      <c r="G204" s="8" t="str">
        <f>'2025_Chase9335_Activity_2026062'!G204</f>
        <v>Personal - Subscriptions</v>
      </c>
      <c r="H204" s="26">
        <f t="shared" si="3"/>
        <v>45931</v>
      </c>
      <c r="I204" s="8" t="str">
        <f>IF($G204="","Uncategorized — Review",IFERROR(_xlfn.XLOOKUP($G204,Mapping!$A:$A,Mapping!$B:$B),"Uncategorized — Review"))</f>
        <v>Personal - Subscriptions</v>
      </c>
      <c r="J204" s="8" t="str">
        <f>IF($G204="","Uncategorized — Review",IFERROR(_xlfn.XLOOKUP($G204,Mapping!$A:$A,Mapping!$C:$C),"Uncategorized — Review"))</f>
        <v>Personal — Owner</v>
      </c>
    </row>
    <row r="205" spans="1:10" x14ac:dyDescent="0.25">
      <c r="A205" s="8" t="str">
        <f>'2025_Chase9335_Activity_2026062'!A205</f>
        <v>DEBIT</v>
      </c>
      <c r="B205" s="24">
        <f>'2025_Chase9335_Activity_2026062'!B205</f>
        <v>45959</v>
      </c>
      <c r="C205" s="8" t="str">
        <f>'2025_Chase9335_Activity_2026062'!C205</f>
        <v>ORIG CO NAME:AMERICAN EXPRESS       ORIG ID:2005032111 DESC DATE:251029 CO ENTRY DESCR:ACH PMT   SEC:CCD    TRACE#:021000023642105 EED:251029   IND ID:W8622                        IND NAME:JOHN DUNNING                                                                                                 ER AM TRN: 3023642105TC</v>
      </c>
      <c r="D205" s="8">
        <f>'2025_Chase9335_Activity_2026062'!D205</f>
        <v>-380.97</v>
      </c>
      <c r="E205" s="8" t="str">
        <f>'2025_Chase9335_Activity_2026062'!E205</f>
        <v>ACH_DEBIT</v>
      </c>
      <c r="F205" s="8">
        <f>'2025_Chase9335_Activity_2026062'!F205</f>
        <v>77402.87</v>
      </c>
      <c r="G205" s="8" t="str">
        <f>'2025_Chase9335_Activity_2026062'!G205</f>
        <v>American Express Credit Card PMT</v>
      </c>
      <c r="H205" s="26">
        <f t="shared" si="3"/>
        <v>45931</v>
      </c>
      <c r="I205" s="8" t="str">
        <f>IF($G205="","Uncategorized — Review",IFERROR(_xlfn.XLOOKUP($G205,Mapping!$A:$A,Mapping!$B:$B),"Uncategorized — Review"))</f>
        <v>American Express Credit Card PMT</v>
      </c>
      <c r="J205" s="8" t="str">
        <f>IF($G205="","Uncategorized — Review",IFERROR(_xlfn.XLOOKUP($G205,Mapping!$A:$A,Mapping!$C:$C),"Uncategorized — Review"))</f>
        <v>Credit Card &amp; Loan Payments</v>
      </c>
    </row>
    <row r="206" spans="1:10" x14ac:dyDescent="0.25">
      <c r="A206" s="8" t="str">
        <f>'2025_Chase9335_Activity_2026062'!A206</f>
        <v>DEBIT</v>
      </c>
      <c r="B206" s="24">
        <f>'2025_Chase9335_Activity_2026062'!B206</f>
        <v>45959</v>
      </c>
      <c r="C206" s="8" t="str">
        <f>'2025_Chase9335_Activity_2026062'!C206</f>
        <v>Zelle payment to Michael Paytonjian JPM99bso92by</v>
      </c>
      <c r="D206" s="8">
        <f>'2025_Chase9335_Activity_2026062'!D206</f>
        <v>-145</v>
      </c>
      <c r="E206" s="8" t="str">
        <f>'2025_Chase9335_Activity_2026062'!E206</f>
        <v>CHASE_TO_PARTNERFI</v>
      </c>
      <c r="F206" s="8">
        <f>'2025_Chase9335_Activity_2026062'!F206</f>
        <v>77783.839999999997</v>
      </c>
      <c r="G206" s="8" t="str">
        <f>'2025_Chase9335_Activity_2026062'!G206</f>
        <v>Office/Miscellaneous Reimbursement - Mike P.</v>
      </c>
      <c r="H206" s="26">
        <f t="shared" si="3"/>
        <v>45931</v>
      </c>
      <c r="I206" s="8" t="str">
        <f>IF($G206="","Uncategorized — Review",IFERROR(_xlfn.XLOOKUP($G206,Mapping!$A:$A,Mapping!$B:$B),"Uncategorized — Review"))</f>
        <v>Office/Miscellaneous Reimbursement - Mike P.</v>
      </c>
      <c r="J206" s="8" t="str">
        <f>IF($G206="","Uncategorized — Review",IFERROR(_xlfn.XLOOKUP($G206,Mapping!$A:$A,Mapping!$C:$C),"Uncategorized — Review"))</f>
        <v>Payroll &amp; Contractors</v>
      </c>
    </row>
    <row r="207" spans="1:10" x14ac:dyDescent="0.25">
      <c r="A207" s="8" t="str">
        <f>'2025_Chase9335_Activity_2026062'!A207</f>
        <v>DEBIT</v>
      </c>
      <c r="B207" s="24">
        <f>'2025_Chase9335_Activity_2026062'!B207</f>
        <v>45958</v>
      </c>
      <c r="C207" s="8" t="str">
        <f>'2025_Chase9335_Activity_2026062'!C207</f>
        <v>Online Transfer to CHK ...1168 transaction#: 26745657866 10/28</v>
      </c>
      <c r="D207" s="8">
        <f>'2025_Chase9335_Activity_2026062'!D207</f>
        <v>-30000</v>
      </c>
      <c r="E207" s="8" t="str">
        <f>'2025_Chase9335_Activity_2026062'!E207</f>
        <v>ACCT_XFER</v>
      </c>
      <c r="F207" s="8">
        <f>'2025_Chase9335_Activity_2026062'!F207</f>
        <v>77928.84</v>
      </c>
      <c r="G207" s="8" t="str">
        <f>'2025_Chase9335_Activity_2026062'!G207</f>
        <v>Transfer to DWG Capital Group</v>
      </c>
      <c r="H207" s="26">
        <f t="shared" si="3"/>
        <v>45931</v>
      </c>
      <c r="I207" s="8" t="str">
        <f>IF($G207="","Uncategorized — Review",IFERROR(_xlfn.XLOOKUP($G207,Mapping!$A:$A,Mapping!$B:$B),"Uncategorized — Review"))</f>
        <v>Transfer to DWG Capital Group</v>
      </c>
      <c r="J207" s="8" t="str">
        <f>IF($G207="","Uncategorized — Review",IFERROR(_xlfn.XLOOKUP($G207,Mapping!$A:$A,Mapping!$C:$C),"Uncategorized — Review"))</f>
        <v>Intercompany &amp; Savings Transfers</v>
      </c>
    </row>
    <row r="208" spans="1:10" x14ac:dyDescent="0.25">
      <c r="A208" s="8" t="str">
        <f>'2025_Chase9335_Activity_2026062'!A208</f>
        <v>DEBIT</v>
      </c>
      <c r="B208" s="24">
        <f>'2025_Chase9335_Activity_2026062'!B208</f>
        <v>45958</v>
      </c>
      <c r="C208" s="8" t="str">
        <f>'2025_Chase9335_Activity_2026062'!C208</f>
        <v>AMAZON MKTPLACE PMTS Amzn.com/bill WA        10/28</v>
      </c>
      <c r="D208" s="8">
        <f>'2025_Chase9335_Activity_2026062'!D208</f>
        <v>105.95</v>
      </c>
      <c r="E208" s="8" t="str">
        <f>'2025_Chase9335_Activity_2026062'!E208</f>
        <v>DEBIT_CARD</v>
      </c>
      <c r="F208" s="8">
        <f>'2025_Chase9335_Activity_2026062'!F208</f>
        <v>107928.84</v>
      </c>
      <c r="G208" s="8" t="str">
        <f>'2025_Chase9335_Activity_2026062'!G208</f>
        <v>Amazon</v>
      </c>
      <c r="H208" s="26">
        <f t="shared" si="3"/>
        <v>45931</v>
      </c>
      <c r="I208" s="8" t="str">
        <f>IF($G208="","Uncategorized — Review",IFERROR(_xlfn.XLOOKUP($G208,Mapping!$A:$A,Mapping!$B:$B),"Uncategorized — Review"))</f>
        <v>Amazon</v>
      </c>
      <c r="J208" s="8" t="str">
        <f>IF($G208="","Uncategorized — Review",IFERROR(_xlfn.XLOOKUP($G208,Mapping!$A:$A,Mapping!$C:$C),"Uncategorized — Review"))</f>
        <v>Personal — Owner</v>
      </c>
    </row>
    <row r="209" spans="1:10" x14ac:dyDescent="0.25">
      <c r="A209" s="8" t="str">
        <f>'2025_Chase9335_Activity_2026062'!A209</f>
        <v>DEBIT</v>
      </c>
      <c r="B209" s="24">
        <f>'2025_Chase9335_Activity_2026062'!B209</f>
        <v>45957</v>
      </c>
      <c r="C209" s="8" t="str">
        <f>'2025_Chase9335_Activity_2026062'!C209</f>
        <v>ORIG CO NAME:AMERICAN EXPRESS       ORIG ID:2005032111 DESC DATE:251027 CO ENTRY DESCR:ACH PMT   SEC:CCD    TRACE#:021000024159184 EED:251027   IND ID:W0030                        IND NAME:JOHN DUNNING                                                                                                 ER AM TRN: 3004159184TC</v>
      </c>
      <c r="D209" s="8">
        <f>'2025_Chase9335_Activity_2026062'!D209</f>
        <v>-1242.8399999999999</v>
      </c>
      <c r="E209" s="8" t="str">
        <f>'2025_Chase9335_Activity_2026062'!E209</f>
        <v>ACH_DEBIT</v>
      </c>
      <c r="F209" s="8">
        <f>'2025_Chase9335_Activity_2026062'!F209</f>
        <v>107822.89</v>
      </c>
      <c r="G209" s="8" t="str">
        <f>'2025_Chase9335_Activity_2026062'!G209</f>
        <v>American Express Credit Card PMT</v>
      </c>
      <c r="H209" s="26">
        <f t="shared" si="3"/>
        <v>45931</v>
      </c>
      <c r="I209" s="8" t="str">
        <f>IF($G209="","Uncategorized — Review",IFERROR(_xlfn.XLOOKUP($G209,Mapping!$A:$A,Mapping!$B:$B),"Uncategorized — Review"))</f>
        <v>American Express Credit Card PMT</v>
      </c>
      <c r="J209" s="8" t="str">
        <f>IF($G209="","Uncategorized — Review",IFERROR(_xlfn.XLOOKUP($G209,Mapping!$A:$A,Mapping!$C:$C),"Uncategorized — Review"))</f>
        <v>Credit Card &amp; Loan Payments</v>
      </c>
    </row>
    <row r="210" spans="1:10" x14ac:dyDescent="0.25">
      <c r="A210" s="8" t="str">
        <f>'2025_Chase9335_Activity_2026062'!A210</f>
        <v>DEBIT</v>
      </c>
      <c r="B210" s="24">
        <f>'2025_Chase9335_Activity_2026062'!B210</f>
        <v>45957</v>
      </c>
      <c r="C210" s="8" t="str">
        <f>'2025_Chase9335_Activity_2026062'!C210</f>
        <v>Zelle payment to Michael Paytonjian JPM99bsg3h49</v>
      </c>
      <c r="D210" s="8">
        <f>'2025_Chase9335_Activity_2026062'!D210</f>
        <v>-130</v>
      </c>
      <c r="E210" s="8" t="str">
        <f>'2025_Chase9335_Activity_2026062'!E210</f>
        <v>CHASE_TO_PARTNERFI</v>
      </c>
      <c r="F210" s="8">
        <f>'2025_Chase9335_Activity_2026062'!F210</f>
        <v>109065.73</v>
      </c>
      <c r="G210" s="8" t="str">
        <f>'2025_Chase9335_Activity_2026062'!G210</f>
        <v>Office/Miscellaneous Reimbursement - Mike P.</v>
      </c>
      <c r="H210" s="26">
        <f t="shared" si="3"/>
        <v>45931</v>
      </c>
      <c r="I210" s="8" t="str">
        <f>IF($G210="","Uncategorized — Review",IFERROR(_xlfn.XLOOKUP($G210,Mapping!$A:$A,Mapping!$B:$B),"Uncategorized — Review"))</f>
        <v>Office/Miscellaneous Reimbursement - Mike P.</v>
      </c>
      <c r="J210" s="8" t="str">
        <f>IF($G210="","Uncategorized — Review",IFERROR(_xlfn.XLOOKUP($G210,Mapping!$A:$A,Mapping!$C:$C),"Uncategorized — Review"))</f>
        <v>Payroll &amp; Contractors</v>
      </c>
    </row>
    <row r="211" spans="1:10" x14ac:dyDescent="0.25">
      <c r="A211" s="8" t="str">
        <f>'2025_Chase9335_Activity_2026062'!A211</f>
        <v>DEBIT</v>
      </c>
      <c r="B211" s="24">
        <f>'2025_Chase9335_Activity_2026062'!B211</f>
        <v>45957</v>
      </c>
      <c r="C211" s="8" t="str">
        <f>'2025_Chase9335_Activity_2026062'!C211</f>
        <v>VENMO *NUVIO 855-812-4430 NY                 10/26</v>
      </c>
      <c r="D211" s="8">
        <f>'2025_Chase9335_Activity_2026062'!D211</f>
        <v>-1035.46</v>
      </c>
      <c r="E211" s="8" t="str">
        <f>'2025_Chase9335_Activity_2026062'!E211</f>
        <v>DEBIT_CARD</v>
      </c>
      <c r="F211" s="8">
        <f>'2025_Chase9335_Activity_2026062'!F211</f>
        <v>109195.73</v>
      </c>
      <c r="G211" s="8" t="str">
        <f>'2025_Chase9335_Activity_2026062'!G211</f>
        <v>Personal - Gift (Dax Mitchell)</v>
      </c>
      <c r="H211" s="26">
        <f t="shared" si="3"/>
        <v>45931</v>
      </c>
      <c r="I211" s="8" t="str">
        <f>IF($G211="","Uncategorized — Review",IFERROR(_xlfn.XLOOKUP($G211,Mapping!$A:$A,Mapping!$B:$B),"Uncategorized — Review"))</f>
        <v>Personal - Gift (Dax Mitchell)</v>
      </c>
      <c r="J211" s="8" t="str">
        <f>IF($G211="","Uncategorized — Review",IFERROR(_xlfn.XLOOKUP($G211,Mapping!$A:$A,Mapping!$C:$C),"Uncategorized — Review"))</f>
        <v>Personal — Owner</v>
      </c>
    </row>
    <row r="212" spans="1:10" x14ac:dyDescent="0.25">
      <c r="A212" s="8" t="str">
        <f>'2025_Chase9335_Activity_2026062'!A212</f>
        <v>DEBIT</v>
      </c>
      <c r="B212" s="24">
        <f>'2025_Chase9335_Activity_2026062'!B212</f>
        <v>45957</v>
      </c>
      <c r="C212" s="8" t="str">
        <f>'2025_Chase9335_Activity_2026062'!C212</f>
        <v>APPLE.COM/BILL 866-712-7753 CA               10/26</v>
      </c>
      <c r="D212" s="8">
        <f>'2025_Chase9335_Activity_2026062'!D212</f>
        <v>-30.89</v>
      </c>
      <c r="E212" s="8" t="str">
        <f>'2025_Chase9335_Activity_2026062'!E212</f>
        <v>DEBIT_CARD</v>
      </c>
      <c r="F212" s="8">
        <f>'2025_Chase9335_Activity_2026062'!F212</f>
        <v>110231.19</v>
      </c>
      <c r="G212" s="8" t="str">
        <f>'2025_Chase9335_Activity_2026062'!G212</f>
        <v>Personal - Subscriptions</v>
      </c>
      <c r="H212" s="26">
        <f t="shared" si="3"/>
        <v>45931</v>
      </c>
      <c r="I212" s="8" t="str">
        <f>IF($G212="","Uncategorized — Review",IFERROR(_xlfn.XLOOKUP($G212,Mapping!$A:$A,Mapping!$B:$B),"Uncategorized — Review"))</f>
        <v>Personal - Subscriptions</v>
      </c>
      <c r="J212" s="8" t="str">
        <f>IF($G212="","Uncategorized — Review",IFERROR(_xlfn.XLOOKUP($G212,Mapping!$A:$A,Mapping!$C:$C),"Uncategorized — Review"))</f>
        <v>Personal — Owner</v>
      </c>
    </row>
    <row r="213" spans="1:10" x14ac:dyDescent="0.25">
      <c r="A213" s="8" t="str">
        <f>'2025_Chase9335_Activity_2026062'!A213</f>
        <v>DEBIT</v>
      </c>
      <c r="B213" s="24">
        <f>'2025_Chase9335_Activity_2026062'!B213</f>
        <v>45953</v>
      </c>
      <c r="C213" s="8" t="str">
        <f>'2025_Chase9335_Activity_2026062'!C213</f>
        <v>Zelle payment to Ashley Sarshar 26692142938</v>
      </c>
      <c r="D213" s="8">
        <f>'2025_Chase9335_Activity_2026062'!D213</f>
        <v>-225</v>
      </c>
      <c r="E213" s="8" t="str">
        <f>'2025_Chase9335_Activity_2026062'!E213</f>
        <v>QUICKPAY_DEBIT</v>
      </c>
      <c r="F213" s="8">
        <f>'2025_Chase9335_Activity_2026062'!F213</f>
        <v>110262.08</v>
      </c>
      <c r="G213" s="8" t="str">
        <f>'2025_Chase9335_Activity_2026062'!G213</f>
        <v>Zelle to Ashley Sarshar</v>
      </c>
      <c r="H213" s="26">
        <f t="shared" si="3"/>
        <v>45931</v>
      </c>
      <c r="I213" s="8" t="str">
        <f>IF($G213="","Uncategorized — Review",IFERROR(_xlfn.XLOOKUP($G213,Mapping!$A:$A,Mapping!$B:$B),"Uncategorized — Review"))</f>
        <v>Zelle to Ashley Sarshar</v>
      </c>
      <c r="J213" s="8" t="str">
        <f>IF($G213="","Uncategorized — Review",IFERROR(_xlfn.XLOOKUP($G213,Mapping!$A:$A,Mapping!$C:$C),"Uncategorized — Review"))</f>
        <v>P2P Payments (Zelle/Venmo/PayPal)</v>
      </c>
    </row>
    <row r="214" spans="1:10" x14ac:dyDescent="0.25">
      <c r="A214" s="8" t="str">
        <f>'2025_Chase9335_Activity_2026062'!A214</f>
        <v>DEBIT</v>
      </c>
      <c r="B214" s="24">
        <f>'2025_Chase9335_Activity_2026062'!B214</f>
        <v>45952</v>
      </c>
      <c r="C214" s="8" t="str">
        <f>'2025_Chase9335_Activity_2026062'!C214</f>
        <v>Zelle payment to Rami Frankl 26680409047</v>
      </c>
      <c r="D214" s="8">
        <f>'2025_Chase9335_Activity_2026062'!D214</f>
        <v>-500</v>
      </c>
      <c r="E214" s="8" t="str">
        <f>'2025_Chase9335_Activity_2026062'!E214</f>
        <v>QUICKPAY_DEBIT</v>
      </c>
      <c r="F214" s="8">
        <f>'2025_Chase9335_Activity_2026062'!F214</f>
        <v>110487.08</v>
      </c>
      <c r="G214" s="8" t="str">
        <f>'2025_Chase9335_Activity_2026062'!G214</f>
        <v>Zelle to Rami Frankl</v>
      </c>
      <c r="H214" s="26">
        <f t="shared" si="3"/>
        <v>45931</v>
      </c>
      <c r="I214" s="8" t="str">
        <f>IF($G214="","Uncategorized — Review",IFERROR(_xlfn.XLOOKUP($G214,Mapping!$A:$A,Mapping!$B:$B),"Uncategorized — Review"))</f>
        <v>Zelle to Rami Frankl</v>
      </c>
      <c r="J214" s="8" t="str">
        <f>IF($G214="","Uncategorized — Review",IFERROR(_xlfn.XLOOKUP($G214,Mapping!$A:$A,Mapping!$C:$C),"Uncategorized — Review"))</f>
        <v>P2P Payments (Zelle/Venmo/PayPal)</v>
      </c>
    </row>
    <row r="215" spans="1:10" x14ac:dyDescent="0.25">
      <c r="A215" s="8" t="str">
        <f>'2025_Chase9335_Activity_2026062'!A215</f>
        <v>DEBIT</v>
      </c>
      <c r="B215" s="24">
        <f>'2025_Chase9335_Activity_2026062'!B215</f>
        <v>45951</v>
      </c>
      <c r="C215" s="8" t="str">
        <f>'2025_Chase9335_Activity_2026062'!C215</f>
        <v>Netflix.com 408-5403700 CA                   10/21</v>
      </c>
      <c r="D215" s="8">
        <f>'2025_Chase9335_Activity_2026062'!D215</f>
        <v>-24.99</v>
      </c>
      <c r="E215" s="8" t="str">
        <f>'2025_Chase9335_Activity_2026062'!E215</f>
        <v>DEBIT_CARD</v>
      </c>
      <c r="F215" s="8">
        <f>'2025_Chase9335_Activity_2026062'!F215</f>
        <v>110987.08</v>
      </c>
      <c r="G215" s="8" t="str">
        <f>'2025_Chase9335_Activity_2026062'!G215</f>
        <v>Personal - Subscriptions</v>
      </c>
      <c r="H215" s="26">
        <f t="shared" si="3"/>
        <v>45931</v>
      </c>
      <c r="I215" s="8" t="str">
        <f>IF($G215="","Uncategorized — Review",IFERROR(_xlfn.XLOOKUP($G215,Mapping!$A:$A,Mapping!$B:$B),"Uncategorized — Review"))</f>
        <v>Personal - Subscriptions</v>
      </c>
      <c r="J215" s="8" t="str">
        <f>IF($G215="","Uncategorized — Review",IFERROR(_xlfn.XLOOKUP($G215,Mapping!$A:$A,Mapping!$C:$C),"Uncategorized — Review"))</f>
        <v>Personal — Owner</v>
      </c>
    </row>
    <row r="216" spans="1:10" x14ac:dyDescent="0.25">
      <c r="A216" s="8" t="str">
        <f>'2025_Chase9335_Activity_2026062'!A216</f>
        <v>DEBIT</v>
      </c>
      <c r="B216" s="24">
        <f>'2025_Chase9335_Activity_2026062'!B216</f>
        <v>45951</v>
      </c>
      <c r="C216" s="8" t="str">
        <f>'2025_Chase9335_Activity_2026062'!C216</f>
        <v>P.SKOOL.COM/NLHLQ WWW.SKOOL.COM CA           10/21</v>
      </c>
      <c r="D216" s="8">
        <f>'2025_Chase9335_Activity_2026062'!D216</f>
        <v>-216</v>
      </c>
      <c r="E216" s="8" t="str">
        <f>'2025_Chase9335_Activity_2026062'!E216</f>
        <v>DEBIT_CARD</v>
      </c>
      <c r="F216" s="8">
        <f>'2025_Chase9335_Activity_2026062'!F216</f>
        <v>111012.07</v>
      </c>
      <c r="G216" s="8" t="str">
        <f>'2025_Chase9335_Activity_2026062'!G216</f>
        <v>AI Subscriptions</v>
      </c>
      <c r="H216" s="26">
        <f t="shared" si="3"/>
        <v>45931</v>
      </c>
      <c r="I216" s="8" t="str">
        <f>IF($G216="","Uncategorized — Review",IFERROR(_xlfn.XLOOKUP($G216,Mapping!$A:$A,Mapping!$B:$B),"Uncategorized — Review"))</f>
        <v>AI Subscriptions</v>
      </c>
      <c r="J216" s="8" t="str">
        <f>IF($G216="","Uncategorized — Review",IFERROR(_xlfn.XLOOKUP($G216,Mapping!$A:$A,Mapping!$C:$C),"Uncategorized — Review"))</f>
        <v>Personal — Owner</v>
      </c>
    </row>
    <row r="217" spans="1:10" x14ac:dyDescent="0.25">
      <c r="A217" s="8" t="str">
        <f>'2025_Chase9335_Activity_2026062'!A217</f>
        <v>DEBIT</v>
      </c>
      <c r="B217" s="24">
        <f>'2025_Chase9335_Activity_2026062'!B217</f>
        <v>45951</v>
      </c>
      <c r="C217" s="8" t="str">
        <f>'2025_Chase9335_Activity_2026062'!C217</f>
        <v>AMAZON MKTPLACE PMTS Amzn.com/bill WA        10/20</v>
      </c>
      <c r="D217" s="8">
        <f>'2025_Chase9335_Activity_2026062'!D217</f>
        <v>105.95</v>
      </c>
      <c r="E217" s="8" t="str">
        <f>'2025_Chase9335_Activity_2026062'!E217</f>
        <v>DEBIT_CARD</v>
      </c>
      <c r="F217" s="8">
        <f>'2025_Chase9335_Activity_2026062'!F217</f>
        <v>111228.07</v>
      </c>
      <c r="G217" s="8" t="str">
        <f>'2025_Chase9335_Activity_2026062'!G217</f>
        <v>Amazon</v>
      </c>
      <c r="H217" s="26">
        <f t="shared" si="3"/>
        <v>45931</v>
      </c>
      <c r="I217" s="8" t="str">
        <f>IF($G217="","Uncategorized — Review",IFERROR(_xlfn.XLOOKUP($G217,Mapping!$A:$A,Mapping!$B:$B),"Uncategorized — Review"))</f>
        <v>Amazon</v>
      </c>
      <c r="J217" s="8" t="str">
        <f>IF($G217="","Uncategorized — Review",IFERROR(_xlfn.XLOOKUP($G217,Mapping!$A:$A,Mapping!$C:$C),"Uncategorized — Review"))</f>
        <v>Personal — Owner</v>
      </c>
    </row>
    <row r="218" spans="1:10" x14ac:dyDescent="0.25">
      <c r="A218" s="8" t="str">
        <f>'2025_Chase9335_Activity_2026062'!A218</f>
        <v>DEBIT</v>
      </c>
      <c r="B218" s="24">
        <f>'2025_Chase9335_Activity_2026062'!B218</f>
        <v>45950</v>
      </c>
      <c r="C218" s="8" t="str">
        <f>'2025_Chase9335_Activity_2026062'!C218</f>
        <v>ONLINE DOMESTIC WIRE FEE</v>
      </c>
      <c r="D218" s="8">
        <f>'2025_Chase9335_Activity_2026062'!D218</f>
        <v>-25</v>
      </c>
      <c r="E218" s="8" t="str">
        <f>'2025_Chase9335_Activity_2026062'!E218</f>
        <v>FEE_TRANSACTION</v>
      </c>
      <c r="F218" s="8">
        <f>'2025_Chase9335_Activity_2026062'!F218</f>
        <v>111122.12</v>
      </c>
      <c r="G218" s="8" t="str">
        <f>'2025_Chase9335_Activity_2026062'!G218</f>
        <v>Bank Fees</v>
      </c>
      <c r="H218" s="26">
        <f t="shared" si="3"/>
        <v>45931</v>
      </c>
      <c r="I218" s="8" t="str">
        <f>IF($G218="","Uncategorized — Review",IFERROR(_xlfn.XLOOKUP($G218,Mapping!$A:$A,Mapping!$B:$B),"Uncategorized — Review"))</f>
        <v>Bank Fees</v>
      </c>
      <c r="J218" s="8" t="str">
        <f>IF($G218="","Uncategorized — Review",IFERROR(_xlfn.XLOOKUP($G218,Mapping!$A:$A,Mapping!$C:$C),"Uncategorized — Review"))</f>
        <v>DWG Operating</v>
      </c>
    </row>
    <row r="219" spans="1:10" x14ac:dyDescent="0.25">
      <c r="A219" s="8" t="str">
        <f>'2025_Chase9335_Activity_2026062'!A219</f>
        <v>DEBIT</v>
      </c>
      <c r="B219" s="24">
        <f>'2025_Chase9335_Activity_2026062'!B219</f>
        <v>45950</v>
      </c>
      <c r="C219" s="8" t="str">
        <f>'2025_Chase9335_Activity_2026062'!C219</f>
        <v>ONLINE DOMESTIC WIRE TRANSFER A/C: ADMEER ADVISORY, LLC DANA POINT CA 92629-3313 US TRN: 3465325293ES 10/20</v>
      </c>
      <c r="D219" s="8">
        <f>'2025_Chase9335_Activity_2026062'!D219</f>
        <v>-5000</v>
      </c>
      <c r="E219" s="8" t="str">
        <f>'2025_Chase9335_Activity_2026062'!E219</f>
        <v>WIRE_OUTGOING</v>
      </c>
      <c r="F219" s="8">
        <f>'2025_Chase9335_Activity_2026062'!F219</f>
        <v>111147.12</v>
      </c>
      <c r="G219" s="8" t="str">
        <f>'2025_Chase9335_Activity_2026062'!G219</f>
        <v>MAG - Admeer Advisory Transfer</v>
      </c>
      <c r="H219" s="26">
        <f t="shared" si="3"/>
        <v>45931</v>
      </c>
      <c r="I219" s="8" t="str">
        <f>IF($G219="","Uncategorized — Review",IFERROR(_xlfn.XLOOKUP($G219,Mapping!$A:$A,Mapping!$B:$B),"Uncategorized — Review"))</f>
        <v>MAG - Admeer Advisory Transfer</v>
      </c>
      <c r="J219" s="8" t="str">
        <f>IF($G219="","Uncategorized — Review",IFERROR(_xlfn.XLOOKUP($G219,Mapping!$A:$A,Mapping!$C:$C),"Uncategorized — Review"))</f>
        <v>MAG Pass-Through</v>
      </c>
    </row>
    <row r="220" spans="1:10" x14ac:dyDescent="0.25">
      <c r="A220" s="8" t="str">
        <f>'2025_Chase9335_Activity_2026062'!A220</f>
        <v>DEBIT</v>
      </c>
      <c r="B220" s="24">
        <f>'2025_Chase9335_Activity_2026062'!B220</f>
        <v>45950</v>
      </c>
      <c r="C220" s="8" t="str">
        <f>'2025_Chase9335_Activity_2026062'!C220</f>
        <v>ANGEL STUDIOS WWW.ANGEL.COM UT               10/19</v>
      </c>
      <c r="D220" s="8">
        <f>'2025_Chase9335_Activity_2026062'!D220</f>
        <v>-60</v>
      </c>
      <c r="E220" s="8" t="str">
        <f>'2025_Chase9335_Activity_2026062'!E220</f>
        <v>DEBIT_CARD</v>
      </c>
      <c r="F220" s="8">
        <f>'2025_Chase9335_Activity_2026062'!F220</f>
        <v>116147.12</v>
      </c>
      <c r="G220" s="8" t="str">
        <f>'2025_Chase9335_Activity_2026062'!G220</f>
        <v>Personal - Entertainment</v>
      </c>
      <c r="H220" s="26">
        <f t="shared" si="3"/>
        <v>45931</v>
      </c>
      <c r="I220" s="8" t="str">
        <f>IF($G220="","Uncategorized — Review",IFERROR(_xlfn.XLOOKUP($G220,Mapping!$A:$A,Mapping!$B:$B),"Uncategorized — Review"))</f>
        <v>Personal - Entertainment</v>
      </c>
      <c r="J220" s="8" t="str">
        <f>IF($G220="","Uncategorized — Review",IFERROR(_xlfn.XLOOKUP($G220,Mapping!$A:$A,Mapping!$C:$C),"Uncategorized — Review"))</f>
        <v>Personal — Owner</v>
      </c>
    </row>
    <row r="221" spans="1:10" x14ac:dyDescent="0.25">
      <c r="A221" s="8" t="str">
        <f>'2025_Chase9335_Activity_2026062'!A221</f>
        <v>DEBIT</v>
      </c>
      <c r="B221" s="24">
        <f>'2025_Chase9335_Activity_2026062'!B221</f>
        <v>45950</v>
      </c>
      <c r="C221" s="8" t="str">
        <f>'2025_Chase9335_Activity_2026062'!C221</f>
        <v>APPLE.COM/BILL 866-712-7753 CA               10/19</v>
      </c>
      <c r="D221" s="8">
        <f>'2025_Chase9335_Activity_2026062'!D221</f>
        <v>-30.89</v>
      </c>
      <c r="E221" s="8" t="str">
        <f>'2025_Chase9335_Activity_2026062'!E221</f>
        <v>DEBIT_CARD</v>
      </c>
      <c r="F221" s="8">
        <f>'2025_Chase9335_Activity_2026062'!F221</f>
        <v>116207.12</v>
      </c>
      <c r="G221" s="8" t="str">
        <f>'2025_Chase9335_Activity_2026062'!G221</f>
        <v>Personal - Subscriptions</v>
      </c>
      <c r="H221" s="26">
        <f t="shared" si="3"/>
        <v>45931</v>
      </c>
      <c r="I221" s="8" t="str">
        <f>IF($G221="","Uncategorized — Review",IFERROR(_xlfn.XLOOKUP($G221,Mapping!$A:$A,Mapping!$B:$B),"Uncategorized — Review"))</f>
        <v>Personal - Subscriptions</v>
      </c>
      <c r="J221" s="8" t="str">
        <f>IF($G221="","Uncategorized — Review",IFERROR(_xlfn.XLOOKUP($G221,Mapping!$A:$A,Mapping!$C:$C),"Uncategorized — Review"))</f>
        <v>Personal — Owner</v>
      </c>
    </row>
    <row r="222" spans="1:10" x14ac:dyDescent="0.25">
      <c r="A222" s="8" t="str">
        <f>'2025_Chase9335_Activity_2026062'!A222</f>
        <v>CREDIT</v>
      </c>
      <c r="B222" s="24">
        <f>'2025_Chase9335_Activity_2026062'!B222</f>
        <v>45950</v>
      </c>
      <c r="C222" s="8" t="str">
        <f>'2025_Chase9335_Activity_2026062'!C222</f>
        <v>ORIG CO NAME:MITCHELL ASSET G       ORIG ID:9024218048 DESC DATE:251020 CO ENTRY DESCR:ACH Pmt   SEC:CCD    TRACE#:021000029930642 EED:251020   IND ID:11192287489                  IND NAME:                           Marketing Reimbursement TRN: 2939930642TC</v>
      </c>
      <c r="D222" s="8">
        <f>'2025_Chase9335_Activity_2026062'!D222</f>
        <v>15000</v>
      </c>
      <c r="E222" s="8" t="str">
        <f>'2025_Chase9335_Activity_2026062'!E222</f>
        <v>ACH_CREDIT</v>
      </c>
      <c r="F222" s="8">
        <f>'2025_Chase9335_Activity_2026062'!F222</f>
        <v>116238.01</v>
      </c>
      <c r="G222" s="8" t="str">
        <f>'2025_Chase9335_Activity_2026062'!G222</f>
        <v>MAG Marketing Reimbursement</v>
      </c>
      <c r="H222" s="26">
        <f t="shared" si="3"/>
        <v>45931</v>
      </c>
      <c r="I222" s="8" t="str">
        <f>IF($G222="","Uncategorized — Review",IFERROR(_xlfn.XLOOKUP($G222,Mapping!$A:$A,Mapping!$B:$B),"Uncategorized — Review"))</f>
        <v>MAG Marketing Reimbursement</v>
      </c>
      <c r="J222" s="8" t="str">
        <f>IF($G222="","Uncategorized — Review",IFERROR(_xlfn.XLOOKUP($G222,Mapping!$A:$A,Mapping!$C:$C),"Uncategorized — Review"))</f>
        <v>MAG Pass-Through</v>
      </c>
    </row>
    <row r="223" spans="1:10" x14ac:dyDescent="0.25">
      <c r="A223" s="8" t="str">
        <f>'2025_Chase9335_Activity_2026062'!A223</f>
        <v>DEBIT</v>
      </c>
      <c r="B223" s="24">
        <f>'2025_Chase9335_Activity_2026062'!B223</f>
        <v>45947</v>
      </c>
      <c r="C223" s="8" t="str">
        <f>'2025_Chase9335_Activity_2026062'!C223</f>
        <v>ORIG CO NAME:FRANCHISE TAX BO       ORIG ID:1282532045 DESC DATE:251017 CO ENTRY DESCR:PAYMENTS  SEC:PPD    TRACE#:042000013905322 EED:251017   IND ID:                             IND NAME:DUNNING TRN: 2903905322TC</v>
      </c>
      <c r="D223" s="8">
        <f>'2025_Chase9335_Activity_2026062'!D223</f>
        <v>-4260</v>
      </c>
      <c r="E223" s="8" t="str">
        <f>'2025_Chase9335_Activity_2026062'!E223</f>
        <v>ACH_DEBIT</v>
      </c>
      <c r="F223" s="8">
        <f>'2025_Chase9335_Activity_2026062'!F223</f>
        <v>101238.01</v>
      </c>
      <c r="G223" s="8" t="str">
        <f>'2025_Chase9335_Activity_2026062'!G223</f>
        <v>IRS Tax Payment</v>
      </c>
      <c r="H223" s="26">
        <f t="shared" si="3"/>
        <v>45931</v>
      </c>
      <c r="I223" s="8" t="str">
        <f>IF($G223="","Uncategorized — Review",IFERROR(_xlfn.XLOOKUP($G223,Mapping!$A:$A,Mapping!$B:$B),"Uncategorized — Review"))</f>
        <v>IRS Tax Payment</v>
      </c>
      <c r="J223" s="8" t="str">
        <f>IF($G223="","Uncategorized — Review",IFERROR(_xlfn.XLOOKUP($G223,Mapping!$A:$A,Mapping!$C:$C),"Uncategorized — Review"))</f>
        <v>DWG Operating</v>
      </c>
    </row>
    <row r="224" spans="1:10" x14ac:dyDescent="0.25">
      <c r="A224" s="8" t="str">
        <f>'2025_Chase9335_Activity_2026062'!A224</f>
        <v>DEBIT</v>
      </c>
      <c r="B224" s="24">
        <f>'2025_Chase9335_Activity_2026062'!B224</f>
        <v>45947</v>
      </c>
      <c r="C224" s="8" t="str">
        <f>'2025_Chase9335_Activity_2026062'!C224</f>
        <v>Prime Video *NM31C1EW 888-802-3080 WA        10/17</v>
      </c>
      <c r="D224" s="8">
        <f>'2025_Chase9335_Activity_2026062'!D224</f>
        <v>-4.05</v>
      </c>
      <c r="E224" s="8" t="str">
        <f>'2025_Chase9335_Activity_2026062'!E224</f>
        <v>DEBIT_CARD</v>
      </c>
      <c r="F224" s="8">
        <f>'2025_Chase9335_Activity_2026062'!F224</f>
        <v>105498.01</v>
      </c>
      <c r="G224" s="8" t="str">
        <f>'2025_Chase9335_Activity_2026062'!G224</f>
        <v>Amazon Prime Video</v>
      </c>
      <c r="H224" s="26">
        <f t="shared" si="3"/>
        <v>45931</v>
      </c>
      <c r="I224" s="8" t="str">
        <f>IF($G224="","Uncategorized — Review",IFERROR(_xlfn.XLOOKUP($G224,Mapping!$A:$A,Mapping!$B:$B),"Uncategorized — Review"))</f>
        <v>Amazon Prime Video</v>
      </c>
      <c r="J224" s="8" t="str">
        <f>IF($G224="","Uncategorized — Review",IFERROR(_xlfn.XLOOKUP($G224,Mapping!$A:$A,Mapping!$C:$C),"Uncategorized — Review"))</f>
        <v>Personal — Owner</v>
      </c>
    </row>
    <row r="225" spans="1:10" x14ac:dyDescent="0.25">
      <c r="A225" s="8" t="str">
        <f>'2025_Chase9335_Activity_2026062'!A225</f>
        <v>DEBIT</v>
      </c>
      <c r="B225" s="24">
        <f>'2025_Chase9335_Activity_2026062'!B225</f>
        <v>45947</v>
      </c>
      <c r="C225" s="8" t="str">
        <f>'2025_Chase9335_Activity_2026062'!C225</f>
        <v>AMAZON MKTPL*NM9F16J Amzn.com/bill WA        10/16</v>
      </c>
      <c r="D225" s="8">
        <f>'2025_Chase9335_Activity_2026062'!D225</f>
        <v>-105.95</v>
      </c>
      <c r="E225" s="8" t="str">
        <f>'2025_Chase9335_Activity_2026062'!E225</f>
        <v>DEBIT_CARD</v>
      </c>
      <c r="F225" s="8">
        <f>'2025_Chase9335_Activity_2026062'!F225</f>
        <v>105502.06</v>
      </c>
      <c r="G225" s="8" t="str">
        <f>'2025_Chase9335_Activity_2026062'!G225</f>
        <v>Amazon</v>
      </c>
      <c r="H225" s="26">
        <f t="shared" si="3"/>
        <v>45931</v>
      </c>
      <c r="I225" s="8" t="str">
        <f>IF($G225="","Uncategorized — Review",IFERROR(_xlfn.XLOOKUP($G225,Mapping!$A:$A,Mapping!$B:$B),"Uncategorized — Review"))</f>
        <v>Amazon</v>
      </c>
      <c r="J225" s="8" t="str">
        <f>IF($G225="","Uncategorized — Review",IFERROR(_xlfn.XLOOKUP($G225,Mapping!$A:$A,Mapping!$C:$C),"Uncategorized — Review"))</f>
        <v>Personal — Owner</v>
      </c>
    </row>
    <row r="226" spans="1:10" x14ac:dyDescent="0.25">
      <c r="A226" s="8" t="str">
        <f>'2025_Chase9335_Activity_2026062'!A226</f>
        <v>DEBIT</v>
      </c>
      <c r="B226" s="24">
        <f>'2025_Chase9335_Activity_2026062'!B226</f>
        <v>45947</v>
      </c>
      <c r="C226" s="8" t="str">
        <f>'2025_Chase9335_Activity_2026062'!C226</f>
        <v>ACCREDITED INSIGHT WWW.ACCREDITE WA          10/16</v>
      </c>
      <c r="D226" s="8">
        <f>'2025_Chase9335_Activity_2026062'!D226</f>
        <v>-100</v>
      </c>
      <c r="E226" s="8" t="str">
        <f>'2025_Chase9335_Activity_2026062'!E226</f>
        <v>DEBIT_CARD</v>
      </c>
      <c r="F226" s="8">
        <f>'2025_Chase9335_Activity_2026062'!F226</f>
        <v>105608.01</v>
      </c>
      <c r="G226" s="8" t="str">
        <f>'2025_Chase9335_Activity_2026062'!G226</f>
        <v>Personal - Subscriptions</v>
      </c>
      <c r="H226" s="26">
        <f t="shared" si="3"/>
        <v>45931</v>
      </c>
      <c r="I226" s="8" t="str">
        <f>IF($G226="","Uncategorized — Review",IFERROR(_xlfn.XLOOKUP($G226,Mapping!$A:$A,Mapping!$B:$B),"Uncategorized — Review"))</f>
        <v>Personal - Subscriptions</v>
      </c>
      <c r="J226" s="8" t="str">
        <f>IF($G226="","Uncategorized — Review",IFERROR(_xlfn.XLOOKUP($G226,Mapping!$A:$A,Mapping!$C:$C),"Uncategorized — Review"))</f>
        <v>Personal — Owner</v>
      </c>
    </row>
    <row r="227" spans="1:10" x14ac:dyDescent="0.25">
      <c r="A227" s="8" t="str">
        <f>'2025_Chase9335_Activity_2026062'!A227</f>
        <v>DEBIT</v>
      </c>
      <c r="B227" s="24">
        <f>'2025_Chase9335_Activity_2026062'!B227</f>
        <v>45946</v>
      </c>
      <c r="C227" s="8" t="str">
        <f>'2025_Chase9335_Activity_2026062'!C227</f>
        <v>ORIG CO NAME:IRS                    ORIG ID:3387702000 DESC DATE:100925 CO ENTRY DESCR:USATAXPYMTSEC:PPD    TRACE#:061036017638799 EED:251016   IND ID:                             IND NAME:JOHN B DUNNING &amp; ANGEL TRN: 2897638799TC</v>
      </c>
      <c r="D227" s="8">
        <f>'2025_Chase9335_Activity_2026062'!D227</f>
        <v>-16217</v>
      </c>
      <c r="E227" s="8" t="str">
        <f>'2025_Chase9335_Activity_2026062'!E227</f>
        <v>ACH_DEBIT</v>
      </c>
      <c r="F227" s="8">
        <f>'2025_Chase9335_Activity_2026062'!F227</f>
        <v>105708.01</v>
      </c>
      <c r="G227" s="8" t="str">
        <f>'2025_Chase9335_Activity_2026062'!G227</f>
        <v>IRS Tax Payment</v>
      </c>
      <c r="H227" s="26">
        <f t="shared" si="3"/>
        <v>45931</v>
      </c>
      <c r="I227" s="8" t="str">
        <f>IF($G227="","Uncategorized — Review",IFERROR(_xlfn.XLOOKUP($G227,Mapping!$A:$A,Mapping!$B:$B),"Uncategorized — Review"))</f>
        <v>IRS Tax Payment</v>
      </c>
      <c r="J227" s="8" t="str">
        <f>IF($G227="","Uncategorized — Review",IFERROR(_xlfn.XLOOKUP($G227,Mapping!$A:$A,Mapping!$C:$C),"Uncategorized — Review"))</f>
        <v>DWG Operating</v>
      </c>
    </row>
    <row r="228" spans="1:10" x14ac:dyDescent="0.25">
      <c r="A228" s="8" t="str">
        <f>'2025_Chase9335_Activity_2026062'!A228</f>
        <v>DEBIT</v>
      </c>
      <c r="B228" s="24">
        <f>'2025_Chase9335_Activity_2026062'!B228</f>
        <v>45946</v>
      </c>
      <c r="C228" s="8" t="str">
        <f>'2025_Chase9335_Activity_2026062'!C228</f>
        <v>ORIG CO NAME:FRANCHISE TAX BO       ORIG ID:1282532045 DESC DATE:251016 CO ENTRY DESCR:PAYMENTS  SEC:CCD    TRACE#:042000015136126 EED:251016   IND ID:122780868    PM              IND NAME:DWG CAPI TRN: 2895136126TC</v>
      </c>
      <c r="D228" s="8">
        <f>'2025_Chase9335_Activity_2026062'!D228</f>
        <v>-800</v>
      </c>
      <c r="E228" s="8" t="str">
        <f>'2025_Chase9335_Activity_2026062'!E228</f>
        <v>ACH_DEBIT</v>
      </c>
      <c r="F228" s="8">
        <f>'2025_Chase9335_Activity_2026062'!F228</f>
        <v>121925.01</v>
      </c>
      <c r="G228" s="8" t="str">
        <f>'2025_Chase9335_Activity_2026062'!G228</f>
        <v>IRS Tax Payment</v>
      </c>
      <c r="H228" s="26">
        <f t="shared" si="3"/>
        <v>45931</v>
      </c>
      <c r="I228" s="8" t="str">
        <f>IF($G228="","Uncategorized — Review",IFERROR(_xlfn.XLOOKUP($G228,Mapping!$A:$A,Mapping!$B:$B),"Uncategorized — Review"))</f>
        <v>IRS Tax Payment</v>
      </c>
      <c r="J228" s="8" t="str">
        <f>IF($G228="","Uncategorized — Review",IFERROR(_xlfn.XLOOKUP($G228,Mapping!$A:$A,Mapping!$C:$C),"Uncategorized — Review"))</f>
        <v>DWG Operating</v>
      </c>
    </row>
    <row r="229" spans="1:10" x14ac:dyDescent="0.25">
      <c r="A229" s="8" t="str">
        <f>'2025_Chase9335_Activity_2026062'!A229</f>
        <v>DEBIT</v>
      </c>
      <c r="B229" s="24">
        <f>'2025_Chase9335_Activity_2026062'!B229</f>
        <v>45946</v>
      </c>
      <c r="C229" s="8" t="str">
        <f>'2025_Chase9335_Activity_2026062'!C229</f>
        <v>ORIG CO NAME:FRANCHISE TAX BO       ORIG ID:1282532045 DESC DATE:251016 CO ENTRY DESCR:PAYMENTS  SEC:CCD    TRACE#:042000015132968 EED:251016   IND ID:122730299    PM              IND NAME:DWG CAPI TRN: 2895132968TC</v>
      </c>
      <c r="D229" s="8">
        <f>'2025_Chase9335_Activity_2026062'!D229</f>
        <v>-2316</v>
      </c>
      <c r="E229" s="8" t="str">
        <f>'2025_Chase9335_Activity_2026062'!E229</f>
        <v>ACH_DEBIT</v>
      </c>
      <c r="F229" s="8">
        <f>'2025_Chase9335_Activity_2026062'!F229</f>
        <v>122725.01</v>
      </c>
      <c r="G229" s="8" t="str">
        <f>'2025_Chase9335_Activity_2026062'!G229</f>
        <v>IRS Tax Payment</v>
      </c>
      <c r="H229" s="26">
        <f t="shared" si="3"/>
        <v>45931</v>
      </c>
      <c r="I229" s="8" t="str">
        <f>IF($G229="","Uncategorized — Review",IFERROR(_xlfn.XLOOKUP($G229,Mapping!$A:$A,Mapping!$B:$B),"Uncategorized — Review"))</f>
        <v>IRS Tax Payment</v>
      </c>
      <c r="J229" s="8" t="str">
        <f>IF($G229="","Uncategorized — Review",IFERROR(_xlfn.XLOOKUP($G229,Mapping!$A:$A,Mapping!$C:$C),"Uncategorized — Review"))</f>
        <v>DWG Operating</v>
      </c>
    </row>
    <row r="230" spans="1:10" x14ac:dyDescent="0.25">
      <c r="A230" s="8" t="str">
        <f>'2025_Chase9335_Activity_2026062'!A230</f>
        <v>DEBIT</v>
      </c>
      <c r="B230" s="24">
        <f>'2025_Chase9335_Activity_2026062'!B230</f>
        <v>45946</v>
      </c>
      <c r="C230" s="8" t="str">
        <f>'2025_Chase9335_Activity_2026062'!C230</f>
        <v>Audible*NM5JN7910 Amzn.com/bill NJ           10/16</v>
      </c>
      <c r="D230" s="8">
        <f>'2025_Chase9335_Activity_2026062'!D230</f>
        <v>-16.18</v>
      </c>
      <c r="E230" s="8" t="str">
        <f>'2025_Chase9335_Activity_2026062'!E230</f>
        <v>DEBIT_CARD</v>
      </c>
      <c r="F230" s="8">
        <f>'2025_Chase9335_Activity_2026062'!F230</f>
        <v>125041.01</v>
      </c>
      <c r="G230" s="8" t="str">
        <f>'2025_Chase9335_Activity_2026062'!G230</f>
        <v>Amazon</v>
      </c>
      <c r="H230" s="26">
        <f t="shared" si="3"/>
        <v>45931</v>
      </c>
      <c r="I230" s="8" t="str">
        <f>IF($G230="","Uncategorized — Review",IFERROR(_xlfn.XLOOKUP($G230,Mapping!$A:$A,Mapping!$B:$B),"Uncategorized — Review"))</f>
        <v>Amazon</v>
      </c>
      <c r="J230" s="8" t="str">
        <f>IF($G230="","Uncategorized — Review",IFERROR(_xlfn.XLOOKUP($G230,Mapping!$A:$A,Mapping!$C:$C),"Uncategorized — Review"))</f>
        <v>Personal — Owner</v>
      </c>
    </row>
    <row r="231" spans="1:10" x14ac:dyDescent="0.25">
      <c r="A231" s="8" t="str">
        <f>'2025_Chase9335_Activity_2026062'!A231</f>
        <v>DEBIT</v>
      </c>
      <c r="B231" s="24">
        <f>'2025_Chase9335_Activity_2026062'!B231</f>
        <v>45946</v>
      </c>
      <c r="C231" s="8" t="str">
        <f>'2025_Chase9335_Activity_2026062'!C231</f>
        <v>Prime Video *NM4O047U 888-802-3080 WA        10/16</v>
      </c>
      <c r="D231" s="8">
        <f>'2025_Chase9335_Activity_2026062'!D231</f>
        <v>-4.05</v>
      </c>
      <c r="E231" s="8" t="str">
        <f>'2025_Chase9335_Activity_2026062'!E231</f>
        <v>DEBIT_CARD</v>
      </c>
      <c r="F231" s="8">
        <f>'2025_Chase9335_Activity_2026062'!F231</f>
        <v>125057.19</v>
      </c>
      <c r="G231" s="8" t="str">
        <f>'2025_Chase9335_Activity_2026062'!G231</f>
        <v>Amazon Prime Video</v>
      </c>
      <c r="H231" s="26">
        <f t="shared" si="3"/>
        <v>45931</v>
      </c>
      <c r="I231" s="8" t="str">
        <f>IF($G231="","Uncategorized — Review",IFERROR(_xlfn.XLOOKUP($G231,Mapping!$A:$A,Mapping!$B:$B),"Uncategorized — Review"))</f>
        <v>Amazon Prime Video</v>
      </c>
      <c r="J231" s="8" t="str">
        <f>IF($G231="","Uncategorized — Review",IFERROR(_xlfn.XLOOKUP($G231,Mapping!$A:$A,Mapping!$C:$C),"Uncategorized — Review"))</f>
        <v>Personal — Owner</v>
      </c>
    </row>
    <row r="232" spans="1:10" x14ac:dyDescent="0.25">
      <c r="A232" s="8" t="str">
        <f>'2025_Chase9335_Activity_2026062'!A232</f>
        <v>DEBIT</v>
      </c>
      <c r="B232" s="24">
        <f>'2025_Chase9335_Activity_2026062'!B232</f>
        <v>45946</v>
      </c>
      <c r="C232" s="8" t="str">
        <f>'2025_Chase9335_Activity_2026062'!C232</f>
        <v>AA WIFI 1-888-649-6711 Fort Worth TX         10/16</v>
      </c>
      <c r="D232" s="8">
        <f>'2025_Chase9335_Activity_2026062'!D232</f>
        <v>-15</v>
      </c>
      <c r="E232" s="8" t="str">
        <f>'2025_Chase9335_Activity_2026062'!E232</f>
        <v>DEBIT_CARD</v>
      </c>
      <c r="F232" s="8">
        <f>'2025_Chase9335_Activity_2026062'!F232</f>
        <v>125061.24</v>
      </c>
      <c r="G232" s="8" t="str">
        <f>'2025_Chase9335_Activity_2026062'!G232</f>
        <v>Personal - Travel</v>
      </c>
      <c r="H232" s="26">
        <f t="shared" si="3"/>
        <v>45931</v>
      </c>
      <c r="I232" s="8" t="str">
        <f>IF($G232="","Uncategorized — Review",IFERROR(_xlfn.XLOOKUP($G232,Mapping!$A:$A,Mapping!$B:$B),"Uncategorized — Review"))</f>
        <v>Personal - Travel</v>
      </c>
      <c r="J232" s="8" t="str">
        <f>IF($G232="","Uncategorized — Review",IFERROR(_xlfn.XLOOKUP($G232,Mapping!$A:$A,Mapping!$C:$C),"Uncategorized — Review"))</f>
        <v>Personal — Owner</v>
      </c>
    </row>
    <row r="233" spans="1:10" x14ac:dyDescent="0.25">
      <c r="A233" s="8" t="str">
        <f>'2025_Chase9335_Activity_2026062'!A233</f>
        <v>DEBIT</v>
      </c>
      <c r="B233" s="24">
        <f>'2025_Chase9335_Activity_2026062'!B233</f>
        <v>45946</v>
      </c>
      <c r="C233" s="8" t="str">
        <f>'2025_Chase9335_Activity_2026062'!C233</f>
        <v>Whole Foods CLV 10523 866-216-1072 DE        10/15</v>
      </c>
      <c r="D233" s="8">
        <f>'2025_Chase9335_Activity_2026062'!D233</f>
        <v>-51.51</v>
      </c>
      <c r="E233" s="8" t="str">
        <f>'2025_Chase9335_Activity_2026062'!E233</f>
        <v>DEBIT_CARD</v>
      </c>
      <c r="F233" s="8">
        <f>'2025_Chase9335_Activity_2026062'!F233</f>
        <v>125076.24</v>
      </c>
      <c r="G233" s="8" t="str">
        <f>'2025_Chase9335_Activity_2026062'!G233</f>
        <v>Personal - Food &amp; Dining</v>
      </c>
      <c r="H233" s="26">
        <f t="shared" si="3"/>
        <v>45931</v>
      </c>
      <c r="I233" s="8" t="str">
        <f>IF($G233="","Uncategorized — Review",IFERROR(_xlfn.XLOOKUP($G233,Mapping!$A:$A,Mapping!$B:$B),"Uncategorized — Review"))</f>
        <v>Personal - Food &amp; Dining</v>
      </c>
      <c r="J233" s="8" t="str">
        <f>IF($G233="","Uncategorized — Review",IFERROR(_xlfn.XLOOKUP($G233,Mapping!$A:$A,Mapping!$C:$C),"Uncategorized — Review"))</f>
        <v>Personal — Owner</v>
      </c>
    </row>
    <row r="234" spans="1:10" x14ac:dyDescent="0.25">
      <c r="A234" s="8" t="str">
        <f>'2025_Chase9335_Activity_2026062'!A234</f>
        <v>DEBIT</v>
      </c>
      <c r="B234" s="24">
        <f>'2025_Chase9335_Activity_2026062'!B234</f>
        <v>45944</v>
      </c>
      <c r="C234" s="8" t="str">
        <f>'2025_Chase9335_Activity_2026062'!C234</f>
        <v>Zelle payment to David Goldsmith 26584853134</v>
      </c>
      <c r="D234" s="8">
        <f>'2025_Chase9335_Activity_2026062'!D234</f>
        <v>-500</v>
      </c>
      <c r="E234" s="8" t="str">
        <f>'2025_Chase9335_Activity_2026062'!E234</f>
        <v>QUICKPAY_DEBIT</v>
      </c>
      <c r="F234" s="8">
        <f>'2025_Chase9335_Activity_2026062'!F234</f>
        <v>125127.75</v>
      </c>
      <c r="G234" s="8" t="str">
        <f>'2025_Chase9335_Activity_2026062'!G234</f>
        <v>Zelle to David Goldsmith</v>
      </c>
      <c r="H234" s="26">
        <f t="shared" si="3"/>
        <v>45931</v>
      </c>
      <c r="I234" s="8" t="str">
        <f>IF($G234="","Uncategorized — Review",IFERROR(_xlfn.XLOOKUP($G234,Mapping!$A:$A,Mapping!$B:$B),"Uncategorized — Review"))</f>
        <v>Zelle to David Goldsmith</v>
      </c>
      <c r="J234" s="8" t="str">
        <f>IF($G234="","Uncategorized — Review",IFERROR(_xlfn.XLOOKUP($G234,Mapping!$A:$A,Mapping!$C:$C),"Uncategorized — Review"))</f>
        <v>P2P Payments (Zelle/Venmo/PayPal)</v>
      </c>
    </row>
    <row r="235" spans="1:10" x14ac:dyDescent="0.25">
      <c r="A235" s="8" t="str">
        <f>'2025_Chase9335_Activity_2026062'!A235</f>
        <v>DEBIT</v>
      </c>
      <c r="B235" s="24">
        <f>'2025_Chase9335_Activity_2026062'!B235</f>
        <v>45944</v>
      </c>
      <c r="C235" s="8" t="str">
        <f>'2025_Chase9335_Activity_2026062'!C235</f>
        <v>Online ACH Payment 11191551135 To CalCPAGroup (_#####3767)</v>
      </c>
      <c r="D235" s="8">
        <f>'2025_Chase9335_Activity_2026062'!D235</f>
        <v>-10000</v>
      </c>
      <c r="E235" s="8" t="str">
        <f>'2025_Chase9335_Activity_2026062'!E235</f>
        <v>ACH_PAYMENT</v>
      </c>
      <c r="F235" s="8">
        <f>'2025_Chase9335_Activity_2026062'!F235</f>
        <v>125627.75</v>
      </c>
      <c r="G235" s="8" t="str">
        <f>'2025_Chase9335_Activity_2026062'!G235</f>
        <v>ACH payment to CALCPA group</v>
      </c>
      <c r="H235" s="26">
        <f t="shared" si="3"/>
        <v>45931</v>
      </c>
      <c r="I235" s="8" t="str">
        <f>IF($G235="","Uncategorized — Review",IFERROR(_xlfn.XLOOKUP($G235,Mapping!$A:$A,Mapping!$B:$B),"Uncategorized — Review"))</f>
        <v>ACH payment to CALCPA group</v>
      </c>
      <c r="J235" s="8" t="str">
        <f>IF($G235="","Uncategorized — Review",IFERROR(_xlfn.XLOOKUP($G235,Mapping!$A:$A,Mapping!$C:$C),"Uncategorized — Review"))</f>
        <v>DWG Operating</v>
      </c>
    </row>
    <row r="236" spans="1:10" x14ac:dyDescent="0.25">
      <c r="A236" s="8" t="str">
        <f>'2025_Chase9335_Activity_2026062'!A236</f>
        <v>DEBIT</v>
      </c>
      <c r="B236" s="24">
        <f>'2025_Chase9335_Activity_2026062'!B236</f>
        <v>45944</v>
      </c>
      <c r="C236" s="8" t="str">
        <f>'2025_Chase9335_Activity_2026062'!C236</f>
        <v>Online Transfer to CHK ...3922 transaction#: 26582712162 10/14</v>
      </c>
      <c r="D236" s="8">
        <f>'2025_Chase9335_Activity_2026062'!D236</f>
        <v>-5000</v>
      </c>
      <c r="E236" s="8" t="str">
        <f>'2025_Chase9335_Activity_2026062'!E236</f>
        <v>ACCT_XFER</v>
      </c>
      <c r="F236" s="8">
        <f>'2025_Chase9335_Activity_2026062'!F236</f>
        <v>135627.75</v>
      </c>
      <c r="G236" s="8" t="str">
        <f>'2025_Chase9335_Activity_2026062'!G236</f>
        <v>Transfer to DWG Capital Partners</v>
      </c>
      <c r="H236" s="26">
        <f t="shared" si="3"/>
        <v>45931</v>
      </c>
      <c r="I236" s="8" t="str">
        <f>IF($G236="","Uncategorized — Review",IFERROR(_xlfn.XLOOKUP($G236,Mapping!$A:$A,Mapping!$B:$B),"Uncategorized — Review"))</f>
        <v>Transfer to DWG Capital Partners</v>
      </c>
      <c r="J236" s="8" t="str">
        <f>IF($G236="","Uncategorized — Review",IFERROR(_xlfn.XLOOKUP($G236,Mapping!$A:$A,Mapping!$C:$C),"Uncategorized — Review"))</f>
        <v>Intercompany &amp; Savings Transfers</v>
      </c>
    </row>
    <row r="237" spans="1:10" x14ac:dyDescent="0.25">
      <c r="A237" s="8" t="str">
        <f>'2025_Chase9335_Activity_2026062'!A237</f>
        <v>DEBIT</v>
      </c>
      <c r="B237" s="24">
        <f>'2025_Chase9335_Activity_2026062'!B237</f>
        <v>45944</v>
      </c>
      <c r="C237" s="8" t="str">
        <f>'2025_Chase9335_Activity_2026062'!C237</f>
        <v>AMAZON MKTPL*NM4PS1V Amzn.com/bill WA        10/14</v>
      </c>
      <c r="D237" s="8">
        <f>'2025_Chase9335_Activity_2026062'!D237</f>
        <v>-95.6</v>
      </c>
      <c r="E237" s="8" t="str">
        <f>'2025_Chase9335_Activity_2026062'!E237</f>
        <v>DEBIT_CARD</v>
      </c>
      <c r="F237" s="8">
        <f>'2025_Chase9335_Activity_2026062'!F237</f>
        <v>140627.75</v>
      </c>
      <c r="G237" s="8" t="str">
        <f>'2025_Chase9335_Activity_2026062'!G237</f>
        <v>Amazon</v>
      </c>
      <c r="H237" s="26">
        <f t="shared" si="3"/>
        <v>45931</v>
      </c>
      <c r="I237" s="8" t="str">
        <f>IF($G237="","Uncategorized — Review",IFERROR(_xlfn.XLOOKUP($G237,Mapping!$A:$A,Mapping!$B:$B),"Uncategorized — Review"))</f>
        <v>Amazon</v>
      </c>
      <c r="J237" s="8" t="str">
        <f>IF($G237="","Uncategorized — Review",IFERROR(_xlfn.XLOOKUP($G237,Mapping!$A:$A,Mapping!$C:$C),"Uncategorized — Review"))</f>
        <v>Personal — Owner</v>
      </c>
    </row>
    <row r="238" spans="1:10" x14ac:dyDescent="0.25">
      <c r="A238" s="8" t="str">
        <f>'2025_Chase9335_Activity_2026062'!A238</f>
        <v>DEBIT</v>
      </c>
      <c r="B238" s="24">
        <f>'2025_Chase9335_Activity_2026062'!B238</f>
        <v>45944</v>
      </c>
      <c r="C238" s="8" t="str">
        <f>'2025_Chase9335_Activity_2026062'!C238</f>
        <v>Online Transfer to CHK ...1168 transaction#: 26575788785 10/14</v>
      </c>
      <c r="D238" s="8">
        <f>'2025_Chase9335_Activity_2026062'!D238</f>
        <v>-30000</v>
      </c>
      <c r="E238" s="8" t="str">
        <f>'2025_Chase9335_Activity_2026062'!E238</f>
        <v>ACCT_XFER</v>
      </c>
      <c r="F238" s="8">
        <f>'2025_Chase9335_Activity_2026062'!F238</f>
        <v>140723.35</v>
      </c>
      <c r="G238" s="8" t="str">
        <f>'2025_Chase9335_Activity_2026062'!G238</f>
        <v>Transfer to DWG Capital Group</v>
      </c>
      <c r="H238" s="26">
        <f t="shared" si="3"/>
        <v>45931</v>
      </c>
      <c r="I238" s="8" t="str">
        <f>IF($G238="","Uncategorized — Review",IFERROR(_xlfn.XLOOKUP($G238,Mapping!$A:$A,Mapping!$B:$B),"Uncategorized — Review"))</f>
        <v>Transfer to DWG Capital Group</v>
      </c>
      <c r="J238" s="8" t="str">
        <f>IF($G238="","Uncategorized — Review",IFERROR(_xlfn.XLOOKUP($G238,Mapping!$A:$A,Mapping!$C:$C),"Uncategorized — Review"))</f>
        <v>Intercompany &amp; Savings Transfers</v>
      </c>
    </row>
    <row r="239" spans="1:10" x14ac:dyDescent="0.25">
      <c r="A239" s="8" t="str">
        <f>'2025_Chase9335_Activity_2026062'!A239</f>
        <v>DEBIT</v>
      </c>
      <c r="B239" s="24">
        <f>'2025_Chase9335_Activity_2026062'!B239</f>
        <v>45944</v>
      </c>
      <c r="C239" s="8" t="str">
        <f>'2025_Chase9335_Activity_2026062'!C239</f>
        <v>AMAZON MKTPL*NF6ZK07 Amzn.com/bill WA        10/14</v>
      </c>
      <c r="D239" s="8">
        <f>'2025_Chase9335_Activity_2026062'!D239</f>
        <v>-140.71</v>
      </c>
      <c r="E239" s="8" t="str">
        <f>'2025_Chase9335_Activity_2026062'!E239</f>
        <v>DEBIT_CARD</v>
      </c>
      <c r="F239" s="8">
        <f>'2025_Chase9335_Activity_2026062'!F239</f>
        <v>170723.35</v>
      </c>
      <c r="G239" s="8" t="str">
        <f>'2025_Chase9335_Activity_2026062'!G239</f>
        <v>Amazon</v>
      </c>
      <c r="H239" s="26">
        <f t="shared" si="3"/>
        <v>45931</v>
      </c>
      <c r="I239" s="8" t="str">
        <f>IF($G239="","Uncategorized — Review",IFERROR(_xlfn.XLOOKUP($G239,Mapping!$A:$A,Mapping!$B:$B),"Uncategorized — Review"))</f>
        <v>Amazon</v>
      </c>
      <c r="J239" s="8" t="str">
        <f>IF($G239="","Uncategorized — Review",IFERROR(_xlfn.XLOOKUP($G239,Mapping!$A:$A,Mapping!$C:$C),"Uncategorized — Review"))</f>
        <v>Personal — Owner</v>
      </c>
    </row>
    <row r="240" spans="1:10" x14ac:dyDescent="0.25">
      <c r="A240" s="8" t="str">
        <f>'2025_Chase9335_Activity_2026062'!A240</f>
        <v>DEBIT</v>
      </c>
      <c r="B240" s="24">
        <f>'2025_Chase9335_Activity_2026062'!B240</f>
        <v>45944</v>
      </c>
      <c r="C240" s="8" t="str">
        <f>'2025_Chase9335_Activity_2026062'!C240</f>
        <v>AMAZON MKTPL*NM5O19P Amzn.com/bill WA        10/13</v>
      </c>
      <c r="D240" s="8">
        <f>'2025_Chase9335_Activity_2026062'!D240</f>
        <v>-23.8</v>
      </c>
      <c r="E240" s="8" t="str">
        <f>'2025_Chase9335_Activity_2026062'!E240</f>
        <v>DEBIT_CARD</v>
      </c>
      <c r="F240" s="8">
        <f>'2025_Chase9335_Activity_2026062'!F240</f>
        <v>170864.06</v>
      </c>
      <c r="G240" s="8" t="str">
        <f>'2025_Chase9335_Activity_2026062'!G240</f>
        <v>Amazon</v>
      </c>
      <c r="H240" s="26">
        <f t="shared" si="3"/>
        <v>45931</v>
      </c>
      <c r="I240" s="8" t="str">
        <f>IF($G240="","Uncategorized — Review",IFERROR(_xlfn.XLOOKUP($G240,Mapping!$A:$A,Mapping!$B:$B),"Uncategorized — Review"))</f>
        <v>Amazon</v>
      </c>
      <c r="J240" s="8" t="str">
        <f>IF($G240="","Uncategorized — Review",IFERROR(_xlfn.XLOOKUP($G240,Mapping!$A:$A,Mapping!$C:$C),"Uncategorized — Review"))</f>
        <v>Personal — Owner</v>
      </c>
    </row>
    <row r="241" spans="1:10" x14ac:dyDescent="0.25">
      <c r="A241" s="8" t="str">
        <f>'2025_Chase9335_Activity_2026062'!A241</f>
        <v>DEBIT</v>
      </c>
      <c r="B241" s="24">
        <f>'2025_Chase9335_Activity_2026062'!B241</f>
        <v>45944</v>
      </c>
      <c r="C241" s="8" t="str">
        <f>'2025_Chase9335_Activity_2026062'!C241</f>
        <v>AMAZON MKTPL*NM3N960 Amzn.com/bill WA        10/13</v>
      </c>
      <c r="D241" s="8">
        <f>'2025_Chase9335_Activity_2026062'!D241</f>
        <v>-43.24</v>
      </c>
      <c r="E241" s="8" t="str">
        <f>'2025_Chase9335_Activity_2026062'!E241</f>
        <v>DEBIT_CARD</v>
      </c>
      <c r="F241" s="8">
        <f>'2025_Chase9335_Activity_2026062'!F241</f>
        <v>170887.86</v>
      </c>
      <c r="G241" s="8" t="str">
        <f>'2025_Chase9335_Activity_2026062'!G241</f>
        <v>Amazon</v>
      </c>
      <c r="H241" s="26">
        <f t="shared" si="3"/>
        <v>45931</v>
      </c>
      <c r="I241" s="8" t="str">
        <f>IF($G241="","Uncategorized — Review",IFERROR(_xlfn.XLOOKUP($G241,Mapping!$A:$A,Mapping!$B:$B),"Uncategorized — Review"))</f>
        <v>Amazon</v>
      </c>
      <c r="J241" s="8" t="str">
        <f>IF($G241="","Uncategorized — Review",IFERROR(_xlfn.XLOOKUP($G241,Mapping!$A:$A,Mapping!$C:$C),"Uncategorized — Review"))</f>
        <v>Personal — Owner</v>
      </c>
    </row>
    <row r="242" spans="1:10" x14ac:dyDescent="0.25">
      <c r="A242" s="8" t="str">
        <f>'2025_Chase9335_Activity_2026062'!A242</f>
        <v>DEBIT</v>
      </c>
      <c r="B242" s="24">
        <f>'2025_Chase9335_Activity_2026062'!B242</f>
        <v>45944</v>
      </c>
      <c r="C242" s="8" t="str">
        <f>'2025_Chase9335_Activity_2026062'!C242</f>
        <v>AMAZON MKTPL*NM1T42E Amzn.com/bill WA        10/13</v>
      </c>
      <c r="D242" s="8">
        <f>'2025_Chase9335_Activity_2026062'!D242</f>
        <v>-30.72</v>
      </c>
      <c r="E242" s="8" t="str">
        <f>'2025_Chase9335_Activity_2026062'!E242</f>
        <v>DEBIT_CARD</v>
      </c>
      <c r="F242" s="8">
        <f>'2025_Chase9335_Activity_2026062'!F242</f>
        <v>170931.1</v>
      </c>
      <c r="G242" s="8" t="str">
        <f>'2025_Chase9335_Activity_2026062'!G242</f>
        <v>Amazon</v>
      </c>
      <c r="H242" s="26">
        <f t="shared" si="3"/>
        <v>45931</v>
      </c>
      <c r="I242" s="8" t="str">
        <f>IF($G242="","Uncategorized — Review",IFERROR(_xlfn.XLOOKUP($G242,Mapping!$A:$A,Mapping!$B:$B),"Uncategorized — Review"))</f>
        <v>Amazon</v>
      </c>
      <c r="J242" s="8" t="str">
        <f>IF($G242="","Uncategorized — Review",IFERROR(_xlfn.XLOOKUP($G242,Mapping!$A:$A,Mapping!$C:$C),"Uncategorized — Review"))</f>
        <v>Personal — Owner</v>
      </c>
    </row>
    <row r="243" spans="1:10" x14ac:dyDescent="0.25">
      <c r="A243" s="8" t="str">
        <f>'2025_Chase9335_Activity_2026062'!A243</f>
        <v>DEBIT</v>
      </c>
      <c r="B243" s="24">
        <f>'2025_Chase9335_Activity_2026062'!B243</f>
        <v>45944</v>
      </c>
      <c r="C243" s="8" t="str">
        <f>'2025_Chase9335_Activity_2026062'!C243</f>
        <v>BLOOMBERG* 37033964 BLOOMBERG.COM NY         10/12</v>
      </c>
      <c r="D243" s="8">
        <f>'2025_Chase9335_Activity_2026062'!D243</f>
        <v>-34.99</v>
      </c>
      <c r="E243" s="8" t="str">
        <f>'2025_Chase9335_Activity_2026062'!E243</f>
        <v>DEBIT_CARD</v>
      </c>
      <c r="F243" s="8">
        <f>'2025_Chase9335_Activity_2026062'!F243</f>
        <v>170961.82</v>
      </c>
      <c r="G243" s="8" t="str">
        <f>'2025_Chase9335_Activity_2026062'!G243</f>
        <v>Personal - Subscriptions</v>
      </c>
      <c r="H243" s="26">
        <f t="shared" si="3"/>
        <v>45931</v>
      </c>
      <c r="I243" s="8" t="str">
        <f>IF($G243="","Uncategorized — Review",IFERROR(_xlfn.XLOOKUP($G243,Mapping!$A:$A,Mapping!$B:$B),"Uncategorized — Review"))</f>
        <v>Personal - Subscriptions</v>
      </c>
      <c r="J243" s="8" t="str">
        <f>IF($G243="","Uncategorized — Review",IFERROR(_xlfn.XLOOKUP($G243,Mapping!$A:$A,Mapping!$C:$C),"Uncategorized — Review"))</f>
        <v>Personal — Owner</v>
      </c>
    </row>
    <row r="244" spans="1:10" x14ac:dyDescent="0.25">
      <c r="A244" s="8" t="str">
        <f>'2025_Chase9335_Activity_2026062'!A244</f>
        <v>DEBIT</v>
      </c>
      <c r="B244" s="24">
        <f>'2025_Chase9335_Activity_2026062'!B244</f>
        <v>45944</v>
      </c>
      <c r="C244" s="8" t="str">
        <f>'2025_Chase9335_Activity_2026062'!C244</f>
        <v>AMAZON MKTPL*NF5HI0I Amzn.com/bill WA        10/12</v>
      </c>
      <c r="D244" s="8">
        <f>'2025_Chase9335_Activity_2026062'!D244</f>
        <v>-35.72</v>
      </c>
      <c r="E244" s="8" t="str">
        <f>'2025_Chase9335_Activity_2026062'!E244</f>
        <v>DEBIT_CARD</v>
      </c>
      <c r="F244" s="8">
        <f>'2025_Chase9335_Activity_2026062'!F244</f>
        <v>170996.81</v>
      </c>
      <c r="G244" s="8" t="str">
        <f>'2025_Chase9335_Activity_2026062'!G244</f>
        <v>Amazon</v>
      </c>
      <c r="H244" s="26">
        <f t="shared" si="3"/>
        <v>45931</v>
      </c>
      <c r="I244" s="8" t="str">
        <f>IF($G244="","Uncategorized — Review",IFERROR(_xlfn.XLOOKUP($G244,Mapping!$A:$A,Mapping!$B:$B),"Uncategorized — Review"))</f>
        <v>Amazon</v>
      </c>
      <c r="J244" s="8" t="str">
        <f>IF($G244="","Uncategorized — Review",IFERROR(_xlfn.XLOOKUP($G244,Mapping!$A:$A,Mapping!$C:$C),"Uncategorized — Review"))</f>
        <v>Personal — Owner</v>
      </c>
    </row>
    <row r="245" spans="1:10" x14ac:dyDescent="0.25">
      <c r="A245" s="8" t="str">
        <f>'2025_Chase9335_Activity_2026062'!A245</f>
        <v>DEBIT</v>
      </c>
      <c r="B245" s="24">
        <f>'2025_Chase9335_Activity_2026062'!B245</f>
        <v>45944</v>
      </c>
      <c r="C245" s="8" t="str">
        <f>'2025_Chase9335_Activity_2026062'!C245</f>
        <v>Prime Video *NF9VI11V 888-802-3080 WA        10/11</v>
      </c>
      <c r="D245" s="8">
        <f>'2025_Chase9335_Activity_2026062'!D245</f>
        <v>-4.05</v>
      </c>
      <c r="E245" s="8" t="str">
        <f>'2025_Chase9335_Activity_2026062'!E245</f>
        <v>DEBIT_CARD</v>
      </c>
      <c r="F245" s="8">
        <f>'2025_Chase9335_Activity_2026062'!F245</f>
        <v>171032.53</v>
      </c>
      <c r="G245" s="8" t="str">
        <f>'2025_Chase9335_Activity_2026062'!G245</f>
        <v>Amazon Prime Video</v>
      </c>
      <c r="H245" s="26">
        <f t="shared" si="3"/>
        <v>45931</v>
      </c>
      <c r="I245" s="8" t="str">
        <f>IF($G245="","Uncategorized — Review",IFERROR(_xlfn.XLOOKUP($G245,Mapping!$A:$A,Mapping!$B:$B),"Uncategorized — Review"))</f>
        <v>Amazon Prime Video</v>
      </c>
      <c r="J245" s="8" t="str">
        <f>IF($G245="","Uncategorized — Review",IFERROR(_xlfn.XLOOKUP($G245,Mapping!$A:$A,Mapping!$C:$C),"Uncategorized — Review"))</f>
        <v>Personal — Owner</v>
      </c>
    </row>
    <row r="246" spans="1:10" x14ac:dyDescent="0.25">
      <c r="A246" s="8" t="str">
        <f>'2025_Chase9335_Activity_2026062'!A246</f>
        <v>DEBIT</v>
      </c>
      <c r="B246" s="24">
        <f>'2025_Chase9335_Activity_2026062'!B246</f>
        <v>45944</v>
      </c>
      <c r="C246" s="8" t="str">
        <f>'2025_Chase9335_Activity_2026062'!C246</f>
        <v>AMAZON MKTPL*NF4CI8I Amzn.com/bill WA        10/12</v>
      </c>
      <c r="D246" s="8">
        <f>'2025_Chase9335_Activity_2026062'!D246</f>
        <v>-21.64</v>
      </c>
      <c r="E246" s="8" t="str">
        <f>'2025_Chase9335_Activity_2026062'!E246</f>
        <v>DEBIT_CARD</v>
      </c>
      <c r="F246" s="8">
        <f>'2025_Chase9335_Activity_2026062'!F246</f>
        <v>171036.58</v>
      </c>
      <c r="G246" s="8" t="str">
        <f>'2025_Chase9335_Activity_2026062'!G246</f>
        <v>Amazon</v>
      </c>
      <c r="H246" s="26">
        <f t="shared" si="3"/>
        <v>45931</v>
      </c>
      <c r="I246" s="8" t="str">
        <f>IF($G246="","Uncategorized — Review",IFERROR(_xlfn.XLOOKUP($G246,Mapping!$A:$A,Mapping!$B:$B),"Uncategorized — Review"))</f>
        <v>Amazon</v>
      </c>
      <c r="J246" s="8" t="str">
        <f>IF($G246="","Uncategorized — Review",IFERROR(_xlfn.XLOOKUP($G246,Mapping!$A:$A,Mapping!$C:$C),"Uncategorized — Review"))</f>
        <v>Personal — Owner</v>
      </c>
    </row>
    <row r="247" spans="1:10" x14ac:dyDescent="0.25">
      <c r="A247" s="8" t="str">
        <f>'2025_Chase9335_Activity_2026062'!A247</f>
        <v>DEBIT</v>
      </c>
      <c r="B247" s="24">
        <f>'2025_Chase9335_Activity_2026062'!B247</f>
        <v>45944</v>
      </c>
      <c r="C247" s="8" t="str">
        <f>'2025_Chase9335_Activity_2026062'!C247</f>
        <v>APPLE.COM/BILL 866-712-7753 CA               10/12</v>
      </c>
      <c r="D247" s="8">
        <f>'2025_Chase9335_Activity_2026062'!D247</f>
        <v>-30.89</v>
      </c>
      <c r="E247" s="8" t="str">
        <f>'2025_Chase9335_Activity_2026062'!E247</f>
        <v>DEBIT_CARD</v>
      </c>
      <c r="F247" s="8">
        <f>'2025_Chase9335_Activity_2026062'!F247</f>
        <v>171058.22</v>
      </c>
      <c r="G247" s="8" t="str">
        <f>'2025_Chase9335_Activity_2026062'!G247</f>
        <v>Personal - Subscriptions</v>
      </c>
      <c r="H247" s="26">
        <f t="shared" si="3"/>
        <v>45931</v>
      </c>
      <c r="I247" s="8" t="str">
        <f>IF($G247="","Uncategorized — Review",IFERROR(_xlfn.XLOOKUP($G247,Mapping!$A:$A,Mapping!$B:$B),"Uncategorized — Review"))</f>
        <v>Personal - Subscriptions</v>
      </c>
      <c r="J247" s="8" t="str">
        <f>IF($G247="","Uncategorized — Review",IFERROR(_xlfn.XLOOKUP($G247,Mapping!$A:$A,Mapping!$C:$C),"Uncategorized — Review"))</f>
        <v>Personal — Owner</v>
      </c>
    </row>
    <row r="248" spans="1:10" x14ac:dyDescent="0.25">
      <c r="A248" s="8" t="str">
        <f>'2025_Chase9335_Activity_2026062'!A248</f>
        <v>CREDIT</v>
      </c>
      <c r="B248" s="24">
        <f>'2025_Chase9335_Activity_2026062'!B248</f>
        <v>45940</v>
      </c>
      <c r="C248" s="8" t="str">
        <f>'2025_Chase9335_Activity_2026062'!C248</f>
        <v>ORIG CO NAME:Rabourn Road Ind       ORIG ID:945440567  DESC DATE:       CO ENTRY DESCR:PAYMENT   SEC:PPD    TRACE#:273976365606109 EED:251010   IND ID:                             IND NAME:John Dunning TRN: 2835606109TC</v>
      </c>
      <c r="D248" s="8">
        <f>'2025_Chase9335_Activity_2026062'!D248</f>
        <v>233.33</v>
      </c>
      <c r="E248" s="8" t="str">
        <f>'2025_Chase9335_Activity_2026062'!E248</f>
        <v>ACH_CREDIT</v>
      </c>
      <c r="F248" s="8">
        <f>'2025_Chase9335_Activity_2026062'!F248</f>
        <v>171089.11</v>
      </c>
      <c r="G248" s="8" t="str">
        <f>'2025_Chase9335_Activity_2026062'!G248</f>
        <v>Deal Specific: Rabourn Road</v>
      </c>
      <c r="H248" s="26">
        <f t="shared" si="3"/>
        <v>45931</v>
      </c>
      <c r="I248" s="8" t="str">
        <f>IF($G248="","Uncategorized — Review",IFERROR(_xlfn.XLOOKUP($G248,Mapping!$A:$A,Mapping!$B:$B),"Uncategorized — Review"))</f>
        <v>Deal Specific: Rabourn Road</v>
      </c>
      <c r="J248" s="8" t="str">
        <f>IF($G248="","Uncategorized — Review",IFERROR(_xlfn.XLOOKUP($G248,Mapping!$A:$A,Mapping!$C:$C),"Uncategorized — Review"))</f>
        <v>Deal-Specific</v>
      </c>
    </row>
    <row r="249" spans="1:10" x14ac:dyDescent="0.25">
      <c r="A249" s="8" t="str">
        <f>'2025_Chase9335_Activity_2026062'!A249</f>
        <v>CREDIT</v>
      </c>
      <c r="B249" s="24">
        <f>'2025_Chase9335_Activity_2026062'!B249</f>
        <v>45940</v>
      </c>
      <c r="C249" s="8" t="str">
        <f>'2025_Chase9335_Activity_2026062'!C249</f>
        <v>ORIG CO NAME:T and T Machine        ORIG ID:945440567  DESC DATE:       CO ENTRY DESCR:PAYMENT   SEC:PPD    TRACE#:273976365606077 EED:251010   IND ID:                             IND NAME:John Dunning TRN: 2835606077TC</v>
      </c>
      <c r="D249" s="8">
        <f>'2025_Chase9335_Activity_2026062'!D249</f>
        <v>356.38</v>
      </c>
      <c r="E249" s="8" t="str">
        <f>'2025_Chase9335_Activity_2026062'!E249</f>
        <v>ACH_CREDIT</v>
      </c>
      <c r="F249" s="8">
        <f>'2025_Chase9335_Activity_2026062'!F249</f>
        <v>170855.78</v>
      </c>
      <c r="G249" s="8" t="str">
        <f>'2025_Chase9335_Activity_2026062'!G249</f>
        <v>Deal Specific: T&amp;T Machine</v>
      </c>
      <c r="H249" s="26">
        <f t="shared" si="3"/>
        <v>45931</v>
      </c>
      <c r="I249" s="8" t="str">
        <f>IF($G249="","Uncategorized — Review",IFERROR(_xlfn.XLOOKUP($G249,Mapping!$A:$A,Mapping!$B:$B),"Uncategorized — Review"))</f>
        <v>Deal Specific: T&amp;T Machine</v>
      </c>
      <c r="J249" s="8" t="str">
        <f>IF($G249="","Uncategorized — Review",IFERROR(_xlfn.XLOOKUP($G249,Mapping!$A:$A,Mapping!$C:$C),"Uncategorized — Review"))</f>
        <v>Deal-Specific</v>
      </c>
    </row>
    <row r="250" spans="1:10" x14ac:dyDescent="0.25">
      <c r="A250" s="8" t="str">
        <f>'2025_Chase9335_Activity_2026062'!A250</f>
        <v>DEBIT</v>
      </c>
      <c r="B250" s="24">
        <f>'2025_Chase9335_Activity_2026062'!B250</f>
        <v>45939</v>
      </c>
      <c r="C250" s="8" t="str">
        <f>'2025_Chase9335_Activity_2026062'!C250</f>
        <v>TST*CITYO MAKEBELIEVE Denver CO              10/08</v>
      </c>
      <c r="D250" s="8">
        <f>'2025_Chase9335_Activity_2026062'!D250</f>
        <v>-112.28</v>
      </c>
      <c r="E250" s="8" t="str">
        <f>'2025_Chase9335_Activity_2026062'!E250</f>
        <v>DEBIT_CARD</v>
      </c>
      <c r="F250" s="8">
        <f>'2025_Chase9335_Activity_2026062'!F250</f>
        <v>170499.4</v>
      </c>
      <c r="G250" s="8" t="str">
        <f>'2025_Chase9335_Activity_2026062'!G250</f>
        <v>Personal - Travel</v>
      </c>
      <c r="H250" s="26">
        <f t="shared" si="3"/>
        <v>45931</v>
      </c>
      <c r="I250" s="8" t="str">
        <f>IF($G250="","Uncategorized — Review",IFERROR(_xlfn.XLOOKUP($G250,Mapping!$A:$A,Mapping!$B:$B),"Uncategorized — Review"))</f>
        <v>Personal - Travel</v>
      </c>
      <c r="J250" s="8" t="str">
        <f>IF($G250="","Uncategorized — Review",IFERROR(_xlfn.XLOOKUP($G250,Mapping!$A:$A,Mapping!$C:$C),"Uncategorized — Review"))</f>
        <v>Personal — Owner</v>
      </c>
    </row>
    <row r="251" spans="1:10" x14ac:dyDescent="0.25">
      <c r="A251" s="8" t="str">
        <f>'2025_Chase9335_Activity_2026062'!A251</f>
        <v>DEBIT</v>
      </c>
      <c r="B251" s="24">
        <f>'2025_Chase9335_Activity_2026062'!B251</f>
        <v>45939</v>
      </c>
      <c r="C251" s="8" t="str">
        <f>'2025_Chase9335_Activity_2026062'!C251</f>
        <v>Amazon Tips*NF1PB63F Amzn.com/bill WA        10/08</v>
      </c>
      <c r="D251" s="8">
        <f>'2025_Chase9335_Activity_2026062'!D251</f>
        <v>-5</v>
      </c>
      <c r="E251" s="8" t="str">
        <f>'2025_Chase9335_Activity_2026062'!E251</f>
        <v>DEBIT_CARD</v>
      </c>
      <c r="F251" s="8">
        <f>'2025_Chase9335_Activity_2026062'!F251</f>
        <v>170611.68</v>
      </c>
      <c r="G251" s="8" t="str">
        <f>'2025_Chase9335_Activity_2026062'!G251</f>
        <v>Amazon</v>
      </c>
      <c r="H251" s="26">
        <f t="shared" si="3"/>
        <v>45931</v>
      </c>
      <c r="I251" s="8" t="str">
        <f>IF($G251="","Uncategorized — Review",IFERROR(_xlfn.XLOOKUP($G251,Mapping!$A:$A,Mapping!$B:$B),"Uncategorized — Review"))</f>
        <v>Amazon</v>
      </c>
      <c r="J251" s="8" t="str">
        <f>IF($G251="","Uncategorized — Review",IFERROR(_xlfn.XLOOKUP($G251,Mapping!$A:$A,Mapping!$C:$C),"Uncategorized — Review"))</f>
        <v>Personal — Owner</v>
      </c>
    </row>
    <row r="252" spans="1:10" x14ac:dyDescent="0.25">
      <c r="A252" s="8" t="str">
        <f>'2025_Chase9335_Activity_2026062'!A252</f>
        <v>DEBIT</v>
      </c>
      <c r="B252" s="24">
        <f>'2025_Chase9335_Activity_2026062'!B252</f>
        <v>45939</v>
      </c>
      <c r="C252" s="8" t="str">
        <f>'2025_Chase9335_Activity_2026062'!C252</f>
        <v>Audible*NV5OD92B2 Amzn.com/bill NJ           10/08</v>
      </c>
      <c r="D252" s="8">
        <f>'2025_Chase9335_Activity_2026062'!D252</f>
        <v>-17.04</v>
      </c>
      <c r="E252" s="8" t="str">
        <f>'2025_Chase9335_Activity_2026062'!E252</f>
        <v>DEBIT_CARD</v>
      </c>
      <c r="F252" s="8">
        <f>'2025_Chase9335_Activity_2026062'!F252</f>
        <v>170616.68</v>
      </c>
      <c r="G252" s="8" t="str">
        <f>'2025_Chase9335_Activity_2026062'!G252</f>
        <v>Amazon</v>
      </c>
      <c r="H252" s="26">
        <f t="shared" si="3"/>
        <v>45931</v>
      </c>
      <c r="I252" s="8" t="str">
        <f>IF($G252="","Uncategorized — Review",IFERROR(_xlfn.XLOOKUP($G252,Mapping!$A:$A,Mapping!$B:$B),"Uncategorized — Review"))</f>
        <v>Amazon</v>
      </c>
      <c r="J252" s="8" t="str">
        <f>IF($G252="","Uncategorized — Review",IFERROR(_xlfn.XLOOKUP($G252,Mapping!$A:$A,Mapping!$C:$C),"Uncategorized — Review"))</f>
        <v>Personal — Owner</v>
      </c>
    </row>
    <row r="253" spans="1:10" x14ac:dyDescent="0.25">
      <c r="A253" s="8" t="str">
        <f>'2025_Chase9335_Activity_2026062'!A253</f>
        <v>DEBIT</v>
      </c>
      <c r="B253" s="24">
        <f>'2025_Chase9335_Activity_2026062'!B253</f>
        <v>45939</v>
      </c>
      <c r="C253" s="8" t="str">
        <f>'2025_Chase9335_Activity_2026062'!C253</f>
        <v>AMAZON MKTPL*NF8368N Amzn.com/bill WA        10/08</v>
      </c>
      <c r="D253" s="8">
        <f>'2025_Chase9335_Activity_2026062'!D253</f>
        <v>-136.4</v>
      </c>
      <c r="E253" s="8" t="str">
        <f>'2025_Chase9335_Activity_2026062'!E253</f>
        <v>DEBIT_CARD</v>
      </c>
      <c r="F253" s="8">
        <f>'2025_Chase9335_Activity_2026062'!F253</f>
        <v>170633.72</v>
      </c>
      <c r="G253" s="8" t="str">
        <f>'2025_Chase9335_Activity_2026062'!G253</f>
        <v>Amazon</v>
      </c>
      <c r="H253" s="26">
        <f t="shared" si="3"/>
        <v>45931</v>
      </c>
      <c r="I253" s="8" t="str">
        <f>IF($G253="","Uncategorized — Review",IFERROR(_xlfn.XLOOKUP($G253,Mapping!$A:$A,Mapping!$B:$B),"Uncategorized — Review"))</f>
        <v>Amazon</v>
      </c>
      <c r="J253" s="8" t="str">
        <f>IF($G253="","Uncategorized — Review",IFERROR(_xlfn.XLOOKUP($G253,Mapping!$A:$A,Mapping!$C:$C),"Uncategorized — Review"))</f>
        <v>Personal — Owner</v>
      </c>
    </row>
    <row r="254" spans="1:10" x14ac:dyDescent="0.25">
      <c r="A254" s="8" t="str">
        <f>'2025_Chase9335_Activity_2026062'!A254</f>
        <v>CREDIT</v>
      </c>
      <c r="B254" s="24">
        <f>'2025_Chase9335_Activity_2026062'!B254</f>
        <v>45939</v>
      </c>
      <c r="C254" s="8" t="str">
        <f>'2025_Chase9335_Activity_2026062'!C254</f>
        <v>ORIG CO NAME:Austin Iron Hold       ORIG ID:945440567  DESC DATE:       CO ENTRY DESCR:PAYMENT   SEC:PPD    TRACE#:273976365861608 EED:251009   IND ID:                             IND NAME:John Dunning TRN: 2825861608TC</v>
      </c>
      <c r="D254" s="8">
        <f>'2025_Chase9335_Activity_2026062'!D254</f>
        <v>350</v>
      </c>
      <c r="E254" s="8" t="str">
        <f>'2025_Chase9335_Activity_2026062'!E254</f>
        <v>ACH_CREDIT</v>
      </c>
      <c r="F254" s="8">
        <f>'2025_Chase9335_Activity_2026062'!F254</f>
        <v>170770.12</v>
      </c>
      <c r="G254" s="8" t="str">
        <f>'2025_Chase9335_Activity_2026062'!G254</f>
        <v>Deal Specific: Austin Iron</v>
      </c>
      <c r="H254" s="26">
        <f t="shared" si="3"/>
        <v>45931</v>
      </c>
      <c r="I254" s="8" t="str">
        <f>IF($G254="","Uncategorized — Review",IFERROR(_xlfn.XLOOKUP($G254,Mapping!$A:$A,Mapping!$B:$B),"Uncategorized — Review"))</f>
        <v>Deal Specific: Austin Iron</v>
      </c>
      <c r="J254" s="8" t="str">
        <f>IF($G254="","Uncategorized — Review",IFERROR(_xlfn.XLOOKUP($G254,Mapping!$A:$A,Mapping!$C:$C),"Uncategorized — Review"))</f>
        <v>Deal-Specific</v>
      </c>
    </row>
    <row r="255" spans="1:10" x14ac:dyDescent="0.25">
      <c r="A255" s="8" t="str">
        <f>'2025_Chase9335_Activity_2026062'!A255</f>
        <v>DEBIT</v>
      </c>
      <c r="B255" s="24">
        <f>'2025_Chase9335_Activity_2026062'!B255</f>
        <v>45938</v>
      </c>
      <c r="C255" s="8" t="str">
        <f>'2025_Chase9335_Activity_2026062'!C255</f>
        <v>UBER *ONE MEMBERSHIP SAN FRANCISCO CA569648  10/08</v>
      </c>
      <c r="D255" s="8">
        <f>'2025_Chase9335_Activity_2026062'!D255</f>
        <v>-9.99</v>
      </c>
      <c r="E255" s="8" t="str">
        <f>'2025_Chase9335_Activity_2026062'!E255</f>
        <v>DEBIT_CARD</v>
      </c>
      <c r="F255" s="8">
        <f>'2025_Chase9335_Activity_2026062'!F255</f>
        <v>170420.12</v>
      </c>
      <c r="G255" s="8" t="str">
        <f>'2025_Chase9335_Activity_2026062'!G255</f>
        <v>Personal - Subscriptions</v>
      </c>
      <c r="H255" s="26">
        <f t="shared" si="3"/>
        <v>45931</v>
      </c>
      <c r="I255" s="8" t="str">
        <f>IF($G255="","Uncategorized — Review",IFERROR(_xlfn.XLOOKUP($G255,Mapping!$A:$A,Mapping!$B:$B),"Uncategorized — Review"))</f>
        <v>Personal - Subscriptions</v>
      </c>
      <c r="J255" s="8" t="str">
        <f>IF($G255="","Uncategorized — Review",IFERROR(_xlfn.XLOOKUP($G255,Mapping!$A:$A,Mapping!$C:$C),"Uncategorized — Review"))</f>
        <v>Personal — Owner</v>
      </c>
    </row>
    <row r="256" spans="1:10" x14ac:dyDescent="0.25">
      <c r="A256" s="8" t="str">
        <f>'2025_Chase9335_Activity_2026062'!A256</f>
        <v>DEBIT</v>
      </c>
      <c r="B256" s="24">
        <f>'2025_Chase9335_Activity_2026062'!B256</f>
        <v>45938</v>
      </c>
      <c r="C256" s="8" t="str">
        <f>'2025_Chase9335_Activity_2026062'!C256</f>
        <v>Prime Video *NF0SN8X6 888-802-3080 WA        10/08</v>
      </c>
      <c r="D256" s="8">
        <f>'2025_Chase9335_Activity_2026062'!D256</f>
        <v>-4.26</v>
      </c>
      <c r="E256" s="8" t="str">
        <f>'2025_Chase9335_Activity_2026062'!E256</f>
        <v>DEBIT_CARD</v>
      </c>
      <c r="F256" s="8">
        <f>'2025_Chase9335_Activity_2026062'!F256</f>
        <v>170430.11</v>
      </c>
      <c r="G256" s="8" t="str">
        <f>'2025_Chase9335_Activity_2026062'!G256</f>
        <v>Amazon Prime Video</v>
      </c>
      <c r="H256" s="26">
        <f t="shared" si="3"/>
        <v>45931</v>
      </c>
      <c r="I256" s="8" t="str">
        <f>IF($G256="","Uncategorized — Review",IFERROR(_xlfn.XLOOKUP($G256,Mapping!$A:$A,Mapping!$B:$B),"Uncategorized — Review"))</f>
        <v>Amazon Prime Video</v>
      </c>
      <c r="J256" s="8" t="str">
        <f>IF($G256="","Uncategorized — Review",IFERROR(_xlfn.XLOOKUP($G256,Mapping!$A:$A,Mapping!$C:$C),"Uncategorized — Review"))</f>
        <v>Personal — Owner</v>
      </c>
    </row>
    <row r="257" spans="1:10" x14ac:dyDescent="0.25">
      <c r="A257" s="8" t="str">
        <f>'2025_Chase9335_Activity_2026062'!A257</f>
        <v>DEBIT</v>
      </c>
      <c r="B257" s="24">
        <f>'2025_Chase9335_Activity_2026062'!B257</f>
        <v>45938</v>
      </c>
      <c r="C257" s="8" t="str">
        <f>'2025_Chase9335_Activity_2026062'!C257</f>
        <v>Amazon.com*NF0844GM0 Amzn.com/bill WA        10/08</v>
      </c>
      <c r="D257" s="8">
        <f>'2025_Chase9335_Activity_2026062'!D257</f>
        <v>-55.16</v>
      </c>
      <c r="E257" s="8" t="str">
        <f>'2025_Chase9335_Activity_2026062'!E257</f>
        <v>DEBIT_CARD</v>
      </c>
      <c r="F257" s="8">
        <f>'2025_Chase9335_Activity_2026062'!F257</f>
        <v>170434.37</v>
      </c>
      <c r="G257" s="8" t="str">
        <f>'2025_Chase9335_Activity_2026062'!G257</f>
        <v>Amazon</v>
      </c>
      <c r="H257" s="26">
        <f t="shared" si="3"/>
        <v>45931</v>
      </c>
      <c r="I257" s="8" t="str">
        <f>IF($G257="","Uncategorized — Review",IFERROR(_xlfn.XLOOKUP($G257,Mapping!$A:$A,Mapping!$B:$B),"Uncategorized — Review"))</f>
        <v>Amazon</v>
      </c>
      <c r="J257" s="8" t="str">
        <f>IF($G257="","Uncategorized — Review",IFERROR(_xlfn.XLOOKUP($G257,Mapping!$A:$A,Mapping!$C:$C),"Uncategorized — Review"))</f>
        <v>Personal — Owner</v>
      </c>
    </row>
    <row r="258" spans="1:10" x14ac:dyDescent="0.25">
      <c r="A258" s="8" t="str">
        <f>'2025_Chase9335_Activity_2026062'!A258</f>
        <v>DEBIT</v>
      </c>
      <c r="B258" s="24">
        <f>'2025_Chase9335_Activity_2026062'!B258</f>
        <v>45938</v>
      </c>
      <c r="C258" s="8" t="str">
        <f>'2025_Chase9335_Activity_2026062'!C258</f>
        <v>Amazon.com*NV5918HQ2 Amzn.com/bill WA        10/07</v>
      </c>
      <c r="D258" s="8">
        <f>'2025_Chase9335_Activity_2026062'!D258</f>
        <v>-34.76</v>
      </c>
      <c r="E258" s="8" t="str">
        <f>'2025_Chase9335_Activity_2026062'!E258</f>
        <v>DEBIT_CARD</v>
      </c>
      <c r="F258" s="8">
        <f>'2025_Chase9335_Activity_2026062'!F258</f>
        <v>170489.53</v>
      </c>
      <c r="G258" s="8" t="str">
        <f>'2025_Chase9335_Activity_2026062'!G258</f>
        <v>Amazon</v>
      </c>
      <c r="H258" s="26">
        <f t="shared" si="3"/>
        <v>45931</v>
      </c>
      <c r="I258" s="8" t="str">
        <f>IF($G258="","Uncategorized — Review",IFERROR(_xlfn.XLOOKUP($G258,Mapping!$A:$A,Mapping!$B:$B),"Uncategorized — Review"))</f>
        <v>Amazon</v>
      </c>
      <c r="J258" s="8" t="str">
        <f>IF($G258="","Uncategorized — Review",IFERROR(_xlfn.XLOOKUP($G258,Mapping!$A:$A,Mapping!$C:$C),"Uncategorized — Review"))</f>
        <v>Personal — Owner</v>
      </c>
    </row>
    <row r="259" spans="1:10" x14ac:dyDescent="0.25">
      <c r="A259" s="8" t="str">
        <f>'2025_Chase9335_Activity_2026062'!A259</f>
        <v>CREDIT</v>
      </c>
      <c r="B259" s="24">
        <f>'2025_Chase9335_Activity_2026062'!B259</f>
        <v>45938</v>
      </c>
      <c r="C259" s="8" t="str">
        <f>'2025_Chase9335_Activity_2026062'!C259</f>
        <v>ORIG CO NAME:MRM Industrial P       ORIG ID:945440567  DESC DATE:       CO ENTRY DESCR:PAYMENT   SEC:PPD    TRACE#:273976369157141 EED:251008   IND ID:                             IND NAME:John Dunning TRN: 2819157141TC</v>
      </c>
      <c r="D259" s="8">
        <f>'2025_Chase9335_Activity_2026062'!D259</f>
        <v>236.37</v>
      </c>
      <c r="E259" s="8" t="str">
        <f>'2025_Chase9335_Activity_2026062'!E259</f>
        <v>ACH_CREDIT</v>
      </c>
      <c r="F259" s="8">
        <f>'2025_Chase9335_Activity_2026062'!F259</f>
        <v>170524.29</v>
      </c>
      <c r="G259" s="8" t="str">
        <f>'2025_Chase9335_Activity_2026062'!G259</f>
        <v>Deal Specific: MRM</v>
      </c>
      <c r="H259" s="26">
        <f t="shared" ref="H259:H322" si="4">IF($B259="","",DATE(YEAR($B259),MONTH($B259),1))</f>
        <v>45931</v>
      </c>
      <c r="I259" s="8" t="str">
        <f>IF($G259="","Uncategorized — Review",IFERROR(_xlfn.XLOOKUP($G259,Mapping!$A:$A,Mapping!$B:$B),"Uncategorized — Review"))</f>
        <v>Deal Specific: MRM</v>
      </c>
      <c r="J259" s="8" t="str">
        <f>IF($G259="","Uncategorized — Review",IFERROR(_xlfn.XLOOKUP($G259,Mapping!$A:$A,Mapping!$C:$C),"Uncategorized — Review"))</f>
        <v>Deal-Specific</v>
      </c>
    </row>
    <row r="260" spans="1:10" x14ac:dyDescent="0.25">
      <c r="A260" s="8" t="str">
        <f>'2025_Chase9335_Activity_2026062'!A260</f>
        <v>CREDIT</v>
      </c>
      <c r="B260" s="24">
        <f>'2025_Chase9335_Activity_2026062'!B260</f>
        <v>45938</v>
      </c>
      <c r="C260" s="8" t="str">
        <f>'2025_Chase9335_Activity_2026062'!C260</f>
        <v>ORIG CO NAME:Merit-Lancaster        ORIG ID:945440567  DESC DATE:       CO ENTRY DESCR:PAYMENT   SEC:PPD    TRACE#:273976369156811 EED:251008   IND ID:                             IND NAME:John Dunning TRN: 2819156811TC</v>
      </c>
      <c r="D260" s="8">
        <f>'2025_Chase9335_Activity_2026062'!D260</f>
        <v>476.41</v>
      </c>
      <c r="E260" s="8" t="str">
        <f>'2025_Chase9335_Activity_2026062'!E260</f>
        <v>ACH_CREDIT</v>
      </c>
      <c r="F260" s="8">
        <f>'2025_Chase9335_Activity_2026062'!F260</f>
        <v>170287.92</v>
      </c>
      <c r="G260" s="8" t="str">
        <f>'2025_Chase9335_Activity_2026062'!G260</f>
        <v>Deal Specific: Merit-Lancaster</v>
      </c>
      <c r="H260" s="26">
        <f t="shared" si="4"/>
        <v>45931</v>
      </c>
      <c r="I260" s="8" t="str">
        <f>IF($G260="","Uncategorized — Review",IFERROR(_xlfn.XLOOKUP($G260,Mapping!$A:$A,Mapping!$B:$B),"Uncategorized — Review"))</f>
        <v>Deal Specific: Merit-Lancaster</v>
      </c>
      <c r="J260" s="8" t="str">
        <f>IF($G260="","Uncategorized — Review",IFERROR(_xlfn.XLOOKUP($G260,Mapping!$A:$A,Mapping!$C:$C),"Uncategorized — Review"))</f>
        <v>Deal-Specific</v>
      </c>
    </row>
    <row r="261" spans="1:10" x14ac:dyDescent="0.25">
      <c r="A261" s="8" t="str">
        <f>'2025_Chase9335_Activity_2026062'!A261</f>
        <v>DEBIT</v>
      </c>
      <c r="B261" s="24">
        <f>'2025_Chase9335_Activity_2026062'!B261</f>
        <v>45937</v>
      </c>
      <c r="C261" s="8" t="str">
        <f>'2025_Chase9335_Activity_2026062'!C261</f>
        <v>UBER * EATS PENDING SAN FRANCISCO CA 274787  10/07</v>
      </c>
      <c r="D261" s="8">
        <f>'2025_Chase9335_Activity_2026062'!D261</f>
        <v>-56.7</v>
      </c>
      <c r="E261" s="8" t="str">
        <f>'2025_Chase9335_Activity_2026062'!E261</f>
        <v>DEBIT_CARD</v>
      </c>
      <c r="F261" s="8">
        <f>'2025_Chase9335_Activity_2026062'!F261</f>
        <v>169811.51</v>
      </c>
      <c r="G261" s="8" t="str">
        <f>'2025_Chase9335_Activity_2026062'!G261</f>
        <v>Personal - Food &amp; Dining</v>
      </c>
      <c r="H261" s="26">
        <f t="shared" si="4"/>
        <v>45931</v>
      </c>
      <c r="I261" s="8" t="str">
        <f>IF($G261="","Uncategorized — Review",IFERROR(_xlfn.XLOOKUP($G261,Mapping!$A:$A,Mapping!$B:$B),"Uncategorized — Review"))</f>
        <v>Personal - Food &amp; Dining</v>
      </c>
      <c r="J261" s="8" t="str">
        <f>IF($G261="","Uncategorized — Review",IFERROR(_xlfn.XLOOKUP($G261,Mapping!$A:$A,Mapping!$C:$C),"Uncategorized — Review"))</f>
        <v>Personal — Owner</v>
      </c>
    </row>
    <row r="262" spans="1:10" x14ac:dyDescent="0.25">
      <c r="A262" s="8" t="str">
        <f>'2025_Chase9335_Activity_2026062'!A262</f>
        <v>DEBIT</v>
      </c>
      <c r="B262" s="24">
        <f>'2025_Chase9335_Activity_2026062'!B262</f>
        <v>45937</v>
      </c>
      <c r="C262" s="8" t="str">
        <f>'2025_Chase9335_Activity_2026062'!C262</f>
        <v>APPLE.COM/BILL 866-712-7753 CA               10/06</v>
      </c>
      <c r="D262" s="8">
        <f>'2025_Chase9335_Activity_2026062'!D262</f>
        <v>-9.99</v>
      </c>
      <c r="E262" s="8" t="str">
        <f>'2025_Chase9335_Activity_2026062'!E262</f>
        <v>DEBIT_CARD</v>
      </c>
      <c r="F262" s="8">
        <f>'2025_Chase9335_Activity_2026062'!F262</f>
        <v>169868.21</v>
      </c>
      <c r="G262" s="8" t="str">
        <f>'2025_Chase9335_Activity_2026062'!G262</f>
        <v>Personal - Subscriptions</v>
      </c>
      <c r="H262" s="26">
        <f t="shared" si="4"/>
        <v>45931</v>
      </c>
      <c r="I262" s="8" t="str">
        <f>IF($G262="","Uncategorized — Review",IFERROR(_xlfn.XLOOKUP($G262,Mapping!$A:$A,Mapping!$B:$B),"Uncategorized — Review"))</f>
        <v>Personal - Subscriptions</v>
      </c>
      <c r="J262" s="8" t="str">
        <f>IF($G262="","Uncategorized — Review",IFERROR(_xlfn.XLOOKUP($G262,Mapping!$A:$A,Mapping!$C:$C),"Uncategorized — Review"))</f>
        <v>Personal — Owner</v>
      </c>
    </row>
    <row r="263" spans="1:10" x14ac:dyDescent="0.25">
      <c r="A263" s="8" t="str">
        <f>'2025_Chase9335_Activity_2026062'!A263</f>
        <v>DEBIT</v>
      </c>
      <c r="B263" s="24">
        <f>'2025_Chase9335_Activity_2026062'!B263</f>
        <v>45936</v>
      </c>
      <c r="C263" s="8" t="str">
        <f>'2025_Chase9335_Activity_2026062'!C263</f>
        <v>UBER * EATS PENDING SAN FRANCISCO CA 962657  10/06</v>
      </c>
      <c r="D263" s="8">
        <f>'2025_Chase9335_Activity_2026062'!D263</f>
        <v>-29.3</v>
      </c>
      <c r="E263" s="8" t="str">
        <f>'2025_Chase9335_Activity_2026062'!E263</f>
        <v>DEBIT_CARD</v>
      </c>
      <c r="F263" s="8">
        <f>'2025_Chase9335_Activity_2026062'!F263</f>
        <v>169878.2</v>
      </c>
      <c r="G263" s="8" t="str">
        <f>'2025_Chase9335_Activity_2026062'!G263</f>
        <v>Personal - Food &amp; Dining</v>
      </c>
      <c r="H263" s="26">
        <f t="shared" si="4"/>
        <v>45931</v>
      </c>
      <c r="I263" s="8" t="str">
        <f>IF($G263="","Uncategorized — Review",IFERROR(_xlfn.XLOOKUP($G263,Mapping!$A:$A,Mapping!$B:$B),"Uncategorized — Review"))</f>
        <v>Personal - Food &amp; Dining</v>
      </c>
      <c r="J263" s="8" t="str">
        <f>IF($G263="","Uncategorized — Review",IFERROR(_xlfn.XLOOKUP($G263,Mapping!$A:$A,Mapping!$C:$C),"Uncategorized — Review"))</f>
        <v>Personal — Owner</v>
      </c>
    </row>
    <row r="264" spans="1:10" x14ac:dyDescent="0.25">
      <c r="A264" s="8" t="str">
        <f>'2025_Chase9335_Activity_2026062'!A264</f>
        <v>DEBIT</v>
      </c>
      <c r="B264" s="24">
        <f>'2025_Chase9335_Activity_2026062'!B264</f>
        <v>45936</v>
      </c>
      <c r="C264" s="8" t="str">
        <f>'2025_Chase9335_Activity_2026062'!C264</f>
        <v>AMAZON MKTPL*NV0TT16 Amzn.com/bill WA        10/06</v>
      </c>
      <c r="D264" s="8">
        <f>'2025_Chase9335_Activity_2026062'!D264</f>
        <v>-105.95</v>
      </c>
      <c r="E264" s="8" t="str">
        <f>'2025_Chase9335_Activity_2026062'!E264</f>
        <v>DEBIT_CARD</v>
      </c>
      <c r="F264" s="8">
        <f>'2025_Chase9335_Activity_2026062'!F264</f>
        <v>169907.5</v>
      </c>
      <c r="G264" s="8" t="str">
        <f>'2025_Chase9335_Activity_2026062'!G264</f>
        <v>Amazon</v>
      </c>
      <c r="H264" s="26">
        <f t="shared" si="4"/>
        <v>45931</v>
      </c>
      <c r="I264" s="8" t="str">
        <f>IF($G264="","Uncategorized — Review",IFERROR(_xlfn.XLOOKUP($G264,Mapping!$A:$A,Mapping!$B:$B),"Uncategorized — Review"))</f>
        <v>Amazon</v>
      </c>
      <c r="J264" s="8" t="str">
        <f>IF($G264="","Uncategorized — Review",IFERROR(_xlfn.XLOOKUP($G264,Mapping!$A:$A,Mapping!$C:$C),"Uncategorized — Review"))</f>
        <v>Personal — Owner</v>
      </c>
    </row>
    <row r="265" spans="1:10" x14ac:dyDescent="0.25">
      <c r="A265" s="8" t="str">
        <f>'2025_Chase9335_Activity_2026062'!A265</f>
        <v>DEBIT</v>
      </c>
      <c r="B265" s="24">
        <f>'2025_Chase9335_Activity_2026062'!B265</f>
        <v>45936</v>
      </c>
      <c r="C265" s="8" t="str">
        <f>'2025_Chase9335_Activity_2026062'!C265</f>
        <v>AMAZON MKTPL*NV2D561 Amzn.com/bill WA        10/04</v>
      </c>
      <c r="D265" s="8">
        <f>'2025_Chase9335_Activity_2026062'!D265</f>
        <v>-20.56</v>
      </c>
      <c r="E265" s="8" t="str">
        <f>'2025_Chase9335_Activity_2026062'!E265</f>
        <v>DEBIT_CARD</v>
      </c>
      <c r="F265" s="8">
        <f>'2025_Chase9335_Activity_2026062'!F265</f>
        <v>170013.45</v>
      </c>
      <c r="G265" s="8" t="str">
        <f>'2025_Chase9335_Activity_2026062'!G265</f>
        <v>Amazon</v>
      </c>
      <c r="H265" s="26">
        <f t="shared" si="4"/>
        <v>45931</v>
      </c>
      <c r="I265" s="8" t="str">
        <f>IF($G265="","Uncategorized — Review",IFERROR(_xlfn.XLOOKUP($G265,Mapping!$A:$A,Mapping!$B:$B),"Uncategorized — Review"))</f>
        <v>Amazon</v>
      </c>
      <c r="J265" s="8" t="str">
        <f>IF($G265="","Uncategorized — Review",IFERROR(_xlfn.XLOOKUP($G265,Mapping!$A:$A,Mapping!$C:$C),"Uncategorized — Review"))</f>
        <v>Personal — Owner</v>
      </c>
    </row>
    <row r="266" spans="1:10" x14ac:dyDescent="0.25">
      <c r="A266" s="8" t="str">
        <f>'2025_Chase9335_Activity_2026062'!A266</f>
        <v>DEBIT</v>
      </c>
      <c r="B266" s="24">
        <f>'2025_Chase9335_Activity_2026062'!B266</f>
        <v>45936</v>
      </c>
      <c r="C266" s="8" t="str">
        <f>'2025_Chase9335_Activity_2026062'!C266</f>
        <v>Kindle Unltd*NV6Q277F 888-802-3080 WA        10/04</v>
      </c>
      <c r="D266" s="8">
        <f>'2025_Chase9335_Activity_2026062'!D266</f>
        <v>-12.98</v>
      </c>
      <c r="E266" s="8" t="str">
        <f>'2025_Chase9335_Activity_2026062'!E266</f>
        <v>DEBIT_CARD</v>
      </c>
      <c r="F266" s="8">
        <f>'2025_Chase9335_Activity_2026062'!F266</f>
        <v>170034.01</v>
      </c>
      <c r="G266" s="8" t="str">
        <f>'2025_Chase9335_Activity_2026062'!G266</f>
        <v>Personal - Entertainment</v>
      </c>
      <c r="H266" s="26">
        <f t="shared" si="4"/>
        <v>45931</v>
      </c>
      <c r="I266" s="8" t="str">
        <f>IF($G266="","Uncategorized — Review",IFERROR(_xlfn.XLOOKUP($G266,Mapping!$A:$A,Mapping!$B:$B),"Uncategorized — Review"))</f>
        <v>Personal - Entertainment</v>
      </c>
      <c r="J266" s="8" t="str">
        <f>IF($G266="","Uncategorized — Review",IFERROR(_xlfn.XLOOKUP($G266,Mapping!$A:$A,Mapping!$C:$C),"Uncategorized — Review"))</f>
        <v>Personal — Owner</v>
      </c>
    </row>
    <row r="267" spans="1:10" x14ac:dyDescent="0.25">
      <c r="A267" s="8" t="str">
        <f>'2025_Chase9335_Activity_2026062'!A267</f>
        <v>DEBIT</v>
      </c>
      <c r="B267" s="24">
        <f>'2025_Chase9335_Activity_2026062'!B267</f>
        <v>45936</v>
      </c>
      <c r="C267" s="8" t="str">
        <f>'2025_Chase9335_Activity_2026062'!C267</f>
        <v>Amazon.com*NV4PU4990 Amzn.com/bill WA        10/04</v>
      </c>
      <c r="D267" s="8">
        <f>'2025_Chase9335_Activity_2026062'!D267</f>
        <v>-105</v>
      </c>
      <c r="E267" s="8" t="str">
        <f>'2025_Chase9335_Activity_2026062'!E267</f>
        <v>DEBIT_CARD</v>
      </c>
      <c r="F267" s="8">
        <f>'2025_Chase9335_Activity_2026062'!F267</f>
        <v>170046.99</v>
      </c>
      <c r="G267" s="8" t="str">
        <f>'2025_Chase9335_Activity_2026062'!G267</f>
        <v>Amazon</v>
      </c>
      <c r="H267" s="26">
        <f t="shared" si="4"/>
        <v>45931</v>
      </c>
      <c r="I267" s="8" t="str">
        <f>IF($G267="","Uncategorized — Review",IFERROR(_xlfn.XLOOKUP($G267,Mapping!$A:$A,Mapping!$B:$B),"Uncategorized — Review"))</f>
        <v>Amazon</v>
      </c>
      <c r="J267" s="8" t="str">
        <f>IF($G267="","Uncategorized — Review",IFERROR(_xlfn.XLOOKUP($G267,Mapping!$A:$A,Mapping!$C:$C),"Uncategorized — Review"))</f>
        <v>Personal — Owner</v>
      </c>
    </row>
    <row r="268" spans="1:10" x14ac:dyDescent="0.25">
      <c r="A268" s="8" t="str">
        <f>'2025_Chase9335_Activity_2026062'!A268</f>
        <v>CREDIT</v>
      </c>
      <c r="B268" s="24">
        <f>'2025_Chase9335_Activity_2026062'!B268</f>
        <v>45936</v>
      </c>
      <c r="C268" s="8" t="str">
        <f>'2025_Chase9335_Activity_2026062'!C268</f>
        <v>Online Transfer from CHK ...5369 transaction#: 26491659104</v>
      </c>
      <c r="D268" s="8">
        <f>'2025_Chase9335_Activity_2026062'!D268</f>
        <v>12800</v>
      </c>
      <c r="E268" s="8" t="str">
        <f>'2025_Chase9335_Activity_2026062'!E268</f>
        <v>ACCT_XFER</v>
      </c>
      <c r="F268" s="8">
        <f>'2025_Chase9335_Activity_2026062'!F268</f>
        <v>170151.99</v>
      </c>
      <c r="G268" s="8" t="str">
        <f>'2025_Chase9335_Activity_2026062'!G268</f>
        <v>Transfer from Kalkaska Screw</v>
      </c>
      <c r="H268" s="26">
        <f t="shared" si="4"/>
        <v>45931</v>
      </c>
      <c r="I268" s="8" t="str">
        <f>IF($G268="","Uncategorized — Review",IFERROR(_xlfn.XLOOKUP($G268,Mapping!$A:$A,Mapping!$B:$B),"Uncategorized — Review"))</f>
        <v>Transfer from Kalkaska Screw</v>
      </c>
      <c r="J268" s="8" t="str">
        <f>IF($G268="","Uncategorized — Review",IFERROR(_xlfn.XLOOKUP($G268,Mapping!$A:$A,Mapping!$C:$C),"Uncategorized — Review"))</f>
        <v>Intercompany &amp; Savings Transfers</v>
      </c>
    </row>
    <row r="269" spans="1:10" x14ac:dyDescent="0.25">
      <c r="A269" s="8" t="str">
        <f>'2025_Chase9335_Activity_2026062'!A269</f>
        <v>DEBIT</v>
      </c>
      <c r="B269" s="24">
        <f>'2025_Chase9335_Activity_2026062'!B269</f>
        <v>45933</v>
      </c>
      <c r="C269" s="8" t="str">
        <f>'2025_Chase9335_Activity_2026062'!C269</f>
        <v>ONLINE DOMESTIC WIRE FEE</v>
      </c>
      <c r="D269" s="8">
        <f>'2025_Chase9335_Activity_2026062'!D269</f>
        <v>-25</v>
      </c>
      <c r="E269" s="8" t="str">
        <f>'2025_Chase9335_Activity_2026062'!E269</f>
        <v>FEE_TRANSACTION</v>
      </c>
      <c r="F269" s="8">
        <f>'2025_Chase9335_Activity_2026062'!F269</f>
        <v>157351.99</v>
      </c>
      <c r="G269" s="8" t="str">
        <f>'2025_Chase9335_Activity_2026062'!G269</f>
        <v>Bank Fees</v>
      </c>
      <c r="H269" s="26">
        <f t="shared" si="4"/>
        <v>45931</v>
      </c>
      <c r="I269" s="8" t="str">
        <f>IF($G269="","Uncategorized — Review",IFERROR(_xlfn.XLOOKUP($G269,Mapping!$A:$A,Mapping!$B:$B),"Uncategorized — Review"))</f>
        <v>Bank Fees</v>
      </c>
      <c r="J269" s="8" t="str">
        <f>IF($G269="","Uncategorized — Review",IFERROR(_xlfn.XLOOKUP($G269,Mapping!$A:$A,Mapping!$C:$C),"Uncategorized — Review"))</f>
        <v>DWG Operating</v>
      </c>
    </row>
    <row r="270" spans="1:10" x14ac:dyDescent="0.25">
      <c r="A270" s="8" t="str">
        <f>'2025_Chase9335_Activity_2026062'!A270</f>
        <v>DEBIT</v>
      </c>
      <c r="B270" s="24">
        <f>'2025_Chase9335_Activity_2026062'!B270</f>
        <v>45933</v>
      </c>
      <c r="C270" s="8" t="str">
        <f>'2025_Chase9335_Activity_2026062'!C270</f>
        <v>ONLINE DOMESTIC WIRE TRANSFER A/C: ADMEER ADVISORY, LLC DANA POINT CA 92629-3313 US TRN: 3559695276ES 10/03</v>
      </c>
      <c r="D270" s="8">
        <f>'2025_Chase9335_Activity_2026062'!D270</f>
        <v>-5000</v>
      </c>
      <c r="E270" s="8" t="str">
        <f>'2025_Chase9335_Activity_2026062'!E270</f>
        <v>WIRE_OUTGOING</v>
      </c>
      <c r="F270" s="8">
        <f>'2025_Chase9335_Activity_2026062'!F270</f>
        <v>157376.99</v>
      </c>
      <c r="G270" s="8" t="str">
        <f>'2025_Chase9335_Activity_2026062'!G270</f>
        <v>MAG - Admeer Advisory Transfer</v>
      </c>
      <c r="H270" s="26">
        <f t="shared" si="4"/>
        <v>45931</v>
      </c>
      <c r="I270" s="8" t="str">
        <f>IF($G270="","Uncategorized — Review",IFERROR(_xlfn.XLOOKUP($G270,Mapping!$A:$A,Mapping!$B:$B),"Uncategorized — Review"))</f>
        <v>MAG - Admeer Advisory Transfer</v>
      </c>
      <c r="J270" s="8" t="str">
        <f>IF($G270="","Uncategorized — Review",IFERROR(_xlfn.XLOOKUP($G270,Mapping!$A:$A,Mapping!$C:$C),"Uncategorized — Review"))</f>
        <v>MAG Pass-Through</v>
      </c>
    </row>
    <row r="271" spans="1:10" x14ac:dyDescent="0.25">
      <c r="A271" s="8" t="str">
        <f>'2025_Chase9335_Activity_2026062'!A271</f>
        <v>DEBIT</v>
      </c>
      <c r="B271" s="24">
        <f>'2025_Chase9335_Activity_2026062'!B271</f>
        <v>45933</v>
      </c>
      <c r="C271" s="8" t="str">
        <f>'2025_Chase9335_Activity_2026062'!C271</f>
        <v>AMAZON MKTPL*NV35926 Amzn.com/bill WA        10/03</v>
      </c>
      <c r="D271" s="8">
        <f>'2025_Chase9335_Activity_2026062'!D271</f>
        <v>-75.760000000000005</v>
      </c>
      <c r="E271" s="8" t="str">
        <f>'2025_Chase9335_Activity_2026062'!E271</f>
        <v>DEBIT_CARD</v>
      </c>
      <c r="F271" s="8">
        <f>'2025_Chase9335_Activity_2026062'!F271</f>
        <v>162376.99</v>
      </c>
      <c r="G271" s="8" t="str">
        <f>'2025_Chase9335_Activity_2026062'!G271</f>
        <v>Amazon</v>
      </c>
      <c r="H271" s="26">
        <f t="shared" si="4"/>
        <v>45931</v>
      </c>
      <c r="I271" s="8" t="str">
        <f>IF($G271="","Uncategorized — Review",IFERROR(_xlfn.XLOOKUP($G271,Mapping!$A:$A,Mapping!$B:$B),"Uncategorized — Review"))</f>
        <v>Amazon</v>
      </c>
      <c r="J271" s="8" t="str">
        <f>IF($G271="","Uncategorized — Review",IFERROR(_xlfn.XLOOKUP($G271,Mapping!$A:$A,Mapping!$C:$C),"Uncategorized — Review"))</f>
        <v>Personal — Owner</v>
      </c>
    </row>
    <row r="272" spans="1:10" x14ac:dyDescent="0.25">
      <c r="A272" s="8" t="str">
        <f>'2025_Chase9335_Activity_2026062'!A272</f>
        <v>DEBIT</v>
      </c>
      <c r="B272" s="24">
        <f>'2025_Chase9335_Activity_2026062'!B272</f>
        <v>45932</v>
      </c>
      <c r="C272" s="8" t="str">
        <f>'2025_Chase9335_Activity_2026062'!C272</f>
        <v>Amazon.com*NJ93E7WU1 Amzn.com/bill WA        10/02</v>
      </c>
      <c r="D272" s="8">
        <f>'2025_Chase9335_Activity_2026062'!D272</f>
        <v>-54.13</v>
      </c>
      <c r="E272" s="8" t="str">
        <f>'2025_Chase9335_Activity_2026062'!E272</f>
        <v>DEBIT_CARD</v>
      </c>
      <c r="F272" s="8">
        <f>'2025_Chase9335_Activity_2026062'!F272</f>
        <v>162452.75</v>
      </c>
      <c r="G272" s="8" t="str">
        <f>'2025_Chase9335_Activity_2026062'!G272</f>
        <v>Amazon</v>
      </c>
      <c r="H272" s="26">
        <f t="shared" si="4"/>
        <v>45931</v>
      </c>
      <c r="I272" s="8" t="str">
        <f>IF($G272="","Uncategorized — Review",IFERROR(_xlfn.XLOOKUP($G272,Mapping!$A:$A,Mapping!$B:$B),"Uncategorized — Review"))</f>
        <v>Amazon</v>
      </c>
      <c r="J272" s="8" t="str">
        <f>IF($G272="","Uncategorized — Review",IFERROR(_xlfn.XLOOKUP($G272,Mapping!$A:$A,Mapping!$C:$C),"Uncategorized — Review"))</f>
        <v>Personal — Owner</v>
      </c>
    </row>
    <row r="273" spans="1:10" x14ac:dyDescent="0.25">
      <c r="A273" s="8" t="str">
        <f>'2025_Chase9335_Activity_2026062'!A273</f>
        <v>DEBIT</v>
      </c>
      <c r="B273" s="24">
        <f>'2025_Chase9335_Activity_2026062'!B273</f>
        <v>45931</v>
      </c>
      <c r="C273" s="8" t="str">
        <f>'2025_Chase9335_Activity_2026062'!C273</f>
        <v>Online Transfer to CHK ...1168 transaction#: 26428342076 10/01</v>
      </c>
      <c r="D273" s="8">
        <f>'2025_Chase9335_Activity_2026062'!D273</f>
        <v>-25000</v>
      </c>
      <c r="E273" s="8" t="str">
        <f>'2025_Chase9335_Activity_2026062'!E273</f>
        <v>ACCT_XFER</v>
      </c>
      <c r="F273" s="8">
        <f>'2025_Chase9335_Activity_2026062'!F273</f>
        <v>162506.88</v>
      </c>
      <c r="G273" s="8" t="str">
        <f>'2025_Chase9335_Activity_2026062'!G273</f>
        <v>Transfer to DWG Capital Group</v>
      </c>
      <c r="H273" s="26">
        <f t="shared" si="4"/>
        <v>45931</v>
      </c>
      <c r="I273" s="8" t="str">
        <f>IF($G273="","Uncategorized — Review",IFERROR(_xlfn.XLOOKUP($G273,Mapping!$A:$A,Mapping!$B:$B),"Uncategorized — Review"))</f>
        <v>Transfer to DWG Capital Group</v>
      </c>
      <c r="J273" s="8" t="str">
        <f>IF($G273="","Uncategorized — Review",IFERROR(_xlfn.XLOOKUP($G273,Mapping!$A:$A,Mapping!$C:$C),"Uncategorized — Review"))</f>
        <v>Intercompany &amp; Savings Transfers</v>
      </c>
    </row>
    <row r="274" spans="1:10" x14ac:dyDescent="0.25">
      <c r="A274" s="8" t="str">
        <f>'2025_Chase9335_Activity_2026062'!A274</f>
        <v>DEBIT</v>
      </c>
      <c r="B274" s="24">
        <f>'2025_Chase9335_Activity_2026062'!B274</f>
        <v>45931</v>
      </c>
      <c r="C274" s="8" t="str">
        <f>'2025_Chase9335_Activity_2026062'!C274</f>
        <v>Experian* Credit Repor 479-3436237 CA        10/01</v>
      </c>
      <c r="D274" s="8">
        <f>'2025_Chase9335_Activity_2026062'!D274</f>
        <v>-27.05</v>
      </c>
      <c r="E274" s="8" t="str">
        <f>'2025_Chase9335_Activity_2026062'!E274</f>
        <v>DEBIT_CARD</v>
      </c>
      <c r="F274" s="8">
        <f>'2025_Chase9335_Activity_2026062'!F274</f>
        <v>187506.88</v>
      </c>
      <c r="G274" s="8" t="str">
        <f>'2025_Chase9335_Activity_2026062'!G274</f>
        <v>Personal - Subscriptions</v>
      </c>
      <c r="H274" s="26">
        <f t="shared" si="4"/>
        <v>45931</v>
      </c>
      <c r="I274" s="8" t="str">
        <f>IF($G274="","Uncategorized — Review",IFERROR(_xlfn.XLOOKUP($G274,Mapping!$A:$A,Mapping!$B:$B),"Uncategorized — Review"))</f>
        <v>Personal - Subscriptions</v>
      </c>
      <c r="J274" s="8" t="str">
        <f>IF($G274="","Uncategorized — Review",IFERROR(_xlfn.XLOOKUP($G274,Mapping!$A:$A,Mapping!$C:$C),"Uncategorized — Review"))</f>
        <v>Personal — Owner</v>
      </c>
    </row>
    <row r="275" spans="1:10" x14ac:dyDescent="0.25">
      <c r="A275" s="8" t="str">
        <f>'2025_Chase9335_Activity_2026062'!A275</f>
        <v>DEBIT</v>
      </c>
      <c r="B275" s="24">
        <f>'2025_Chase9335_Activity_2026062'!B275</f>
        <v>45931</v>
      </c>
      <c r="C275" s="8" t="str">
        <f>'2025_Chase9335_Activity_2026062'!C275</f>
        <v>Amazon.com*NJ5L84X52 Amzn.com/bill WA        10/01</v>
      </c>
      <c r="D275" s="8">
        <f>'2025_Chase9335_Activity_2026062'!D275</f>
        <v>-25.85</v>
      </c>
      <c r="E275" s="8" t="str">
        <f>'2025_Chase9335_Activity_2026062'!E275</f>
        <v>DEBIT_CARD</v>
      </c>
      <c r="F275" s="8">
        <f>'2025_Chase9335_Activity_2026062'!F275</f>
        <v>187533.93</v>
      </c>
      <c r="G275" s="8" t="str">
        <f>'2025_Chase9335_Activity_2026062'!G275</f>
        <v>Amazon</v>
      </c>
      <c r="H275" s="26">
        <f t="shared" si="4"/>
        <v>45931</v>
      </c>
      <c r="I275" s="8" t="str">
        <f>IF($G275="","Uncategorized — Review",IFERROR(_xlfn.XLOOKUP($G275,Mapping!$A:$A,Mapping!$B:$B),"Uncategorized — Review"))</f>
        <v>Amazon</v>
      </c>
      <c r="J275" s="8" t="str">
        <f>IF($G275="","Uncategorized — Review",IFERROR(_xlfn.XLOOKUP($G275,Mapping!$A:$A,Mapping!$C:$C),"Uncategorized — Review"))</f>
        <v>Personal — Owner</v>
      </c>
    </row>
    <row r="276" spans="1:10" x14ac:dyDescent="0.25">
      <c r="A276" s="8" t="str">
        <f>'2025_Chase9335_Activity_2026062'!A276</f>
        <v>DEBIT</v>
      </c>
      <c r="B276" s="24">
        <f>'2025_Chase9335_Activity_2026062'!B276</f>
        <v>45931</v>
      </c>
      <c r="C276" s="8" t="str">
        <f>'2025_Chase9335_Activity_2026062'!C276</f>
        <v>Prime Video *NJ47U1SO 888-802-3080 WA        10/01</v>
      </c>
      <c r="D276" s="8">
        <f>'2025_Chase9335_Activity_2026062'!D276</f>
        <v>-4.26</v>
      </c>
      <c r="E276" s="8" t="str">
        <f>'2025_Chase9335_Activity_2026062'!E276</f>
        <v>DEBIT_CARD</v>
      </c>
      <c r="F276" s="8">
        <f>'2025_Chase9335_Activity_2026062'!F276</f>
        <v>187559.78</v>
      </c>
      <c r="G276" s="8" t="str">
        <f>'2025_Chase9335_Activity_2026062'!G276</f>
        <v>Amazon Prime Video</v>
      </c>
      <c r="H276" s="26">
        <f t="shared" si="4"/>
        <v>45931</v>
      </c>
      <c r="I276" s="8" t="str">
        <f>IF($G276="","Uncategorized — Review",IFERROR(_xlfn.XLOOKUP($G276,Mapping!$A:$A,Mapping!$B:$B),"Uncategorized — Review"))</f>
        <v>Amazon Prime Video</v>
      </c>
      <c r="J276" s="8" t="str">
        <f>IF($G276="","Uncategorized — Review",IFERROR(_xlfn.XLOOKUP($G276,Mapping!$A:$A,Mapping!$C:$C),"Uncategorized — Review"))</f>
        <v>Personal — Owner</v>
      </c>
    </row>
    <row r="277" spans="1:10" x14ac:dyDescent="0.25">
      <c r="A277" s="8" t="str">
        <f>'2025_Chase9335_Activity_2026062'!A277</f>
        <v>DEBIT</v>
      </c>
      <c r="B277" s="24">
        <f>'2025_Chase9335_Activity_2026062'!B277</f>
        <v>45931</v>
      </c>
      <c r="C277" s="8" t="str">
        <f>'2025_Chase9335_Activity_2026062'!C277</f>
        <v>APPLE.COM/BILL 866-712-7753 CA               10/01</v>
      </c>
      <c r="D277" s="8">
        <f>'2025_Chase9335_Activity_2026062'!D277</f>
        <v>-51.45</v>
      </c>
      <c r="E277" s="8" t="str">
        <f>'2025_Chase9335_Activity_2026062'!E277</f>
        <v>DEBIT_CARD</v>
      </c>
      <c r="F277" s="8">
        <f>'2025_Chase9335_Activity_2026062'!F277</f>
        <v>187564.04</v>
      </c>
      <c r="G277" s="8" t="str">
        <f>'2025_Chase9335_Activity_2026062'!G277</f>
        <v>Personal - Subscriptions</v>
      </c>
      <c r="H277" s="26">
        <f t="shared" si="4"/>
        <v>45931</v>
      </c>
      <c r="I277" s="8" t="str">
        <f>IF($G277="","Uncategorized — Review",IFERROR(_xlfn.XLOOKUP($G277,Mapping!$A:$A,Mapping!$B:$B),"Uncategorized — Review"))</f>
        <v>Personal - Subscriptions</v>
      </c>
      <c r="J277" s="8" t="str">
        <f>IF($G277="","Uncategorized — Review",IFERROR(_xlfn.XLOOKUP($G277,Mapping!$A:$A,Mapping!$C:$C),"Uncategorized — Review"))</f>
        <v>Personal — Owner</v>
      </c>
    </row>
    <row r="278" spans="1:10" x14ac:dyDescent="0.25">
      <c r="A278" s="8" t="str">
        <f>'2025_Chase9335_Activity_2026062'!A278</f>
        <v>DEBIT</v>
      </c>
      <c r="B278" s="24">
        <f>'2025_Chase9335_Activity_2026062'!B278</f>
        <v>45931</v>
      </c>
      <c r="C278" s="8" t="str">
        <f>'2025_Chase9335_Activity_2026062'!C278</f>
        <v>Amazon.com*NJ7VK51Y2 Amzn.com/bill WA        10/01</v>
      </c>
      <c r="D278" s="8">
        <f>'2025_Chase9335_Activity_2026062'!D278</f>
        <v>-57.36</v>
      </c>
      <c r="E278" s="8" t="str">
        <f>'2025_Chase9335_Activity_2026062'!E278</f>
        <v>DEBIT_CARD</v>
      </c>
      <c r="F278" s="8">
        <f>'2025_Chase9335_Activity_2026062'!F278</f>
        <v>187615.49</v>
      </c>
      <c r="G278" s="8" t="str">
        <f>'2025_Chase9335_Activity_2026062'!G278</f>
        <v>Amazon</v>
      </c>
      <c r="H278" s="26">
        <f t="shared" si="4"/>
        <v>45931</v>
      </c>
      <c r="I278" s="8" t="str">
        <f>IF($G278="","Uncategorized — Review",IFERROR(_xlfn.XLOOKUP($G278,Mapping!$A:$A,Mapping!$B:$B),"Uncategorized — Review"))</f>
        <v>Amazon</v>
      </c>
      <c r="J278" s="8" t="str">
        <f>IF($G278="","Uncategorized — Review",IFERROR(_xlfn.XLOOKUP($G278,Mapping!$A:$A,Mapping!$C:$C),"Uncategorized — Review"))</f>
        <v>Personal — Owner</v>
      </c>
    </row>
    <row r="279" spans="1:10" x14ac:dyDescent="0.25">
      <c r="A279" s="8" t="str">
        <f>'2025_Chase9335_Activity_2026062'!A279</f>
        <v>DEBIT</v>
      </c>
      <c r="B279" s="24">
        <f>'2025_Chase9335_Activity_2026062'!B279</f>
        <v>45931</v>
      </c>
      <c r="C279" s="8" t="str">
        <f>'2025_Chase9335_Activity_2026062'!C279</f>
        <v>AMAZON MKTPL*NJ65N0X Amzn.com/bill WA        10/01</v>
      </c>
      <c r="D279" s="8">
        <f>'2025_Chase9335_Activity_2026062'!D279</f>
        <v>-40.590000000000003</v>
      </c>
      <c r="E279" s="8" t="str">
        <f>'2025_Chase9335_Activity_2026062'!E279</f>
        <v>DEBIT_CARD</v>
      </c>
      <c r="F279" s="8">
        <f>'2025_Chase9335_Activity_2026062'!F279</f>
        <v>187672.85</v>
      </c>
      <c r="G279" s="8" t="str">
        <f>'2025_Chase9335_Activity_2026062'!G279</f>
        <v>Amazon</v>
      </c>
      <c r="H279" s="26">
        <f t="shared" si="4"/>
        <v>45931</v>
      </c>
      <c r="I279" s="8" t="str">
        <f>IF($G279="","Uncategorized — Review",IFERROR(_xlfn.XLOOKUP($G279,Mapping!$A:$A,Mapping!$B:$B),"Uncategorized — Review"))</f>
        <v>Amazon</v>
      </c>
      <c r="J279" s="8" t="str">
        <f>IF($G279="","Uncategorized — Review",IFERROR(_xlfn.XLOOKUP($G279,Mapping!$A:$A,Mapping!$C:$C),"Uncategorized — Review"))</f>
        <v>Personal — Owner</v>
      </c>
    </row>
    <row r="280" spans="1:10" x14ac:dyDescent="0.25">
      <c r="A280" s="8" t="str">
        <f>'2025_Chase9335_Activity_2026062'!A280</f>
        <v>CREDIT</v>
      </c>
      <c r="B280" s="24">
        <f>'2025_Chase9335_Activity_2026062'!B280</f>
        <v>45931</v>
      </c>
      <c r="C280" s="8" t="str">
        <f>'2025_Chase9335_Activity_2026062'!C280</f>
        <v>Online Transfer from CHK ...8938 transaction#: 26428351339</v>
      </c>
      <c r="D280" s="8">
        <f>'2025_Chase9335_Activity_2026062'!D280</f>
        <v>25000</v>
      </c>
      <c r="E280" s="8" t="str">
        <f>'2025_Chase9335_Activity_2026062'!E280</f>
        <v>ACCT_XFER</v>
      </c>
      <c r="F280" s="8">
        <f>'2025_Chase9335_Activity_2026062'!F280</f>
        <v>187713.44</v>
      </c>
      <c r="G280" s="8" t="str">
        <f>'2025_Chase9335_Activity_2026062'!G280</f>
        <v>Transfer to MRM</v>
      </c>
      <c r="H280" s="26">
        <f t="shared" si="4"/>
        <v>45931</v>
      </c>
      <c r="I280" s="8" t="str">
        <f>IF($G280="","Uncategorized — Review",IFERROR(_xlfn.XLOOKUP($G280,Mapping!$A:$A,Mapping!$B:$B),"Uncategorized — Review"))</f>
        <v>Transfer to MRM</v>
      </c>
      <c r="J280" s="8" t="str">
        <f>IF($G280="","Uncategorized — Review",IFERROR(_xlfn.XLOOKUP($G280,Mapping!$A:$A,Mapping!$C:$C),"Uncategorized — Review"))</f>
        <v>Intercompany &amp; Savings Transfers</v>
      </c>
    </row>
    <row r="281" spans="1:10" x14ac:dyDescent="0.25">
      <c r="A281" s="8" t="str">
        <f>'2025_Chase9335_Activity_2026062'!A281</f>
        <v>DEBIT</v>
      </c>
      <c r="B281" s="24">
        <f>'2025_Chase9335_Activity_2026062'!B281</f>
        <v>45930</v>
      </c>
      <c r="C281" s="8" t="str">
        <f>'2025_Chase9335_Activity_2026062'!C281</f>
        <v>AMAZON MKTPL*VB1RL37 Amzn.com/bill WA        09/29</v>
      </c>
      <c r="D281" s="8">
        <f>'2025_Chase9335_Activity_2026062'!D281</f>
        <v>-105.95</v>
      </c>
      <c r="E281" s="8" t="str">
        <f>'2025_Chase9335_Activity_2026062'!E281</f>
        <v>DEBIT_CARD</v>
      </c>
      <c r="F281" s="8">
        <f>'2025_Chase9335_Activity_2026062'!F281</f>
        <v>162713.44</v>
      </c>
      <c r="G281" s="8" t="str">
        <f>'2025_Chase9335_Activity_2026062'!G281</f>
        <v>Amazon</v>
      </c>
      <c r="H281" s="26">
        <f t="shared" si="4"/>
        <v>45901</v>
      </c>
      <c r="I281" s="8" t="str">
        <f>IF($G281="","Uncategorized — Review",IFERROR(_xlfn.XLOOKUP($G281,Mapping!$A:$A,Mapping!$B:$B),"Uncategorized — Review"))</f>
        <v>Amazon</v>
      </c>
      <c r="J281" s="8" t="str">
        <f>IF($G281="","Uncategorized — Review",IFERROR(_xlfn.XLOOKUP($G281,Mapping!$A:$A,Mapping!$C:$C),"Uncategorized — Review"))</f>
        <v>Personal — Owner</v>
      </c>
    </row>
    <row r="282" spans="1:10" x14ac:dyDescent="0.25">
      <c r="A282" s="8" t="str">
        <f>'2025_Chase9335_Activity_2026062'!A282</f>
        <v>DEBIT</v>
      </c>
      <c r="B282" s="24">
        <f>'2025_Chase9335_Activity_2026062'!B282</f>
        <v>45929</v>
      </c>
      <c r="C282" s="8" t="str">
        <f>'2025_Chase9335_Activity_2026062'!C282</f>
        <v>ORIG CO NAME:AMERICAN EXPRESS       ORIG ID:2005032111 DESC DATE:250929 CO ENTRY DESCR:ACH PMT   SEC:CCD    TRACE#:021000027372020 EED:250929   IND ID:W4664                        IND NAME:JOHN DUNNING                                                                                                 ER AM TRN: 2727372020TC</v>
      </c>
      <c r="D282" s="8">
        <f>'2025_Chase9335_Activity_2026062'!D282</f>
        <v>-14871.34</v>
      </c>
      <c r="E282" s="8" t="str">
        <f>'2025_Chase9335_Activity_2026062'!E282</f>
        <v>ACH_DEBIT</v>
      </c>
      <c r="F282" s="8">
        <f>'2025_Chase9335_Activity_2026062'!F282</f>
        <v>162819.39000000001</v>
      </c>
      <c r="G282" s="8" t="str">
        <f>'2025_Chase9335_Activity_2026062'!G282</f>
        <v>American Express Credit Card PMT</v>
      </c>
      <c r="H282" s="26">
        <f t="shared" si="4"/>
        <v>45901</v>
      </c>
      <c r="I282" s="8" t="str">
        <f>IF($G282="","Uncategorized — Review",IFERROR(_xlfn.XLOOKUP($G282,Mapping!$A:$A,Mapping!$B:$B),"Uncategorized — Review"))</f>
        <v>American Express Credit Card PMT</v>
      </c>
      <c r="J282" s="8" t="str">
        <f>IF($G282="","Uncategorized — Review",IFERROR(_xlfn.XLOOKUP($G282,Mapping!$A:$A,Mapping!$C:$C),"Uncategorized — Review"))</f>
        <v>Credit Card &amp; Loan Payments</v>
      </c>
    </row>
    <row r="283" spans="1:10" x14ac:dyDescent="0.25">
      <c r="A283" s="8" t="str">
        <f>'2025_Chase9335_Activity_2026062'!A283</f>
        <v>DEBIT</v>
      </c>
      <c r="B283" s="24">
        <f>'2025_Chase9335_Activity_2026062'!B283</f>
        <v>45929</v>
      </c>
      <c r="C283" s="8" t="str">
        <f>'2025_Chase9335_Activity_2026062'!C283</f>
        <v>AMAZON MKTPL*JK8TR59 Amzn.com/bill WA        09/28</v>
      </c>
      <c r="D283" s="8">
        <f>'2025_Chase9335_Activity_2026062'!D283</f>
        <v>-28.52</v>
      </c>
      <c r="E283" s="8" t="str">
        <f>'2025_Chase9335_Activity_2026062'!E283</f>
        <v>DEBIT_CARD</v>
      </c>
      <c r="F283" s="8">
        <f>'2025_Chase9335_Activity_2026062'!F283</f>
        <v>177690.73</v>
      </c>
      <c r="G283" s="8" t="str">
        <f>'2025_Chase9335_Activity_2026062'!G283</f>
        <v>Amazon</v>
      </c>
      <c r="H283" s="26">
        <f t="shared" si="4"/>
        <v>45901</v>
      </c>
      <c r="I283" s="8" t="str">
        <f>IF($G283="","Uncategorized — Review",IFERROR(_xlfn.XLOOKUP($G283,Mapping!$A:$A,Mapping!$B:$B),"Uncategorized — Review"))</f>
        <v>Amazon</v>
      </c>
      <c r="J283" s="8" t="str">
        <f>IF($G283="","Uncategorized — Review",IFERROR(_xlfn.XLOOKUP($G283,Mapping!$A:$A,Mapping!$C:$C),"Uncategorized — Review"))</f>
        <v>Personal — Owner</v>
      </c>
    </row>
    <row r="284" spans="1:10" x14ac:dyDescent="0.25">
      <c r="A284" s="8" t="str">
        <f>'2025_Chase9335_Activity_2026062'!A284</f>
        <v>DEBIT</v>
      </c>
      <c r="B284" s="24">
        <f>'2025_Chase9335_Activity_2026062'!B284</f>
        <v>45929</v>
      </c>
      <c r="C284" s="8" t="str">
        <f>'2025_Chase9335_Activity_2026062'!C284</f>
        <v>APPLE.COM/BILL 866-712-7753 CA               09/28</v>
      </c>
      <c r="D284" s="8">
        <f>'2025_Chase9335_Activity_2026062'!D284</f>
        <v>-30.89</v>
      </c>
      <c r="E284" s="8" t="str">
        <f>'2025_Chase9335_Activity_2026062'!E284</f>
        <v>DEBIT_CARD</v>
      </c>
      <c r="F284" s="8">
        <f>'2025_Chase9335_Activity_2026062'!F284</f>
        <v>177719.25</v>
      </c>
      <c r="G284" s="8" t="str">
        <f>'2025_Chase9335_Activity_2026062'!G284</f>
        <v>Personal - Subscriptions</v>
      </c>
      <c r="H284" s="26">
        <f t="shared" si="4"/>
        <v>45901</v>
      </c>
      <c r="I284" s="8" t="str">
        <f>IF($G284="","Uncategorized — Review",IFERROR(_xlfn.XLOOKUP($G284,Mapping!$A:$A,Mapping!$B:$B),"Uncategorized — Review"))</f>
        <v>Personal - Subscriptions</v>
      </c>
      <c r="J284" s="8" t="str">
        <f>IF($G284="","Uncategorized — Review",IFERROR(_xlfn.XLOOKUP($G284,Mapping!$A:$A,Mapping!$C:$C),"Uncategorized — Review"))</f>
        <v>Personal — Owner</v>
      </c>
    </row>
    <row r="285" spans="1:10" x14ac:dyDescent="0.25">
      <c r="A285" s="8" t="str">
        <f>'2025_Chase9335_Activity_2026062'!A285</f>
        <v>DEBIT</v>
      </c>
      <c r="B285" s="24">
        <f>'2025_Chase9335_Activity_2026062'!B285</f>
        <v>45929</v>
      </c>
      <c r="C285" s="8" t="str">
        <f>'2025_Chase9335_Activity_2026062'!C285</f>
        <v>Prime Video *F11316TE 888-802-3080 WA        09/27</v>
      </c>
      <c r="D285" s="8">
        <f>'2025_Chase9335_Activity_2026062'!D285</f>
        <v>-3.19</v>
      </c>
      <c r="E285" s="8" t="str">
        <f>'2025_Chase9335_Activity_2026062'!E285</f>
        <v>DEBIT_CARD</v>
      </c>
      <c r="F285" s="8">
        <f>'2025_Chase9335_Activity_2026062'!F285</f>
        <v>177750.14</v>
      </c>
      <c r="G285" s="8" t="str">
        <f>'2025_Chase9335_Activity_2026062'!G285</f>
        <v>Amazon Prime Video</v>
      </c>
      <c r="H285" s="26">
        <f t="shared" si="4"/>
        <v>45901</v>
      </c>
      <c r="I285" s="8" t="str">
        <f>IF($G285="","Uncategorized — Review",IFERROR(_xlfn.XLOOKUP($G285,Mapping!$A:$A,Mapping!$B:$B),"Uncategorized — Review"))</f>
        <v>Amazon Prime Video</v>
      </c>
      <c r="J285" s="8" t="str">
        <f>IF($G285="","Uncategorized — Review",IFERROR(_xlfn.XLOOKUP($G285,Mapping!$A:$A,Mapping!$C:$C),"Uncategorized — Review"))</f>
        <v>Personal — Owner</v>
      </c>
    </row>
    <row r="286" spans="1:10" x14ac:dyDescent="0.25">
      <c r="A286" s="8" t="str">
        <f>'2025_Chase9335_Activity_2026062'!A286</f>
        <v>DEBIT</v>
      </c>
      <c r="B286" s="24">
        <f>'2025_Chase9335_Activity_2026062'!B286</f>
        <v>45929</v>
      </c>
      <c r="C286" s="8" t="str">
        <f>'2025_Chase9335_Activity_2026062'!C286</f>
        <v>Amazon.com*O502K92U3 Amzn.com/bill WA        09/27</v>
      </c>
      <c r="D286" s="8">
        <f>'2025_Chase9335_Activity_2026062'!D286</f>
        <v>-43.06</v>
      </c>
      <c r="E286" s="8" t="str">
        <f>'2025_Chase9335_Activity_2026062'!E286</f>
        <v>DEBIT_CARD</v>
      </c>
      <c r="F286" s="8">
        <f>'2025_Chase9335_Activity_2026062'!F286</f>
        <v>177753.33</v>
      </c>
      <c r="G286" s="8" t="str">
        <f>'2025_Chase9335_Activity_2026062'!G286</f>
        <v>Amazon</v>
      </c>
      <c r="H286" s="26">
        <f t="shared" si="4"/>
        <v>45901</v>
      </c>
      <c r="I286" s="8" t="str">
        <f>IF($G286="","Uncategorized — Review",IFERROR(_xlfn.XLOOKUP($G286,Mapping!$A:$A,Mapping!$B:$B),"Uncategorized — Review"))</f>
        <v>Amazon</v>
      </c>
      <c r="J286" s="8" t="str">
        <f>IF($G286="","Uncategorized — Review",IFERROR(_xlfn.XLOOKUP($G286,Mapping!$A:$A,Mapping!$C:$C),"Uncategorized — Review"))</f>
        <v>Personal — Owner</v>
      </c>
    </row>
    <row r="287" spans="1:10" x14ac:dyDescent="0.25">
      <c r="A287" s="8" t="str">
        <f>'2025_Chase9335_Activity_2026062'!A287</f>
        <v>DEBIT</v>
      </c>
      <c r="B287" s="24">
        <f>'2025_Chase9335_Activity_2026062'!B287</f>
        <v>45926</v>
      </c>
      <c r="C287" s="8" t="str">
        <f>'2025_Chase9335_Activity_2026062'!C287</f>
        <v>Prime Video *NJ3IR3HQ 888-802-3080 WA        09/26</v>
      </c>
      <c r="D287" s="8">
        <f>'2025_Chase9335_Activity_2026062'!D287</f>
        <v>-4.05</v>
      </c>
      <c r="E287" s="8" t="str">
        <f>'2025_Chase9335_Activity_2026062'!E287</f>
        <v>DEBIT_CARD</v>
      </c>
      <c r="F287" s="8">
        <f>'2025_Chase9335_Activity_2026062'!F287</f>
        <v>177796.39</v>
      </c>
      <c r="G287" s="8" t="str">
        <f>'2025_Chase9335_Activity_2026062'!G287</f>
        <v>Amazon Prime Video</v>
      </c>
      <c r="H287" s="26">
        <f t="shared" si="4"/>
        <v>45901</v>
      </c>
      <c r="I287" s="8" t="str">
        <f>IF($G287="","Uncategorized — Review",IFERROR(_xlfn.XLOOKUP($G287,Mapping!$A:$A,Mapping!$B:$B),"Uncategorized — Review"))</f>
        <v>Amazon Prime Video</v>
      </c>
      <c r="J287" s="8" t="str">
        <f>IF($G287="","Uncategorized — Review",IFERROR(_xlfn.XLOOKUP($G287,Mapping!$A:$A,Mapping!$C:$C),"Uncategorized — Review"))</f>
        <v>Personal — Owner</v>
      </c>
    </row>
    <row r="288" spans="1:10" x14ac:dyDescent="0.25">
      <c r="A288" s="8" t="str">
        <f>'2025_Chase9335_Activity_2026062'!A288</f>
        <v>DEBIT</v>
      </c>
      <c r="B288" s="24">
        <f>'2025_Chase9335_Activity_2026062'!B288</f>
        <v>45926</v>
      </c>
      <c r="C288" s="8" t="str">
        <f>'2025_Chase9335_Activity_2026062'!C288</f>
        <v>AMAZON MKTPL*NJ6AQ85 Amzn.com/bill WA        09/25</v>
      </c>
      <c r="D288" s="8">
        <f>'2025_Chase9335_Activity_2026062'!D288</f>
        <v>-105.95</v>
      </c>
      <c r="E288" s="8" t="str">
        <f>'2025_Chase9335_Activity_2026062'!E288</f>
        <v>DEBIT_CARD</v>
      </c>
      <c r="F288" s="8">
        <f>'2025_Chase9335_Activity_2026062'!F288</f>
        <v>177800.44</v>
      </c>
      <c r="G288" s="8" t="str">
        <f>'2025_Chase9335_Activity_2026062'!G288</f>
        <v>Amazon</v>
      </c>
      <c r="H288" s="26">
        <f t="shared" si="4"/>
        <v>45901</v>
      </c>
      <c r="I288" s="8" t="str">
        <f>IF($G288="","Uncategorized — Review",IFERROR(_xlfn.XLOOKUP($G288,Mapping!$A:$A,Mapping!$B:$B),"Uncategorized — Review"))</f>
        <v>Amazon</v>
      </c>
      <c r="J288" s="8" t="str">
        <f>IF($G288="","Uncategorized — Review",IFERROR(_xlfn.XLOOKUP($G288,Mapping!$A:$A,Mapping!$C:$C),"Uncategorized — Review"))</f>
        <v>Personal — Owner</v>
      </c>
    </row>
    <row r="289" spans="1:10" x14ac:dyDescent="0.25">
      <c r="A289" s="8" t="str">
        <f>'2025_Chase9335_Activity_2026062'!A289</f>
        <v>DEBIT</v>
      </c>
      <c r="B289" s="24">
        <f>'2025_Chase9335_Activity_2026062'!B289</f>
        <v>45926</v>
      </c>
      <c r="C289" s="8" t="str">
        <f>'2025_Chase9335_Activity_2026062'!C289</f>
        <v>AMAZON MKTPL*5T05C9D Amzn.com/bill WA        09/25</v>
      </c>
      <c r="D289" s="8">
        <f>'2025_Chase9335_Activity_2026062'!D289</f>
        <v>-63.83</v>
      </c>
      <c r="E289" s="8" t="str">
        <f>'2025_Chase9335_Activity_2026062'!E289</f>
        <v>DEBIT_CARD</v>
      </c>
      <c r="F289" s="8">
        <f>'2025_Chase9335_Activity_2026062'!F289</f>
        <v>177906.39</v>
      </c>
      <c r="G289" s="8" t="str">
        <f>'2025_Chase9335_Activity_2026062'!G289</f>
        <v>Amazon</v>
      </c>
      <c r="H289" s="26">
        <f t="shared" si="4"/>
        <v>45901</v>
      </c>
      <c r="I289" s="8" t="str">
        <f>IF($G289="","Uncategorized — Review",IFERROR(_xlfn.XLOOKUP($G289,Mapping!$A:$A,Mapping!$B:$B),"Uncategorized — Review"))</f>
        <v>Amazon</v>
      </c>
      <c r="J289" s="8" t="str">
        <f>IF($G289="","Uncategorized — Review",IFERROR(_xlfn.XLOOKUP($G289,Mapping!$A:$A,Mapping!$C:$C),"Uncategorized — Review"))</f>
        <v>Personal — Owner</v>
      </c>
    </row>
    <row r="290" spans="1:10" x14ac:dyDescent="0.25">
      <c r="A290" s="8" t="str">
        <f>'2025_Chase9335_Activity_2026062'!A290</f>
        <v>DEBIT</v>
      </c>
      <c r="B290" s="24">
        <f>'2025_Chase9335_Activity_2026062'!B290</f>
        <v>45925</v>
      </c>
      <c r="C290" s="8" t="str">
        <f>'2025_Chase9335_Activity_2026062'!C290</f>
        <v>Online Transfer to CHK ...5369 transaction#: 26352971376 09/25</v>
      </c>
      <c r="D290" s="8">
        <f>'2025_Chase9335_Activity_2026062'!D290</f>
        <v>-12800</v>
      </c>
      <c r="E290" s="8" t="str">
        <f>'2025_Chase9335_Activity_2026062'!E290</f>
        <v>ACCT_XFER</v>
      </c>
      <c r="F290" s="8">
        <f>'2025_Chase9335_Activity_2026062'!F290</f>
        <v>177970.22</v>
      </c>
      <c r="G290" s="8" t="str">
        <f>'2025_Chase9335_Activity_2026062'!G290</f>
        <v>Transfer to Kalkaska Screw</v>
      </c>
      <c r="H290" s="26">
        <f t="shared" si="4"/>
        <v>45901</v>
      </c>
      <c r="I290" s="8" t="str">
        <f>IF($G290="","Uncategorized — Review",IFERROR(_xlfn.XLOOKUP($G290,Mapping!$A:$A,Mapping!$B:$B),"Uncategorized — Review"))</f>
        <v>Transfer to Kalkaska Screw</v>
      </c>
      <c r="J290" s="8" t="str">
        <f>IF($G290="","Uncategorized — Review",IFERROR(_xlfn.XLOOKUP($G290,Mapping!$A:$A,Mapping!$C:$C),"Uncategorized — Review"))</f>
        <v>Intercompany &amp; Savings Transfers</v>
      </c>
    </row>
    <row r="291" spans="1:10" x14ac:dyDescent="0.25">
      <c r="A291" s="8" t="str">
        <f>'2025_Chase9335_Activity_2026062'!A291</f>
        <v>DEBIT</v>
      </c>
      <c r="B291" s="24">
        <f>'2025_Chase9335_Activity_2026062'!B291</f>
        <v>45925</v>
      </c>
      <c r="C291" s="8" t="str">
        <f>'2025_Chase9335_Activity_2026062'!C291</f>
        <v>WAYMO 844-261-3753 CA                        09/25</v>
      </c>
      <c r="D291" s="8">
        <f>'2025_Chase9335_Activity_2026062'!D291</f>
        <v>-14.56</v>
      </c>
      <c r="E291" s="8" t="str">
        <f>'2025_Chase9335_Activity_2026062'!E291</f>
        <v>DEBIT_CARD</v>
      </c>
      <c r="F291" s="8">
        <f>'2025_Chase9335_Activity_2026062'!F291</f>
        <v>190770.22</v>
      </c>
      <c r="G291" s="8" t="str">
        <f>'2025_Chase9335_Activity_2026062'!G291</f>
        <v>Personal - Car</v>
      </c>
      <c r="H291" s="26">
        <f t="shared" si="4"/>
        <v>45901</v>
      </c>
      <c r="I291" s="8" t="str">
        <f>IF($G291="","Uncategorized — Review",IFERROR(_xlfn.XLOOKUP($G291,Mapping!$A:$A,Mapping!$B:$B),"Uncategorized — Review"))</f>
        <v>Personal - Car &amp; Auto</v>
      </c>
      <c r="J291" s="8" t="str">
        <f>IF($G291="","Uncategorized — Review",IFERROR(_xlfn.XLOOKUP($G291,Mapping!$A:$A,Mapping!$C:$C),"Uncategorized — Review"))</f>
        <v>Personal — Owner</v>
      </c>
    </row>
    <row r="292" spans="1:10" x14ac:dyDescent="0.25">
      <c r="A292" s="8" t="str">
        <f>'2025_Chase9335_Activity_2026062'!A292</f>
        <v>DEBIT</v>
      </c>
      <c r="B292" s="24">
        <f>'2025_Chase9335_Activity_2026062'!B292</f>
        <v>45925</v>
      </c>
      <c r="C292" s="8" t="str">
        <f>'2025_Chase9335_Activity_2026062'!C292</f>
        <v>WAYMO 8442613753 CA                          09/25</v>
      </c>
      <c r="D292" s="8">
        <f>'2025_Chase9335_Activity_2026062'!D292</f>
        <v>-3.99</v>
      </c>
      <c r="E292" s="8" t="str">
        <f>'2025_Chase9335_Activity_2026062'!E292</f>
        <v>DEBIT_CARD</v>
      </c>
      <c r="F292" s="8">
        <f>'2025_Chase9335_Activity_2026062'!F292</f>
        <v>190784.78</v>
      </c>
      <c r="G292" s="8" t="str">
        <f>'2025_Chase9335_Activity_2026062'!G292</f>
        <v>Personal - Car</v>
      </c>
      <c r="H292" s="26">
        <f t="shared" si="4"/>
        <v>45901</v>
      </c>
      <c r="I292" s="8" t="str">
        <f>IF($G292="","Uncategorized — Review",IFERROR(_xlfn.XLOOKUP($G292,Mapping!$A:$A,Mapping!$B:$B),"Uncategorized — Review"))</f>
        <v>Personal - Car &amp; Auto</v>
      </c>
      <c r="J292" s="8" t="str">
        <f>IF($G292="","Uncategorized — Review",IFERROR(_xlfn.XLOOKUP($G292,Mapping!$A:$A,Mapping!$C:$C),"Uncategorized — Review"))</f>
        <v>Personal — Owner</v>
      </c>
    </row>
    <row r="293" spans="1:10" x14ac:dyDescent="0.25">
      <c r="A293" s="8" t="str">
        <f>'2025_Chase9335_Activity_2026062'!A293</f>
        <v>DEBIT</v>
      </c>
      <c r="B293" s="24">
        <f>'2025_Chase9335_Activity_2026062'!B293</f>
        <v>45924</v>
      </c>
      <c r="C293" s="8" t="str">
        <f>'2025_Chase9335_Activity_2026062'!C293</f>
        <v>Amazon Tips*5V3M94CN Amzn.com/bill WA        09/24</v>
      </c>
      <c r="D293" s="8">
        <f>'2025_Chase9335_Activity_2026062'!D293</f>
        <v>-5</v>
      </c>
      <c r="E293" s="8" t="str">
        <f>'2025_Chase9335_Activity_2026062'!E293</f>
        <v>DEBIT_CARD</v>
      </c>
      <c r="F293" s="8">
        <f>'2025_Chase9335_Activity_2026062'!F293</f>
        <v>190788.77</v>
      </c>
      <c r="G293" s="8" t="str">
        <f>'2025_Chase9335_Activity_2026062'!G293</f>
        <v>Amazon</v>
      </c>
      <c r="H293" s="26">
        <f t="shared" si="4"/>
        <v>45901</v>
      </c>
      <c r="I293" s="8" t="str">
        <f>IF($G293="","Uncategorized — Review",IFERROR(_xlfn.XLOOKUP($G293,Mapping!$A:$A,Mapping!$B:$B),"Uncategorized — Review"))</f>
        <v>Amazon</v>
      </c>
      <c r="J293" s="8" t="str">
        <f>IF($G293="","Uncategorized — Review",IFERROR(_xlfn.XLOOKUP($G293,Mapping!$A:$A,Mapping!$C:$C),"Uncategorized — Review"))</f>
        <v>Personal — Owner</v>
      </c>
    </row>
    <row r="294" spans="1:10" x14ac:dyDescent="0.25">
      <c r="A294" s="8" t="str">
        <f>'2025_Chase9335_Activity_2026062'!A294</f>
        <v>DEBIT</v>
      </c>
      <c r="B294" s="24">
        <f>'2025_Chase9335_Activity_2026062'!B294</f>
        <v>45924</v>
      </c>
      <c r="C294" s="8" t="str">
        <f>'2025_Chase9335_Activity_2026062'!C294</f>
        <v>Prime Video *NJ4M76A9 888-802-3080 WA        09/24</v>
      </c>
      <c r="D294" s="8">
        <f>'2025_Chase9335_Activity_2026062'!D294</f>
        <v>-21.34</v>
      </c>
      <c r="E294" s="8" t="str">
        <f>'2025_Chase9335_Activity_2026062'!E294</f>
        <v>DEBIT_CARD</v>
      </c>
      <c r="F294" s="8">
        <f>'2025_Chase9335_Activity_2026062'!F294</f>
        <v>190793.77</v>
      </c>
      <c r="G294" s="8" t="str">
        <f>'2025_Chase9335_Activity_2026062'!G294</f>
        <v>Amazon Prime Video</v>
      </c>
      <c r="H294" s="26">
        <f t="shared" si="4"/>
        <v>45901</v>
      </c>
      <c r="I294" s="8" t="str">
        <f>IF($G294="","Uncategorized — Review",IFERROR(_xlfn.XLOOKUP($G294,Mapping!$A:$A,Mapping!$B:$B),"Uncategorized — Review"))</f>
        <v>Amazon Prime Video</v>
      </c>
      <c r="J294" s="8" t="str">
        <f>IF($G294="","Uncategorized — Review",IFERROR(_xlfn.XLOOKUP($G294,Mapping!$A:$A,Mapping!$C:$C),"Uncategorized — Review"))</f>
        <v>Personal — Owner</v>
      </c>
    </row>
    <row r="295" spans="1:10" x14ac:dyDescent="0.25">
      <c r="A295" s="8" t="str">
        <f>'2025_Chase9335_Activity_2026062'!A295</f>
        <v>DEBIT</v>
      </c>
      <c r="B295" s="24">
        <f>'2025_Chase9335_Activity_2026062'!B295</f>
        <v>45923</v>
      </c>
      <c r="C295" s="8" t="str">
        <f>'2025_Chase9335_Activity_2026062'!C295</f>
        <v>Amazon.com*8Q72U0MZ3 Amzn.com/bill WA        09/23</v>
      </c>
      <c r="D295" s="8">
        <f>'2025_Chase9335_Activity_2026062'!D295</f>
        <v>-62.34</v>
      </c>
      <c r="E295" s="8" t="str">
        <f>'2025_Chase9335_Activity_2026062'!E295</f>
        <v>DEBIT_CARD</v>
      </c>
      <c r="F295" s="8">
        <f>'2025_Chase9335_Activity_2026062'!F295</f>
        <v>190815.11</v>
      </c>
      <c r="G295" s="8" t="str">
        <f>'2025_Chase9335_Activity_2026062'!G295</f>
        <v>Amazon</v>
      </c>
      <c r="H295" s="26">
        <f t="shared" si="4"/>
        <v>45901</v>
      </c>
      <c r="I295" s="8" t="str">
        <f>IF($G295="","Uncategorized — Review",IFERROR(_xlfn.XLOOKUP($G295,Mapping!$A:$A,Mapping!$B:$B),"Uncategorized — Review"))</f>
        <v>Amazon</v>
      </c>
      <c r="J295" s="8" t="str">
        <f>IF($G295="","Uncategorized — Review",IFERROR(_xlfn.XLOOKUP($G295,Mapping!$A:$A,Mapping!$C:$C),"Uncategorized — Review"))</f>
        <v>Personal — Owner</v>
      </c>
    </row>
    <row r="296" spans="1:10" x14ac:dyDescent="0.25">
      <c r="A296" s="8" t="str">
        <f>'2025_Chase9335_Activity_2026062'!A296</f>
        <v>DEBIT</v>
      </c>
      <c r="B296" s="24">
        <f>'2025_Chase9335_Activity_2026062'!B296</f>
        <v>45923</v>
      </c>
      <c r="C296" s="8" t="str">
        <f>'2025_Chase9335_Activity_2026062'!C296</f>
        <v>AMAZON MKTPL*U93TT1H Amzn.com/bill WA        09/23</v>
      </c>
      <c r="D296" s="8">
        <f>'2025_Chase9335_Activity_2026062'!D296</f>
        <v>-9.7100000000000009</v>
      </c>
      <c r="E296" s="8" t="str">
        <f>'2025_Chase9335_Activity_2026062'!E296</f>
        <v>DEBIT_CARD</v>
      </c>
      <c r="F296" s="8">
        <f>'2025_Chase9335_Activity_2026062'!F296</f>
        <v>190877.45</v>
      </c>
      <c r="G296" s="8" t="str">
        <f>'2025_Chase9335_Activity_2026062'!G296</f>
        <v>Amazon</v>
      </c>
      <c r="H296" s="26">
        <f t="shared" si="4"/>
        <v>45901</v>
      </c>
      <c r="I296" s="8" t="str">
        <f>IF($G296="","Uncategorized — Review",IFERROR(_xlfn.XLOOKUP($G296,Mapping!$A:$A,Mapping!$B:$B),"Uncategorized — Review"))</f>
        <v>Amazon</v>
      </c>
      <c r="J296" s="8" t="str">
        <f>IF($G296="","Uncategorized — Review",IFERROR(_xlfn.XLOOKUP($G296,Mapping!$A:$A,Mapping!$C:$C),"Uncategorized — Review"))</f>
        <v>Personal — Owner</v>
      </c>
    </row>
    <row r="297" spans="1:10" x14ac:dyDescent="0.25">
      <c r="A297" s="8" t="str">
        <f>'2025_Chase9335_Activity_2026062'!A297</f>
        <v>CREDIT</v>
      </c>
      <c r="B297" s="24">
        <f>'2025_Chase9335_Activity_2026062'!B297</f>
        <v>45923</v>
      </c>
      <c r="C297" s="8" t="str">
        <f>'2025_Chase9335_Activity_2026062'!C297</f>
        <v>ORIG CO NAME:T and T Machine        ORIG ID:945440567  DESC DATE:       CO ENTRY DESCR:PAYMENT   SEC:PPD    TRACE#:273976361803572 EED:250923   IND ID:                             IND NAME:John Dunning TRN: 2661803572TC</v>
      </c>
      <c r="D297" s="8">
        <f>'2025_Chase9335_Activity_2026062'!D297</f>
        <v>50</v>
      </c>
      <c r="E297" s="8" t="str">
        <f>'2025_Chase9335_Activity_2026062'!E297</f>
        <v>ACH_CREDIT</v>
      </c>
      <c r="F297" s="8">
        <f>'2025_Chase9335_Activity_2026062'!F297</f>
        <v>190887.16</v>
      </c>
      <c r="G297" s="8" t="str">
        <f>'2025_Chase9335_Activity_2026062'!G297</f>
        <v>Deal Specific: T&amp;T Machine</v>
      </c>
      <c r="H297" s="26">
        <f t="shared" si="4"/>
        <v>45901</v>
      </c>
      <c r="I297" s="8" t="str">
        <f>IF($G297="","Uncategorized — Review",IFERROR(_xlfn.XLOOKUP($G297,Mapping!$A:$A,Mapping!$B:$B),"Uncategorized — Review"))</f>
        <v>Deal Specific: T&amp;T Machine</v>
      </c>
      <c r="J297" s="8" t="str">
        <f>IF($G297="","Uncategorized — Review",IFERROR(_xlfn.XLOOKUP($G297,Mapping!$A:$A,Mapping!$C:$C),"Uncategorized — Review"))</f>
        <v>Deal-Specific</v>
      </c>
    </row>
    <row r="298" spans="1:10" x14ac:dyDescent="0.25">
      <c r="A298" s="8" t="str">
        <f>'2025_Chase9335_Activity_2026062'!A298</f>
        <v>CREDIT</v>
      </c>
      <c r="B298" s="24">
        <f>'2025_Chase9335_Activity_2026062'!B298</f>
        <v>45923</v>
      </c>
      <c r="C298" s="8" t="str">
        <f>'2025_Chase9335_Activity_2026062'!C298</f>
        <v>ORIG CO NAME:T and T Machine        ORIG ID:945440567  DESC DATE:       CO ENTRY DESCR:PAYMENT   SEC:PPD    TRACE#:273976361803570 EED:250923   IND ID:                             IND NAME:John Dunning TRN: 2661803570TC</v>
      </c>
      <c r="D298" s="8">
        <f>'2025_Chase9335_Activity_2026062'!D298</f>
        <v>356.38</v>
      </c>
      <c r="E298" s="8" t="str">
        <f>'2025_Chase9335_Activity_2026062'!E298</f>
        <v>ACH_CREDIT</v>
      </c>
      <c r="F298" s="8">
        <f>'2025_Chase9335_Activity_2026062'!F298</f>
        <v>190837.16</v>
      </c>
      <c r="G298" s="8" t="str">
        <f>'2025_Chase9335_Activity_2026062'!G298</f>
        <v>Deal Specific: T&amp;T Machine</v>
      </c>
      <c r="H298" s="26">
        <f t="shared" si="4"/>
        <v>45901</v>
      </c>
      <c r="I298" s="8" t="str">
        <f>IF($G298="","Uncategorized — Review",IFERROR(_xlfn.XLOOKUP($G298,Mapping!$A:$A,Mapping!$B:$B),"Uncategorized — Review"))</f>
        <v>Deal Specific: T&amp;T Machine</v>
      </c>
      <c r="J298" s="8" t="str">
        <f>IF($G298="","Uncategorized — Review",IFERROR(_xlfn.XLOOKUP($G298,Mapping!$A:$A,Mapping!$C:$C),"Uncategorized — Review"))</f>
        <v>Deal-Specific</v>
      </c>
    </row>
    <row r="299" spans="1:10" x14ac:dyDescent="0.25">
      <c r="A299" s="8" t="str">
        <f>'2025_Chase9335_Activity_2026062'!A299</f>
        <v>DEBIT</v>
      </c>
      <c r="B299" s="24">
        <f>'2025_Chase9335_Activity_2026062'!B299</f>
        <v>45922</v>
      </c>
      <c r="C299" s="8" t="str">
        <f>'2025_Chase9335_Activity_2026062'!C299</f>
        <v>SQ *EXOTIC SERVICES Marina del Re CA         09/21</v>
      </c>
      <c r="D299" s="8">
        <f>'2025_Chase9335_Activity_2026062'!D299</f>
        <v>-122</v>
      </c>
      <c r="E299" s="8" t="str">
        <f>'2025_Chase9335_Activity_2026062'!E299</f>
        <v>DEBIT_CARD</v>
      </c>
      <c r="F299" s="8">
        <f>'2025_Chase9335_Activity_2026062'!F299</f>
        <v>190480.78</v>
      </c>
      <c r="G299" s="8" t="str">
        <f>'2025_Chase9335_Activity_2026062'!G299</f>
        <v>Personal - Food &amp; Dining</v>
      </c>
      <c r="H299" s="26">
        <f t="shared" si="4"/>
        <v>45901</v>
      </c>
      <c r="I299" s="8" t="str">
        <f>IF($G299="","Uncategorized — Review",IFERROR(_xlfn.XLOOKUP($G299,Mapping!$A:$A,Mapping!$B:$B),"Uncategorized — Review"))</f>
        <v>Personal - Food &amp; Dining</v>
      </c>
      <c r="J299" s="8" t="str">
        <f>IF($G299="","Uncategorized — Review",IFERROR(_xlfn.XLOOKUP($G299,Mapping!$A:$A,Mapping!$C:$C),"Uncategorized — Review"))</f>
        <v>Personal — Owner</v>
      </c>
    </row>
    <row r="300" spans="1:10" x14ac:dyDescent="0.25">
      <c r="A300" s="8" t="str">
        <f>'2025_Chase9335_Activity_2026062'!A300</f>
        <v>DEBIT</v>
      </c>
      <c r="B300" s="24">
        <f>'2025_Chase9335_Activity_2026062'!B300</f>
        <v>45922</v>
      </c>
      <c r="C300" s="8" t="str">
        <f>'2025_Chase9335_Activity_2026062'!C300</f>
        <v>NETFLIX.COM NETFLIX.COM CA                   09/21</v>
      </c>
      <c r="D300" s="8">
        <f>'2025_Chase9335_Activity_2026062'!D300</f>
        <v>-24.99</v>
      </c>
      <c r="E300" s="8" t="str">
        <f>'2025_Chase9335_Activity_2026062'!E300</f>
        <v>DEBIT_CARD</v>
      </c>
      <c r="F300" s="8">
        <f>'2025_Chase9335_Activity_2026062'!F300</f>
        <v>190602.78</v>
      </c>
      <c r="G300" s="8" t="str">
        <f>'2025_Chase9335_Activity_2026062'!G300</f>
        <v>Personal - Subscriptions</v>
      </c>
      <c r="H300" s="26">
        <f t="shared" si="4"/>
        <v>45901</v>
      </c>
      <c r="I300" s="8" t="str">
        <f>IF($G300="","Uncategorized — Review",IFERROR(_xlfn.XLOOKUP($G300,Mapping!$A:$A,Mapping!$B:$B),"Uncategorized — Review"))</f>
        <v>Personal - Subscriptions</v>
      </c>
      <c r="J300" s="8" t="str">
        <f>IF($G300="","Uncategorized — Review",IFERROR(_xlfn.XLOOKUP($G300,Mapping!$A:$A,Mapping!$C:$C),"Uncategorized — Review"))</f>
        <v>Personal — Owner</v>
      </c>
    </row>
    <row r="301" spans="1:10" x14ac:dyDescent="0.25">
      <c r="A301" s="8" t="str">
        <f>'2025_Chase9335_Activity_2026062'!A301</f>
        <v>DEBIT</v>
      </c>
      <c r="B301" s="24">
        <f>'2025_Chase9335_Activity_2026062'!B301</f>
        <v>45922</v>
      </c>
      <c r="C301" s="8" t="str">
        <f>'2025_Chase9335_Activity_2026062'!C301</f>
        <v>APPLE.COM/BILL 866-712-7753 CA               09/21</v>
      </c>
      <c r="D301" s="8">
        <f>'2025_Chase9335_Activity_2026062'!D301</f>
        <v>-30.89</v>
      </c>
      <c r="E301" s="8" t="str">
        <f>'2025_Chase9335_Activity_2026062'!E301</f>
        <v>DEBIT_CARD</v>
      </c>
      <c r="F301" s="8">
        <f>'2025_Chase9335_Activity_2026062'!F301</f>
        <v>190627.77</v>
      </c>
      <c r="G301" s="8" t="str">
        <f>'2025_Chase9335_Activity_2026062'!G301</f>
        <v>Personal - Subscriptions</v>
      </c>
      <c r="H301" s="26">
        <f t="shared" si="4"/>
        <v>45901</v>
      </c>
      <c r="I301" s="8" t="str">
        <f>IF($G301="","Uncategorized — Review",IFERROR(_xlfn.XLOOKUP($G301,Mapping!$A:$A,Mapping!$B:$B),"Uncategorized — Review"))</f>
        <v>Personal - Subscriptions</v>
      </c>
      <c r="J301" s="8" t="str">
        <f>IF($G301="","Uncategorized — Review",IFERROR(_xlfn.XLOOKUP($G301,Mapping!$A:$A,Mapping!$C:$C),"Uncategorized — Review"))</f>
        <v>Personal — Owner</v>
      </c>
    </row>
    <row r="302" spans="1:10" x14ac:dyDescent="0.25">
      <c r="A302" s="8" t="str">
        <f>'2025_Chase9335_Activity_2026062'!A302</f>
        <v>DEBIT</v>
      </c>
      <c r="B302" s="24">
        <f>'2025_Chase9335_Activity_2026062'!B302</f>
        <v>45922</v>
      </c>
      <c r="C302" s="8" t="str">
        <f>'2025_Chase9335_Activity_2026062'!C302</f>
        <v>AMAZON MKTPL*HH6N870 Amzn.com/bill WA        09/21</v>
      </c>
      <c r="D302" s="8">
        <f>'2025_Chase9335_Activity_2026062'!D302</f>
        <v>-25.97</v>
      </c>
      <c r="E302" s="8" t="str">
        <f>'2025_Chase9335_Activity_2026062'!E302</f>
        <v>DEBIT_CARD</v>
      </c>
      <c r="F302" s="8">
        <f>'2025_Chase9335_Activity_2026062'!F302</f>
        <v>190658.66</v>
      </c>
      <c r="G302" s="8" t="str">
        <f>'2025_Chase9335_Activity_2026062'!G302</f>
        <v>Amazon</v>
      </c>
      <c r="H302" s="26">
        <f t="shared" si="4"/>
        <v>45901</v>
      </c>
      <c r="I302" s="8" t="str">
        <f>IF($G302="","Uncategorized — Review",IFERROR(_xlfn.XLOOKUP($G302,Mapping!$A:$A,Mapping!$B:$B),"Uncategorized — Review"))</f>
        <v>Amazon</v>
      </c>
      <c r="J302" s="8" t="str">
        <f>IF($G302="","Uncategorized — Review",IFERROR(_xlfn.XLOOKUP($G302,Mapping!$A:$A,Mapping!$C:$C),"Uncategorized — Review"))</f>
        <v>Personal — Owner</v>
      </c>
    </row>
    <row r="303" spans="1:10" x14ac:dyDescent="0.25">
      <c r="A303" s="8" t="str">
        <f>'2025_Chase9335_Activity_2026062'!A303</f>
        <v>DEBIT</v>
      </c>
      <c r="B303" s="24">
        <f>'2025_Chase9335_Activity_2026062'!B303</f>
        <v>45922</v>
      </c>
      <c r="C303" s="8" t="str">
        <f>'2025_Chase9335_Activity_2026062'!C303</f>
        <v>Amazon.com*CL4AD1AY3 Amzn.com/bill WA        09/21</v>
      </c>
      <c r="D303" s="8">
        <f>'2025_Chase9335_Activity_2026062'!D303</f>
        <v>-8.93</v>
      </c>
      <c r="E303" s="8" t="str">
        <f>'2025_Chase9335_Activity_2026062'!E303</f>
        <v>DEBIT_CARD</v>
      </c>
      <c r="F303" s="8">
        <f>'2025_Chase9335_Activity_2026062'!F303</f>
        <v>190684.63</v>
      </c>
      <c r="G303" s="8" t="str">
        <f>'2025_Chase9335_Activity_2026062'!G303</f>
        <v>Amazon</v>
      </c>
      <c r="H303" s="26">
        <f t="shared" si="4"/>
        <v>45901</v>
      </c>
      <c r="I303" s="8" t="str">
        <f>IF($G303="","Uncategorized — Review",IFERROR(_xlfn.XLOOKUP($G303,Mapping!$A:$A,Mapping!$B:$B),"Uncategorized — Review"))</f>
        <v>Amazon</v>
      </c>
      <c r="J303" s="8" t="str">
        <f>IF($G303="","Uncategorized — Review",IFERROR(_xlfn.XLOOKUP($G303,Mapping!$A:$A,Mapping!$C:$C),"Uncategorized — Review"))</f>
        <v>Personal — Owner</v>
      </c>
    </row>
    <row r="304" spans="1:10" x14ac:dyDescent="0.25">
      <c r="A304" s="8" t="str">
        <f>'2025_Chase9335_Activity_2026062'!A304</f>
        <v>DEBIT</v>
      </c>
      <c r="B304" s="24">
        <f>'2025_Chase9335_Activity_2026062'!B304</f>
        <v>45922</v>
      </c>
      <c r="C304" s="8" t="str">
        <f>'2025_Chase9335_Activity_2026062'!C304</f>
        <v>AMAZON MKTPL*EH34B6I Amzn.com/bill WA        09/20</v>
      </c>
      <c r="D304" s="8">
        <f>'2025_Chase9335_Activity_2026062'!D304</f>
        <v>-105.95</v>
      </c>
      <c r="E304" s="8" t="str">
        <f>'2025_Chase9335_Activity_2026062'!E304</f>
        <v>DEBIT_CARD</v>
      </c>
      <c r="F304" s="8">
        <f>'2025_Chase9335_Activity_2026062'!F304</f>
        <v>190693.56</v>
      </c>
      <c r="G304" s="8" t="str">
        <f>'2025_Chase9335_Activity_2026062'!G304</f>
        <v>Amazon</v>
      </c>
      <c r="H304" s="26">
        <f t="shared" si="4"/>
        <v>45901</v>
      </c>
      <c r="I304" s="8" t="str">
        <f>IF($G304="","Uncategorized — Review",IFERROR(_xlfn.XLOOKUP($G304,Mapping!$A:$A,Mapping!$B:$B),"Uncategorized — Review"))</f>
        <v>Amazon</v>
      </c>
      <c r="J304" s="8" t="str">
        <f>IF($G304="","Uncategorized — Review",IFERROR(_xlfn.XLOOKUP($G304,Mapping!$A:$A,Mapping!$C:$C),"Uncategorized — Review"))</f>
        <v>Personal — Owner</v>
      </c>
    </row>
    <row r="305" spans="1:10" x14ac:dyDescent="0.25">
      <c r="A305" s="8" t="str">
        <f>'2025_Chase9335_Activity_2026062'!A305</f>
        <v>DEBIT</v>
      </c>
      <c r="B305" s="24">
        <f>'2025_Chase9335_Activity_2026062'!B305</f>
        <v>45922</v>
      </c>
      <c r="C305" s="8" t="str">
        <f>'2025_Chase9335_Activity_2026062'!C305</f>
        <v>AMAZON MKTPL*8G3IG50 Amzn.com/bill WA        09/21</v>
      </c>
      <c r="D305" s="8">
        <f>'2025_Chase9335_Activity_2026062'!D305</f>
        <v>-148.58000000000001</v>
      </c>
      <c r="E305" s="8" t="str">
        <f>'2025_Chase9335_Activity_2026062'!E305</f>
        <v>DEBIT_CARD</v>
      </c>
      <c r="F305" s="8">
        <f>'2025_Chase9335_Activity_2026062'!F305</f>
        <v>190799.51</v>
      </c>
      <c r="G305" s="8" t="str">
        <f>'2025_Chase9335_Activity_2026062'!G305</f>
        <v>Amazon</v>
      </c>
      <c r="H305" s="26">
        <f t="shared" si="4"/>
        <v>45901</v>
      </c>
      <c r="I305" s="8" t="str">
        <f>IF($G305="","Uncategorized — Review",IFERROR(_xlfn.XLOOKUP($G305,Mapping!$A:$A,Mapping!$B:$B),"Uncategorized — Review"))</f>
        <v>Amazon</v>
      </c>
      <c r="J305" s="8" t="str">
        <f>IF($G305="","Uncategorized — Review",IFERROR(_xlfn.XLOOKUP($G305,Mapping!$A:$A,Mapping!$C:$C),"Uncategorized — Review"))</f>
        <v>Personal — Owner</v>
      </c>
    </row>
    <row r="306" spans="1:10" x14ac:dyDescent="0.25">
      <c r="A306" s="8" t="str">
        <f>'2025_Chase9335_Activity_2026062'!A306</f>
        <v>DEBIT</v>
      </c>
      <c r="B306" s="24">
        <f>'2025_Chase9335_Activity_2026062'!B306</f>
        <v>45919</v>
      </c>
      <c r="C306" s="8" t="str">
        <f>'2025_Chase9335_Activity_2026062'!C306</f>
        <v>Online Transfer to CHK ...7753 transaction#: 26285213372 09/19</v>
      </c>
      <c r="D306" s="8">
        <f>'2025_Chase9335_Activity_2026062'!D306</f>
        <v>-5150</v>
      </c>
      <c r="E306" s="8" t="str">
        <f>'2025_Chase9335_Activity_2026062'!E306</f>
        <v>ACCT_XFER</v>
      </c>
      <c r="F306" s="8">
        <f>'2025_Chase9335_Activity_2026062'!F306</f>
        <v>190948.09</v>
      </c>
      <c r="G306" s="8" t="str">
        <f>'2025_Chase9335_Activity_2026062'!G306</f>
        <v>Transfer to DWG Capital Group_Costar</v>
      </c>
      <c r="H306" s="26">
        <f t="shared" si="4"/>
        <v>45901</v>
      </c>
      <c r="I306" s="8" t="str">
        <f>IF($G306="","Uncategorized — Review",IFERROR(_xlfn.XLOOKUP($G306,Mapping!$A:$A,Mapping!$B:$B),"Uncategorized — Review"))</f>
        <v>Transfer to DWG Capital Group_Costar</v>
      </c>
      <c r="J306" s="8" t="str">
        <f>IF($G306="","Uncategorized — Review",IFERROR(_xlfn.XLOOKUP($G306,Mapping!$A:$A,Mapping!$C:$C),"Uncategorized — Review"))</f>
        <v>Intercompany &amp; Savings Transfers</v>
      </c>
    </row>
    <row r="307" spans="1:10" x14ac:dyDescent="0.25">
      <c r="A307" s="8" t="str">
        <f>'2025_Chase9335_Activity_2026062'!A307</f>
        <v>DEBIT</v>
      </c>
      <c r="B307" s="24">
        <f>'2025_Chase9335_Activity_2026062'!B307</f>
        <v>45919</v>
      </c>
      <c r="C307" s="8" t="str">
        <f>'2025_Chase9335_Activity_2026062'!C307</f>
        <v>AMAZON MKTPLACE PMTS Amzn.com/bill WA        09/18</v>
      </c>
      <c r="D307" s="8">
        <f>'2025_Chase9335_Activity_2026062'!D307</f>
        <v>34.619999999999997</v>
      </c>
      <c r="E307" s="8" t="str">
        <f>'2025_Chase9335_Activity_2026062'!E307</f>
        <v>DEBIT_CARD</v>
      </c>
      <c r="F307" s="8">
        <f>'2025_Chase9335_Activity_2026062'!F307</f>
        <v>196098.09</v>
      </c>
      <c r="G307" s="8" t="str">
        <f>'2025_Chase9335_Activity_2026062'!G307</f>
        <v>Amazon</v>
      </c>
      <c r="H307" s="26">
        <f t="shared" si="4"/>
        <v>45901</v>
      </c>
      <c r="I307" s="8" t="str">
        <f>IF($G307="","Uncategorized — Review",IFERROR(_xlfn.XLOOKUP($G307,Mapping!$A:$A,Mapping!$B:$B),"Uncategorized — Review"))</f>
        <v>Amazon</v>
      </c>
      <c r="J307" s="8" t="str">
        <f>IF($G307="","Uncategorized — Review",IFERROR(_xlfn.XLOOKUP($G307,Mapping!$A:$A,Mapping!$C:$C),"Uncategorized — Review"))</f>
        <v>Personal — Owner</v>
      </c>
    </row>
    <row r="308" spans="1:10" x14ac:dyDescent="0.25">
      <c r="A308" s="8" t="str">
        <f>'2025_Chase9335_Activity_2026062'!A308</f>
        <v>DEBIT</v>
      </c>
      <c r="B308" s="24">
        <f>'2025_Chase9335_Activity_2026062'!B308</f>
        <v>45919</v>
      </c>
      <c r="C308" s="8" t="str">
        <f>'2025_Chase9335_Activity_2026062'!C308</f>
        <v>AMAZON MKTPLACE PMTS Amzn.com/bill WA        09/18</v>
      </c>
      <c r="D308" s="8">
        <f>'2025_Chase9335_Activity_2026062'!D308</f>
        <v>105.95</v>
      </c>
      <c r="E308" s="8" t="str">
        <f>'2025_Chase9335_Activity_2026062'!E308</f>
        <v>DEBIT_CARD</v>
      </c>
      <c r="F308" s="8">
        <f>'2025_Chase9335_Activity_2026062'!F308</f>
        <v>196063.47</v>
      </c>
      <c r="G308" s="8" t="str">
        <f>'2025_Chase9335_Activity_2026062'!G308</f>
        <v>Amazon</v>
      </c>
      <c r="H308" s="26">
        <f t="shared" si="4"/>
        <v>45901</v>
      </c>
      <c r="I308" s="8" t="str">
        <f>IF($G308="","Uncategorized — Review",IFERROR(_xlfn.XLOOKUP($G308,Mapping!$A:$A,Mapping!$B:$B),"Uncategorized — Review"))</f>
        <v>Amazon</v>
      </c>
      <c r="J308" s="8" t="str">
        <f>IF($G308="","Uncategorized — Review",IFERROR(_xlfn.XLOOKUP($G308,Mapping!$A:$A,Mapping!$C:$C),"Uncategorized — Review"))</f>
        <v>Personal — Owner</v>
      </c>
    </row>
    <row r="309" spans="1:10" x14ac:dyDescent="0.25">
      <c r="A309" s="8" t="str">
        <f>'2025_Chase9335_Activity_2026062'!A309</f>
        <v>DEBIT</v>
      </c>
      <c r="B309" s="24">
        <f>'2025_Chase9335_Activity_2026062'!B309</f>
        <v>45918</v>
      </c>
      <c r="C309" s="8" t="str">
        <f>'2025_Chase9335_Activity_2026062'!C309</f>
        <v>Prime Video *BK13Y5FX 888-802-3080 WA        09/18</v>
      </c>
      <c r="D309" s="8">
        <f>'2025_Chase9335_Activity_2026062'!D309</f>
        <v>-4.26</v>
      </c>
      <c r="E309" s="8" t="str">
        <f>'2025_Chase9335_Activity_2026062'!E309</f>
        <v>DEBIT_CARD</v>
      </c>
      <c r="F309" s="8">
        <f>'2025_Chase9335_Activity_2026062'!F309</f>
        <v>195957.52</v>
      </c>
      <c r="G309" s="8" t="str">
        <f>'2025_Chase9335_Activity_2026062'!G309</f>
        <v>Amazon Prime Video</v>
      </c>
      <c r="H309" s="26">
        <f t="shared" si="4"/>
        <v>45901</v>
      </c>
      <c r="I309" s="8" t="str">
        <f>IF($G309="","Uncategorized — Review",IFERROR(_xlfn.XLOOKUP($G309,Mapping!$A:$A,Mapping!$B:$B),"Uncategorized — Review"))</f>
        <v>Amazon Prime Video</v>
      </c>
      <c r="J309" s="8" t="str">
        <f>IF($G309="","Uncategorized — Review",IFERROR(_xlfn.XLOOKUP($G309,Mapping!$A:$A,Mapping!$C:$C),"Uncategorized — Review"))</f>
        <v>Personal — Owner</v>
      </c>
    </row>
    <row r="310" spans="1:10" x14ac:dyDescent="0.25">
      <c r="A310" s="8" t="str">
        <f>'2025_Chase9335_Activity_2026062'!A310</f>
        <v>DEBIT</v>
      </c>
      <c r="B310" s="24">
        <f>'2025_Chase9335_Activity_2026062'!B310</f>
        <v>45917</v>
      </c>
      <c r="C310" s="8" t="str">
        <f>'2025_Chase9335_Activity_2026062'!C310</f>
        <v>AMAZON MKTPL*YS8NQ8B Amzn.com/bill WA        09/17</v>
      </c>
      <c r="D310" s="8">
        <f>'2025_Chase9335_Activity_2026062'!D310</f>
        <v>-56.11</v>
      </c>
      <c r="E310" s="8" t="str">
        <f>'2025_Chase9335_Activity_2026062'!E310</f>
        <v>DEBIT_CARD</v>
      </c>
      <c r="F310" s="8">
        <f>'2025_Chase9335_Activity_2026062'!F310</f>
        <v>195961.78</v>
      </c>
      <c r="G310" s="8" t="str">
        <f>'2025_Chase9335_Activity_2026062'!G310</f>
        <v>Amazon</v>
      </c>
      <c r="H310" s="26">
        <f t="shared" si="4"/>
        <v>45901</v>
      </c>
      <c r="I310" s="8" t="str">
        <f>IF($G310="","Uncategorized — Review",IFERROR(_xlfn.XLOOKUP($G310,Mapping!$A:$A,Mapping!$B:$B),"Uncategorized — Review"))</f>
        <v>Amazon</v>
      </c>
      <c r="J310" s="8" t="str">
        <f>IF($G310="","Uncategorized — Review",IFERROR(_xlfn.XLOOKUP($G310,Mapping!$A:$A,Mapping!$C:$C),"Uncategorized — Review"))</f>
        <v>Personal — Owner</v>
      </c>
    </row>
    <row r="311" spans="1:10" x14ac:dyDescent="0.25">
      <c r="A311" s="8" t="str">
        <f>'2025_Chase9335_Activity_2026062'!A311</f>
        <v>DEBIT</v>
      </c>
      <c r="B311" s="24">
        <f>'2025_Chase9335_Activity_2026062'!B311</f>
        <v>45916</v>
      </c>
      <c r="C311" s="8" t="str">
        <f>'2025_Chase9335_Activity_2026062'!C311</f>
        <v>Audible*RV2KA97Z3 Amzn.com/bill NJ           09/16</v>
      </c>
      <c r="D311" s="8">
        <f>'2025_Chase9335_Activity_2026062'!D311</f>
        <v>-16.18</v>
      </c>
      <c r="E311" s="8" t="str">
        <f>'2025_Chase9335_Activity_2026062'!E311</f>
        <v>DEBIT_CARD</v>
      </c>
      <c r="F311" s="8">
        <f>'2025_Chase9335_Activity_2026062'!F311</f>
        <v>196017.89</v>
      </c>
      <c r="G311" s="8" t="str">
        <f>'2025_Chase9335_Activity_2026062'!G311</f>
        <v>Amazon</v>
      </c>
      <c r="H311" s="26">
        <f t="shared" si="4"/>
        <v>45901</v>
      </c>
      <c r="I311" s="8" t="str">
        <f>IF($G311="","Uncategorized — Review",IFERROR(_xlfn.XLOOKUP($G311,Mapping!$A:$A,Mapping!$B:$B),"Uncategorized — Review"))</f>
        <v>Amazon</v>
      </c>
      <c r="J311" s="8" t="str">
        <f>IF($G311="","Uncategorized — Review",IFERROR(_xlfn.XLOOKUP($G311,Mapping!$A:$A,Mapping!$C:$C),"Uncategorized — Review"))</f>
        <v>Personal — Owner</v>
      </c>
    </row>
    <row r="312" spans="1:10" x14ac:dyDescent="0.25">
      <c r="A312" s="8" t="str">
        <f>'2025_Chase9335_Activity_2026062'!A312</f>
        <v>DEBIT</v>
      </c>
      <c r="B312" s="24">
        <f>'2025_Chase9335_Activity_2026062'!B312</f>
        <v>45916</v>
      </c>
      <c r="C312" s="8" t="str">
        <f>'2025_Chase9335_Activity_2026062'!C312</f>
        <v>AMAZON MKTPL*I969I31 Amzn.com/bill WA        09/16</v>
      </c>
      <c r="D312" s="8">
        <f>'2025_Chase9335_Activity_2026062'!D312</f>
        <v>-39</v>
      </c>
      <c r="E312" s="8" t="str">
        <f>'2025_Chase9335_Activity_2026062'!E312</f>
        <v>DEBIT_CARD</v>
      </c>
      <c r="F312" s="8">
        <f>'2025_Chase9335_Activity_2026062'!F312</f>
        <v>196034.07</v>
      </c>
      <c r="G312" s="8" t="str">
        <f>'2025_Chase9335_Activity_2026062'!G312</f>
        <v>Amazon</v>
      </c>
      <c r="H312" s="26">
        <f t="shared" si="4"/>
        <v>45901</v>
      </c>
      <c r="I312" s="8" t="str">
        <f>IF($G312="","Uncategorized — Review",IFERROR(_xlfn.XLOOKUP($G312,Mapping!$A:$A,Mapping!$B:$B),"Uncategorized — Review"))</f>
        <v>Amazon</v>
      </c>
      <c r="J312" s="8" t="str">
        <f>IF($G312="","Uncategorized — Review",IFERROR(_xlfn.XLOOKUP($G312,Mapping!$A:$A,Mapping!$C:$C),"Uncategorized — Review"))</f>
        <v>Personal — Owner</v>
      </c>
    </row>
    <row r="313" spans="1:10" x14ac:dyDescent="0.25">
      <c r="A313" s="8" t="str">
        <f>'2025_Chase9335_Activity_2026062'!A313</f>
        <v>DEBIT</v>
      </c>
      <c r="B313" s="24">
        <f>'2025_Chase9335_Activity_2026062'!B313</f>
        <v>45916</v>
      </c>
      <c r="C313" s="8" t="str">
        <f>'2025_Chase9335_Activity_2026062'!C313</f>
        <v>AMAZON MKTPL*UO7SD7Q Amzn.com/bill WA        09/16</v>
      </c>
      <c r="D313" s="8">
        <f>'2025_Chase9335_Activity_2026062'!D313</f>
        <v>-40.56</v>
      </c>
      <c r="E313" s="8" t="str">
        <f>'2025_Chase9335_Activity_2026062'!E313</f>
        <v>DEBIT_CARD</v>
      </c>
      <c r="F313" s="8">
        <f>'2025_Chase9335_Activity_2026062'!F313</f>
        <v>196073.07</v>
      </c>
      <c r="G313" s="8" t="str">
        <f>'2025_Chase9335_Activity_2026062'!G313</f>
        <v>Amazon</v>
      </c>
      <c r="H313" s="26">
        <f t="shared" si="4"/>
        <v>45901</v>
      </c>
      <c r="I313" s="8" t="str">
        <f>IF($G313="","Uncategorized — Review",IFERROR(_xlfn.XLOOKUP($G313,Mapping!$A:$A,Mapping!$B:$B),"Uncategorized — Review"))</f>
        <v>Amazon</v>
      </c>
      <c r="J313" s="8" t="str">
        <f>IF($G313="","Uncategorized — Review",IFERROR(_xlfn.XLOOKUP($G313,Mapping!$A:$A,Mapping!$C:$C),"Uncategorized — Review"))</f>
        <v>Personal — Owner</v>
      </c>
    </row>
    <row r="314" spans="1:10" x14ac:dyDescent="0.25">
      <c r="A314" s="8" t="str">
        <f>'2025_Chase9335_Activity_2026062'!A314</f>
        <v>DEBIT</v>
      </c>
      <c r="B314" s="24">
        <f>'2025_Chase9335_Activity_2026062'!B314</f>
        <v>45916</v>
      </c>
      <c r="C314" s="8" t="str">
        <f>'2025_Chase9335_Activity_2026062'!C314</f>
        <v>AMAZON MKTPL*HV6MS3F Amzn.com/bill WA        09/15</v>
      </c>
      <c r="D314" s="8">
        <f>'2025_Chase9335_Activity_2026062'!D314</f>
        <v>-25.32</v>
      </c>
      <c r="E314" s="8" t="str">
        <f>'2025_Chase9335_Activity_2026062'!E314</f>
        <v>DEBIT_CARD</v>
      </c>
      <c r="F314" s="8">
        <f>'2025_Chase9335_Activity_2026062'!F314</f>
        <v>196113.63</v>
      </c>
      <c r="G314" s="8" t="str">
        <f>'2025_Chase9335_Activity_2026062'!G314</f>
        <v>Amazon</v>
      </c>
      <c r="H314" s="26">
        <f t="shared" si="4"/>
        <v>45901</v>
      </c>
      <c r="I314" s="8" t="str">
        <f>IF($G314="","Uncategorized — Review",IFERROR(_xlfn.XLOOKUP($G314,Mapping!$A:$A,Mapping!$B:$B),"Uncategorized — Review"))</f>
        <v>Amazon</v>
      </c>
      <c r="J314" s="8" t="str">
        <f>IF($G314="","Uncategorized — Review",IFERROR(_xlfn.XLOOKUP($G314,Mapping!$A:$A,Mapping!$C:$C),"Uncategorized — Review"))</f>
        <v>Personal — Owner</v>
      </c>
    </row>
    <row r="315" spans="1:10" x14ac:dyDescent="0.25">
      <c r="A315" s="8" t="str">
        <f>'2025_Chase9335_Activity_2026062'!A315</f>
        <v>DEBIT</v>
      </c>
      <c r="B315" s="24">
        <f>'2025_Chase9335_Activity_2026062'!B315</f>
        <v>45915</v>
      </c>
      <c r="C315" s="8" t="str">
        <f>'2025_Chase9335_Activity_2026062'!C315</f>
        <v>Online Transfer to CHK ...1168 transaction#: 26227231150 09/15</v>
      </c>
      <c r="D315" s="8">
        <f>'2025_Chase9335_Activity_2026062'!D315</f>
        <v>-30000</v>
      </c>
      <c r="E315" s="8" t="str">
        <f>'2025_Chase9335_Activity_2026062'!E315</f>
        <v>ACCT_XFER</v>
      </c>
      <c r="F315" s="8">
        <f>'2025_Chase9335_Activity_2026062'!F315</f>
        <v>196138.95</v>
      </c>
      <c r="G315" s="8" t="str">
        <f>'2025_Chase9335_Activity_2026062'!G315</f>
        <v>Transfer to DWG Capital Group</v>
      </c>
      <c r="H315" s="26">
        <f t="shared" si="4"/>
        <v>45901</v>
      </c>
      <c r="I315" s="8" t="str">
        <f>IF($G315="","Uncategorized — Review",IFERROR(_xlfn.XLOOKUP($G315,Mapping!$A:$A,Mapping!$B:$B),"Uncategorized — Review"))</f>
        <v>Transfer to DWG Capital Group</v>
      </c>
      <c r="J315" s="8" t="str">
        <f>IF($G315="","Uncategorized — Review",IFERROR(_xlfn.XLOOKUP($G315,Mapping!$A:$A,Mapping!$C:$C),"Uncategorized — Review"))</f>
        <v>Intercompany &amp; Savings Transfers</v>
      </c>
    </row>
    <row r="316" spans="1:10" x14ac:dyDescent="0.25">
      <c r="A316" s="8" t="str">
        <f>'2025_Chase9335_Activity_2026062'!A316</f>
        <v>DEBIT</v>
      </c>
      <c r="B316" s="24">
        <f>'2025_Chase9335_Activity_2026062'!B316</f>
        <v>45915</v>
      </c>
      <c r="C316" s="8" t="str">
        <f>'2025_Chase9335_Activity_2026062'!C316</f>
        <v>AMAZON MKTPL*PB6ZT4W Amzn.com/bill WA        09/15</v>
      </c>
      <c r="D316" s="8">
        <f>'2025_Chase9335_Activity_2026062'!D316</f>
        <v>-24.89</v>
      </c>
      <c r="E316" s="8" t="str">
        <f>'2025_Chase9335_Activity_2026062'!E316</f>
        <v>DEBIT_CARD</v>
      </c>
      <c r="F316" s="8">
        <f>'2025_Chase9335_Activity_2026062'!F316</f>
        <v>226138.95</v>
      </c>
      <c r="G316" s="8" t="str">
        <f>'2025_Chase9335_Activity_2026062'!G316</f>
        <v>Amazon</v>
      </c>
      <c r="H316" s="26">
        <f t="shared" si="4"/>
        <v>45901</v>
      </c>
      <c r="I316" s="8" t="str">
        <f>IF($G316="","Uncategorized — Review",IFERROR(_xlfn.XLOOKUP($G316,Mapping!$A:$A,Mapping!$B:$B),"Uncategorized — Review"))</f>
        <v>Amazon</v>
      </c>
      <c r="J316" s="8" t="str">
        <f>IF($G316="","Uncategorized — Review",IFERROR(_xlfn.XLOOKUP($G316,Mapping!$A:$A,Mapping!$C:$C),"Uncategorized — Review"))</f>
        <v>Personal — Owner</v>
      </c>
    </row>
    <row r="317" spans="1:10" x14ac:dyDescent="0.25">
      <c r="A317" s="8" t="str">
        <f>'2025_Chase9335_Activity_2026062'!A317</f>
        <v>DEBIT</v>
      </c>
      <c r="B317" s="24">
        <f>'2025_Chase9335_Activity_2026062'!B317</f>
        <v>45915</v>
      </c>
      <c r="C317" s="8" t="str">
        <f>'2025_Chase9335_Activity_2026062'!C317</f>
        <v>Prime Video *FG2YJ1CH 888-802-3080 WA        09/14</v>
      </c>
      <c r="D317" s="8">
        <f>'2025_Chase9335_Activity_2026062'!D317</f>
        <v>-4.26</v>
      </c>
      <c r="E317" s="8" t="str">
        <f>'2025_Chase9335_Activity_2026062'!E317</f>
        <v>DEBIT_CARD</v>
      </c>
      <c r="F317" s="8">
        <f>'2025_Chase9335_Activity_2026062'!F317</f>
        <v>226163.84</v>
      </c>
      <c r="G317" s="8" t="str">
        <f>'2025_Chase9335_Activity_2026062'!G317</f>
        <v>Amazon Prime Video</v>
      </c>
      <c r="H317" s="26">
        <f t="shared" si="4"/>
        <v>45901</v>
      </c>
      <c r="I317" s="8" t="str">
        <f>IF($G317="","Uncategorized — Review",IFERROR(_xlfn.XLOOKUP($G317,Mapping!$A:$A,Mapping!$B:$B),"Uncategorized — Review"))</f>
        <v>Amazon Prime Video</v>
      </c>
      <c r="J317" s="8" t="str">
        <f>IF($G317="","Uncategorized — Review",IFERROR(_xlfn.XLOOKUP($G317,Mapping!$A:$A,Mapping!$C:$C),"Uncategorized — Review"))</f>
        <v>Personal — Owner</v>
      </c>
    </row>
    <row r="318" spans="1:10" x14ac:dyDescent="0.25">
      <c r="A318" s="8" t="str">
        <f>'2025_Chase9335_Activity_2026062'!A318</f>
        <v>DEBIT</v>
      </c>
      <c r="B318" s="24">
        <f>'2025_Chase9335_Activity_2026062'!B318</f>
        <v>45915</v>
      </c>
      <c r="C318" s="8" t="str">
        <f>'2025_Chase9335_Activity_2026062'!C318</f>
        <v>AMAZON MKTPL*KM8VJ2J Amzn.com/bill WA        09/14</v>
      </c>
      <c r="D318" s="8">
        <f>'2025_Chase9335_Activity_2026062'!D318</f>
        <v>-105.95</v>
      </c>
      <c r="E318" s="8" t="str">
        <f>'2025_Chase9335_Activity_2026062'!E318</f>
        <v>DEBIT_CARD</v>
      </c>
      <c r="F318" s="8">
        <f>'2025_Chase9335_Activity_2026062'!F318</f>
        <v>226168.1</v>
      </c>
      <c r="G318" s="8" t="str">
        <f>'2025_Chase9335_Activity_2026062'!G318</f>
        <v>Amazon</v>
      </c>
      <c r="H318" s="26">
        <f t="shared" si="4"/>
        <v>45901</v>
      </c>
      <c r="I318" s="8" t="str">
        <f>IF($G318="","Uncategorized — Review",IFERROR(_xlfn.XLOOKUP($G318,Mapping!$A:$A,Mapping!$B:$B),"Uncategorized — Review"))</f>
        <v>Amazon</v>
      </c>
      <c r="J318" s="8" t="str">
        <f>IF($G318="","Uncategorized — Review",IFERROR(_xlfn.XLOOKUP($G318,Mapping!$A:$A,Mapping!$C:$C),"Uncategorized — Review"))</f>
        <v>Personal — Owner</v>
      </c>
    </row>
    <row r="319" spans="1:10" x14ac:dyDescent="0.25">
      <c r="A319" s="8" t="str">
        <f>'2025_Chase9335_Activity_2026062'!A319</f>
        <v>DEBIT</v>
      </c>
      <c r="B319" s="24">
        <f>'2025_Chase9335_Activity_2026062'!B319</f>
        <v>45915</v>
      </c>
      <c r="C319" s="8" t="str">
        <f>'2025_Chase9335_Activity_2026062'!C319</f>
        <v>Prime Video *W349H9ST 888-802-3080 WA        09/14</v>
      </c>
      <c r="D319" s="8">
        <f>'2025_Chase9335_Activity_2026062'!D319</f>
        <v>-5.33</v>
      </c>
      <c r="E319" s="8" t="str">
        <f>'2025_Chase9335_Activity_2026062'!E319</f>
        <v>DEBIT_CARD</v>
      </c>
      <c r="F319" s="8">
        <f>'2025_Chase9335_Activity_2026062'!F319</f>
        <v>226274.05</v>
      </c>
      <c r="G319" s="8" t="str">
        <f>'2025_Chase9335_Activity_2026062'!G319</f>
        <v>Amazon Prime Video</v>
      </c>
      <c r="H319" s="26">
        <f t="shared" si="4"/>
        <v>45901</v>
      </c>
      <c r="I319" s="8" t="str">
        <f>IF($G319="","Uncategorized — Review",IFERROR(_xlfn.XLOOKUP($G319,Mapping!$A:$A,Mapping!$B:$B),"Uncategorized — Review"))</f>
        <v>Amazon Prime Video</v>
      </c>
      <c r="J319" s="8" t="str">
        <f>IF($G319="","Uncategorized — Review",IFERROR(_xlfn.XLOOKUP($G319,Mapping!$A:$A,Mapping!$C:$C),"Uncategorized — Review"))</f>
        <v>Personal — Owner</v>
      </c>
    </row>
    <row r="320" spans="1:10" x14ac:dyDescent="0.25">
      <c r="A320" s="8" t="str">
        <f>'2025_Chase9335_Activity_2026062'!A320</f>
        <v>DEBIT</v>
      </c>
      <c r="B320" s="24">
        <f>'2025_Chase9335_Activity_2026062'!B320</f>
        <v>45915</v>
      </c>
      <c r="C320" s="8" t="str">
        <f>'2025_Chase9335_Activity_2026062'!C320</f>
        <v>Prime Video *7Q72N48P 888-802-3080 WA        09/14</v>
      </c>
      <c r="D320" s="8">
        <f>'2025_Chase9335_Activity_2026062'!D320</f>
        <v>-21.34</v>
      </c>
      <c r="E320" s="8" t="str">
        <f>'2025_Chase9335_Activity_2026062'!E320</f>
        <v>DEBIT_CARD</v>
      </c>
      <c r="F320" s="8">
        <f>'2025_Chase9335_Activity_2026062'!F320</f>
        <v>226279.38</v>
      </c>
      <c r="G320" s="8" t="str">
        <f>'2025_Chase9335_Activity_2026062'!G320</f>
        <v>Amazon Prime Video</v>
      </c>
      <c r="H320" s="26">
        <f t="shared" si="4"/>
        <v>45901</v>
      </c>
      <c r="I320" s="8" t="str">
        <f>IF($G320="","Uncategorized — Review",IFERROR(_xlfn.XLOOKUP($G320,Mapping!$A:$A,Mapping!$B:$B),"Uncategorized — Review"))</f>
        <v>Amazon Prime Video</v>
      </c>
      <c r="J320" s="8" t="str">
        <f>IF($G320="","Uncategorized — Review",IFERROR(_xlfn.XLOOKUP($G320,Mapping!$A:$A,Mapping!$C:$C),"Uncategorized — Review"))</f>
        <v>Personal — Owner</v>
      </c>
    </row>
    <row r="321" spans="1:10" x14ac:dyDescent="0.25">
      <c r="A321" s="8" t="str">
        <f>'2025_Chase9335_Activity_2026062'!A321</f>
        <v>DEBIT</v>
      </c>
      <c r="B321" s="24">
        <f>'2025_Chase9335_Activity_2026062'!B321</f>
        <v>45915</v>
      </c>
      <c r="C321" s="8" t="str">
        <f>'2025_Chase9335_Activity_2026062'!C321</f>
        <v>APPLE.COM/BILL 866-712-7753 CA               09/14</v>
      </c>
      <c r="D321" s="8">
        <f>'2025_Chase9335_Activity_2026062'!D321</f>
        <v>-30.89</v>
      </c>
      <c r="E321" s="8" t="str">
        <f>'2025_Chase9335_Activity_2026062'!E321</f>
        <v>DEBIT_CARD</v>
      </c>
      <c r="F321" s="8">
        <f>'2025_Chase9335_Activity_2026062'!F321</f>
        <v>226300.72</v>
      </c>
      <c r="G321" s="8" t="str">
        <f>'2025_Chase9335_Activity_2026062'!G321</f>
        <v>Personal - Subscriptions</v>
      </c>
      <c r="H321" s="26">
        <f t="shared" si="4"/>
        <v>45901</v>
      </c>
      <c r="I321" s="8" t="str">
        <f>IF($G321="","Uncategorized — Review",IFERROR(_xlfn.XLOOKUP($G321,Mapping!$A:$A,Mapping!$B:$B),"Uncategorized — Review"))</f>
        <v>Personal - Subscriptions</v>
      </c>
      <c r="J321" s="8" t="str">
        <f>IF($G321="","Uncategorized — Review",IFERROR(_xlfn.XLOOKUP($G321,Mapping!$A:$A,Mapping!$C:$C),"Uncategorized — Review"))</f>
        <v>Personal — Owner</v>
      </c>
    </row>
    <row r="322" spans="1:10" x14ac:dyDescent="0.25">
      <c r="A322" s="8" t="str">
        <f>'2025_Chase9335_Activity_2026062'!A322</f>
        <v>DEBIT</v>
      </c>
      <c r="B322" s="24">
        <f>'2025_Chase9335_Activity_2026062'!B322</f>
        <v>45915</v>
      </c>
      <c r="C322" s="8" t="str">
        <f>'2025_Chase9335_Activity_2026062'!C322</f>
        <v>Amazon.com*Z60647DJ3 Amzn.com/bill WA        09/14</v>
      </c>
      <c r="D322" s="8">
        <f>'2025_Chase9335_Activity_2026062'!D322</f>
        <v>-21.65</v>
      </c>
      <c r="E322" s="8" t="str">
        <f>'2025_Chase9335_Activity_2026062'!E322</f>
        <v>DEBIT_CARD</v>
      </c>
      <c r="F322" s="8">
        <f>'2025_Chase9335_Activity_2026062'!F322</f>
        <v>226331.61</v>
      </c>
      <c r="G322" s="8" t="str">
        <f>'2025_Chase9335_Activity_2026062'!G322</f>
        <v>Amazon</v>
      </c>
      <c r="H322" s="26">
        <f t="shared" si="4"/>
        <v>45901</v>
      </c>
      <c r="I322" s="8" t="str">
        <f>IF($G322="","Uncategorized — Review",IFERROR(_xlfn.XLOOKUP($G322,Mapping!$A:$A,Mapping!$B:$B),"Uncategorized — Review"))</f>
        <v>Amazon</v>
      </c>
      <c r="J322" s="8" t="str">
        <f>IF($G322="","Uncategorized — Review",IFERROR(_xlfn.XLOOKUP($G322,Mapping!$A:$A,Mapping!$C:$C),"Uncategorized — Review"))</f>
        <v>Personal — Owner</v>
      </c>
    </row>
    <row r="323" spans="1:10" x14ac:dyDescent="0.25">
      <c r="A323" s="8" t="str">
        <f>'2025_Chase9335_Activity_2026062'!A323</f>
        <v>DEBIT</v>
      </c>
      <c r="B323" s="24">
        <f>'2025_Chase9335_Activity_2026062'!B323</f>
        <v>45915</v>
      </c>
      <c r="C323" s="8" t="str">
        <f>'2025_Chase9335_Activity_2026062'!C323</f>
        <v>AMAZON MKTPL*011C08U Amzn.com/bill WA        09/13</v>
      </c>
      <c r="D323" s="8">
        <f>'2025_Chase9335_Activity_2026062'!D323</f>
        <v>-34.619999999999997</v>
      </c>
      <c r="E323" s="8" t="str">
        <f>'2025_Chase9335_Activity_2026062'!E323</f>
        <v>DEBIT_CARD</v>
      </c>
      <c r="F323" s="8">
        <f>'2025_Chase9335_Activity_2026062'!F323</f>
        <v>226353.26</v>
      </c>
      <c r="G323" s="8" t="str">
        <f>'2025_Chase9335_Activity_2026062'!G323</f>
        <v>Amazon</v>
      </c>
      <c r="H323" s="26">
        <f t="shared" ref="H323:H386" si="5">IF($B323="","",DATE(YEAR($B323),MONTH($B323),1))</f>
        <v>45901</v>
      </c>
      <c r="I323" s="8" t="str">
        <f>IF($G323="","Uncategorized — Review",IFERROR(_xlfn.XLOOKUP($G323,Mapping!$A:$A,Mapping!$B:$B),"Uncategorized — Review"))</f>
        <v>Amazon</v>
      </c>
      <c r="J323" s="8" t="str">
        <f>IF($G323="","Uncategorized — Review",IFERROR(_xlfn.XLOOKUP($G323,Mapping!$A:$A,Mapping!$C:$C),"Uncategorized — Review"))</f>
        <v>Personal — Owner</v>
      </c>
    </row>
    <row r="324" spans="1:10" x14ac:dyDescent="0.25">
      <c r="A324" s="8" t="str">
        <f>'2025_Chase9335_Activity_2026062'!A324</f>
        <v>DEBIT</v>
      </c>
      <c r="B324" s="24">
        <f>'2025_Chase9335_Activity_2026062'!B324</f>
        <v>45915</v>
      </c>
      <c r="C324" s="8" t="str">
        <f>'2025_Chase9335_Activity_2026062'!C324</f>
        <v>AMAZON MKTPL*PI2UJ7B Amzn.com/bill WA        09/12</v>
      </c>
      <c r="D324" s="8">
        <f>'2025_Chase9335_Activity_2026062'!D324</f>
        <v>-105.95</v>
      </c>
      <c r="E324" s="8" t="str">
        <f>'2025_Chase9335_Activity_2026062'!E324</f>
        <v>DEBIT_CARD</v>
      </c>
      <c r="F324" s="8">
        <f>'2025_Chase9335_Activity_2026062'!F324</f>
        <v>226387.88</v>
      </c>
      <c r="G324" s="8" t="str">
        <f>'2025_Chase9335_Activity_2026062'!G324</f>
        <v>Amazon</v>
      </c>
      <c r="H324" s="26">
        <f t="shared" si="5"/>
        <v>45901</v>
      </c>
      <c r="I324" s="8" t="str">
        <f>IF($G324="","Uncategorized — Review",IFERROR(_xlfn.XLOOKUP($G324,Mapping!$A:$A,Mapping!$B:$B),"Uncategorized — Review"))</f>
        <v>Amazon</v>
      </c>
      <c r="J324" s="8" t="str">
        <f>IF($G324="","Uncategorized — Review",IFERROR(_xlfn.XLOOKUP($G324,Mapping!$A:$A,Mapping!$C:$C),"Uncategorized — Review"))</f>
        <v>Personal — Owner</v>
      </c>
    </row>
    <row r="325" spans="1:10" x14ac:dyDescent="0.25">
      <c r="A325" s="8" t="str">
        <f>'2025_Chase9335_Activity_2026062'!A325</f>
        <v>DEBIT</v>
      </c>
      <c r="B325" s="24">
        <f>'2025_Chase9335_Activity_2026062'!B325</f>
        <v>45912</v>
      </c>
      <c r="C325" s="8" t="str">
        <f>'2025_Chase9335_Activity_2026062'!C325</f>
        <v>BLOOMBERG* 37033964 BLOOMBERG.COM NY         09/12</v>
      </c>
      <c r="D325" s="8">
        <f>'2025_Chase9335_Activity_2026062'!D325</f>
        <v>-34.99</v>
      </c>
      <c r="E325" s="8" t="str">
        <f>'2025_Chase9335_Activity_2026062'!E325</f>
        <v>DEBIT_CARD</v>
      </c>
      <c r="F325" s="8">
        <f>'2025_Chase9335_Activity_2026062'!F325</f>
        <v>226493.83</v>
      </c>
      <c r="G325" s="8" t="str">
        <f>'2025_Chase9335_Activity_2026062'!G325</f>
        <v>Personal - Subscriptions</v>
      </c>
      <c r="H325" s="26">
        <f t="shared" si="5"/>
        <v>45901</v>
      </c>
      <c r="I325" s="8" t="str">
        <f>IF($G325="","Uncategorized — Review",IFERROR(_xlfn.XLOOKUP($G325,Mapping!$A:$A,Mapping!$B:$B),"Uncategorized — Review"))</f>
        <v>Personal - Subscriptions</v>
      </c>
      <c r="J325" s="8" t="str">
        <f>IF($G325="","Uncategorized — Review",IFERROR(_xlfn.XLOOKUP($G325,Mapping!$A:$A,Mapping!$C:$C),"Uncategorized — Review"))</f>
        <v>Personal — Owner</v>
      </c>
    </row>
    <row r="326" spans="1:10" x14ac:dyDescent="0.25">
      <c r="A326" s="8" t="str">
        <f>'2025_Chase9335_Activity_2026062'!A326</f>
        <v>DEBIT</v>
      </c>
      <c r="B326" s="24">
        <f>'2025_Chase9335_Activity_2026062'!B326</f>
        <v>45912</v>
      </c>
      <c r="C326" s="8" t="str">
        <f>'2025_Chase9335_Activity_2026062'!C326</f>
        <v>AMAZON MKTPL*6M58G4N Amzn.com/bill WA        09/11</v>
      </c>
      <c r="D326" s="8">
        <f>'2025_Chase9335_Activity_2026062'!D326</f>
        <v>-105.95</v>
      </c>
      <c r="E326" s="8" t="str">
        <f>'2025_Chase9335_Activity_2026062'!E326</f>
        <v>DEBIT_CARD</v>
      </c>
      <c r="F326" s="8">
        <f>'2025_Chase9335_Activity_2026062'!F326</f>
        <v>226528.82</v>
      </c>
      <c r="G326" s="8" t="str">
        <f>'2025_Chase9335_Activity_2026062'!G326</f>
        <v>Amazon</v>
      </c>
      <c r="H326" s="26">
        <f t="shared" si="5"/>
        <v>45901</v>
      </c>
      <c r="I326" s="8" t="str">
        <f>IF($G326="","Uncategorized — Review",IFERROR(_xlfn.XLOOKUP($G326,Mapping!$A:$A,Mapping!$B:$B),"Uncategorized — Review"))</f>
        <v>Amazon</v>
      </c>
      <c r="J326" s="8" t="str">
        <f>IF($G326="","Uncategorized — Review",IFERROR(_xlfn.XLOOKUP($G326,Mapping!$A:$A,Mapping!$C:$C),"Uncategorized — Review"))</f>
        <v>Personal — Owner</v>
      </c>
    </row>
    <row r="327" spans="1:10" x14ac:dyDescent="0.25">
      <c r="A327" s="8" t="str">
        <f>'2025_Chase9335_Activity_2026062'!A327</f>
        <v>DEBIT</v>
      </c>
      <c r="B327" s="24">
        <f>'2025_Chase9335_Activity_2026062'!B327</f>
        <v>45911</v>
      </c>
      <c r="C327" s="8" t="str">
        <f>'2025_Chase9335_Activity_2026062'!C327</f>
        <v>AMAZON MKTPL*EH93T1N Amzn.com/bill WA        09/11</v>
      </c>
      <c r="D327" s="8">
        <f>'2025_Chase9335_Activity_2026062'!D327</f>
        <v>-13.72</v>
      </c>
      <c r="E327" s="8" t="str">
        <f>'2025_Chase9335_Activity_2026062'!E327</f>
        <v>DEBIT_CARD</v>
      </c>
      <c r="F327" s="8">
        <f>'2025_Chase9335_Activity_2026062'!F327</f>
        <v>226634.77</v>
      </c>
      <c r="G327" s="8" t="str">
        <f>'2025_Chase9335_Activity_2026062'!G327</f>
        <v>Amazon</v>
      </c>
      <c r="H327" s="26">
        <f t="shared" si="5"/>
        <v>45901</v>
      </c>
      <c r="I327" s="8" t="str">
        <f>IF($G327="","Uncategorized — Review",IFERROR(_xlfn.XLOOKUP($G327,Mapping!$A:$A,Mapping!$B:$B),"Uncategorized — Review"))</f>
        <v>Amazon</v>
      </c>
      <c r="J327" s="8" t="str">
        <f>IF($G327="","Uncategorized — Review",IFERROR(_xlfn.XLOOKUP($G327,Mapping!$A:$A,Mapping!$C:$C),"Uncategorized — Review"))</f>
        <v>Personal — Owner</v>
      </c>
    </row>
    <row r="328" spans="1:10" x14ac:dyDescent="0.25">
      <c r="A328" s="8" t="str">
        <f>'2025_Chase9335_Activity_2026062'!A328</f>
        <v>DEBIT</v>
      </c>
      <c r="B328" s="24">
        <f>'2025_Chase9335_Activity_2026062'!B328</f>
        <v>45911</v>
      </c>
      <c r="C328" s="8" t="str">
        <f>'2025_Chase9335_Activity_2026062'!C328</f>
        <v>AMAZON MKTPL*E42I51L Amzn.com/bill WA        09/11</v>
      </c>
      <c r="D328" s="8">
        <f>'2025_Chase9335_Activity_2026062'!D328</f>
        <v>-24.89</v>
      </c>
      <c r="E328" s="8" t="str">
        <f>'2025_Chase9335_Activity_2026062'!E328</f>
        <v>DEBIT_CARD</v>
      </c>
      <c r="F328" s="8">
        <f>'2025_Chase9335_Activity_2026062'!F328</f>
        <v>226648.49</v>
      </c>
      <c r="G328" s="8" t="str">
        <f>'2025_Chase9335_Activity_2026062'!G328</f>
        <v>Amazon</v>
      </c>
      <c r="H328" s="26">
        <f t="shared" si="5"/>
        <v>45901</v>
      </c>
      <c r="I328" s="8" t="str">
        <f>IF($G328="","Uncategorized — Review",IFERROR(_xlfn.XLOOKUP($G328,Mapping!$A:$A,Mapping!$B:$B),"Uncategorized — Review"))</f>
        <v>Amazon</v>
      </c>
      <c r="J328" s="8" t="str">
        <f>IF($G328="","Uncategorized — Review",IFERROR(_xlfn.XLOOKUP($G328,Mapping!$A:$A,Mapping!$C:$C),"Uncategorized — Review"))</f>
        <v>Personal — Owner</v>
      </c>
    </row>
    <row r="329" spans="1:10" x14ac:dyDescent="0.25">
      <c r="A329" s="8" t="str">
        <f>'2025_Chase9335_Activity_2026062'!A329</f>
        <v>DEBIT</v>
      </c>
      <c r="B329" s="24">
        <f>'2025_Chase9335_Activity_2026062'!B329</f>
        <v>45911</v>
      </c>
      <c r="C329" s="8" t="str">
        <f>'2025_Chase9335_Activity_2026062'!C329</f>
        <v>AMAZON MKTPL*DD3YY9P Amzn.com/bill WA        09/10</v>
      </c>
      <c r="D329" s="8">
        <f>'2025_Chase9335_Activity_2026062'!D329</f>
        <v>-105.95</v>
      </c>
      <c r="E329" s="8" t="str">
        <f>'2025_Chase9335_Activity_2026062'!E329</f>
        <v>DEBIT_CARD</v>
      </c>
      <c r="F329" s="8">
        <f>'2025_Chase9335_Activity_2026062'!F329</f>
        <v>226673.38</v>
      </c>
      <c r="G329" s="8" t="str">
        <f>'2025_Chase9335_Activity_2026062'!G329</f>
        <v>Amazon</v>
      </c>
      <c r="H329" s="26">
        <f t="shared" si="5"/>
        <v>45901</v>
      </c>
      <c r="I329" s="8" t="str">
        <f>IF($G329="","Uncategorized — Review",IFERROR(_xlfn.XLOOKUP($G329,Mapping!$A:$A,Mapping!$B:$B),"Uncategorized — Review"))</f>
        <v>Amazon</v>
      </c>
      <c r="J329" s="8" t="str">
        <f>IF($G329="","Uncategorized — Review",IFERROR(_xlfn.XLOOKUP($G329,Mapping!$A:$A,Mapping!$C:$C),"Uncategorized — Review"))</f>
        <v>Personal — Owner</v>
      </c>
    </row>
    <row r="330" spans="1:10" x14ac:dyDescent="0.25">
      <c r="A330" s="8" t="str">
        <f>'2025_Chase9335_Activity_2026062'!A330</f>
        <v>DEBIT</v>
      </c>
      <c r="B330" s="24">
        <f>'2025_Chase9335_Activity_2026062'!B330</f>
        <v>45910</v>
      </c>
      <c r="C330" s="8" t="str">
        <f>'2025_Chase9335_Activity_2026062'!C330</f>
        <v>Online Transfer to CHK ...9082 transaction#: 26179762390 09/10</v>
      </c>
      <c r="D330" s="8">
        <f>'2025_Chase9335_Activity_2026062'!D330</f>
        <v>-418.73</v>
      </c>
      <c r="E330" s="8" t="str">
        <f>'2025_Chase9335_Activity_2026062'!E330</f>
        <v>ACCT_XFER</v>
      </c>
      <c r="F330" s="8">
        <f>'2025_Chase9335_Activity_2026062'!F330</f>
        <v>226779.33</v>
      </c>
      <c r="G330" s="8" t="str">
        <f>'2025_Chase9335_Activity_2026062'!G330</f>
        <v>Transfer to Hibbert</v>
      </c>
      <c r="H330" s="26">
        <f t="shared" si="5"/>
        <v>45901</v>
      </c>
      <c r="I330" s="8" t="str">
        <f>IF($G330="","Uncategorized — Review",IFERROR(_xlfn.XLOOKUP($G330,Mapping!$A:$A,Mapping!$B:$B),"Uncategorized — Review"))</f>
        <v>Transfer to Hibbert</v>
      </c>
      <c r="J330" s="8" t="str">
        <f>IF($G330="","Uncategorized — Review",IFERROR(_xlfn.XLOOKUP($G330,Mapping!$A:$A,Mapping!$C:$C),"Uncategorized — Review"))</f>
        <v>Intercompany &amp; Savings Transfers</v>
      </c>
    </row>
    <row r="331" spans="1:10" x14ac:dyDescent="0.25">
      <c r="A331" s="8" t="str">
        <f>'2025_Chase9335_Activity_2026062'!A331</f>
        <v>DEBIT</v>
      </c>
      <c r="B331" s="24">
        <f>'2025_Chase9335_Activity_2026062'!B331</f>
        <v>45910</v>
      </c>
      <c r="C331" s="8" t="str">
        <f>'2025_Chase9335_Activity_2026062'!C331</f>
        <v>Online Transfer to CHK ...3922 transaction#: 26176828172 09/10</v>
      </c>
      <c r="D331" s="8">
        <f>'2025_Chase9335_Activity_2026062'!D331</f>
        <v>-50000</v>
      </c>
      <c r="E331" s="8" t="str">
        <f>'2025_Chase9335_Activity_2026062'!E331</f>
        <v>ACCT_XFER</v>
      </c>
      <c r="F331" s="8">
        <f>'2025_Chase9335_Activity_2026062'!F331</f>
        <v>227198.06</v>
      </c>
      <c r="G331" s="8" t="str">
        <f>'2025_Chase9335_Activity_2026062'!G331</f>
        <v>Transfer to DWG Capital Partners</v>
      </c>
      <c r="H331" s="26">
        <f t="shared" si="5"/>
        <v>45901</v>
      </c>
      <c r="I331" s="8" t="str">
        <f>IF($G331="","Uncategorized — Review",IFERROR(_xlfn.XLOOKUP($G331,Mapping!$A:$A,Mapping!$B:$B),"Uncategorized — Review"))</f>
        <v>Transfer to DWG Capital Partners</v>
      </c>
      <c r="J331" s="8" t="str">
        <f>IF($G331="","Uncategorized — Review",IFERROR(_xlfn.XLOOKUP($G331,Mapping!$A:$A,Mapping!$C:$C),"Uncategorized — Review"))</f>
        <v>Intercompany &amp; Savings Transfers</v>
      </c>
    </row>
    <row r="332" spans="1:10" x14ac:dyDescent="0.25">
      <c r="A332" s="8" t="str">
        <f>'2025_Chase9335_Activity_2026062'!A332</f>
        <v>DEBIT</v>
      </c>
      <c r="B332" s="24">
        <f>'2025_Chase9335_Activity_2026062'!B332</f>
        <v>45910</v>
      </c>
      <c r="C332" s="8" t="str">
        <f>'2025_Chase9335_Activity_2026062'!C332</f>
        <v>UBER   *EATS HELP.UBER.COM CA                09/10</v>
      </c>
      <c r="D332" s="8">
        <f>'2025_Chase9335_Activity_2026062'!D332</f>
        <v>-75.55</v>
      </c>
      <c r="E332" s="8" t="str">
        <f>'2025_Chase9335_Activity_2026062'!E332</f>
        <v>DEBIT_CARD</v>
      </c>
      <c r="F332" s="8">
        <f>'2025_Chase9335_Activity_2026062'!F332</f>
        <v>277198.06</v>
      </c>
      <c r="G332" s="8" t="str">
        <f>'2025_Chase9335_Activity_2026062'!G332</f>
        <v>Personal - Food &amp; Dining</v>
      </c>
      <c r="H332" s="26">
        <f t="shared" si="5"/>
        <v>45901</v>
      </c>
      <c r="I332" s="8" t="str">
        <f>IF($G332="","Uncategorized — Review",IFERROR(_xlfn.XLOOKUP($G332,Mapping!$A:$A,Mapping!$B:$B),"Uncategorized — Review"))</f>
        <v>Personal - Food &amp; Dining</v>
      </c>
      <c r="J332" s="8" t="str">
        <f>IF($G332="","Uncategorized — Review",IFERROR(_xlfn.XLOOKUP($G332,Mapping!$A:$A,Mapping!$C:$C),"Uncategorized — Review"))</f>
        <v>Personal — Owner</v>
      </c>
    </row>
    <row r="333" spans="1:10" x14ac:dyDescent="0.25">
      <c r="A333" s="8" t="str">
        <f>'2025_Chase9335_Activity_2026062'!A333</f>
        <v>DEBIT</v>
      </c>
      <c r="B333" s="24">
        <f>'2025_Chase9335_Activity_2026062'!B333</f>
        <v>45910</v>
      </c>
      <c r="C333" s="8" t="str">
        <f>'2025_Chase9335_Activity_2026062'!C333</f>
        <v>AMAZON MKTPL*T194W50 Amzn.com/bill WA        09/10</v>
      </c>
      <c r="D333" s="8">
        <f>'2025_Chase9335_Activity_2026062'!D333</f>
        <v>-81.13</v>
      </c>
      <c r="E333" s="8" t="str">
        <f>'2025_Chase9335_Activity_2026062'!E333</f>
        <v>DEBIT_CARD</v>
      </c>
      <c r="F333" s="8">
        <f>'2025_Chase9335_Activity_2026062'!F333</f>
        <v>277273.61</v>
      </c>
      <c r="G333" s="8" t="str">
        <f>'2025_Chase9335_Activity_2026062'!G333</f>
        <v>Amazon</v>
      </c>
      <c r="H333" s="26">
        <f t="shared" si="5"/>
        <v>45901</v>
      </c>
      <c r="I333" s="8" t="str">
        <f>IF($G333="","Uncategorized — Review",IFERROR(_xlfn.XLOOKUP($G333,Mapping!$A:$A,Mapping!$B:$B),"Uncategorized — Review"))</f>
        <v>Amazon</v>
      </c>
      <c r="J333" s="8" t="str">
        <f>IF($G333="","Uncategorized — Review",IFERROR(_xlfn.XLOOKUP($G333,Mapping!$A:$A,Mapping!$C:$C),"Uncategorized — Review"))</f>
        <v>Personal — Owner</v>
      </c>
    </row>
    <row r="334" spans="1:10" x14ac:dyDescent="0.25">
      <c r="A334" s="8" t="str">
        <f>'2025_Chase9335_Activity_2026062'!A334</f>
        <v>CREDIT</v>
      </c>
      <c r="B334" s="24">
        <f>'2025_Chase9335_Activity_2026062'!B334</f>
        <v>45910</v>
      </c>
      <c r="C334" s="8" t="str">
        <f>'2025_Chase9335_Activity_2026062'!C334</f>
        <v>Online Transfer from CHK ...0805 transaction#: 26176816064</v>
      </c>
      <c r="D334" s="8">
        <f>'2025_Chase9335_Activity_2026062'!D334</f>
        <v>50000</v>
      </c>
      <c r="E334" s="8" t="str">
        <f>'2025_Chase9335_Activity_2026062'!E334</f>
        <v>ACCT_XFER</v>
      </c>
      <c r="F334" s="8">
        <f>'2025_Chase9335_Activity_2026062'!F334</f>
        <v>277354.74</v>
      </c>
      <c r="G334" s="8" t="str">
        <f>'2025_Chase9335_Activity_2026062'!G334</f>
        <v>Transfer from Breese</v>
      </c>
      <c r="H334" s="26">
        <f t="shared" si="5"/>
        <v>45901</v>
      </c>
      <c r="I334" s="8" t="str">
        <f>IF($G334="","Uncategorized — Review",IFERROR(_xlfn.XLOOKUP($G334,Mapping!$A:$A,Mapping!$B:$B),"Uncategorized — Review"))</f>
        <v>Transfer from Breese</v>
      </c>
      <c r="J334" s="8" t="str">
        <f>IF($G334="","Uncategorized — Review",IFERROR(_xlfn.XLOOKUP($G334,Mapping!$A:$A,Mapping!$C:$C),"Uncategorized — Review"))</f>
        <v>Intercompany &amp; Savings Transfers</v>
      </c>
    </row>
    <row r="335" spans="1:10" x14ac:dyDescent="0.25">
      <c r="A335" s="8" t="str">
        <f>'2025_Chase9335_Activity_2026062'!A335</f>
        <v>DEBIT</v>
      </c>
      <c r="B335" s="24">
        <f>'2025_Chase9335_Activity_2026062'!B335</f>
        <v>45909</v>
      </c>
      <c r="C335" s="8" t="str">
        <f>'2025_Chase9335_Activity_2026062'!C335</f>
        <v>UBER *ONE MEMBERSHIP SAN FRANCISCO CA094563  09/09</v>
      </c>
      <c r="D335" s="8">
        <f>'2025_Chase9335_Activity_2026062'!D335</f>
        <v>-9.99</v>
      </c>
      <c r="E335" s="8" t="str">
        <f>'2025_Chase9335_Activity_2026062'!E335</f>
        <v>DEBIT_CARD</v>
      </c>
      <c r="F335" s="8">
        <f>'2025_Chase9335_Activity_2026062'!F335</f>
        <v>227354.74</v>
      </c>
      <c r="G335" s="8" t="str">
        <f>'2025_Chase9335_Activity_2026062'!G335</f>
        <v>Personal - Subscriptions</v>
      </c>
      <c r="H335" s="26">
        <f t="shared" si="5"/>
        <v>45901</v>
      </c>
      <c r="I335" s="8" t="str">
        <f>IF($G335="","Uncategorized — Review",IFERROR(_xlfn.XLOOKUP($G335,Mapping!$A:$A,Mapping!$B:$B),"Uncategorized — Review"))</f>
        <v>Personal - Subscriptions</v>
      </c>
      <c r="J335" s="8" t="str">
        <f>IF($G335="","Uncategorized — Review",IFERROR(_xlfn.XLOOKUP($G335,Mapping!$A:$A,Mapping!$C:$C),"Uncategorized — Review"))</f>
        <v>Personal — Owner</v>
      </c>
    </row>
    <row r="336" spans="1:10" x14ac:dyDescent="0.25">
      <c r="A336" s="8" t="str">
        <f>'2025_Chase9335_Activity_2026062'!A336</f>
        <v>DEBIT</v>
      </c>
      <c r="B336" s="24">
        <f>'2025_Chase9335_Activity_2026062'!B336</f>
        <v>45909</v>
      </c>
      <c r="C336" s="8" t="str">
        <f>'2025_Chase9335_Activity_2026062'!C336</f>
        <v>AMAZON MKTPL*J08D98K Amzn.com/bill WA        09/09</v>
      </c>
      <c r="D336" s="8">
        <f>'2025_Chase9335_Activity_2026062'!D336</f>
        <v>-108.24</v>
      </c>
      <c r="E336" s="8" t="str">
        <f>'2025_Chase9335_Activity_2026062'!E336</f>
        <v>DEBIT_CARD</v>
      </c>
      <c r="F336" s="8">
        <f>'2025_Chase9335_Activity_2026062'!F336</f>
        <v>227364.73</v>
      </c>
      <c r="G336" s="8" t="str">
        <f>'2025_Chase9335_Activity_2026062'!G336</f>
        <v>Amazon</v>
      </c>
      <c r="H336" s="26">
        <f t="shared" si="5"/>
        <v>45901</v>
      </c>
      <c r="I336" s="8" t="str">
        <f>IF($G336="","Uncategorized — Review",IFERROR(_xlfn.XLOOKUP($G336,Mapping!$A:$A,Mapping!$B:$B),"Uncategorized — Review"))</f>
        <v>Amazon</v>
      </c>
      <c r="J336" s="8" t="str">
        <f>IF($G336="","Uncategorized — Review",IFERROR(_xlfn.XLOOKUP($G336,Mapping!$A:$A,Mapping!$C:$C),"Uncategorized — Review"))</f>
        <v>Personal — Owner</v>
      </c>
    </row>
    <row r="337" spans="1:10" x14ac:dyDescent="0.25">
      <c r="A337" s="8" t="str">
        <f>'2025_Chase9335_Activity_2026062'!A337</f>
        <v>DEBIT</v>
      </c>
      <c r="B337" s="24">
        <f>'2025_Chase9335_Activity_2026062'!B337</f>
        <v>45909</v>
      </c>
      <c r="C337" s="8" t="str">
        <f>'2025_Chase9335_Activity_2026062'!C337</f>
        <v>AMAZON MKTPL*WT7JZ6G Amzn.com/bill WA        09/08</v>
      </c>
      <c r="D337" s="8">
        <f>'2025_Chase9335_Activity_2026062'!D337</f>
        <v>-15.79</v>
      </c>
      <c r="E337" s="8" t="str">
        <f>'2025_Chase9335_Activity_2026062'!E337</f>
        <v>DEBIT_CARD</v>
      </c>
      <c r="F337" s="8">
        <f>'2025_Chase9335_Activity_2026062'!F337</f>
        <v>227472.97</v>
      </c>
      <c r="G337" s="8" t="str">
        <f>'2025_Chase9335_Activity_2026062'!G337</f>
        <v>Amazon</v>
      </c>
      <c r="H337" s="26">
        <f t="shared" si="5"/>
        <v>45901</v>
      </c>
      <c r="I337" s="8" t="str">
        <f>IF($G337="","Uncategorized — Review",IFERROR(_xlfn.XLOOKUP($G337,Mapping!$A:$A,Mapping!$B:$B),"Uncategorized — Review"))</f>
        <v>Amazon</v>
      </c>
      <c r="J337" s="8" t="str">
        <f>IF($G337="","Uncategorized — Review",IFERROR(_xlfn.XLOOKUP($G337,Mapping!$A:$A,Mapping!$C:$C),"Uncategorized — Review"))</f>
        <v>Personal — Owner</v>
      </c>
    </row>
    <row r="338" spans="1:10" x14ac:dyDescent="0.25">
      <c r="A338" s="8" t="str">
        <f>'2025_Chase9335_Activity_2026062'!A338</f>
        <v>DEBIT</v>
      </c>
      <c r="B338" s="24">
        <f>'2025_Chase9335_Activity_2026062'!B338</f>
        <v>45909</v>
      </c>
      <c r="C338" s="8" t="str">
        <f>'2025_Chase9335_Activity_2026062'!C338</f>
        <v>AMAZON MKTPL*WK24H8S Amzn.com/bill WA        09/08</v>
      </c>
      <c r="D338" s="8">
        <f>'2025_Chase9335_Activity_2026062'!D338</f>
        <v>-137.68</v>
      </c>
      <c r="E338" s="8" t="str">
        <f>'2025_Chase9335_Activity_2026062'!E338</f>
        <v>DEBIT_CARD</v>
      </c>
      <c r="F338" s="8">
        <f>'2025_Chase9335_Activity_2026062'!F338</f>
        <v>227488.76</v>
      </c>
      <c r="G338" s="8" t="str">
        <f>'2025_Chase9335_Activity_2026062'!G338</f>
        <v>Amazon</v>
      </c>
      <c r="H338" s="26">
        <f t="shared" si="5"/>
        <v>45901</v>
      </c>
      <c r="I338" s="8" t="str">
        <f>IF($G338="","Uncategorized — Review",IFERROR(_xlfn.XLOOKUP($G338,Mapping!$A:$A,Mapping!$B:$B),"Uncategorized — Review"))</f>
        <v>Amazon</v>
      </c>
      <c r="J338" s="8" t="str">
        <f>IF($G338="","Uncategorized — Review",IFERROR(_xlfn.XLOOKUP($G338,Mapping!$A:$A,Mapping!$C:$C),"Uncategorized — Review"))</f>
        <v>Personal — Owner</v>
      </c>
    </row>
    <row r="339" spans="1:10" x14ac:dyDescent="0.25">
      <c r="A339" s="8" t="str">
        <f>'2025_Chase9335_Activity_2026062'!A339</f>
        <v>CREDIT</v>
      </c>
      <c r="B339" s="24">
        <f>'2025_Chase9335_Activity_2026062'!B339</f>
        <v>45909</v>
      </c>
      <c r="C339" s="8" t="str">
        <f>'2025_Chase9335_Activity_2026062'!C339</f>
        <v>ORIG CO NAME:Rabourn Road Ind       ORIG ID:945440567  DESC DATE:       CO ENTRY DESCR:PAYMENT   SEC:PPD    TRACE#:273976364216630 EED:250909   IND ID:                             IND NAME:John Dunning TRN: 2524216630TC</v>
      </c>
      <c r="D339" s="8">
        <f>'2025_Chase9335_Activity_2026062'!D339</f>
        <v>233.33</v>
      </c>
      <c r="E339" s="8" t="str">
        <f>'2025_Chase9335_Activity_2026062'!E339</f>
        <v>ACH_CREDIT</v>
      </c>
      <c r="F339" s="8">
        <f>'2025_Chase9335_Activity_2026062'!F339</f>
        <v>227626.44</v>
      </c>
      <c r="G339" s="8" t="str">
        <f>'2025_Chase9335_Activity_2026062'!G339</f>
        <v>Deal Specific: Rabourn Road</v>
      </c>
      <c r="H339" s="26">
        <f t="shared" si="5"/>
        <v>45901</v>
      </c>
      <c r="I339" s="8" t="str">
        <f>IF($G339="","Uncategorized — Review",IFERROR(_xlfn.XLOOKUP($G339,Mapping!$A:$A,Mapping!$B:$B),"Uncategorized — Review"))</f>
        <v>Deal Specific: Rabourn Road</v>
      </c>
      <c r="J339" s="8" t="str">
        <f>IF($G339="","Uncategorized — Review",IFERROR(_xlfn.XLOOKUP($G339,Mapping!$A:$A,Mapping!$C:$C),"Uncategorized — Review"))</f>
        <v>Deal-Specific</v>
      </c>
    </row>
    <row r="340" spans="1:10" x14ac:dyDescent="0.25">
      <c r="A340" s="8" t="str">
        <f>'2025_Chase9335_Activity_2026062'!A340</f>
        <v>CREDIT</v>
      </c>
      <c r="B340" s="24">
        <f>'2025_Chase9335_Activity_2026062'!B340</f>
        <v>45909</v>
      </c>
      <c r="C340" s="8" t="str">
        <f>'2025_Chase9335_Activity_2026062'!C340</f>
        <v>ORIG CO NAME:MRM Industrial P       ORIG ID:945440567  DESC DATE:       CO ENTRY DESCR:PAYMENT   SEC:PPD    TRACE#:273976364218138 EED:250909   IND ID:                             IND NAME:John Dunning TRN: 2524218138TC</v>
      </c>
      <c r="D340" s="8">
        <f>'2025_Chase9335_Activity_2026062'!D340</f>
        <v>236.37</v>
      </c>
      <c r="E340" s="8" t="str">
        <f>'2025_Chase9335_Activity_2026062'!E340</f>
        <v>ACH_CREDIT</v>
      </c>
      <c r="F340" s="8">
        <f>'2025_Chase9335_Activity_2026062'!F340</f>
        <v>227393.11</v>
      </c>
      <c r="G340" s="8" t="str">
        <f>'2025_Chase9335_Activity_2026062'!G340</f>
        <v>Deal Specific: MRM</v>
      </c>
      <c r="H340" s="26">
        <f t="shared" si="5"/>
        <v>45901</v>
      </c>
      <c r="I340" s="8" t="str">
        <f>IF($G340="","Uncategorized — Review",IFERROR(_xlfn.XLOOKUP($G340,Mapping!$A:$A,Mapping!$B:$B),"Uncategorized — Review"))</f>
        <v>Deal Specific: MRM</v>
      </c>
      <c r="J340" s="8" t="str">
        <f>IF($G340="","Uncategorized — Review",IFERROR(_xlfn.XLOOKUP($G340,Mapping!$A:$A,Mapping!$C:$C),"Uncategorized — Review"))</f>
        <v>Deal-Specific</v>
      </c>
    </row>
    <row r="341" spans="1:10" x14ac:dyDescent="0.25">
      <c r="A341" s="8" t="str">
        <f>'2025_Chase9335_Activity_2026062'!A341</f>
        <v>CREDIT</v>
      </c>
      <c r="B341" s="24">
        <f>'2025_Chase9335_Activity_2026062'!B341</f>
        <v>45909</v>
      </c>
      <c r="C341" s="8" t="str">
        <f>'2025_Chase9335_Activity_2026062'!C341</f>
        <v>ORIG CO NAME:Austin Iron Hold       ORIG ID:945440567  DESC DATE:       CO ENTRY DESCR:PAYMENT   SEC:PPD    TRACE#:273976364216742 EED:250909   IND ID:                             IND NAME:John Dunning TRN: 2524216742TC</v>
      </c>
      <c r="D341" s="8">
        <f>'2025_Chase9335_Activity_2026062'!D341</f>
        <v>350</v>
      </c>
      <c r="E341" s="8" t="str">
        <f>'2025_Chase9335_Activity_2026062'!E341</f>
        <v>ACH_CREDIT</v>
      </c>
      <c r="F341" s="8">
        <f>'2025_Chase9335_Activity_2026062'!F341</f>
        <v>227156.74</v>
      </c>
      <c r="G341" s="8" t="str">
        <f>'2025_Chase9335_Activity_2026062'!G341</f>
        <v>Deal Specific: Austin Iron</v>
      </c>
      <c r="H341" s="26">
        <f t="shared" si="5"/>
        <v>45901</v>
      </c>
      <c r="I341" s="8" t="str">
        <f>IF($G341="","Uncategorized — Review",IFERROR(_xlfn.XLOOKUP($G341,Mapping!$A:$A,Mapping!$B:$B),"Uncategorized — Review"))</f>
        <v>Deal Specific: Austin Iron</v>
      </c>
      <c r="J341" s="8" t="str">
        <f>IF($G341="","Uncategorized — Review",IFERROR(_xlfn.XLOOKUP($G341,Mapping!$A:$A,Mapping!$C:$C),"Uncategorized — Review"))</f>
        <v>Deal-Specific</v>
      </c>
    </row>
    <row r="342" spans="1:10" x14ac:dyDescent="0.25">
      <c r="A342" s="8" t="str">
        <f>'2025_Chase9335_Activity_2026062'!A342</f>
        <v>CREDIT</v>
      </c>
      <c r="B342" s="24">
        <f>'2025_Chase9335_Activity_2026062'!B342</f>
        <v>45909</v>
      </c>
      <c r="C342" s="8" t="str">
        <f>'2025_Chase9335_Activity_2026062'!C342</f>
        <v>ORIG CO NAME:Merit-Lancaster        ORIG ID:945440567  DESC DATE:       CO ENTRY DESCR:PAYMENT   SEC:PPD    TRACE#:273976364218234 EED:250909   IND ID:                             IND NAME:John Dunning TRN: 2524218234TC</v>
      </c>
      <c r="D342" s="8">
        <f>'2025_Chase9335_Activity_2026062'!D342</f>
        <v>476.41</v>
      </c>
      <c r="E342" s="8" t="str">
        <f>'2025_Chase9335_Activity_2026062'!E342</f>
        <v>ACH_CREDIT</v>
      </c>
      <c r="F342" s="8">
        <f>'2025_Chase9335_Activity_2026062'!F342</f>
        <v>226806.74</v>
      </c>
      <c r="G342" s="8" t="str">
        <f>'2025_Chase9335_Activity_2026062'!G342</f>
        <v>Deal Specific: Merit-Lancaster</v>
      </c>
      <c r="H342" s="26">
        <f t="shared" si="5"/>
        <v>45901</v>
      </c>
      <c r="I342" s="8" t="str">
        <f>IF($G342="","Uncategorized — Review",IFERROR(_xlfn.XLOOKUP($G342,Mapping!$A:$A,Mapping!$B:$B),"Uncategorized — Review"))</f>
        <v>Deal Specific: Merit-Lancaster</v>
      </c>
      <c r="J342" s="8" t="str">
        <f>IF($G342="","Uncategorized — Review",IFERROR(_xlfn.XLOOKUP($G342,Mapping!$A:$A,Mapping!$C:$C),"Uncategorized — Review"))</f>
        <v>Deal-Specific</v>
      </c>
    </row>
    <row r="343" spans="1:10" x14ac:dyDescent="0.25">
      <c r="A343" s="8" t="str">
        <f>'2025_Chase9335_Activity_2026062'!A343</f>
        <v>DEBIT</v>
      </c>
      <c r="B343" s="24">
        <f>'2025_Chase9335_Activity_2026062'!B343</f>
        <v>45908</v>
      </c>
      <c r="C343" s="8" t="str">
        <f>'2025_Chase9335_Activity_2026062'!C343</f>
        <v>FOREIGN EXCHANGE RATE ADJUSTMENT FEE         09/05GLOBAL VI</v>
      </c>
      <c r="D343" s="8">
        <f>'2025_Chase9335_Activity_2026062'!D343</f>
        <v>-0.02</v>
      </c>
      <c r="E343" s="8" t="str">
        <f>'2025_Chase9335_Activity_2026062'!E343</f>
        <v>FEE_TRANSACTION</v>
      </c>
      <c r="F343" s="8">
        <f>'2025_Chase9335_Activity_2026062'!F343</f>
        <v>226330.33</v>
      </c>
      <c r="G343" s="8" t="str">
        <f>'2025_Chase9335_Activity_2026062'!G343</f>
        <v>Personal - Travel (Costa Rica Trip #2)</v>
      </c>
      <c r="H343" s="26">
        <f t="shared" si="5"/>
        <v>45901</v>
      </c>
      <c r="I343" s="8" t="str">
        <f>IF($G343="","Uncategorized — Review",IFERROR(_xlfn.XLOOKUP($G343,Mapping!$A:$A,Mapping!$B:$B),"Uncategorized — Review"))</f>
        <v>Personal - Travel (Costa Rica Trip #2)</v>
      </c>
      <c r="J343" s="8" t="str">
        <f>IF($G343="","Uncategorized — Review",IFERROR(_xlfn.XLOOKUP($G343,Mapping!$A:$A,Mapping!$C:$C),"Uncategorized — Review"))</f>
        <v>Personal — Owner</v>
      </c>
    </row>
    <row r="344" spans="1:10" x14ac:dyDescent="0.25">
      <c r="A344" s="8" t="str">
        <f>'2025_Chase9335_Activity_2026062'!A344</f>
        <v>DEBIT</v>
      </c>
      <c r="B344" s="24">
        <f>'2025_Chase9335_Activity_2026062'!B344</f>
        <v>45908</v>
      </c>
      <c r="C344" s="8" t="str">
        <f>'2025_Chase9335_Activity_2026062'!C344</f>
        <v>FOREIGN EXCHANGE RATE ADJUSTMENT FEE         09/05GLOBAL VI</v>
      </c>
      <c r="D344" s="8">
        <f>'2025_Chase9335_Activity_2026062'!D344</f>
        <v>-0.02</v>
      </c>
      <c r="E344" s="8" t="str">
        <f>'2025_Chase9335_Activity_2026062'!E344</f>
        <v>FEE_TRANSACTION</v>
      </c>
      <c r="F344" s="8">
        <f>'2025_Chase9335_Activity_2026062'!F344</f>
        <v>226330.35</v>
      </c>
      <c r="G344" s="8" t="str">
        <f>'2025_Chase9335_Activity_2026062'!G344</f>
        <v>Personal - Travel (Costa Rica Trip #2)</v>
      </c>
      <c r="H344" s="26">
        <f t="shared" si="5"/>
        <v>45901</v>
      </c>
      <c r="I344" s="8" t="str">
        <f>IF($G344="","Uncategorized — Review",IFERROR(_xlfn.XLOOKUP($G344,Mapping!$A:$A,Mapping!$B:$B),"Uncategorized — Review"))</f>
        <v>Personal - Travel (Costa Rica Trip #2)</v>
      </c>
      <c r="J344" s="8" t="str">
        <f>IF($G344="","Uncategorized — Review",IFERROR(_xlfn.XLOOKUP($G344,Mapping!$A:$A,Mapping!$C:$C),"Uncategorized — Review"))</f>
        <v>Personal — Owner</v>
      </c>
    </row>
    <row r="345" spans="1:10" x14ac:dyDescent="0.25">
      <c r="A345" s="8" t="str">
        <f>'2025_Chase9335_Activity_2026062'!A345</f>
        <v>DEBIT</v>
      </c>
      <c r="B345" s="24">
        <f>'2025_Chase9335_Activity_2026062'!B345</f>
        <v>45908</v>
      </c>
      <c r="C345" s="8" t="str">
        <f>'2025_Chase9335_Activity_2026062'!C345</f>
        <v>Prime Video *B11057R2 888-802-3080 WA        09/07</v>
      </c>
      <c r="D345" s="8">
        <f>'2025_Chase9335_Activity_2026062'!D345</f>
        <v>-4.26</v>
      </c>
      <c r="E345" s="8" t="str">
        <f>'2025_Chase9335_Activity_2026062'!E345</f>
        <v>DEBIT_CARD</v>
      </c>
      <c r="F345" s="8">
        <f>'2025_Chase9335_Activity_2026062'!F345</f>
        <v>226330.37</v>
      </c>
      <c r="G345" s="8" t="str">
        <f>'2025_Chase9335_Activity_2026062'!G345</f>
        <v>Amazon Prime Video</v>
      </c>
      <c r="H345" s="26">
        <f t="shared" si="5"/>
        <v>45901</v>
      </c>
      <c r="I345" s="8" t="str">
        <f>IF($G345="","Uncategorized — Review",IFERROR(_xlfn.XLOOKUP($G345,Mapping!$A:$A,Mapping!$B:$B),"Uncategorized — Review"))</f>
        <v>Amazon Prime Video</v>
      </c>
      <c r="J345" s="8" t="str">
        <f>IF($G345="","Uncategorized — Review",IFERROR(_xlfn.XLOOKUP($G345,Mapping!$A:$A,Mapping!$C:$C),"Uncategorized — Review"))</f>
        <v>Personal — Owner</v>
      </c>
    </row>
    <row r="346" spans="1:10" x14ac:dyDescent="0.25">
      <c r="A346" s="8" t="str">
        <f>'2025_Chase9335_Activity_2026062'!A346</f>
        <v>DEBIT</v>
      </c>
      <c r="B346" s="24">
        <f>'2025_Chase9335_Activity_2026062'!B346</f>
        <v>45908</v>
      </c>
      <c r="C346" s="8" t="str">
        <f>'2025_Chase9335_Activity_2026062'!C346</f>
        <v>AMAZON MKTPL*GL8QR7Q Amzn.com/bill WA        09/07</v>
      </c>
      <c r="D346" s="8">
        <f>'2025_Chase9335_Activity_2026062'!D346</f>
        <v>-105.95</v>
      </c>
      <c r="E346" s="8" t="str">
        <f>'2025_Chase9335_Activity_2026062'!E346</f>
        <v>DEBIT_CARD</v>
      </c>
      <c r="F346" s="8">
        <f>'2025_Chase9335_Activity_2026062'!F346</f>
        <v>226334.63</v>
      </c>
      <c r="G346" s="8" t="str">
        <f>'2025_Chase9335_Activity_2026062'!G346</f>
        <v>Amazon</v>
      </c>
      <c r="H346" s="26">
        <f t="shared" si="5"/>
        <v>45901</v>
      </c>
      <c r="I346" s="8" t="str">
        <f>IF($G346="","Uncategorized — Review",IFERROR(_xlfn.XLOOKUP($G346,Mapping!$A:$A,Mapping!$B:$B),"Uncategorized — Review"))</f>
        <v>Amazon</v>
      </c>
      <c r="J346" s="8" t="str">
        <f>IF($G346="","Uncategorized — Review",IFERROR(_xlfn.XLOOKUP($G346,Mapping!$A:$A,Mapping!$C:$C),"Uncategorized — Review"))</f>
        <v>Personal — Owner</v>
      </c>
    </row>
    <row r="347" spans="1:10" x14ac:dyDescent="0.25">
      <c r="A347" s="8" t="str">
        <f>'2025_Chase9335_Activity_2026062'!A347</f>
        <v>DEBIT</v>
      </c>
      <c r="B347" s="24">
        <f>'2025_Chase9335_Activity_2026062'!B347</f>
        <v>45908</v>
      </c>
      <c r="C347" s="8" t="str">
        <f>'2025_Chase9335_Activity_2026062'!C347</f>
        <v>Online Transfer to CHK ...6975 transaction#: 26141150353 09/08</v>
      </c>
      <c r="D347" s="8">
        <f>'2025_Chase9335_Activity_2026062'!D347</f>
        <v>-500</v>
      </c>
      <c r="E347" s="8" t="str">
        <f>'2025_Chase9335_Activity_2026062'!E347</f>
        <v>ACCT_XFER</v>
      </c>
      <c r="F347" s="8">
        <f>'2025_Chase9335_Activity_2026062'!F347</f>
        <v>226440.58</v>
      </c>
      <c r="G347" s="8" t="str">
        <f>'2025_Chase9335_Activity_2026062'!G347</f>
        <v>Transfer to Ava</v>
      </c>
      <c r="H347" s="26">
        <f t="shared" si="5"/>
        <v>45901</v>
      </c>
      <c r="I347" s="8" t="str">
        <f>IF($G347="","Uncategorized — Review",IFERROR(_xlfn.XLOOKUP($G347,Mapping!$A:$A,Mapping!$B:$B),"Uncategorized — Review"))</f>
        <v>Transfer to Ava</v>
      </c>
      <c r="J347" s="8" t="str">
        <f>IF($G347="","Uncategorized — Review",IFERROR(_xlfn.XLOOKUP($G347,Mapping!$A:$A,Mapping!$C:$C),"Uncategorized — Review"))</f>
        <v>Owner / Family Distributions</v>
      </c>
    </row>
    <row r="348" spans="1:10" x14ac:dyDescent="0.25">
      <c r="A348" s="8" t="str">
        <f>'2025_Chase9335_Activity_2026062'!A348</f>
        <v>DEBIT</v>
      </c>
      <c r="B348" s="24">
        <f>'2025_Chase9335_Activity_2026062'!B348</f>
        <v>45908</v>
      </c>
      <c r="C348" s="8" t="str">
        <f>'2025_Chase9335_Activity_2026062'!C348</f>
        <v>AMAZON MKTPL*JF7A89U Amzn.com/bill WA        09/07</v>
      </c>
      <c r="D348" s="8">
        <f>'2025_Chase9335_Activity_2026062'!D348</f>
        <v>-47.28</v>
      </c>
      <c r="E348" s="8" t="str">
        <f>'2025_Chase9335_Activity_2026062'!E348</f>
        <v>DEBIT_CARD</v>
      </c>
      <c r="F348" s="8">
        <f>'2025_Chase9335_Activity_2026062'!F348</f>
        <v>226940.58</v>
      </c>
      <c r="G348" s="8" t="str">
        <f>'2025_Chase9335_Activity_2026062'!G348</f>
        <v>Amazon</v>
      </c>
      <c r="H348" s="26">
        <f t="shared" si="5"/>
        <v>45901</v>
      </c>
      <c r="I348" s="8" t="str">
        <f>IF($G348="","Uncategorized — Review",IFERROR(_xlfn.XLOOKUP($G348,Mapping!$A:$A,Mapping!$B:$B),"Uncategorized — Review"))</f>
        <v>Amazon</v>
      </c>
      <c r="J348" s="8" t="str">
        <f>IF($G348="","Uncategorized — Review",IFERROR(_xlfn.XLOOKUP($G348,Mapping!$A:$A,Mapping!$C:$C),"Uncategorized — Review"))</f>
        <v>Personal — Owner</v>
      </c>
    </row>
    <row r="349" spans="1:10" x14ac:dyDescent="0.25">
      <c r="A349" s="8" t="str">
        <f>'2025_Chase9335_Activity_2026062'!A349</f>
        <v>DEBIT</v>
      </c>
      <c r="B349" s="24">
        <f>'2025_Chase9335_Activity_2026062'!B349</f>
        <v>45908</v>
      </c>
      <c r="C349" s="8" t="str">
        <f>'2025_Chase9335_Activity_2026062'!C349</f>
        <v>LADOT METER PARKING LOS ANGELES CA           09/06</v>
      </c>
      <c r="D349" s="8">
        <f>'2025_Chase9335_Activity_2026062'!D349</f>
        <v>-1</v>
      </c>
      <c r="E349" s="8" t="str">
        <f>'2025_Chase9335_Activity_2026062'!E349</f>
        <v>DEBIT_CARD</v>
      </c>
      <c r="F349" s="8">
        <f>'2025_Chase9335_Activity_2026062'!F349</f>
        <v>226987.86</v>
      </c>
      <c r="G349" s="8" t="str">
        <f>'2025_Chase9335_Activity_2026062'!G349</f>
        <v>Personal - Car</v>
      </c>
      <c r="H349" s="26">
        <f t="shared" si="5"/>
        <v>45901</v>
      </c>
      <c r="I349" s="8" t="str">
        <f>IF($G349="","Uncategorized — Review",IFERROR(_xlfn.XLOOKUP($G349,Mapping!$A:$A,Mapping!$B:$B),"Uncategorized — Review"))</f>
        <v>Personal - Car &amp; Auto</v>
      </c>
      <c r="J349" s="8" t="str">
        <f>IF($G349="","Uncategorized — Review",IFERROR(_xlfn.XLOOKUP($G349,Mapping!$A:$A,Mapping!$C:$C),"Uncategorized — Review"))</f>
        <v>Personal — Owner</v>
      </c>
    </row>
    <row r="350" spans="1:10" x14ac:dyDescent="0.25">
      <c r="A350" s="8" t="str">
        <f>'2025_Chase9335_Activity_2026062'!A350</f>
        <v>DEBIT</v>
      </c>
      <c r="B350" s="24">
        <f>'2025_Chase9335_Activity_2026062'!B350</f>
        <v>45908</v>
      </c>
      <c r="C350" s="8" t="str">
        <f>'2025_Chase9335_Activity_2026062'!C350</f>
        <v>UBER   *EATS HELP.UBER.COM CA                09/07</v>
      </c>
      <c r="D350" s="8">
        <f>'2025_Chase9335_Activity_2026062'!D350</f>
        <v>-186.27</v>
      </c>
      <c r="E350" s="8" t="str">
        <f>'2025_Chase9335_Activity_2026062'!E350</f>
        <v>DEBIT_CARD</v>
      </c>
      <c r="F350" s="8">
        <f>'2025_Chase9335_Activity_2026062'!F350</f>
        <v>226988.86</v>
      </c>
      <c r="G350" s="8" t="str">
        <f>'2025_Chase9335_Activity_2026062'!G350</f>
        <v>Personal - Food &amp; Dining</v>
      </c>
      <c r="H350" s="26">
        <f t="shared" si="5"/>
        <v>45901</v>
      </c>
      <c r="I350" s="8" t="str">
        <f>IF($G350="","Uncategorized — Review",IFERROR(_xlfn.XLOOKUP($G350,Mapping!$A:$A,Mapping!$B:$B),"Uncategorized — Review"))</f>
        <v>Personal - Food &amp; Dining</v>
      </c>
      <c r="J350" s="8" t="str">
        <f>IF($G350="","Uncategorized — Review",IFERROR(_xlfn.XLOOKUP($G350,Mapping!$A:$A,Mapping!$C:$C),"Uncategorized — Review"))</f>
        <v>Personal — Owner</v>
      </c>
    </row>
    <row r="351" spans="1:10" x14ac:dyDescent="0.25">
      <c r="A351" s="8" t="str">
        <f>'2025_Chase9335_Activity_2026062'!A351</f>
        <v>DEBIT</v>
      </c>
      <c r="B351" s="24">
        <f>'2025_Chase9335_Activity_2026062'!B351</f>
        <v>45908</v>
      </c>
      <c r="C351" s="8" t="str">
        <f>'2025_Chase9335_Activity_2026062'!C351</f>
        <v>APPLE.COM/BILL 866-712-7753 CA               09/06</v>
      </c>
      <c r="D351" s="8">
        <f>'2025_Chase9335_Activity_2026062'!D351</f>
        <v>-30.89</v>
      </c>
      <c r="E351" s="8" t="str">
        <f>'2025_Chase9335_Activity_2026062'!E351</f>
        <v>DEBIT_CARD</v>
      </c>
      <c r="F351" s="8">
        <f>'2025_Chase9335_Activity_2026062'!F351</f>
        <v>227175.13</v>
      </c>
      <c r="G351" s="8" t="str">
        <f>'2025_Chase9335_Activity_2026062'!G351</f>
        <v>Personal - Subscriptions</v>
      </c>
      <c r="H351" s="26">
        <f t="shared" si="5"/>
        <v>45901</v>
      </c>
      <c r="I351" s="8" t="str">
        <f>IF($G351="","Uncategorized — Review",IFERROR(_xlfn.XLOOKUP($G351,Mapping!$A:$A,Mapping!$B:$B),"Uncategorized — Review"))</f>
        <v>Personal - Subscriptions</v>
      </c>
      <c r="J351" s="8" t="str">
        <f>IF($G351="","Uncategorized — Review",IFERROR(_xlfn.XLOOKUP($G351,Mapping!$A:$A,Mapping!$C:$C),"Uncategorized — Review"))</f>
        <v>Personal — Owner</v>
      </c>
    </row>
    <row r="352" spans="1:10" x14ac:dyDescent="0.25">
      <c r="A352" s="8" t="str">
        <f>'2025_Chase9335_Activity_2026062'!A352</f>
        <v>DEBIT</v>
      </c>
      <c r="B352" s="24">
        <f>'2025_Chase9335_Activity_2026062'!B352</f>
        <v>45908</v>
      </c>
      <c r="C352" s="8" t="str">
        <f>'2025_Chase9335_Activity_2026062'!C352</f>
        <v>APPLE.COM/BILL 866-712-7753 CA               09/06</v>
      </c>
      <c r="D352" s="8">
        <f>'2025_Chase9335_Activity_2026062'!D352</f>
        <v>-9.99</v>
      </c>
      <c r="E352" s="8" t="str">
        <f>'2025_Chase9335_Activity_2026062'!E352</f>
        <v>DEBIT_CARD</v>
      </c>
      <c r="F352" s="8">
        <f>'2025_Chase9335_Activity_2026062'!F352</f>
        <v>227206.02</v>
      </c>
      <c r="G352" s="8" t="str">
        <f>'2025_Chase9335_Activity_2026062'!G352</f>
        <v>Personal - Subscriptions</v>
      </c>
      <c r="H352" s="26">
        <f t="shared" si="5"/>
        <v>45901</v>
      </c>
      <c r="I352" s="8" t="str">
        <f>IF($G352="","Uncategorized — Review",IFERROR(_xlfn.XLOOKUP($G352,Mapping!$A:$A,Mapping!$B:$B),"Uncategorized — Review"))</f>
        <v>Personal - Subscriptions</v>
      </c>
      <c r="J352" s="8" t="str">
        <f>IF($G352="","Uncategorized — Review",IFERROR(_xlfn.XLOOKUP($G352,Mapping!$A:$A,Mapping!$C:$C),"Uncategorized — Review"))</f>
        <v>Personal — Owner</v>
      </c>
    </row>
    <row r="353" spans="1:10" x14ac:dyDescent="0.25">
      <c r="A353" s="8" t="str">
        <f>'2025_Chase9335_Activity_2026062'!A353</f>
        <v>DEBIT</v>
      </c>
      <c r="B353" s="24">
        <f>'2025_Chase9335_Activity_2026062'!B353</f>
        <v>45908</v>
      </c>
      <c r="C353" s="8" t="str">
        <f>'2025_Chase9335_Activity_2026062'!C353</f>
        <v>AMAZON MKTPL*1167E6O Amzn.com/bill WA        09/07</v>
      </c>
      <c r="D353" s="8">
        <f>'2025_Chase9335_Activity_2026062'!D353</f>
        <v>-64.81</v>
      </c>
      <c r="E353" s="8" t="str">
        <f>'2025_Chase9335_Activity_2026062'!E353</f>
        <v>DEBIT_CARD</v>
      </c>
      <c r="F353" s="8">
        <f>'2025_Chase9335_Activity_2026062'!F353</f>
        <v>227216.01</v>
      </c>
      <c r="G353" s="8" t="str">
        <f>'2025_Chase9335_Activity_2026062'!G353</f>
        <v>Amazon</v>
      </c>
      <c r="H353" s="26">
        <f t="shared" si="5"/>
        <v>45901</v>
      </c>
      <c r="I353" s="8" t="str">
        <f>IF($G353="","Uncategorized — Review",IFERROR(_xlfn.XLOOKUP($G353,Mapping!$A:$A,Mapping!$B:$B),"Uncategorized — Review"))</f>
        <v>Amazon</v>
      </c>
      <c r="J353" s="8" t="str">
        <f>IF($G353="","Uncategorized — Review",IFERROR(_xlfn.XLOOKUP($G353,Mapping!$A:$A,Mapping!$C:$C),"Uncategorized — Review"))</f>
        <v>Personal — Owner</v>
      </c>
    </row>
    <row r="354" spans="1:10" x14ac:dyDescent="0.25">
      <c r="A354" s="8" t="str">
        <f>'2025_Chase9335_Activity_2026062'!A354</f>
        <v>DEBIT</v>
      </c>
      <c r="B354" s="24">
        <f>'2025_Chase9335_Activity_2026062'!B354</f>
        <v>45908</v>
      </c>
      <c r="C354" s="8" t="str">
        <f>'2025_Chase9335_Activity_2026062'!C354</f>
        <v>GLOBAL VIA RUTA 27 SAN JOSE                  09/05 CR Colon   460.00 X 0.001978261 (EXCHG RTE)</v>
      </c>
      <c r="D354" s="8">
        <f>'2025_Chase9335_Activity_2026062'!D354</f>
        <v>-0.91</v>
      </c>
      <c r="E354" s="8" t="str">
        <f>'2025_Chase9335_Activity_2026062'!E354</f>
        <v>DEBIT_CARD</v>
      </c>
      <c r="F354" s="8">
        <f>'2025_Chase9335_Activity_2026062'!F354</f>
        <v>227280.82</v>
      </c>
      <c r="G354" s="8" t="str">
        <f>'2025_Chase9335_Activity_2026062'!G354</f>
        <v>Personal - Travel (Costa Rica Trip #2)</v>
      </c>
      <c r="H354" s="26">
        <f t="shared" si="5"/>
        <v>45901</v>
      </c>
      <c r="I354" s="8" t="str">
        <f>IF($G354="","Uncategorized — Review",IFERROR(_xlfn.XLOOKUP($G354,Mapping!$A:$A,Mapping!$B:$B),"Uncategorized — Review"))</f>
        <v>Personal - Travel (Costa Rica Trip #2)</v>
      </c>
      <c r="J354" s="8" t="str">
        <f>IF($G354="","Uncategorized — Review",IFERROR(_xlfn.XLOOKUP($G354,Mapping!$A:$A,Mapping!$C:$C),"Uncategorized — Review"))</f>
        <v>Personal — Owner</v>
      </c>
    </row>
    <row r="355" spans="1:10" x14ac:dyDescent="0.25">
      <c r="A355" s="8" t="str">
        <f>'2025_Chase9335_Activity_2026062'!A355</f>
        <v>DEBIT</v>
      </c>
      <c r="B355" s="24">
        <f>'2025_Chase9335_Activity_2026062'!B355</f>
        <v>45908</v>
      </c>
      <c r="C355" s="8" t="str">
        <f>'2025_Chase9335_Activity_2026062'!C355</f>
        <v>GLOBAL VIA RUTA 27 SAN JOSE                  09/05 CR Colon   460.00 X 0.001978261 (EXCHG RTE)</v>
      </c>
      <c r="D355" s="8">
        <f>'2025_Chase9335_Activity_2026062'!D355</f>
        <v>-0.91</v>
      </c>
      <c r="E355" s="8" t="str">
        <f>'2025_Chase9335_Activity_2026062'!E355</f>
        <v>DEBIT_CARD</v>
      </c>
      <c r="F355" s="8">
        <f>'2025_Chase9335_Activity_2026062'!F355</f>
        <v>227281.73</v>
      </c>
      <c r="G355" s="8" t="str">
        <f>'2025_Chase9335_Activity_2026062'!G355</f>
        <v>Personal - Travel (Costa Rica Trip #2)</v>
      </c>
      <c r="H355" s="26">
        <f t="shared" si="5"/>
        <v>45901</v>
      </c>
      <c r="I355" s="8" t="str">
        <f>IF($G355="","Uncategorized — Review",IFERROR(_xlfn.XLOOKUP($G355,Mapping!$A:$A,Mapping!$B:$B),"Uncategorized — Review"))</f>
        <v>Personal - Travel (Costa Rica Trip #2)</v>
      </c>
      <c r="J355" s="8" t="str">
        <f>IF($G355="","Uncategorized — Review",IFERROR(_xlfn.XLOOKUP($G355,Mapping!$A:$A,Mapping!$C:$C),"Uncategorized — Review"))</f>
        <v>Personal — Owner</v>
      </c>
    </row>
    <row r="356" spans="1:10" x14ac:dyDescent="0.25">
      <c r="A356" s="8" t="str">
        <f>'2025_Chase9335_Activity_2026062'!A356</f>
        <v>DEBIT</v>
      </c>
      <c r="B356" s="24">
        <f>'2025_Chase9335_Activity_2026062'!B356</f>
        <v>45908</v>
      </c>
      <c r="C356" s="8" t="str">
        <f>'2025_Chase9335_Activity_2026062'!C356</f>
        <v>AMAZON MKTPL*NC8O911 Amzn.com/bill WA        09/06</v>
      </c>
      <c r="D356" s="8">
        <f>'2025_Chase9335_Activity_2026062'!D356</f>
        <v>-121.75</v>
      </c>
      <c r="E356" s="8" t="str">
        <f>'2025_Chase9335_Activity_2026062'!E356</f>
        <v>DEBIT_CARD</v>
      </c>
      <c r="F356" s="8">
        <f>'2025_Chase9335_Activity_2026062'!F356</f>
        <v>227282.64</v>
      </c>
      <c r="G356" s="8" t="str">
        <f>'2025_Chase9335_Activity_2026062'!G356</f>
        <v>Amazon</v>
      </c>
      <c r="H356" s="26">
        <f t="shared" si="5"/>
        <v>45901</v>
      </c>
      <c r="I356" s="8" t="str">
        <f>IF($G356="","Uncategorized — Review",IFERROR(_xlfn.XLOOKUP($G356,Mapping!$A:$A,Mapping!$B:$B),"Uncategorized — Review"))</f>
        <v>Amazon</v>
      </c>
      <c r="J356" s="8" t="str">
        <f>IF($G356="","Uncategorized — Review",IFERROR(_xlfn.XLOOKUP($G356,Mapping!$A:$A,Mapping!$C:$C),"Uncategorized — Review"))</f>
        <v>Personal — Owner</v>
      </c>
    </row>
    <row r="357" spans="1:10" x14ac:dyDescent="0.25">
      <c r="A357" s="8" t="str">
        <f>'2025_Chase9335_Activity_2026062'!A357</f>
        <v>DEBIT</v>
      </c>
      <c r="B357" s="24">
        <f>'2025_Chase9335_Activity_2026062'!B357</f>
        <v>45905</v>
      </c>
      <c r="C357" s="8" t="str">
        <f>'2025_Chase9335_Activity_2026062'!C357</f>
        <v>NON-CHASE ATM FEE-WITH</v>
      </c>
      <c r="D357" s="8">
        <f>'2025_Chase9335_Activity_2026062'!D357</f>
        <v>-5</v>
      </c>
      <c r="E357" s="8" t="str">
        <f>'2025_Chase9335_Activity_2026062'!E357</f>
        <v>FEE_TRANSACTION</v>
      </c>
      <c r="F357" s="8">
        <f>'2025_Chase9335_Activity_2026062'!F357</f>
        <v>227404.39</v>
      </c>
      <c r="G357" s="8" t="str">
        <f>'2025_Chase9335_Activity_2026062'!G357</f>
        <v>Bank Fees</v>
      </c>
      <c r="H357" s="26">
        <f t="shared" si="5"/>
        <v>45901</v>
      </c>
      <c r="I357" s="8" t="str">
        <f>IF($G357="","Uncategorized — Review",IFERROR(_xlfn.XLOOKUP($G357,Mapping!$A:$A,Mapping!$B:$B),"Uncategorized — Review"))</f>
        <v>Bank Fees</v>
      </c>
      <c r="J357" s="8" t="str">
        <f>IF($G357="","Uncategorized — Review",IFERROR(_xlfn.XLOOKUP($G357,Mapping!$A:$A,Mapping!$C:$C),"Uncategorized — Review"))</f>
        <v>DWG Operating</v>
      </c>
    </row>
    <row r="358" spans="1:10" x14ac:dyDescent="0.25">
      <c r="A358" s="8" t="str">
        <f>'2025_Chase9335_Activity_2026062'!A358</f>
        <v>DEBIT</v>
      </c>
      <c r="B358" s="24">
        <f>'2025_Chase9335_Activity_2026062'!B358</f>
        <v>45905</v>
      </c>
      <c r="C358" s="8" t="str">
        <f>'2025_Chase9335_Activity_2026062'!C358</f>
        <v>FOREIGN EXCHANGE RATE ADJUSTMENT FEE 075408  09/05CASINO FI</v>
      </c>
      <c r="D358" s="8">
        <f>'2025_Chase9335_Activity_2026062'!D358</f>
        <v>-6.17</v>
      </c>
      <c r="E358" s="8" t="str">
        <f>'2025_Chase9335_Activity_2026062'!E358</f>
        <v>FEE_TRANSACTION</v>
      </c>
      <c r="F358" s="8">
        <f>'2025_Chase9335_Activity_2026062'!F358</f>
        <v>227409.39</v>
      </c>
      <c r="G358" s="8" t="str">
        <f>'2025_Chase9335_Activity_2026062'!G358</f>
        <v>Personal - Travel (Costa Rica Trip #2)</v>
      </c>
      <c r="H358" s="26">
        <f t="shared" si="5"/>
        <v>45901</v>
      </c>
      <c r="I358" s="8" t="str">
        <f>IF($G358="","Uncategorized — Review",IFERROR(_xlfn.XLOOKUP($G358,Mapping!$A:$A,Mapping!$B:$B),"Uncategorized — Review"))</f>
        <v>Personal - Travel (Costa Rica Trip #2)</v>
      </c>
      <c r="J358" s="8" t="str">
        <f>IF($G358="","Uncategorized — Review",IFERROR(_xlfn.XLOOKUP($G358,Mapping!$A:$A,Mapping!$C:$C),"Uncategorized — Review"))</f>
        <v>Personal — Owner</v>
      </c>
    </row>
    <row r="359" spans="1:10" x14ac:dyDescent="0.25">
      <c r="A359" s="8" t="str">
        <f>'2025_Chase9335_Activity_2026062'!A359</f>
        <v>DEBIT</v>
      </c>
      <c r="B359" s="24">
        <f>'2025_Chase9335_Activity_2026062'!B359</f>
        <v>45905</v>
      </c>
      <c r="C359" s="8" t="str">
        <f>'2025_Chase9335_Activity_2026062'!C359</f>
        <v>NON-CHASE ATM WITHDRAW               075408  09/05CASINO FI CR Colon   100000.00 X 0.001977692 (EXCHG RTE)</v>
      </c>
      <c r="D359" s="8">
        <f>'2025_Chase9335_Activity_2026062'!D359</f>
        <v>-205.68</v>
      </c>
      <c r="E359" s="8" t="str">
        <f>'2025_Chase9335_Activity_2026062'!E359</f>
        <v>ATM</v>
      </c>
      <c r="F359" s="8">
        <f>'2025_Chase9335_Activity_2026062'!F359</f>
        <v>227415.56</v>
      </c>
      <c r="G359" s="8" t="str">
        <f>'2025_Chase9335_Activity_2026062'!G359</f>
        <v>Personal - Travel (Costa Rica Trip #2)</v>
      </c>
      <c r="H359" s="26">
        <f t="shared" si="5"/>
        <v>45901</v>
      </c>
      <c r="I359" s="8" t="str">
        <f>IF($G359="","Uncategorized — Review",IFERROR(_xlfn.XLOOKUP($G359,Mapping!$A:$A,Mapping!$B:$B),"Uncategorized — Review"))</f>
        <v>Personal - Travel (Costa Rica Trip #2)</v>
      </c>
      <c r="J359" s="8" t="str">
        <f>IF($G359="","Uncategorized — Review",IFERROR(_xlfn.XLOOKUP($G359,Mapping!$A:$A,Mapping!$C:$C),"Uncategorized — Review"))</f>
        <v>Personal — Owner</v>
      </c>
    </row>
    <row r="360" spans="1:10" x14ac:dyDescent="0.25">
      <c r="A360" s="8" t="str">
        <f>'2025_Chase9335_Activity_2026062'!A360</f>
        <v>DEBIT</v>
      </c>
      <c r="B360" s="24">
        <f>'2025_Chase9335_Activity_2026062'!B360</f>
        <v>45905</v>
      </c>
      <c r="C360" s="8" t="str">
        <f>'2025_Chase9335_Activity_2026062'!C360</f>
        <v>Online Transfer to CHK ...1168 transaction#: 26125670571 09/05</v>
      </c>
      <c r="D360" s="8">
        <f>'2025_Chase9335_Activity_2026062'!D360</f>
        <v>-20000</v>
      </c>
      <c r="E360" s="8" t="str">
        <f>'2025_Chase9335_Activity_2026062'!E360</f>
        <v>ACCT_XFER</v>
      </c>
      <c r="F360" s="8">
        <f>'2025_Chase9335_Activity_2026062'!F360</f>
        <v>227621.24</v>
      </c>
      <c r="G360" s="8" t="str">
        <f>'2025_Chase9335_Activity_2026062'!G360</f>
        <v>Transfer to DWG Capital Group</v>
      </c>
      <c r="H360" s="26">
        <f t="shared" si="5"/>
        <v>45901</v>
      </c>
      <c r="I360" s="8" t="str">
        <f>IF($G360="","Uncategorized — Review",IFERROR(_xlfn.XLOOKUP($G360,Mapping!$A:$A,Mapping!$B:$B),"Uncategorized — Review"))</f>
        <v>Transfer to DWG Capital Group</v>
      </c>
      <c r="J360" s="8" t="str">
        <f>IF($G360="","Uncategorized — Review",IFERROR(_xlfn.XLOOKUP($G360,Mapping!$A:$A,Mapping!$C:$C),"Uncategorized — Review"))</f>
        <v>Intercompany &amp; Savings Transfers</v>
      </c>
    </row>
    <row r="361" spans="1:10" x14ac:dyDescent="0.25">
      <c r="A361" s="8" t="str">
        <f>'2025_Chase9335_Activity_2026062'!A361</f>
        <v>DEBIT</v>
      </c>
      <c r="B361" s="24">
        <f>'2025_Chase9335_Activity_2026062'!B361</f>
        <v>45904</v>
      </c>
      <c r="C361" s="8" t="str">
        <f>'2025_Chase9335_Activity_2026062'!C361</f>
        <v>Prime Video *HD3FY7HX 888-802-3080 WA        09/03</v>
      </c>
      <c r="D361" s="8">
        <f>'2025_Chase9335_Activity_2026062'!D361</f>
        <v>-4.05</v>
      </c>
      <c r="E361" s="8" t="str">
        <f>'2025_Chase9335_Activity_2026062'!E361</f>
        <v>DEBIT_CARD</v>
      </c>
      <c r="F361" s="8">
        <f>'2025_Chase9335_Activity_2026062'!F361</f>
        <v>247621.24</v>
      </c>
      <c r="G361" s="8" t="str">
        <f>'2025_Chase9335_Activity_2026062'!G361</f>
        <v>Amazon Prime Video</v>
      </c>
      <c r="H361" s="26">
        <f t="shared" si="5"/>
        <v>45901</v>
      </c>
      <c r="I361" s="8" t="str">
        <f>IF($G361="","Uncategorized — Review",IFERROR(_xlfn.XLOOKUP($G361,Mapping!$A:$A,Mapping!$B:$B),"Uncategorized — Review"))</f>
        <v>Amazon Prime Video</v>
      </c>
      <c r="J361" s="8" t="str">
        <f>IF($G361="","Uncategorized — Review",IFERROR(_xlfn.XLOOKUP($G361,Mapping!$A:$A,Mapping!$C:$C),"Uncategorized — Review"))</f>
        <v>Personal — Owner</v>
      </c>
    </row>
    <row r="362" spans="1:10" x14ac:dyDescent="0.25">
      <c r="A362" s="8" t="str">
        <f>'2025_Chase9335_Activity_2026062'!A362</f>
        <v>DEBIT</v>
      </c>
      <c r="B362" s="24">
        <f>'2025_Chase9335_Activity_2026062'!B362</f>
        <v>45904</v>
      </c>
      <c r="C362" s="8" t="str">
        <f>'2025_Chase9335_Activity_2026062'!C362</f>
        <v>AMAZON MKTPL*310E75R Amzn.com/bill WA        09/03</v>
      </c>
      <c r="D362" s="8">
        <f>'2025_Chase9335_Activity_2026062'!D362</f>
        <v>-32.61</v>
      </c>
      <c r="E362" s="8" t="str">
        <f>'2025_Chase9335_Activity_2026062'!E362</f>
        <v>DEBIT_CARD</v>
      </c>
      <c r="F362" s="8">
        <f>'2025_Chase9335_Activity_2026062'!F362</f>
        <v>247625.29</v>
      </c>
      <c r="G362" s="8" t="str">
        <f>'2025_Chase9335_Activity_2026062'!G362</f>
        <v>Amazon</v>
      </c>
      <c r="H362" s="26">
        <f t="shared" si="5"/>
        <v>45901</v>
      </c>
      <c r="I362" s="8" t="str">
        <f>IF($G362="","Uncategorized — Review",IFERROR(_xlfn.XLOOKUP($G362,Mapping!$A:$A,Mapping!$B:$B),"Uncategorized — Review"))</f>
        <v>Amazon</v>
      </c>
      <c r="J362" s="8" t="str">
        <f>IF($G362="","Uncategorized — Review",IFERROR(_xlfn.XLOOKUP($G362,Mapping!$A:$A,Mapping!$C:$C),"Uncategorized — Review"))</f>
        <v>Personal — Owner</v>
      </c>
    </row>
    <row r="363" spans="1:10" x14ac:dyDescent="0.25">
      <c r="A363" s="8" t="str">
        <f>'2025_Chase9335_Activity_2026062'!A363</f>
        <v>DEBIT</v>
      </c>
      <c r="B363" s="24">
        <f>'2025_Chase9335_Activity_2026062'!B363</f>
        <v>45903</v>
      </c>
      <c r="C363" s="8" t="str">
        <f>'2025_Chase9335_Activity_2026062'!C363</f>
        <v>AMAZON MKTPL*MB6SQ4N Amzn.com/bill WA        09/02</v>
      </c>
      <c r="D363" s="8">
        <f>'2025_Chase9335_Activity_2026062'!D363</f>
        <v>-27.01</v>
      </c>
      <c r="E363" s="8" t="str">
        <f>'2025_Chase9335_Activity_2026062'!E363</f>
        <v>DEBIT_CARD</v>
      </c>
      <c r="F363" s="8">
        <f>'2025_Chase9335_Activity_2026062'!F363</f>
        <v>247657.9</v>
      </c>
      <c r="G363" s="8" t="str">
        <f>'2025_Chase9335_Activity_2026062'!G363</f>
        <v>Amazon</v>
      </c>
      <c r="H363" s="26">
        <f t="shared" si="5"/>
        <v>45901</v>
      </c>
      <c r="I363" s="8" t="str">
        <f>IF($G363="","Uncategorized — Review",IFERROR(_xlfn.XLOOKUP($G363,Mapping!$A:$A,Mapping!$B:$B),"Uncategorized — Review"))</f>
        <v>Amazon</v>
      </c>
      <c r="J363" s="8" t="str">
        <f>IF($G363="","Uncategorized — Review",IFERROR(_xlfn.XLOOKUP($G363,Mapping!$A:$A,Mapping!$C:$C),"Uncategorized — Review"))</f>
        <v>Personal — Owner</v>
      </c>
    </row>
    <row r="364" spans="1:10" x14ac:dyDescent="0.25">
      <c r="A364" s="8" t="str">
        <f>'2025_Chase9335_Activity_2026062'!A364</f>
        <v>DEBIT</v>
      </c>
      <c r="B364" s="24">
        <f>'2025_Chase9335_Activity_2026062'!B364</f>
        <v>45903</v>
      </c>
      <c r="C364" s="8" t="str">
        <f>'2025_Chase9335_Activity_2026062'!C364</f>
        <v>AMAZON MKTPL*CG7HI08 Amzn.com/bill WA        09/03</v>
      </c>
      <c r="D364" s="8">
        <f>'2025_Chase9335_Activity_2026062'!D364</f>
        <v>-41.3</v>
      </c>
      <c r="E364" s="8" t="str">
        <f>'2025_Chase9335_Activity_2026062'!E364</f>
        <v>DEBIT_CARD</v>
      </c>
      <c r="F364" s="8">
        <f>'2025_Chase9335_Activity_2026062'!F364</f>
        <v>247684.91</v>
      </c>
      <c r="G364" s="8" t="str">
        <f>'2025_Chase9335_Activity_2026062'!G364</f>
        <v>Amazon</v>
      </c>
      <c r="H364" s="26">
        <f t="shared" si="5"/>
        <v>45901</v>
      </c>
      <c r="I364" s="8" t="str">
        <f>IF($G364="","Uncategorized — Review",IFERROR(_xlfn.XLOOKUP($G364,Mapping!$A:$A,Mapping!$B:$B),"Uncategorized — Review"))</f>
        <v>Amazon</v>
      </c>
      <c r="J364" s="8" t="str">
        <f>IF($G364="","Uncategorized — Review",IFERROR(_xlfn.XLOOKUP($G364,Mapping!$A:$A,Mapping!$C:$C),"Uncategorized — Review"))</f>
        <v>Personal — Owner</v>
      </c>
    </row>
    <row r="365" spans="1:10" x14ac:dyDescent="0.25">
      <c r="A365" s="8" t="str">
        <f>'2025_Chase9335_Activity_2026062'!A365</f>
        <v>DEBIT</v>
      </c>
      <c r="B365" s="24">
        <f>'2025_Chase9335_Activity_2026062'!B365</f>
        <v>45902</v>
      </c>
      <c r="C365" s="8" t="str">
        <f>'2025_Chase9335_Activity_2026062'!C365</f>
        <v>AMAZON MKTPL*CN37W58 Amzn.com/bill WA        09/02</v>
      </c>
      <c r="D365" s="8">
        <f>'2025_Chase9335_Activity_2026062'!D365</f>
        <v>-105.95</v>
      </c>
      <c r="E365" s="8" t="str">
        <f>'2025_Chase9335_Activity_2026062'!E365</f>
        <v>DEBIT_CARD</v>
      </c>
      <c r="F365" s="8">
        <f>'2025_Chase9335_Activity_2026062'!F365</f>
        <v>247726.21</v>
      </c>
      <c r="G365" s="8" t="str">
        <f>'2025_Chase9335_Activity_2026062'!G365</f>
        <v>Amazon</v>
      </c>
      <c r="H365" s="26">
        <f t="shared" si="5"/>
        <v>45901</v>
      </c>
      <c r="I365" s="8" t="str">
        <f>IF($G365="","Uncategorized — Review",IFERROR(_xlfn.XLOOKUP($G365,Mapping!$A:$A,Mapping!$B:$B),"Uncategorized — Review"))</f>
        <v>Amazon</v>
      </c>
      <c r="J365" s="8" t="str">
        <f>IF($G365="","Uncategorized — Review",IFERROR(_xlfn.XLOOKUP($G365,Mapping!$A:$A,Mapping!$C:$C),"Uncategorized — Review"))</f>
        <v>Personal — Owner</v>
      </c>
    </row>
    <row r="366" spans="1:10" x14ac:dyDescent="0.25">
      <c r="A366" s="8" t="str">
        <f>'2025_Chase9335_Activity_2026062'!A366</f>
        <v>DEBIT</v>
      </c>
      <c r="B366" s="24">
        <f>'2025_Chase9335_Activity_2026062'!B366</f>
        <v>45902</v>
      </c>
      <c r="C366" s="8" t="str">
        <f>'2025_Chase9335_Activity_2026062'!C366</f>
        <v>Amazon.com*0Z7GR8KG3 Amzn.com/bill WA        09/02</v>
      </c>
      <c r="D366" s="8">
        <f>'2025_Chase9335_Activity_2026062'!D366</f>
        <v>-20.49</v>
      </c>
      <c r="E366" s="8" t="str">
        <f>'2025_Chase9335_Activity_2026062'!E366</f>
        <v>DEBIT_CARD</v>
      </c>
      <c r="F366" s="8">
        <f>'2025_Chase9335_Activity_2026062'!F366</f>
        <v>247832.16</v>
      </c>
      <c r="G366" s="8" t="str">
        <f>'2025_Chase9335_Activity_2026062'!G366</f>
        <v>Amazon</v>
      </c>
      <c r="H366" s="26">
        <f t="shared" si="5"/>
        <v>45901</v>
      </c>
      <c r="I366" s="8" t="str">
        <f>IF($G366="","Uncategorized — Review",IFERROR(_xlfn.XLOOKUP($G366,Mapping!$A:$A,Mapping!$B:$B),"Uncategorized — Review"))</f>
        <v>Amazon</v>
      </c>
      <c r="J366" s="8" t="str">
        <f>IF($G366="","Uncategorized — Review",IFERROR(_xlfn.XLOOKUP($G366,Mapping!$A:$A,Mapping!$C:$C),"Uncategorized — Review"))</f>
        <v>Personal — Owner</v>
      </c>
    </row>
    <row r="367" spans="1:10" x14ac:dyDescent="0.25">
      <c r="A367" s="8" t="str">
        <f>'2025_Chase9335_Activity_2026062'!A367</f>
        <v>DEBIT</v>
      </c>
      <c r="B367" s="24">
        <f>'2025_Chase9335_Activity_2026062'!B367</f>
        <v>45902</v>
      </c>
      <c r="C367" s="8" t="str">
        <f>'2025_Chase9335_Activity_2026062'!C367</f>
        <v>AMAZON MKTPL*BY99B0W Amzn.com/bill WA        09/02</v>
      </c>
      <c r="D367" s="8">
        <f>'2025_Chase9335_Activity_2026062'!D367</f>
        <v>-173.19</v>
      </c>
      <c r="E367" s="8" t="str">
        <f>'2025_Chase9335_Activity_2026062'!E367</f>
        <v>DEBIT_CARD</v>
      </c>
      <c r="F367" s="8">
        <f>'2025_Chase9335_Activity_2026062'!F367</f>
        <v>247852.65</v>
      </c>
      <c r="G367" s="8" t="str">
        <f>'2025_Chase9335_Activity_2026062'!G367</f>
        <v>Amazon</v>
      </c>
      <c r="H367" s="26">
        <f t="shared" si="5"/>
        <v>45901</v>
      </c>
      <c r="I367" s="8" t="str">
        <f>IF($G367="","Uncategorized — Review",IFERROR(_xlfn.XLOOKUP($G367,Mapping!$A:$A,Mapping!$B:$B),"Uncategorized — Review"))</f>
        <v>Amazon</v>
      </c>
      <c r="J367" s="8" t="str">
        <f>IF($G367="","Uncategorized — Review",IFERROR(_xlfn.XLOOKUP($G367,Mapping!$A:$A,Mapping!$C:$C),"Uncategorized — Review"))</f>
        <v>Personal — Owner</v>
      </c>
    </row>
    <row r="368" spans="1:10" x14ac:dyDescent="0.25">
      <c r="A368" s="8" t="str">
        <f>'2025_Chase9335_Activity_2026062'!A368</f>
        <v>DEBIT</v>
      </c>
      <c r="B368" s="24">
        <f>'2025_Chase9335_Activity_2026062'!B368</f>
        <v>45902</v>
      </c>
      <c r="C368" s="8" t="str">
        <f>'2025_Chase9335_Activity_2026062'!C368</f>
        <v>Experian* Credit Repor 479-3436237 CA        09/01</v>
      </c>
      <c r="D368" s="8">
        <f>'2025_Chase9335_Activity_2026062'!D368</f>
        <v>-27.05</v>
      </c>
      <c r="E368" s="8" t="str">
        <f>'2025_Chase9335_Activity_2026062'!E368</f>
        <v>DEBIT_CARD</v>
      </c>
      <c r="F368" s="8">
        <f>'2025_Chase9335_Activity_2026062'!F368</f>
        <v>248025.84</v>
      </c>
      <c r="G368" s="8" t="str">
        <f>'2025_Chase9335_Activity_2026062'!G368</f>
        <v>Personal - Subscriptions</v>
      </c>
      <c r="H368" s="26">
        <f t="shared" si="5"/>
        <v>45901</v>
      </c>
      <c r="I368" s="8" t="str">
        <f>IF($G368="","Uncategorized — Review",IFERROR(_xlfn.XLOOKUP($G368,Mapping!$A:$A,Mapping!$B:$B),"Uncategorized — Review"))</f>
        <v>Personal - Subscriptions</v>
      </c>
      <c r="J368" s="8" t="str">
        <f>IF($G368="","Uncategorized — Review",IFERROR(_xlfn.XLOOKUP($G368,Mapping!$A:$A,Mapping!$C:$C),"Uncategorized — Review"))</f>
        <v>Personal — Owner</v>
      </c>
    </row>
    <row r="369" spans="1:10" x14ac:dyDescent="0.25">
      <c r="A369" s="8" t="str">
        <f>'2025_Chase9335_Activity_2026062'!A369</f>
        <v>DEBIT</v>
      </c>
      <c r="B369" s="24">
        <f>'2025_Chase9335_Activity_2026062'!B369</f>
        <v>45902</v>
      </c>
      <c r="C369" s="8" t="str">
        <f>'2025_Chase9335_Activity_2026062'!C369</f>
        <v>AMAZON MKTPL*ON7HM5K Amzn.com/bill WA        09/01</v>
      </c>
      <c r="D369" s="8">
        <f>'2025_Chase9335_Activity_2026062'!D369</f>
        <v>-105.95</v>
      </c>
      <c r="E369" s="8" t="str">
        <f>'2025_Chase9335_Activity_2026062'!E369</f>
        <v>DEBIT_CARD</v>
      </c>
      <c r="F369" s="8">
        <f>'2025_Chase9335_Activity_2026062'!F369</f>
        <v>248052.89</v>
      </c>
      <c r="G369" s="8" t="str">
        <f>'2025_Chase9335_Activity_2026062'!G369</f>
        <v>Amazon</v>
      </c>
      <c r="H369" s="26">
        <f t="shared" si="5"/>
        <v>45901</v>
      </c>
      <c r="I369" s="8" t="str">
        <f>IF($G369="","Uncategorized — Review",IFERROR(_xlfn.XLOOKUP($G369,Mapping!$A:$A,Mapping!$B:$B),"Uncategorized — Review"))</f>
        <v>Amazon</v>
      </c>
      <c r="J369" s="8" t="str">
        <f>IF($G369="","Uncategorized — Review",IFERROR(_xlfn.XLOOKUP($G369,Mapping!$A:$A,Mapping!$C:$C),"Uncategorized — Review"))</f>
        <v>Personal — Owner</v>
      </c>
    </row>
    <row r="370" spans="1:10" x14ac:dyDescent="0.25">
      <c r="A370" s="8" t="str">
        <f>'2025_Chase9335_Activity_2026062'!A370</f>
        <v>DEBIT</v>
      </c>
      <c r="B370" s="24">
        <f>'2025_Chase9335_Activity_2026062'!B370</f>
        <v>45902</v>
      </c>
      <c r="C370" s="8" t="str">
        <f>'2025_Chase9335_Activity_2026062'!C370</f>
        <v>AMAZON MKTPL*GN3E56C Amzn.com/bill WA        08/31</v>
      </c>
      <c r="D370" s="8">
        <f>'2025_Chase9335_Activity_2026062'!D370</f>
        <v>-37.82</v>
      </c>
      <c r="E370" s="8" t="str">
        <f>'2025_Chase9335_Activity_2026062'!E370</f>
        <v>DEBIT_CARD</v>
      </c>
      <c r="F370" s="8">
        <f>'2025_Chase9335_Activity_2026062'!F370</f>
        <v>248158.84</v>
      </c>
      <c r="G370" s="8" t="str">
        <f>'2025_Chase9335_Activity_2026062'!G370</f>
        <v>Amazon</v>
      </c>
      <c r="H370" s="26">
        <f t="shared" si="5"/>
        <v>45901</v>
      </c>
      <c r="I370" s="8" t="str">
        <f>IF($G370="","Uncategorized — Review",IFERROR(_xlfn.XLOOKUP($G370,Mapping!$A:$A,Mapping!$B:$B),"Uncategorized — Review"))</f>
        <v>Amazon</v>
      </c>
      <c r="J370" s="8" t="str">
        <f>IF($G370="","Uncategorized — Review",IFERROR(_xlfn.XLOOKUP($G370,Mapping!$A:$A,Mapping!$C:$C),"Uncategorized — Review"))</f>
        <v>Personal — Owner</v>
      </c>
    </row>
    <row r="371" spans="1:10" x14ac:dyDescent="0.25">
      <c r="A371" s="8" t="str">
        <f>'2025_Chase9335_Activity_2026062'!A371</f>
        <v>DEBIT</v>
      </c>
      <c r="B371" s="24">
        <f>'2025_Chase9335_Activity_2026062'!B371</f>
        <v>45902</v>
      </c>
      <c r="C371" s="8" t="str">
        <f>'2025_Chase9335_Activity_2026062'!C371</f>
        <v>AMAZON MKTPL*DB5PV70 Amzn.com/bill WA        08/31</v>
      </c>
      <c r="D371" s="8">
        <f>'2025_Chase9335_Activity_2026062'!D371</f>
        <v>-161.29</v>
      </c>
      <c r="E371" s="8" t="str">
        <f>'2025_Chase9335_Activity_2026062'!E371</f>
        <v>DEBIT_CARD</v>
      </c>
      <c r="F371" s="8">
        <f>'2025_Chase9335_Activity_2026062'!F371</f>
        <v>248196.66</v>
      </c>
      <c r="G371" s="8" t="str">
        <f>'2025_Chase9335_Activity_2026062'!G371</f>
        <v>Amazon</v>
      </c>
      <c r="H371" s="26">
        <f t="shared" si="5"/>
        <v>45901</v>
      </c>
      <c r="I371" s="8" t="str">
        <f>IF($G371="","Uncategorized — Review",IFERROR(_xlfn.XLOOKUP($G371,Mapping!$A:$A,Mapping!$B:$B),"Uncategorized — Review"))</f>
        <v>Amazon</v>
      </c>
      <c r="J371" s="8" t="str">
        <f>IF($G371="","Uncategorized — Review",IFERROR(_xlfn.XLOOKUP($G371,Mapping!$A:$A,Mapping!$C:$C),"Uncategorized — Review"))</f>
        <v>Personal — Owner</v>
      </c>
    </row>
    <row r="372" spans="1:10" x14ac:dyDescent="0.25">
      <c r="A372" s="8" t="str">
        <f>'2025_Chase9335_Activity_2026062'!A372</f>
        <v>DEBIT</v>
      </c>
      <c r="B372" s="24">
        <f>'2025_Chase9335_Activity_2026062'!B372</f>
        <v>45902</v>
      </c>
      <c r="C372" s="8" t="str">
        <f>'2025_Chase9335_Activity_2026062'!C372</f>
        <v>Prime Video *013Z43XL 888-802-3080 WA        08/30</v>
      </c>
      <c r="D372" s="8">
        <f>'2025_Chase9335_Activity_2026062'!D372</f>
        <v>-3.83</v>
      </c>
      <c r="E372" s="8" t="str">
        <f>'2025_Chase9335_Activity_2026062'!E372</f>
        <v>DEBIT_CARD</v>
      </c>
      <c r="F372" s="8">
        <f>'2025_Chase9335_Activity_2026062'!F372</f>
        <v>248357.95</v>
      </c>
      <c r="G372" s="8" t="str">
        <f>'2025_Chase9335_Activity_2026062'!G372</f>
        <v>Amazon Prime Video</v>
      </c>
      <c r="H372" s="26">
        <f t="shared" si="5"/>
        <v>45901</v>
      </c>
      <c r="I372" s="8" t="str">
        <f>IF($G372="","Uncategorized — Review",IFERROR(_xlfn.XLOOKUP($G372,Mapping!$A:$A,Mapping!$B:$B),"Uncategorized — Review"))</f>
        <v>Amazon Prime Video</v>
      </c>
      <c r="J372" s="8" t="str">
        <f>IF($G372="","Uncategorized — Review",IFERROR(_xlfn.XLOOKUP($G372,Mapping!$A:$A,Mapping!$C:$C),"Uncategorized — Review"))</f>
        <v>Personal — Owner</v>
      </c>
    </row>
    <row r="373" spans="1:10" x14ac:dyDescent="0.25">
      <c r="A373" s="8" t="str">
        <f>'2025_Chase9335_Activity_2026062'!A373</f>
        <v>DEBIT</v>
      </c>
      <c r="B373" s="24">
        <f>'2025_Chase9335_Activity_2026062'!B373</f>
        <v>45898</v>
      </c>
      <c r="C373" s="8" t="str">
        <f>'2025_Chase9335_Activity_2026062'!C373</f>
        <v>Online Transfer to CHK ...1168 transaction#: 26034115251 08/29</v>
      </c>
      <c r="D373" s="8">
        <f>'2025_Chase9335_Activity_2026062'!D373</f>
        <v>-30000</v>
      </c>
      <c r="E373" s="8" t="str">
        <f>'2025_Chase9335_Activity_2026062'!E373</f>
        <v>ACCT_XFER</v>
      </c>
      <c r="F373" s="8">
        <f>'2025_Chase9335_Activity_2026062'!F373</f>
        <v>248361.78</v>
      </c>
      <c r="G373" s="8" t="str">
        <f>'2025_Chase9335_Activity_2026062'!G373</f>
        <v>Transfer to DWG Capital Group</v>
      </c>
      <c r="H373" s="26">
        <f t="shared" si="5"/>
        <v>45870</v>
      </c>
      <c r="I373" s="8" t="str">
        <f>IF($G373="","Uncategorized — Review",IFERROR(_xlfn.XLOOKUP($G373,Mapping!$A:$A,Mapping!$B:$B),"Uncategorized — Review"))</f>
        <v>Transfer to DWG Capital Group</v>
      </c>
      <c r="J373" s="8" t="str">
        <f>IF($G373="","Uncategorized — Review",IFERROR(_xlfn.XLOOKUP($G373,Mapping!$A:$A,Mapping!$C:$C),"Uncategorized — Review"))</f>
        <v>Intercompany &amp; Savings Transfers</v>
      </c>
    </row>
    <row r="374" spans="1:10" x14ac:dyDescent="0.25">
      <c r="A374" s="8" t="str">
        <f>'2025_Chase9335_Activity_2026062'!A374</f>
        <v>DEBIT</v>
      </c>
      <c r="B374" s="24">
        <f>'2025_Chase9335_Activity_2026062'!B374</f>
        <v>45898</v>
      </c>
      <c r="C374" s="8" t="str">
        <f>'2025_Chase9335_Activity_2026062'!C374</f>
        <v>APPLE.COM/BILL 866-712-7753 CA               08/29</v>
      </c>
      <c r="D374" s="8">
        <f>'2025_Chase9335_Activity_2026062'!D374</f>
        <v>-51.45</v>
      </c>
      <c r="E374" s="8" t="str">
        <f>'2025_Chase9335_Activity_2026062'!E374</f>
        <v>DEBIT_CARD</v>
      </c>
      <c r="F374" s="8">
        <f>'2025_Chase9335_Activity_2026062'!F374</f>
        <v>278361.78000000003</v>
      </c>
      <c r="G374" s="8" t="str">
        <f>'2025_Chase9335_Activity_2026062'!G374</f>
        <v>Personal - Subscriptions</v>
      </c>
      <c r="H374" s="26">
        <f t="shared" si="5"/>
        <v>45870</v>
      </c>
      <c r="I374" s="8" t="str">
        <f>IF($G374="","Uncategorized — Review",IFERROR(_xlfn.XLOOKUP($G374,Mapping!$A:$A,Mapping!$B:$B),"Uncategorized — Review"))</f>
        <v>Personal - Subscriptions</v>
      </c>
      <c r="J374" s="8" t="str">
        <f>IF($G374="","Uncategorized — Review",IFERROR(_xlfn.XLOOKUP($G374,Mapping!$A:$A,Mapping!$C:$C),"Uncategorized — Review"))</f>
        <v>Personal — Owner</v>
      </c>
    </row>
    <row r="375" spans="1:10" x14ac:dyDescent="0.25">
      <c r="A375" s="8" t="str">
        <f>'2025_Chase9335_Activity_2026062'!A375</f>
        <v>DEBIT</v>
      </c>
      <c r="B375" s="24">
        <f>'2025_Chase9335_Activity_2026062'!B375</f>
        <v>45898</v>
      </c>
      <c r="C375" s="8" t="str">
        <f>'2025_Chase9335_Activity_2026062'!C375</f>
        <v>Amazon.com*M96T218N3 Amzn.com/bill WA        08/29</v>
      </c>
      <c r="D375" s="8">
        <f>'2025_Chase9335_Activity_2026062'!D375</f>
        <v>-109.7</v>
      </c>
      <c r="E375" s="8" t="str">
        <f>'2025_Chase9335_Activity_2026062'!E375</f>
        <v>DEBIT_CARD</v>
      </c>
      <c r="F375" s="8">
        <f>'2025_Chase9335_Activity_2026062'!F375</f>
        <v>278413.23</v>
      </c>
      <c r="G375" s="8" t="str">
        <f>'2025_Chase9335_Activity_2026062'!G375</f>
        <v>Amazon</v>
      </c>
      <c r="H375" s="26">
        <f t="shared" si="5"/>
        <v>45870</v>
      </c>
      <c r="I375" s="8" t="str">
        <f>IF($G375="","Uncategorized — Review",IFERROR(_xlfn.XLOOKUP($G375,Mapping!$A:$A,Mapping!$B:$B),"Uncategorized — Review"))</f>
        <v>Amazon</v>
      </c>
      <c r="J375" s="8" t="str">
        <f>IF($G375="","Uncategorized — Review",IFERROR(_xlfn.XLOOKUP($G375,Mapping!$A:$A,Mapping!$C:$C),"Uncategorized — Review"))</f>
        <v>Personal — Owner</v>
      </c>
    </row>
    <row r="376" spans="1:10" x14ac:dyDescent="0.25">
      <c r="A376" s="8" t="str">
        <f>'2025_Chase9335_Activity_2026062'!A376</f>
        <v>DEBIT</v>
      </c>
      <c r="B376" s="24">
        <f>'2025_Chase9335_Activity_2026062'!B376</f>
        <v>45898</v>
      </c>
      <c r="C376" s="8" t="str">
        <f>'2025_Chase9335_Activity_2026062'!C376</f>
        <v>AMAZON MKTPL*TR2PO90 Amzn.com/bill WA        08/28</v>
      </c>
      <c r="D376" s="8">
        <f>'2025_Chase9335_Activity_2026062'!D376</f>
        <v>-30.28</v>
      </c>
      <c r="E376" s="8" t="str">
        <f>'2025_Chase9335_Activity_2026062'!E376</f>
        <v>DEBIT_CARD</v>
      </c>
      <c r="F376" s="8">
        <f>'2025_Chase9335_Activity_2026062'!F376</f>
        <v>278522.93</v>
      </c>
      <c r="G376" s="8" t="str">
        <f>'2025_Chase9335_Activity_2026062'!G376</f>
        <v>Amazon</v>
      </c>
      <c r="H376" s="26">
        <f t="shared" si="5"/>
        <v>45870</v>
      </c>
      <c r="I376" s="8" t="str">
        <f>IF($G376="","Uncategorized — Review",IFERROR(_xlfn.XLOOKUP($G376,Mapping!$A:$A,Mapping!$B:$B),"Uncategorized — Review"))</f>
        <v>Amazon</v>
      </c>
      <c r="J376" s="8" t="str">
        <f>IF($G376="","Uncategorized — Review",IFERROR(_xlfn.XLOOKUP($G376,Mapping!$A:$A,Mapping!$C:$C),"Uncategorized — Review"))</f>
        <v>Personal — Owner</v>
      </c>
    </row>
    <row r="377" spans="1:10" x14ac:dyDescent="0.25">
      <c r="A377" s="8" t="str">
        <f>'2025_Chase9335_Activity_2026062'!A377</f>
        <v>DEBIT</v>
      </c>
      <c r="B377" s="24">
        <f>'2025_Chase9335_Activity_2026062'!B377</f>
        <v>45898</v>
      </c>
      <c r="C377" s="8" t="str">
        <f>'2025_Chase9335_Activity_2026062'!C377</f>
        <v>AMAZON MKTPL*VR28X8E Amzn.com/bill WA        08/28</v>
      </c>
      <c r="D377" s="8">
        <f>'2025_Chase9335_Activity_2026062'!D377</f>
        <v>-38.96</v>
      </c>
      <c r="E377" s="8" t="str">
        <f>'2025_Chase9335_Activity_2026062'!E377</f>
        <v>DEBIT_CARD</v>
      </c>
      <c r="F377" s="8">
        <f>'2025_Chase9335_Activity_2026062'!F377</f>
        <v>278553.21000000002</v>
      </c>
      <c r="G377" s="8" t="str">
        <f>'2025_Chase9335_Activity_2026062'!G377</f>
        <v>Amazon</v>
      </c>
      <c r="H377" s="26">
        <f t="shared" si="5"/>
        <v>45870</v>
      </c>
      <c r="I377" s="8" t="str">
        <f>IF($G377="","Uncategorized — Review",IFERROR(_xlfn.XLOOKUP($G377,Mapping!$A:$A,Mapping!$B:$B),"Uncategorized — Review"))</f>
        <v>Amazon</v>
      </c>
      <c r="J377" s="8" t="str">
        <f>IF($G377="","Uncategorized — Review",IFERROR(_xlfn.XLOOKUP($G377,Mapping!$A:$A,Mapping!$C:$C),"Uncategorized — Review"))</f>
        <v>Personal — Owner</v>
      </c>
    </row>
    <row r="378" spans="1:10" x14ac:dyDescent="0.25">
      <c r="A378" s="8" t="str">
        <f>'2025_Chase9335_Activity_2026062'!A378</f>
        <v>DEBIT</v>
      </c>
      <c r="B378" s="24">
        <f>'2025_Chase9335_Activity_2026062'!B378</f>
        <v>45897</v>
      </c>
      <c r="C378" s="8" t="str">
        <f>'2025_Chase9335_Activity_2026062'!C378</f>
        <v>ORIG CO NAME:AMERICAN EXPRESS       ORIG ID:2005032111 DESC DATE:250828 CO ENTRY DESCR:ACH PMT   SEC:CCD    TRACE#:021000024368596 EED:250828   IND ID:W4720                        IND NAME:JOHN DUNNING                                                                                                 ER AM TRN: 2404368596TC</v>
      </c>
      <c r="D378" s="8">
        <f>'2025_Chase9335_Activity_2026062'!D378</f>
        <v>-1935.03</v>
      </c>
      <c r="E378" s="8" t="str">
        <f>'2025_Chase9335_Activity_2026062'!E378</f>
        <v>ACH_DEBIT</v>
      </c>
      <c r="F378" s="8">
        <f>'2025_Chase9335_Activity_2026062'!F378</f>
        <v>278592.17</v>
      </c>
      <c r="G378" s="8" t="str">
        <f>'2025_Chase9335_Activity_2026062'!G378</f>
        <v>American Express Credit Card PMT</v>
      </c>
      <c r="H378" s="26">
        <f t="shared" si="5"/>
        <v>45870</v>
      </c>
      <c r="I378" s="8" t="str">
        <f>IF($G378="","Uncategorized — Review",IFERROR(_xlfn.XLOOKUP($G378,Mapping!$A:$A,Mapping!$B:$B),"Uncategorized — Review"))</f>
        <v>American Express Credit Card PMT</v>
      </c>
      <c r="J378" s="8" t="str">
        <f>IF($G378="","Uncategorized — Review",IFERROR(_xlfn.XLOOKUP($G378,Mapping!$A:$A,Mapping!$C:$C),"Uncategorized — Review"))</f>
        <v>Credit Card &amp; Loan Payments</v>
      </c>
    </row>
    <row r="379" spans="1:10" x14ac:dyDescent="0.25">
      <c r="A379" s="8" t="str">
        <f>'2025_Chase9335_Activity_2026062'!A379</f>
        <v>DEBIT</v>
      </c>
      <c r="B379" s="24">
        <f>'2025_Chase9335_Activity_2026062'!B379</f>
        <v>45897</v>
      </c>
      <c r="C379" s="8" t="str">
        <f>'2025_Chase9335_Activity_2026062'!C379</f>
        <v>ORIG CO NAME:AMERICAN EXPRESS       ORIG ID:2005032111 DESC DATE:250828 CO ENTRY DESCR:ACH PMT   SEC:CCD    TRACE#:021000024368479 EED:250828   IND ID:W4042                        IND NAME:JOHN DUNNING                                                                                                 ER AM TRN: 2404368479TC</v>
      </c>
      <c r="D379" s="8">
        <f>'2025_Chase9335_Activity_2026062'!D379</f>
        <v>-17183.32</v>
      </c>
      <c r="E379" s="8" t="str">
        <f>'2025_Chase9335_Activity_2026062'!E379</f>
        <v>ACH_DEBIT</v>
      </c>
      <c r="F379" s="8">
        <f>'2025_Chase9335_Activity_2026062'!F379</f>
        <v>280527.2</v>
      </c>
      <c r="G379" s="8" t="str">
        <f>'2025_Chase9335_Activity_2026062'!G379</f>
        <v>American Express Credit Card PMT</v>
      </c>
      <c r="H379" s="26">
        <f t="shared" si="5"/>
        <v>45870</v>
      </c>
      <c r="I379" s="8" t="str">
        <f>IF($G379="","Uncategorized — Review",IFERROR(_xlfn.XLOOKUP($G379,Mapping!$A:$A,Mapping!$B:$B),"Uncategorized — Review"))</f>
        <v>American Express Credit Card PMT</v>
      </c>
      <c r="J379" s="8" t="str">
        <f>IF($G379="","Uncategorized — Review",IFERROR(_xlfn.XLOOKUP($G379,Mapping!$A:$A,Mapping!$C:$C),"Uncategorized — Review"))</f>
        <v>Credit Card &amp; Loan Payments</v>
      </c>
    </row>
    <row r="380" spans="1:10" x14ac:dyDescent="0.25">
      <c r="A380" s="8" t="str">
        <f>'2025_Chase9335_Activity_2026062'!A380</f>
        <v>DEBIT</v>
      </c>
      <c r="B380" s="24">
        <f>'2025_Chase9335_Activity_2026062'!B380</f>
        <v>45897</v>
      </c>
      <c r="C380" s="8" t="str">
        <f>'2025_Chase9335_Activity_2026062'!C380</f>
        <v>Online Transfer to CHK ...3922 transaction#: 26008386397 08/28</v>
      </c>
      <c r="D380" s="8">
        <f>'2025_Chase9335_Activity_2026062'!D380</f>
        <v>-20000</v>
      </c>
      <c r="E380" s="8" t="str">
        <f>'2025_Chase9335_Activity_2026062'!E380</f>
        <v>ACCT_XFER</v>
      </c>
      <c r="F380" s="8">
        <f>'2025_Chase9335_Activity_2026062'!F380</f>
        <v>297710.52</v>
      </c>
      <c r="G380" s="8" t="str">
        <f>'2025_Chase9335_Activity_2026062'!G380</f>
        <v>Transfer to DWG Capital Partners</v>
      </c>
      <c r="H380" s="26">
        <f t="shared" si="5"/>
        <v>45870</v>
      </c>
      <c r="I380" s="8" t="str">
        <f>IF($G380="","Uncategorized — Review",IFERROR(_xlfn.XLOOKUP($G380,Mapping!$A:$A,Mapping!$B:$B),"Uncategorized — Review"))</f>
        <v>Transfer to DWG Capital Partners</v>
      </c>
      <c r="J380" s="8" t="str">
        <f>IF($G380="","Uncategorized — Review",IFERROR(_xlfn.XLOOKUP($G380,Mapping!$A:$A,Mapping!$C:$C),"Uncategorized — Review"))</f>
        <v>Intercompany &amp; Savings Transfers</v>
      </c>
    </row>
    <row r="381" spans="1:10" x14ac:dyDescent="0.25">
      <c r="A381" s="8" t="str">
        <f>'2025_Chase9335_Activity_2026062'!A381</f>
        <v>DEBIT</v>
      </c>
      <c r="B381" s="24">
        <f>'2025_Chase9335_Activity_2026062'!B381</f>
        <v>45897</v>
      </c>
      <c r="C381" s="8" t="str">
        <f>'2025_Chase9335_Activity_2026062'!C381</f>
        <v>Amazon.com*ZC1267JU3 Amzn.com/bill WA        08/28</v>
      </c>
      <c r="D381" s="8">
        <f>'2025_Chase9335_Activity_2026062'!D381</f>
        <v>-54.11</v>
      </c>
      <c r="E381" s="8" t="str">
        <f>'2025_Chase9335_Activity_2026062'!E381</f>
        <v>DEBIT_CARD</v>
      </c>
      <c r="F381" s="8">
        <f>'2025_Chase9335_Activity_2026062'!F381</f>
        <v>317710.52</v>
      </c>
      <c r="G381" s="8" t="str">
        <f>'2025_Chase9335_Activity_2026062'!G381</f>
        <v>Amazon</v>
      </c>
      <c r="H381" s="26">
        <f t="shared" si="5"/>
        <v>45870</v>
      </c>
      <c r="I381" s="8" t="str">
        <f>IF($G381="","Uncategorized — Review",IFERROR(_xlfn.XLOOKUP($G381,Mapping!$A:$A,Mapping!$B:$B),"Uncategorized — Review"))</f>
        <v>Amazon</v>
      </c>
      <c r="J381" s="8" t="str">
        <f>IF($G381="","Uncategorized — Review",IFERROR(_xlfn.XLOOKUP($G381,Mapping!$A:$A,Mapping!$C:$C),"Uncategorized — Review"))</f>
        <v>Personal — Owner</v>
      </c>
    </row>
    <row r="382" spans="1:10" x14ac:dyDescent="0.25">
      <c r="A382" s="8" t="str">
        <f>'2025_Chase9335_Activity_2026062'!A382</f>
        <v>DEBIT</v>
      </c>
      <c r="B382" s="24">
        <f>'2025_Chase9335_Activity_2026062'!B382</f>
        <v>45896</v>
      </c>
      <c r="C382" s="8" t="str">
        <f>'2025_Chase9335_Activity_2026062'!C382</f>
        <v>AMAZON MKTPL*1703X95 Amzn.com/bill WA        08/27</v>
      </c>
      <c r="D382" s="8">
        <f>'2025_Chase9335_Activity_2026062'!D382</f>
        <v>-36.770000000000003</v>
      </c>
      <c r="E382" s="8" t="str">
        <f>'2025_Chase9335_Activity_2026062'!E382</f>
        <v>DEBIT_CARD</v>
      </c>
      <c r="F382" s="8">
        <f>'2025_Chase9335_Activity_2026062'!F382</f>
        <v>317764.63</v>
      </c>
      <c r="G382" s="8" t="str">
        <f>'2025_Chase9335_Activity_2026062'!G382</f>
        <v>Amazon</v>
      </c>
      <c r="H382" s="26">
        <f t="shared" si="5"/>
        <v>45870</v>
      </c>
      <c r="I382" s="8" t="str">
        <f>IF($G382="","Uncategorized — Review",IFERROR(_xlfn.XLOOKUP($G382,Mapping!$A:$A,Mapping!$B:$B),"Uncategorized — Review"))</f>
        <v>Amazon</v>
      </c>
      <c r="J382" s="8" t="str">
        <f>IF($G382="","Uncategorized — Review",IFERROR(_xlfn.XLOOKUP($G382,Mapping!$A:$A,Mapping!$C:$C),"Uncategorized — Review"))</f>
        <v>Personal — Owner</v>
      </c>
    </row>
    <row r="383" spans="1:10" x14ac:dyDescent="0.25">
      <c r="A383" s="8" t="str">
        <f>'2025_Chase9335_Activity_2026062'!A383</f>
        <v>DEBIT</v>
      </c>
      <c r="B383" s="24">
        <f>'2025_Chase9335_Activity_2026062'!B383</f>
        <v>45896</v>
      </c>
      <c r="C383" s="8" t="str">
        <f>'2025_Chase9335_Activity_2026062'!C383</f>
        <v>Prime Video *2I20U3YK 888-802-3080 WA        08/26</v>
      </c>
      <c r="D383" s="8">
        <f>'2025_Chase9335_Activity_2026062'!D383</f>
        <v>-4.1500000000000004</v>
      </c>
      <c r="E383" s="8" t="str">
        <f>'2025_Chase9335_Activity_2026062'!E383</f>
        <v>DEBIT_CARD</v>
      </c>
      <c r="F383" s="8">
        <f>'2025_Chase9335_Activity_2026062'!F383</f>
        <v>317801.40000000002</v>
      </c>
      <c r="G383" s="8" t="str">
        <f>'2025_Chase9335_Activity_2026062'!G383</f>
        <v>Amazon Prime Video</v>
      </c>
      <c r="H383" s="26">
        <f t="shared" si="5"/>
        <v>45870</v>
      </c>
      <c r="I383" s="8" t="str">
        <f>IF($G383="","Uncategorized — Review",IFERROR(_xlfn.XLOOKUP($G383,Mapping!$A:$A,Mapping!$B:$B),"Uncategorized — Review"))</f>
        <v>Amazon Prime Video</v>
      </c>
      <c r="J383" s="8" t="str">
        <f>IF($G383="","Uncategorized — Review",IFERROR(_xlfn.XLOOKUP($G383,Mapping!$A:$A,Mapping!$C:$C),"Uncategorized — Review"))</f>
        <v>Personal — Owner</v>
      </c>
    </row>
    <row r="384" spans="1:10" x14ac:dyDescent="0.25">
      <c r="A384" s="8" t="str">
        <f>'2025_Chase9335_Activity_2026062'!A384</f>
        <v>DEBIT</v>
      </c>
      <c r="B384" s="24">
        <f>'2025_Chase9335_Activity_2026062'!B384</f>
        <v>45896</v>
      </c>
      <c r="C384" s="8" t="str">
        <f>'2025_Chase9335_Activity_2026062'!C384</f>
        <v>AMAZON MKTPL*I25EY7K Amzn.com/bill WA        08/27</v>
      </c>
      <c r="D384" s="8">
        <f>'2025_Chase9335_Activity_2026062'!D384</f>
        <v>-16.55</v>
      </c>
      <c r="E384" s="8" t="str">
        <f>'2025_Chase9335_Activity_2026062'!E384</f>
        <v>DEBIT_CARD</v>
      </c>
      <c r="F384" s="8">
        <f>'2025_Chase9335_Activity_2026062'!F384</f>
        <v>317805.55</v>
      </c>
      <c r="G384" s="8" t="str">
        <f>'2025_Chase9335_Activity_2026062'!G384</f>
        <v>Amazon</v>
      </c>
      <c r="H384" s="26">
        <f t="shared" si="5"/>
        <v>45870</v>
      </c>
      <c r="I384" s="8" t="str">
        <f>IF($G384="","Uncategorized — Review",IFERROR(_xlfn.XLOOKUP($G384,Mapping!$A:$A,Mapping!$B:$B),"Uncategorized — Review"))</f>
        <v>Amazon</v>
      </c>
      <c r="J384" s="8" t="str">
        <f>IF($G384="","Uncategorized — Review",IFERROR(_xlfn.XLOOKUP($G384,Mapping!$A:$A,Mapping!$C:$C),"Uncategorized — Review"))</f>
        <v>Personal — Owner</v>
      </c>
    </row>
    <row r="385" spans="1:10" x14ac:dyDescent="0.25">
      <c r="A385" s="8" t="str">
        <f>'2025_Chase9335_Activity_2026062'!A385</f>
        <v>DEBIT</v>
      </c>
      <c r="B385" s="24">
        <f>'2025_Chase9335_Activity_2026062'!B385</f>
        <v>45896</v>
      </c>
      <c r="C385" s="8" t="str">
        <f>'2025_Chase9335_Activity_2026062'!C385</f>
        <v>AMAZON MKTPL*374UR4Q Amzn.com/bill WA        08/27</v>
      </c>
      <c r="D385" s="8">
        <f>'2025_Chase9335_Activity_2026062'!D385</f>
        <v>-173.19</v>
      </c>
      <c r="E385" s="8" t="str">
        <f>'2025_Chase9335_Activity_2026062'!E385</f>
        <v>DEBIT_CARD</v>
      </c>
      <c r="F385" s="8">
        <f>'2025_Chase9335_Activity_2026062'!F385</f>
        <v>317822.09999999998</v>
      </c>
      <c r="G385" s="8" t="str">
        <f>'2025_Chase9335_Activity_2026062'!G385</f>
        <v>Amazon</v>
      </c>
      <c r="H385" s="26">
        <f t="shared" si="5"/>
        <v>45870</v>
      </c>
      <c r="I385" s="8" t="str">
        <f>IF($G385="","Uncategorized — Review",IFERROR(_xlfn.XLOOKUP($G385,Mapping!$A:$A,Mapping!$B:$B),"Uncategorized — Review"))</f>
        <v>Amazon</v>
      </c>
      <c r="J385" s="8" t="str">
        <f>IF($G385="","Uncategorized — Review",IFERROR(_xlfn.XLOOKUP($G385,Mapping!$A:$A,Mapping!$C:$C),"Uncategorized — Review"))</f>
        <v>Personal — Owner</v>
      </c>
    </row>
    <row r="386" spans="1:10" x14ac:dyDescent="0.25">
      <c r="A386" s="8" t="str">
        <f>'2025_Chase9335_Activity_2026062'!A386</f>
        <v>DEBIT</v>
      </c>
      <c r="B386" s="24">
        <f>'2025_Chase9335_Activity_2026062'!B386</f>
        <v>45896</v>
      </c>
      <c r="C386" s="8" t="str">
        <f>'2025_Chase9335_Activity_2026062'!C386</f>
        <v>AMAZON MKTPL*FV06K2W Amzn.com/bill WA        08/26</v>
      </c>
      <c r="D386" s="8">
        <f>'2025_Chase9335_Activity_2026062'!D386</f>
        <v>-21.47</v>
      </c>
      <c r="E386" s="8" t="str">
        <f>'2025_Chase9335_Activity_2026062'!E386</f>
        <v>DEBIT_CARD</v>
      </c>
      <c r="F386" s="8">
        <f>'2025_Chase9335_Activity_2026062'!F386</f>
        <v>317995.28999999998</v>
      </c>
      <c r="G386" s="8" t="str">
        <f>'2025_Chase9335_Activity_2026062'!G386</f>
        <v>Amazon</v>
      </c>
      <c r="H386" s="26">
        <f t="shared" si="5"/>
        <v>45870</v>
      </c>
      <c r="I386" s="8" t="str">
        <f>IF($G386="","Uncategorized — Review",IFERROR(_xlfn.XLOOKUP($G386,Mapping!$A:$A,Mapping!$B:$B),"Uncategorized — Review"))</f>
        <v>Amazon</v>
      </c>
      <c r="J386" s="8" t="str">
        <f>IF($G386="","Uncategorized — Review",IFERROR(_xlfn.XLOOKUP($G386,Mapping!$A:$A,Mapping!$C:$C),"Uncategorized — Review"))</f>
        <v>Personal — Owner</v>
      </c>
    </row>
    <row r="387" spans="1:10" x14ac:dyDescent="0.25">
      <c r="A387" s="8" t="str">
        <f>'2025_Chase9335_Activity_2026062'!A387</f>
        <v>DEBIT</v>
      </c>
      <c r="B387" s="24">
        <f>'2025_Chase9335_Activity_2026062'!B387</f>
        <v>45894</v>
      </c>
      <c r="C387" s="8" t="str">
        <f>'2025_Chase9335_Activity_2026062'!C387</f>
        <v>AMAZON MKTPL*0R5AE1J Amzn.com/bill WA        08/25</v>
      </c>
      <c r="D387" s="8">
        <f>'2025_Chase9335_Activity_2026062'!D387</f>
        <v>-105.95</v>
      </c>
      <c r="E387" s="8" t="str">
        <f>'2025_Chase9335_Activity_2026062'!E387</f>
        <v>DEBIT_CARD</v>
      </c>
      <c r="F387" s="8">
        <f>'2025_Chase9335_Activity_2026062'!F387</f>
        <v>318016.76</v>
      </c>
      <c r="G387" s="8" t="str">
        <f>'2025_Chase9335_Activity_2026062'!G387</f>
        <v>Amazon</v>
      </c>
      <c r="H387" s="26">
        <f t="shared" ref="H387:H450" si="6">IF($B387="","",DATE(YEAR($B387),MONTH($B387),1))</f>
        <v>45870</v>
      </c>
      <c r="I387" s="8" t="str">
        <f>IF($G387="","Uncategorized — Review",IFERROR(_xlfn.XLOOKUP($G387,Mapping!$A:$A,Mapping!$B:$B),"Uncategorized — Review"))</f>
        <v>Amazon</v>
      </c>
      <c r="J387" s="8" t="str">
        <f>IF($G387="","Uncategorized — Review",IFERROR(_xlfn.XLOOKUP($G387,Mapping!$A:$A,Mapping!$C:$C),"Uncategorized — Review"))</f>
        <v>Personal — Owner</v>
      </c>
    </row>
    <row r="388" spans="1:10" x14ac:dyDescent="0.25">
      <c r="A388" s="8" t="str">
        <f>'2025_Chase9335_Activity_2026062'!A388</f>
        <v>DEBIT</v>
      </c>
      <c r="B388" s="24">
        <f>'2025_Chase9335_Activity_2026062'!B388</f>
        <v>45894</v>
      </c>
      <c r="C388" s="8" t="str">
        <f>'2025_Chase9335_Activity_2026062'!C388</f>
        <v>Prime Video *8S7B423D 888-802-3080 WA        08/24</v>
      </c>
      <c r="D388" s="8">
        <f>'2025_Chase9335_Activity_2026062'!D388</f>
        <v>-6.39</v>
      </c>
      <c r="E388" s="8" t="str">
        <f>'2025_Chase9335_Activity_2026062'!E388</f>
        <v>DEBIT_CARD</v>
      </c>
      <c r="F388" s="8">
        <f>'2025_Chase9335_Activity_2026062'!F388</f>
        <v>318122.71000000002</v>
      </c>
      <c r="G388" s="8" t="str">
        <f>'2025_Chase9335_Activity_2026062'!G388</f>
        <v>Amazon Prime Video</v>
      </c>
      <c r="H388" s="26">
        <f t="shared" si="6"/>
        <v>45870</v>
      </c>
      <c r="I388" s="8" t="str">
        <f>IF($G388="","Uncategorized — Review",IFERROR(_xlfn.XLOOKUP($G388,Mapping!$A:$A,Mapping!$B:$B),"Uncategorized — Review"))</f>
        <v>Amazon Prime Video</v>
      </c>
      <c r="J388" s="8" t="str">
        <f>IF($G388="","Uncategorized — Review",IFERROR(_xlfn.XLOOKUP($G388,Mapping!$A:$A,Mapping!$C:$C),"Uncategorized — Review"))</f>
        <v>Personal — Owner</v>
      </c>
    </row>
    <row r="389" spans="1:10" x14ac:dyDescent="0.25">
      <c r="A389" s="8" t="str">
        <f>'2025_Chase9335_Activity_2026062'!A389</f>
        <v>DEBIT</v>
      </c>
      <c r="B389" s="24">
        <f>'2025_Chase9335_Activity_2026062'!B389</f>
        <v>45894</v>
      </c>
      <c r="C389" s="8" t="str">
        <f>'2025_Chase9335_Activity_2026062'!C389</f>
        <v>AMAZON MKTPL*EK4VI2K Amzn.com/bill WA        08/24</v>
      </c>
      <c r="D389" s="8">
        <f>'2025_Chase9335_Activity_2026062'!D389</f>
        <v>-206.95</v>
      </c>
      <c r="E389" s="8" t="str">
        <f>'2025_Chase9335_Activity_2026062'!E389</f>
        <v>DEBIT_CARD</v>
      </c>
      <c r="F389" s="8">
        <f>'2025_Chase9335_Activity_2026062'!F389</f>
        <v>318129.09999999998</v>
      </c>
      <c r="G389" s="8" t="str">
        <f>'2025_Chase9335_Activity_2026062'!G389</f>
        <v>Amazon</v>
      </c>
      <c r="H389" s="26">
        <f t="shared" si="6"/>
        <v>45870</v>
      </c>
      <c r="I389" s="8" t="str">
        <f>IF($G389="","Uncategorized — Review",IFERROR(_xlfn.XLOOKUP($G389,Mapping!$A:$A,Mapping!$B:$B),"Uncategorized — Review"))</f>
        <v>Amazon</v>
      </c>
      <c r="J389" s="8" t="str">
        <f>IF($G389="","Uncategorized — Review",IFERROR(_xlfn.XLOOKUP($G389,Mapping!$A:$A,Mapping!$C:$C),"Uncategorized — Review"))</f>
        <v>Personal — Owner</v>
      </c>
    </row>
    <row r="390" spans="1:10" x14ac:dyDescent="0.25">
      <c r="A390" s="8" t="str">
        <f>'2025_Chase9335_Activity_2026062'!A390</f>
        <v>DEBIT</v>
      </c>
      <c r="B390" s="24">
        <f>'2025_Chase9335_Activity_2026062'!B390</f>
        <v>45894</v>
      </c>
      <c r="C390" s="8" t="str">
        <f>'2025_Chase9335_Activity_2026062'!C390</f>
        <v>AMAZON MKTPL*5B6Y57W Amzn.com/bill WA        08/25</v>
      </c>
      <c r="D390" s="8">
        <f>'2025_Chase9335_Activity_2026062'!D390</f>
        <v>-10</v>
      </c>
      <c r="E390" s="8" t="str">
        <f>'2025_Chase9335_Activity_2026062'!E390</f>
        <v>DEBIT_CARD</v>
      </c>
      <c r="F390" s="8">
        <f>'2025_Chase9335_Activity_2026062'!F390</f>
        <v>318336.05</v>
      </c>
      <c r="G390" s="8" t="str">
        <f>'2025_Chase9335_Activity_2026062'!G390</f>
        <v>Amazon</v>
      </c>
      <c r="H390" s="26">
        <f t="shared" si="6"/>
        <v>45870</v>
      </c>
      <c r="I390" s="8" t="str">
        <f>IF($G390="","Uncategorized — Review",IFERROR(_xlfn.XLOOKUP($G390,Mapping!$A:$A,Mapping!$B:$B),"Uncategorized — Review"))</f>
        <v>Amazon</v>
      </c>
      <c r="J390" s="8" t="str">
        <f>IF($G390="","Uncategorized — Review",IFERROR(_xlfn.XLOOKUP($G390,Mapping!$A:$A,Mapping!$C:$C),"Uncategorized — Review"))</f>
        <v>Personal — Owner</v>
      </c>
    </row>
    <row r="391" spans="1:10" x14ac:dyDescent="0.25">
      <c r="A391" s="8" t="str">
        <f>'2025_Chase9335_Activity_2026062'!A391</f>
        <v>DEBIT</v>
      </c>
      <c r="B391" s="24">
        <f>'2025_Chase9335_Activity_2026062'!B391</f>
        <v>45894</v>
      </c>
      <c r="C391" s="8" t="str">
        <f>'2025_Chase9335_Activity_2026062'!C391</f>
        <v>APPLE.COM/BILL 866-712-7753 CA               08/24</v>
      </c>
      <c r="D391" s="8">
        <f>'2025_Chase9335_Activity_2026062'!D391</f>
        <v>-30.89</v>
      </c>
      <c r="E391" s="8" t="str">
        <f>'2025_Chase9335_Activity_2026062'!E391</f>
        <v>DEBIT_CARD</v>
      </c>
      <c r="F391" s="8">
        <f>'2025_Chase9335_Activity_2026062'!F391</f>
        <v>318346.05</v>
      </c>
      <c r="G391" s="8" t="str">
        <f>'2025_Chase9335_Activity_2026062'!G391</f>
        <v>Personal - Subscriptions</v>
      </c>
      <c r="H391" s="26">
        <f t="shared" si="6"/>
        <v>45870</v>
      </c>
      <c r="I391" s="8" t="str">
        <f>IF($G391="","Uncategorized — Review",IFERROR(_xlfn.XLOOKUP($G391,Mapping!$A:$A,Mapping!$B:$B),"Uncategorized — Review"))</f>
        <v>Personal - Subscriptions</v>
      </c>
      <c r="J391" s="8" t="str">
        <f>IF($G391="","Uncategorized — Review",IFERROR(_xlfn.XLOOKUP($G391,Mapping!$A:$A,Mapping!$C:$C),"Uncategorized — Review"))</f>
        <v>Personal — Owner</v>
      </c>
    </row>
    <row r="392" spans="1:10" x14ac:dyDescent="0.25">
      <c r="A392" s="8" t="str">
        <f>'2025_Chase9335_Activity_2026062'!A392</f>
        <v>DEBIT</v>
      </c>
      <c r="B392" s="24">
        <f>'2025_Chase9335_Activity_2026062'!B392</f>
        <v>45894</v>
      </c>
      <c r="C392" s="8" t="str">
        <f>'2025_Chase9335_Activity_2026062'!C392</f>
        <v>Prime Video *D45BA2HS 888-802-3080 WA        08/22</v>
      </c>
      <c r="D392" s="8">
        <f>'2025_Chase9335_Activity_2026062'!D392</f>
        <v>-4.1500000000000004</v>
      </c>
      <c r="E392" s="8" t="str">
        <f>'2025_Chase9335_Activity_2026062'!E392</f>
        <v>DEBIT_CARD</v>
      </c>
      <c r="F392" s="8">
        <f>'2025_Chase9335_Activity_2026062'!F392</f>
        <v>318376.94</v>
      </c>
      <c r="G392" s="8" t="str">
        <f>'2025_Chase9335_Activity_2026062'!G392</f>
        <v>Amazon Prime Video</v>
      </c>
      <c r="H392" s="26">
        <f t="shared" si="6"/>
        <v>45870</v>
      </c>
      <c r="I392" s="8" t="str">
        <f>IF($G392="","Uncategorized — Review",IFERROR(_xlfn.XLOOKUP($G392,Mapping!$A:$A,Mapping!$B:$B),"Uncategorized — Review"))</f>
        <v>Amazon Prime Video</v>
      </c>
      <c r="J392" s="8" t="str">
        <f>IF($G392="","Uncategorized — Review",IFERROR(_xlfn.XLOOKUP($G392,Mapping!$A:$A,Mapping!$C:$C),"Uncategorized — Review"))</f>
        <v>Personal — Owner</v>
      </c>
    </row>
    <row r="393" spans="1:10" x14ac:dyDescent="0.25">
      <c r="A393" s="8" t="str">
        <f>'2025_Chase9335_Activity_2026062'!A393</f>
        <v>DEBIT</v>
      </c>
      <c r="B393" s="24">
        <f>'2025_Chase9335_Activity_2026062'!B393</f>
        <v>45894</v>
      </c>
      <c r="C393" s="8" t="str">
        <f>'2025_Chase9335_Activity_2026062'!C393</f>
        <v>AMAZON MKTPL*XL2IG4W Amzn.com/bill WA        08/23</v>
      </c>
      <c r="D393" s="8">
        <f>'2025_Chase9335_Activity_2026062'!D393</f>
        <v>-155.87</v>
      </c>
      <c r="E393" s="8" t="str">
        <f>'2025_Chase9335_Activity_2026062'!E393</f>
        <v>DEBIT_CARD</v>
      </c>
      <c r="F393" s="8">
        <f>'2025_Chase9335_Activity_2026062'!F393</f>
        <v>318381.09000000003</v>
      </c>
      <c r="G393" s="8" t="str">
        <f>'2025_Chase9335_Activity_2026062'!G393</f>
        <v>Amazon</v>
      </c>
      <c r="H393" s="26">
        <f t="shared" si="6"/>
        <v>45870</v>
      </c>
      <c r="I393" s="8" t="str">
        <f>IF($G393="","Uncategorized — Review",IFERROR(_xlfn.XLOOKUP($G393,Mapping!$A:$A,Mapping!$B:$B),"Uncategorized — Review"))</f>
        <v>Amazon</v>
      </c>
      <c r="J393" s="8" t="str">
        <f>IF($G393="","Uncategorized — Review",IFERROR(_xlfn.XLOOKUP($G393,Mapping!$A:$A,Mapping!$C:$C),"Uncategorized — Review"))</f>
        <v>Personal — Owner</v>
      </c>
    </row>
    <row r="394" spans="1:10" x14ac:dyDescent="0.25">
      <c r="A394" s="8" t="str">
        <f>'2025_Chase9335_Activity_2026062'!A394</f>
        <v>DEBIT</v>
      </c>
      <c r="B394" s="24">
        <f>'2025_Chase9335_Activity_2026062'!B394</f>
        <v>45894</v>
      </c>
      <c r="C394" s="8" t="str">
        <f>'2025_Chase9335_Activity_2026062'!C394</f>
        <v>Amazon.com*025196GM3 Amzn.com/bill WA        08/22</v>
      </c>
      <c r="D394" s="8">
        <f>'2025_Chase9335_Activity_2026062'!D394</f>
        <v>-145.32</v>
      </c>
      <c r="E394" s="8" t="str">
        <f>'2025_Chase9335_Activity_2026062'!E394</f>
        <v>DEBIT_CARD</v>
      </c>
      <c r="F394" s="8">
        <f>'2025_Chase9335_Activity_2026062'!F394</f>
        <v>318536.96000000002</v>
      </c>
      <c r="G394" s="8" t="str">
        <f>'2025_Chase9335_Activity_2026062'!G394</f>
        <v>Amazon</v>
      </c>
      <c r="H394" s="26">
        <f t="shared" si="6"/>
        <v>45870</v>
      </c>
      <c r="I394" s="8" t="str">
        <f>IF($G394="","Uncategorized — Review",IFERROR(_xlfn.XLOOKUP($G394,Mapping!$A:$A,Mapping!$B:$B),"Uncategorized — Review"))</f>
        <v>Amazon</v>
      </c>
      <c r="J394" s="8" t="str">
        <f>IF($G394="","Uncategorized — Review",IFERROR(_xlfn.XLOOKUP($G394,Mapping!$A:$A,Mapping!$C:$C),"Uncategorized — Review"))</f>
        <v>Personal — Owner</v>
      </c>
    </row>
    <row r="395" spans="1:10" x14ac:dyDescent="0.25">
      <c r="A395" s="8" t="str">
        <f>'2025_Chase9335_Activity_2026062'!A395</f>
        <v>DEBIT</v>
      </c>
      <c r="B395" s="24">
        <f>'2025_Chase9335_Activity_2026062'!B395</f>
        <v>45891</v>
      </c>
      <c r="C395" s="8" t="str">
        <f>'2025_Chase9335_Activity_2026062'!C395</f>
        <v>Zelle payment to Mark Atkins 25949277369</v>
      </c>
      <c r="D395" s="8">
        <f>'2025_Chase9335_Activity_2026062'!D395</f>
        <v>-500</v>
      </c>
      <c r="E395" s="8" t="str">
        <f>'2025_Chase9335_Activity_2026062'!E395</f>
        <v>QUICKPAY_DEBIT</v>
      </c>
      <c r="F395" s="8">
        <f>'2025_Chase9335_Activity_2026062'!F395</f>
        <v>318682.28000000003</v>
      </c>
      <c r="G395" s="8" t="str">
        <f>'2025_Chase9335_Activity_2026062'!G395</f>
        <v>Zelle to Mark Atkins</v>
      </c>
      <c r="H395" s="26">
        <f t="shared" si="6"/>
        <v>45870</v>
      </c>
      <c r="I395" s="8" t="str">
        <f>IF($G395="","Uncategorized — Review",IFERROR(_xlfn.XLOOKUP($G395,Mapping!$A:$A,Mapping!$B:$B),"Uncategorized — Review"))</f>
        <v>Zelle to Mark Atkins</v>
      </c>
      <c r="J395" s="8" t="str">
        <f>IF($G395="","Uncategorized — Review",IFERROR(_xlfn.XLOOKUP($G395,Mapping!$A:$A,Mapping!$C:$C),"Uncategorized — Review"))</f>
        <v>P2P Payments (Zelle/Venmo/PayPal)</v>
      </c>
    </row>
    <row r="396" spans="1:10" x14ac:dyDescent="0.25">
      <c r="A396" s="8" t="str">
        <f>'2025_Chase9335_Activity_2026062'!A396</f>
        <v>DEBIT</v>
      </c>
      <c r="B396" s="24">
        <f>'2025_Chase9335_Activity_2026062'!B396</f>
        <v>45891</v>
      </c>
      <c r="C396" s="8" t="str">
        <f>'2025_Chase9335_Activity_2026062'!C396</f>
        <v>AMAZON MKTPL*CB8WH9B Amzn.com/bill WA        08/22</v>
      </c>
      <c r="D396" s="8">
        <f>'2025_Chase9335_Activity_2026062'!D396</f>
        <v>-184.01</v>
      </c>
      <c r="E396" s="8" t="str">
        <f>'2025_Chase9335_Activity_2026062'!E396</f>
        <v>DEBIT_CARD</v>
      </c>
      <c r="F396" s="8">
        <f>'2025_Chase9335_Activity_2026062'!F396</f>
        <v>319182.28000000003</v>
      </c>
      <c r="G396" s="8" t="str">
        <f>'2025_Chase9335_Activity_2026062'!G396</f>
        <v>Amazon</v>
      </c>
      <c r="H396" s="26">
        <f t="shared" si="6"/>
        <v>45870</v>
      </c>
      <c r="I396" s="8" t="str">
        <f>IF($G396="","Uncategorized — Review",IFERROR(_xlfn.XLOOKUP($G396,Mapping!$A:$A,Mapping!$B:$B),"Uncategorized — Review"))</f>
        <v>Amazon</v>
      </c>
      <c r="J396" s="8" t="str">
        <f>IF($G396="","Uncategorized — Review",IFERROR(_xlfn.XLOOKUP($G396,Mapping!$A:$A,Mapping!$C:$C),"Uncategorized — Review"))</f>
        <v>Personal — Owner</v>
      </c>
    </row>
    <row r="397" spans="1:10" x14ac:dyDescent="0.25">
      <c r="A397" s="8" t="str">
        <f>'2025_Chase9335_Activity_2026062'!A397</f>
        <v>DEBIT</v>
      </c>
      <c r="B397" s="24">
        <f>'2025_Chase9335_Activity_2026062'!B397</f>
        <v>45891</v>
      </c>
      <c r="C397" s="8" t="str">
        <f>'2025_Chase9335_Activity_2026062'!C397</f>
        <v>AA WIFI 1-888-649-6711 Fort Worth TX         08/22</v>
      </c>
      <c r="D397" s="8">
        <f>'2025_Chase9335_Activity_2026062'!D397</f>
        <v>-24</v>
      </c>
      <c r="E397" s="8" t="str">
        <f>'2025_Chase9335_Activity_2026062'!E397</f>
        <v>DEBIT_CARD</v>
      </c>
      <c r="F397" s="8">
        <f>'2025_Chase9335_Activity_2026062'!F397</f>
        <v>319366.28999999998</v>
      </c>
      <c r="G397" s="8" t="str">
        <f>'2025_Chase9335_Activity_2026062'!G397</f>
        <v>Personal - Travel</v>
      </c>
      <c r="H397" s="26">
        <f t="shared" si="6"/>
        <v>45870</v>
      </c>
      <c r="I397" s="8" t="str">
        <f>IF($G397="","Uncategorized — Review",IFERROR(_xlfn.XLOOKUP($G397,Mapping!$A:$A,Mapping!$B:$B),"Uncategorized — Review"))</f>
        <v>Personal - Travel</v>
      </c>
      <c r="J397" s="8" t="str">
        <f>IF($G397="","Uncategorized — Review",IFERROR(_xlfn.XLOOKUP($G397,Mapping!$A:$A,Mapping!$C:$C),"Uncategorized — Review"))</f>
        <v>Personal — Owner</v>
      </c>
    </row>
    <row r="398" spans="1:10" x14ac:dyDescent="0.25">
      <c r="A398" s="8" t="str">
        <f>'2025_Chase9335_Activity_2026062'!A398</f>
        <v>DEBIT</v>
      </c>
      <c r="B398" s="24">
        <f>'2025_Chase9335_Activity_2026062'!B398</f>
        <v>45891</v>
      </c>
      <c r="C398" s="8" t="str">
        <f>'2025_Chase9335_Activity_2026062'!C398</f>
        <v>AMAZON MKTPL*K77ME6N Amzn.com/bill WA        08/22</v>
      </c>
      <c r="D398" s="8">
        <f>'2025_Chase9335_Activity_2026062'!D398</f>
        <v>-42.84</v>
      </c>
      <c r="E398" s="8" t="str">
        <f>'2025_Chase9335_Activity_2026062'!E398</f>
        <v>DEBIT_CARD</v>
      </c>
      <c r="F398" s="8">
        <f>'2025_Chase9335_Activity_2026062'!F398</f>
        <v>319390.28999999998</v>
      </c>
      <c r="G398" s="8" t="str">
        <f>'2025_Chase9335_Activity_2026062'!G398</f>
        <v>Amazon</v>
      </c>
      <c r="H398" s="26">
        <f t="shared" si="6"/>
        <v>45870</v>
      </c>
      <c r="I398" s="8" t="str">
        <f>IF($G398="","Uncategorized — Review",IFERROR(_xlfn.XLOOKUP($G398,Mapping!$A:$A,Mapping!$B:$B),"Uncategorized — Review"))</f>
        <v>Amazon</v>
      </c>
      <c r="J398" s="8" t="str">
        <f>IF($G398="","Uncategorized — Review",IFERROR(_xlfn.XLOOKUP($G398,Mapping!$A:$A,Mapping!$C:$C),"Uncategorized — Review"))</f>
        <v>Personal — Owner</v>
      </c>
    </row>
    <row r="399" spans="1:10" x14ac:dyDescent="0.25">
      <c r="A399" s="8" t="str">
        <f>'2025_Chase9335_Activity_2026062'!A399</f>
        <v>DEBIT</v>
      </c>
      <c r="B399" s="24">
        <f>'2025_Chase9335_Activity_2026062'!B399</f>
        <v>45891</v>
      </c>
      <c r="C399" s="8" t="str">
        <f>'2025_Chase9335_Activity_2026062'!C399</f>
        <v>AMAZON MKTPL*5I0WF4T Amzn.com/bill WA        08/22</v>
      </c>
      <c r="D399" s="8">
        <f>'2025_Chase9335_Activity_2026062'!D399</f>
        <v>-31.71</v>
      </c>
      <c r="E399" s="8" t="str">
        <f>'2025_Chase9335_Activity_2026062'!E399</f>
        <v>DEBIT_CARD</v>
      </c>
      <c r="F399" s="8">
        <f>'2025_Chase9335_Activity_2026062'!F399</f>
        <v>319433.13</v>
      </c>
      <c r="G399" s="8" t="str">
        <f>'2025_Chase9335_Activity_2026062'!G399</f>
        <v>Amazon</v>
      </c>
      <c r="H399" s="26">
        <f t="shared" si="6"/>
        <v>45870</v>
      </c>
      <c r="I399" s="8" t="str">
        <f>IF($G399="","Uncategorized — Review",IFERROR(_xlfn.XLOOKUP($G399,Mapping!$A:$A,Mapping!$B:$B),"Uncategorized — Review"))</f>
        <v>Amazon</v>
      </c>
      <c r="J399" s="8" t="str">
        <f>IF($G399="","Uncategorized — Review",IFERROR(_xlfn.XLOOKUP($G399,Mapping!$A:$A,Mapping!$C:$C),"Uncategorized — Review"))</f>
        <v>Personal — Owner</v>
      </c>
    </row>
    <row r="400" spans="1:10" x14ac:dyDescent="0.25">
      <c r="A400" s="8" t="str">
        <f>'2025_Chase9335_Activity_2026062'!A400</f>
        <v>DEBIT</v>
      </c>
      <c r="B400" s="24">
        <f>'2025_Chase9335_Activity_2026062'!B400</f>
        <v>45891</v>
      </c>
      <c r="C400" s="8" t="str">
        <f>'2025_Chase9335_Activity_2026062'!C400</f>
        <v>AMAZON MKTPL*QE6T82M Amzn.com/bill WA        08/21</v>
      </c>
      <c r="D400" s="8">
        <f>'2025_Chase9335_Activity_2026062'!D400</f>
        <v>-105.95</v>
      </c>
      <c r="E400" s="8" t="str">
        <f>'2025_Chase9335_Activity_2026062'!E400</f>
        <v>DEBIT_CARD</v>
      </c>
      <c r="F400" s="8">
        <f>'2025_Chase9335_Activity_2026062'!F400</f>
        <v>319464.84000000003</v>
      </c>
      <c r="G400" s="8" t="str">
        <f>'2025_Chase9335_Activity_2026062'!G400</f>
        <v>Amazon</v>
      </c>
      <c r="H400" s="26">
        <f t="shared" si="6"/>
        <v>45870</v>
      </c>
      <c r="I400" s="8" t="str">
        <f>IF($G400="","Uncategorized — Review",IFERROR(_xlfn.XLOOKUP($G400,Mapping!$A:$A,Mapping!$B:$B),"Uncategorized — Review"))</f>
        <v>Amazon</v>
      </c>
      <c r="J400" s="8" t="str">
        <f>IF($G400="","Uncategorized — Review",IFERROR(_xlfn.XLOOKUP($G400,Mapping!$A:$A,Mapping!$C:$C),"Uncategorized — Review"))</f>
        <v>Personal — Owner</v>
      </c>
    </row>
    <row r="401" spans="1:10" x14ac:dyDescent="0.25">
      <c r="A401" s="8" t="str">
        <f>'2025_Chase9335_Activity_2026062'!A401</f>
        <v>DEBIT</v>
      </c>
      <c r="B401" s="24">
        <f>'2025_Chase9335_Activity_2026062'!B401</f>
        <v>45890</v>
      </c>
      <c r="C401" s="8" t="str">
        <f>'2025_Chase9335_Activity_2026062'!C401</f>
        <v>AMAZON MKTPL*Q66TM6A Amzn.com/bill WA        08/21</v>
      </c>
      <c r="D401" s="8">
        <f>'2025_Chase9335_Activity_2026062'!D401</f>
        <v>-206.95</v>
      </c>
      <c r="E401" s="8" t="str">
        <f>'2025_Chase9335_Activity_2026062'!E401</f>
        <v>DEBIT_CARD</v>
      </c>
      <c r="F401" s="8">
        <f>'2025_Chase9335_Activity_2026062'!F401</f>
        <v>319570.78999999998</v>
      </c>
      <c r="G401" s="8" t="str">
        <f>'2025_Chase9335_Activity_2026062'!G401</f>
        <v>Amazon</v>
      </c>
      <c r="H401" s="26">
        <f t="shared" si="6"/>
        <v>45870</v>
      </c>
      <c r="I401" s="8" t="str">
        <f>IF($G401="","Uncategorized — Review",IFERROR(_xlfn.XLOOKUP($G401,Mapping!$A:$A,Mapping!$B:$B),"Uncategorized — Review"))</f>
        <v>Amazon</v>
      </c>
      <c r="J401" s="8" t="str">
        <f>IF($G401="","Uncategorized — Review",IFERROR(_xlfn.XLOOKUP($G401,Mapping!$A:$A,Mapping!$C:$C),"Uncategorized — Review"))</f>
        <v>Personal — Owner</v>
      </c>
    </row>
    <row r="402" spans="1:10" x14ac:dyDescent="0.25">
      <c r="A402" s="8" t="str">
        <f>'2025_Chase9335_Activity_2026062'!A402</f>
        <v>DEBIT</v>
      </c>
      <c r="B402" s="24">
        <f>'2025_Chase9335_Activity_2026062'!B402</f>
        <v>45890</v>
      </c>
      <c r="C402" s="8" t="str">
        <f>'2025_Chase9335_Activity_2026062'!C402</f>
        <v>Netflix.com 408-5403700 CA                   08/21</v>
      </c>
      <c r="D402" s="8">
        <f>'2025_Chase9335_Activity_2026062'!D402</f>
        <v>-24.99</v>
      </c>
      <c r="E402" s="8" t="str">
        <f>'2025_Chase9335_Activity_2026062'!E402</f>
        <v>DEBIT_CARD</v>
      </c>
      <c r="F402" s="8">
        <f>'2025_Chase9335_Activity_2026062'!F402</f>
        <v>319777.74</v>
      </c>
      <c r="G402" s="8" t="str">
        <f>'2025_Chase9335_Activity_2026062'!G402</f>
        <v>Personal - Subscriptions</v>
      </c>
      <c r="H402" s="26">
        <f t="shared" si="6"/>
        <v>45870</v>
      </c>
      <c r="I402" s="8" t="str">
        <f>IF($G402="","Uncategorized — Review",IFERROR(_xlfn.XLOOKUP($G402,Mapping!$A:$A,Mapping!$B:$B),"Uncategorized — Review"))</f>
        <v>Personal - Subscriptions</v>
      </c>
      <c r="J402" s="8" t="str">
        <f>IF($G402="","Uncategorized — Review",IFERROR(_xlfn.XLOOKUP($G402,Mapping!$A:$A,Mapping!$C:$C),"Uncategorized — Review"))</f>
        <v>Personal — Owner</v>
      </c>
    </row>
    <row r="403" spans="1:10" x14ac:dyDescent="0.25">
      <c r="A403" s="8" t="str">
        <f>'2025_Chase9335_Activity_2026062'!A403</f>
        <v>DEBIT</v>
      </c>
      <c r="B403" s="24">
        <f>'2025_Chase9335_Activity_2026062'!B403</f>
        <v>45890</v>
      </c>
      <c r="C403" s="8" t="str">
        <f>'2025_Chase9335_Activity_2026062'!C403</f>
        <v>Prime Video *4B8J60Y1 888-802-3080 WA        08/21</v>
      </c>
      <c r="D403" s="8">
        <f>'2025_Chase9335_Activity_2026062'!D403</f>
        <v>-4.26</v>
      </c>
      <c r="E403" s="8" t="str">
        <f>'2025_Chase9335_Activity_2026062'!E403</f>
        <v>DEBIT_CARD</v>
      </c>
      <c r="F403" s="8">
        <f>'2025_Chase9335_Activity_2026062'!F403</f>
        <v>319802.73</v>
      </c>
      <c r="G403" s="8" t="str">
        <f>'2025_Chase9335_Activity_2026062'!G403</f>
        <v>Amazon Prime Video</v>
      </c>
      <c r="H403" s="26">
        <f t="shared" si="6"/>
        <v>45870</v>
      </c>
      <c r="I403" s="8" t="str">
        <f>IF($G403="","Uncategorized — Review",IFERROR(_xlfn.XLOOKUP($G403,Mapping!$A:$A,Mapping!$B:$B),"Uncategorized — Review"))</f>
        <v>Amazon Prime Video</v>
      </c>
      <c r="J403" s="8" t="str">
        <f>IF($G403="","Uncategorized — Review",IFERROR(_xlfn.XLOOKUP($G403,Mapping!$A:$A,Mapping!$C:$C),"Uncategorized — Review"))</f>
        <v>Personal — Owner</v>
      </c>
    </row>
    <row r="404" spans="1:10" x14ac:dyDescent="0.25">
      <c r="A404" s="8" t="str">
        <f>'2025_Chase9335_Activity_2026062'!A404</f>
        <v>DSLIP</v>
      </c>
      <c r="B404" s="24">
        <f>'2025_Chase9335_Activity_2026062'!B404</f>
        <v>45889</v>
      </c>
      <c r="C404" s="8" t="str">
        <f>'2025_Chase9335_Activity_2026062'!C404</f>
        <v>DEPOSIT  ID NUMBER 582588</v>
      </c>
      <c r="D404" s="8">
        <f>'2025_Chase9335_Activity_2026062'!D404</f>
        <v>3000</v>
      </c>
      <c r="E404" s="8" t="str">
        <f>'2025_Chase9335_Activity_2026062'!E404</f>
        <v>DEPOSIT</v>
      </c>
      <c r="F404" s="8">
        <f>'2025_Chase9335_Activity_2026062'!F404</f>
        <v>319806.99</v>
      </c>
      <c r="G404" s="8" t="str">
        <f>'2025_Chase9335_Activity_2026062'!G404</f>
        <v>Deposit</v>
      </c>
      <c r="H404" s="26">
        <f t="shared" si="6"/>
        <v>45870</v>
      </c>
      <c r="I404" s="8" t="str">
        <f>IF($G404="","Uncategorized — Review",IFERROR(_xlfn.XLOOKUP($G404,Mapping!$A:$A,Mapping!$B:$B),"Uncategorized — Review"))</f>
        <v>Deposit</v>
      </c>
      <c r="J404" s="8" t="str">
        <f>IF($G404="","Uncategorized — Review",IFERROR(_xlfn.XLOOKUP($G404,Mapping!$A:$A,Mapping!$C:$C),"Uncategorized — Review"))</f>
        <v>Uncategorized — Review</v>
      </c>
    </row>
    <row r="405" spans="1:10" x14ac:dyDescent="0.25">
      <c r="A405" s="8" t="str">
        <f>'2025_Chase9335_Activity_2026062'!A405</f>
        <v>DEBIT</v>
      </c>
      <c r="B405" s="24">
        <f>'2025_Chase9335_Activity_2026062'!B405</f>
        <v>45888</v>
      </c>
      <c r="C405" s="8" t="str">
        <f>'2025_Chase9335_Activity_2026062'!C405</f>
        <v>Prime Video *ON1OC830 888-802-3080 WA        08/19</v>
      </c>
      <c r="D405" s="8">
        <f>'2025_Chase9335_Activity_2026062'!D405</f>
        <v>-2.12</v>
      </c>
      <c r="E405" s="8" t="str">
        <f>'2025_Chase9335_Activity_2026062'!E405</f>
        <v>DEBIT_CARD</v>
      </c>
      <c r="F405" s="8">
        <f>'2025_Chase9335_Activity_2026062'!F405</f>
        <v>316806.99</v>
      </c>
      <c r="G405" s="8" t="str">
        <f>'2025_Chase9335_Activity_2026062'!G405</f>
        <v>Amazon Prime Video</v>
      </c>
      <c r="H405" s="26">
        <f t="shared" si="6"/>
        <v>45870</v>
      </c>
      <c r="I405" s="8" t="str">
        <f>IF($G405="","Uncategorized — Review",IFERROR(_xlfn.XLOOKUP($G405,Mapping!$A:$A,Mapping!$B:$B),"Uncategorized — Review"))</f>
        <v>Amazon Prime Video</v>
      </c>
      <c r="J405" s="8" t="str">
        <f>IF($G405="","Uncategorized — Review",IFERROR(_xlfn.XLOOKUP($G405,Mapping!$A:$A,Mapping!$C:$C),"Uncategorized — Review"))</f>
        <v>Personal — Owner</v>
      </c>
    </row>
    <row r="406" spans="1:10" x14ac:dyDescent="0.25">
      <c r="A406" s="8" t="str">
        <f>'2025_Chase9335_Activity_2026062'!A406</f>
        <v>DEBIT</v>
      </c>
      <c r="B406" s="24">
        <f>'2025_Chase9335_Activity_2026062'!B406</f>
        <v>45887</v>
      </c>
      <c r="C406" s="8" t="str">
        <f>'2025_Chase9335_Activity_2026062'!C406</f>
        <v>Prime Video *1A88F6GF 888-802-3080 WA        08/17</v>
      </c>
      <c r="D406" s="8">
        <f>'2025_Chase9335_Activity_2026062'!D406</f>
        <v>-2.12</v>
      </c>
      <c r="E406" s="8" t="str">
        <f>'2025_Chase9335_Activity_2026062'!E406</f>
        <v>DEBIT_CARD</v>
      </c>
      <c r="F406" s="8">
        <f>'2025_Chase9335_Activity_2026062'!F406</f>
        <v>316809.11</v>
      </c>
      <c r="G406" s="8" t="str">
        <f>'2025_Chase9335_Activity_2026062'!G406</f>
        <v>Amazon Prime Video</v>
      </c>
      <c r="H406" s="26">
        <f t="shared" si="6"/>
        <v>45870</v>
      </c>
      <c r="I406" s="8" t="str">
        <f>IF($G406="","Uncategorized — Review",IFERROR(_xlfn.XLOOKUP($G406,Mapping!$A:$A,Mapping!$B:$B),"Uncategorized — Review"))</f>
        <v>Amazon Prime Video</v>
      </c>
      <c r="J406" s="8" t="str">
        <f>IF($G406="","Uncategorized — Review",IFERROR(_xlfn.XLOOKUP($G406,Mapping!$A:$A,Mapping!$C:$C),"Uncategorized — Review"))</f>
        <v>Personal — Owner</v>
      </c>
    </row>
    <row r="407" spans="1:10" x14ac:dyDescent="0.25">
      <c r="A407" s="8" t="str">
        <f>'2025_Chase9335_Activity_2026062'!A407</f>
        <v>DEBIT</v>
      </c>
      <c r="B407" s="24">
        <f>'2025_Chase9335_Activity_2026062'!B407</f>
        <v>45887</v>
      </c>
      <c r="C407" s="8" t="str">
        <f>'2025_Chase9335_Activity_2026062'!C407</f>
        <v>Audible*T676C0GX3 Amzn.com/bill NJ           08/16</v>
      </c>
      <c r="D407" s="8">
        <f>'2025_Chase9335_Activity_2026062'!D407</f>
        <v>-16.18</v>
      </c>
      <c r="E407" s="8" t="str">
        <f>'2025_Chase9335_Activity_2026062'!E407</f>
        <v>DEBIT_CARD</v>
      </c>
      <c r="F407" s="8">
        <f>'2025_Chase9335_Activity_2026062'!F407</f>
        <v>316811.23</v>
      </c>
      <c r="G407" s="8" t="str">
        <f>'2025_Chase9335_Activity_2026062'!G407</f>
        <v>Amazon</v>
      </c>
      <c r="H407" s="26">
        <f t="shared" si="6"/>
        <v>45870</v>
      </c>
      <c r="I407" s="8" t="str">
        <f>IF($G407="","Uncategorized — Review",IFERROR(_xlfn.XLOOKUP($G407,Mapping!$A:$A,Mapping!$B:$B),"Uncategorized — Review"))</f>
        <v>Amazon</v>
      </c>
      <c r="J407" s="8" t="str">
        <f>IF($G407="","Uncategorized — Review",IFERROR(_xlfn.XLOOKUP($G407,Mapping!$A:$A,Mapping!$C:$C),"Uncategorized — Review"))</f>
        <v>Personal — Owner</v>
      </c>
    </row>
    <row r="408" spans="1:10" x14ac:dyDescent="0.25">
      <c r="A408" s="8" t="str">
        <f>'2025_Chase9335_Activity_2026062'!A408</f>
        <v>DEBIT</v>
      </c>
      <c r="B408" s="24">
        <f>'2025_Chase9335_Activity_2026062'!B408</f>
        <v>45887</v>
      </c>
      <c r="C408" s="8" t="str">
        <f>'2025_Chase9335_Activity_2026062'!C408</f>
        <v>AMAZON MKTPL*8A6OD90 Amzn.com/bill WA        08/16</v>
      </c>
      <c r="D408" s="8">
        <f>'2025_Chase9335_Activity_2026062'!D408</f>
        <v>-21.34</v>
      </c>
      <c r="E408" s="8" t="str">
        <f>'2025_Chase9335_Activity_2026062'!E408</f>
        <v>DEBIT_CARD</v>
      </c>
      <c r="F408" s="8">
        <f>'2025_Chase9335_Activity_2026062'!F408</f>
        <v>316827.40999999997</v>
      </c>
      <c r="G408" s="8" t="str">
        <f>'2025_Chase9335_Activity_2026062'!G408</f>
        <v>Amazon</v>
      </c>
      <c r="H408" s="26">
        <f t="shared" si="6"/>
        <v>45870</v>
      </c>
      <c r="I408" s="8" t="str">
        <f>IF($G408="","Uncategorized — Review",IFERROR(_xlfn.XLOOKUP($G408,Mapping!$A:$A,Mapping!$B:$B),"Uncategorized — Review"))</f>
        <v>Amazon</v>
      </c>
      <c r="J408" s="8" t="str">
        <f>IF($G408="","Uncategorized — Review",IFERROR(_xlfn.XLOOKUP($G408,Mapping!$A:$A,Mapping!$C:$C),"Uncategorized — Review"))</f>
        <v>Personal — Owner</v>
      </c>
    </row>
    <row r="409" spans="1:10" x14ac:dyDescent="0.25">
      <c r="A409" s="8" t="str">
        <f>'2025_Chase9335_Activity_2026062'!A409</f>
        <v>DEBIT</v>
      </c>
      <c r="B409" s="24">
        <f>'2025_Chase9335_Activity_2026062'!B409</f>
        <v>45884</v>
      </c>
      <c r="C409" s="8" t="str">
        <f>'2025_Chase9335_Activity_2026062'!C409</f>
        <v>DOMESTIC INCOMING WIRE FEE</v>
      </c>
      <c r="D409" s="8">
        <f>'2025_Chase9335_Activity_2026062'!D409</f>
        <v>-15</v>
      </c>
      <c r="E409" s="8" t="str">
        <f>'2025_Chase9335_Activity_2026062'!E409</f>
        <v>FEE_TRANSACTION</v>
      </c>
      <c r="F409" s="8">
        <f>'2025_Chase9335_Activity_2026062'!F409</f>
        <v>316848.75</v>
      </c>
      <c r="G409" s="8" t="str">
        <f>'2025_Chase9335_Activity_2026062'!G409</f>
        <v>Bank Fees</v>
      </c>
      <c r="H409" s="26">
        <f t="shared" si="6"/>
        <v>45870</v>
      </c>
      <c r="I409" s="8" t="str">
        <f>IF($G409="","Uncategorized — Review",IFERROR(_xlfn.XLOOKUP($G409,Mapping!$A:$A,Mapping!$B:$B),"Uncategorized — Review"))</f>
        <v>Bank Fees</v>
      </c>
      <c r="J409" s="8" t="str">
        <f>IF($G409="","Uncategorized — Review",IFERROR(_xlfn.XLOOKUP($G409,Mapping!$A:$A,Mapping!$C:$C),"Uncategorized — Review"))</f>
        <v>DWG Operating</v>
      </c>
    </row>
    <row r="410" spans="1:10" x14ac:dyDescent="0.25">
      <c r="A410" s="8" t="str">
        <f>'2025_Chase9335_Activity_2026062'!A410</f>
        <v>DEBIT</v>
      </c>
      <c r="B410" s="24">
        <f>'2025_Chase9335_Activity_2026062'!B410</f>
        <v>45884</v>
      </c>
      <c r="C410" s="8" t="str">
        <f>'2025_Chase9335_Activity_2026062'!C410</f>
        <v>NNT VIOLET VAPOR - 000 WEATHERFORD TX017108  08/15</v>
      </c>
      <c r="D410" s="8">
        <f>'2025_Chase9335_Activity_2026062'!D410</f>
        <v>-10.77</v>
      </c>
      <c r="E410" s="8" t="str">
        <f>'2025_Chase9335_Activity_2026062'!E410</f>
        <v>DEBIT_CARD</v>
      </c>
      <c r="F410" s="8">
        <f>'2025_Chase9335_Activity_2026062'!F410</f>
        <v>316863.75</v>
      </c>
      <c r="G410" s="8" t="str">
        <f>'2025_Chase9335_Activity_2026062'!G410</f>
        <v>Personal - Entertainment</v>
      </c>
      <c r="H410" s="26">
        <f t="shared" si="6"/>
        <v>45870</v>
      </c>
      <c r="I410" s="8" t="str">
        <f>IF($G410="","Uncategorized — Review",IFERROR(_xlfn.XLOOKUP($G410,Mapping!$A:$A,Mapping!$B:$B),"Uncategorized — Review"))</f>
        <v>Personal - Entertainment</v>
      </c>
      <c r="J410" s="8" t="str">
        <f>IF($G410="","Uncategorized — Review",IFERROR(_xlfn.XLOOKUP($G410,Mapping!$A:$A,Mapping!$C:$C),"Uncategorized — Review"))</f>
        <v>Personal — Owner</v>
      </c>
    </row>
    <row r="411" spans="1:10" x14ac:dyDescent="0.25">
      <c r="A411" s="8" t="str">
        <f>'2025_Chase9335_Activity_2026062'!A411</f>
        <v>CREDIT</v>
      </c>
      <c r="B411" s="24">
        <f>'2025_Chase9335_Activity_2026062'!B411</f>
        <v>45884</v>
      </c>
      <c r="C411" s="8" t="str">
        <f>'2025_Chase9335_Activity_2026062'!C411</f>
        <v>FEDWIRE CREDIT VIA: FIRST HORIZON BANK/084000026 B/O: LEVERAGE EMS LLC MIAMI FL 33130 US REF: CHASE NYC/CTR/BNF=POSEIDON ASSET GROUP, LLC LOS ANGELES CA 90066-3638 US/AC-000000007200 RFB=NOTPROVIDED OBI=/URI/RE: JW IMAD: 0815MMQFMPWQ001436 TRN: 0524241227FF</v>
      </c>
      <c r="D411" s="8">
        <f>'2025_Chase9335_Activity_2026062'!D411</f>
        <v>20000</v>
      </c>
      <c r="E411" s="8" t="str">
        <f>'2025_Chase9335_Activity_2026062'!E411</f>
        <v>WIRE_INCOMING</v>
      </c>
      <c r="F411" s="8">
        <f>'2025_Chase9335_Activity_2026062'!F411</f>
        <v>316874.52</v>
      </c>
      <c r="G411" s="8" t="str">
        <f>'2025_Chase9335_Activity_2026062'!G411</f>
        <v>Incoming wire from JC Whitner</v>
      </c>
      <c r="H411" s="26">
        <f t="shared" si="6"/>
        <v>45870</v>
      </c>
      <c r="I411" s="8" t="str">
        <f>IF($G411="","Uncategorized — Review",IFERROR(_xlfn.XLOOKUP($G411,Mapping!$A:$A,Mapping!$B:$B),"Uncategorized — Review"))</f>
        <v>Incoming wire from JC Whitner</v>
      </c>
      <c r="J411" s="8" t="str">
        <f>IF($G411="","Uncategorized — Review",IFERROR(_xlfn.XLOOKUP($G411,Mapping!$A:$A,Mapping!$C:$C),"Uncategorized — Review"))</f>
        <v>Wire Transfers — Incoming</v>
      </c>
    </row>
    <row r="412" spans="1:10" x14ac:dyDescent="0.25">
      <c r="A412" s="8" t="str">
        <f>'2025_Chase9335_Activity_2026062'!A412</f>
        <v>DEBIT</v>
      </c>
      <c r="B412" s="24">
        <f>'2025_Chase9335_Activity_2026062'!B412</f>
        <v>45883</v>
      </c>
      <c r="C412" s="8" t="str">
        <f>'2025_Chase9335_Activity_2026062'!C412</f>
        <v>AA WIFI 1-888-649-6711 Fort Worth TX         08/14</v>
      </c>
      <c r="D412" s="8">
        <f>'2025_Chase9335_Activity_2026062'!D412</f>
        <v>-20</v>
      </c>
      <c r="E412" s="8" t="str">
        <f>'2025_Chase9335_Activity_2026062'!E412</f>
        <v>DEBIT_CARD</v>
      </c>
      <c r="F412" s="8">
        <f>'2025_Chase9335_Activity_2026062'!F412</f>
        <v>296874.52</v>
      </c>
      <c r="G412" s="8" t="str">
        <f>'2025_Chase9335_Activity_2026062'!G412</f>
        <v>Personal - Travel</v>
      </c>
      <c r="H412" s="26">
        <f t="shared" si="6"/>
        <v>45870</v>
      </c>
      <c r="I412" s="8" t="str">
        <f>IF($G412="","Uncategorized — Review",IFERROR(_xlfn.XLOOKUP($G412,Mapping!$A:$A,Mapping!$B:$B),"Uncategorized — Review"))</f>
        <v>Personal - Travel</v>
      </c>
      <c r="J412" s="8" t="str">
        <f>IF($G412="","Uncategorized — Review",IFERROR(_xlfn.XLOOKUP($G412,Mapping!$A:$A,Mapping!$C:$C),"Uncategorized — Review"))</f>
        <v>Personal — Owner</v>
      </c>
    </row>
    <row r="413" spans="1:10" x14ac:dyDescent="0.25">
      <c r="A413" s="8" t="str">
        <f>'2025_Chase9335_Activity_2026062'!A413</f>
        <v>DEBIT</v>
      </c>
      <c r="B413" s="24">
        <f>'2025_Chase9335_Activity_2026062'!B413</f>
        <v>45882</v>
      </c>
      <c r="C413" s="8" t="str">
        <f>'2025_Chase9335_Activity_2026062'!C413</f>
        <v>APPLE.COM/BILL 866-712-7753 CA               08/13</v>
      </c>
      <c r="D413" s="8">
        <f>'2025_Chase9335_Activity_2026062'!D413</f>
        <v>-30.89</v>
      </c>
      <c r="E413" s="8" t="str">
        <f>'2025_Chase9335_Activity_2026062'!E413</f>
        <v>DEBIT_CARD</v>
      </c>
      <c r="F413" s="8">
        <f>'2025_Chase9335_Activity_2026062'!F413</f>
        <v>296894.52</v>
      </c>
      <c r="G413" s="8" t="str">
        <f>'2025_Chase9335_Activity_2026062'!G413</f>
        <v>Personal - Subscriptions</v>
      </c>
      <c r="H413" s="26">
        <f t="shared" si="6"/>
        <v>45870</v>
      </c>
      <c r="I413" s="8" t="str">
        <f>IF($G413="","Uncategorized — Review",IFERROR(_xlfn.XLOOKUP($G413,Mapping!$A:$A,Mapping!$B:$B),"Uncategorized — Review"))</f>
        <v>Personal - Subscriptions</v>
      </c>
      <c r="J413" s="8" t="str">
        <f>IF($G413="","Uncategorized — Review",IFERROR(_xlfn.XLOOKUP($G413,Mapping!$A:$A,Mapping!$C:$C),"Uncategorized — Review"))</f>
        <v>Personal — Owner</v>
      </c>
    </row>
    <row r="414" spans="1:10" x14ac:dyDescent="0.25">
      <c r="A414" s="8" t="str">
        <f>'2025_Chase9335_Activity_2026062'!A414</f>
        <v>CREDIT</v>
      </c>
      <c r="B414" s="24">
        <f>'2025_Chase9335_Activity_2026062'!B414</f>
        <v>45882</v>
      </c>
      <c r="C414" s="8" t="str">
        <f>'2025_Chase9335_Activity_2026062'!C414</f>
        <v>ORIG CO NAME:Rabourn Road Ind       ORIG ID:945440567  DESC DATE:       CO ENTRY DESCR:PAYMENT   SEC:PPD    TRACE#:273976369352812 EED:250813   IND ID:                             IND NAME:John Dunning TRN: 2259352812TC</v>
      </c>
      <c r="D414" s="8">
        <f>'2025_Chase9335_Activity_2026062'!D414</f>
        <v>233.33</v>
      </c>
      <c r="E414" s="8" t="str">
        <f>'2025_Chase9335_Activity_2026062'!E414</f>
        <v>ACH_CREDIT</v>
      </c>
      <c r="F414" s="8">
        <f>'2025_Chase9335_Activity_2026062'!F414</f>
        <v>296925.40999999997</v>
      </c>
      <c r="G414" s="8" t="str">
        <f>'2025_Chase9335_Activity_2026062'!G414</f>
        <v>Deal Specific: Rabourn Road</v>
      </c>
      <c r="H414" s="26">
        <f t="shared" si="6"/>
        <v>45870</v>
      </c>
      <c r="I414" s="8" t="str">
        <f>IF($G414="","Uncategorized — Review",IFERROR(_xlfn.XLOOKUP($G414,Mapping!$A:$A,Mapping!$B:$B),"Uncategorized — Review"))</f>
        <v>Deal Specific: Rabourn Road</v>
      </c>
      <c r="J414" s="8" t="str">
        <f>IF($G414="","Uncategorized — Review",IFERROR(_xlfn.XLOOKUP($G414,Mapping!$A:$A,Mapping!$C:$C),"Uncategorized — Review"))</f>
        <v>Deal-Specific</v>
      </c>
    </row>
    <row r="415" spans="1:10" x14ac:dyDescent="0.25">
      <c r="A415" s="8" t="str">
        <f>'2025_Chase9335_Activity_2026062'!A415</f>
        <v>CREDIT</v>
      </c>
      <c r="B415" s="24">
        <f>'2025_Chase9335_Activity_2026062'!B415</f>
        <v>45882</v>
      </c>
      <c r="C415" s="8" t="str">
        <f>'2025_Chase9335_Activity_2026062'!C415</f>
        <v>ORIG CO NAME:T and T Machine        ORIG ID:945440567  DESC DATE:       CO ENTRY DESCR:PAYMENT   SEC:PPD    TRACE#:273976369355279 EED:250813   IND ID:                             IND NAME:John Dunning TRN: 2259355279TC</v>
      </c>
      <c r="D415" s="8">
        <f>'2025_Chase9335_Activity_2026062'!D415</f>
        <v>356.38</v>
      </c>
      <c r="E415" s="8" t="str">
        <f>'2025_Chase9335_Activity_2026062'!E415</f>
        <v>ACH_CREDIT</v>
      </c>
      <c r="F415" s="8">
        <f>'2025_Chase9335_Activity_2026062'!F415</f>
        <v>296692.08</v>
      </c>
      <c r="G415" s="8" t="str">
        <f>'2025_Chase9335_Activity_2026062'!G415</f>
        <v>Deal Specific: T&amp;T Machine</v>
      </c>
      <c r="H415" s="26">
        <f t="shared" si="6"/>
        <v>45870</v>
      </c>
      <c r="I415" s="8" t="str">
        <f>IF($G415="","Uncategorized — Review",IFERROR(_xlfn.XLOOKUP($G415,Mapping!$A:$A,Mapping!$B:$B),"Uncategorized — Review"))</f>
        <v>Deal Specific: T&amp;T Machine</v>
      </c>
      <c r="J415" s="8" t="str">
        <f>IF($G415="","Uncategorized — Review",IFERROR(_xlfn.XLOOKUP($G415,Mapping!$A:$A,Mapping!$C:$C),"Uncategorized — Review"))</f>
        <v>Deal-Specific</v>
      </c>
    </row>
    <row r="416" spans="1:10" x14ac:dyDescent="0.25">
      <c r="A416" s="8" t="str">
        <f>'2025_Chase9335_Activity_2026062'!A416</f>
        <v>DEBIT</v>
      </c>
      <c r="B416" s="24">
        <f>'2025_Chase9335_Activity_2026062'!B416</f>
        <v>45881</v>
      </c>
      <c r="C416" s="8" t="str">
        <f>'2025_Chase9335_Activity_2026062'!C416</f>
        <v>Prime Video *I99PV41K 888-802-3080 WA        08/12</v>
      </c>
      <c r="D416" s="8">
        <f>'2025_Chase9335_Activity_2026062'!D416</f>
        <v>-4.05</v>
      </c>
      <c r="E416" s="8" t="str">
        <f>'2025_Chase9335_Activity_2026062'!E416</f>
        <v>DEBIT_CARD</v>
      </c>
      <c r="F416" s="8">
        <f>'2025_Chase9335_Activity_2026062'!F416</f>
        <v>296335.7</v>
      </c>
      <c r="G416" s="8" t="str">
        <f>'2025_Chase9335_Activity_2026062'!G416</f>
        <v>Amazon Prime Video</v>
      </c>
      <c r="H416" s="26">
        <f t="shared" si="6"/>
        <v>45870</v>
      </c>
      <c r="I416" s="8" t="str">
        <f>IF($G416="","Uncategorized — Review",IFERROR(_xlfn.XLOOKUP($G416,Mapping!$A:$A,Mapping!$B:$B),"Uncategorized — Review"))</f>
        <v>Amazon Prime Video</v>
      </c>
      <c r="J416" s="8" t="str">
        <f>IF($G416="","Uncategorized — Review",IFERROR(_xlfn.XLOOKUP($G416,Mapping!$A:$A,Mapping!$C:$C),"Uncategorized — Review"))</f>
        <v>Personal — Owner</v>
      </c>
    </row>
    <row r="417" spans="1:10" x14ac:dyDescent="0.25">
      <c r="A417" s="8" t="str">
        <f>'2025_Chase9335_Activity_2026062'!A417</f>
        <v>DEBIT</v>
      </c>
      <c r="B417" s="24">
        <f>'2025_Chase9335_Activity_2026062'!B417</f>
        <v>45881</v>
      </c>
      <c r="C417" s="8" t="str">
        <f>'2025_Chase9335_Activity_2026062'!C417</f>
        <v>BLOOMBERG* 37033964 BLOOMBERG.COM NY         08/12</v>
      </c>
      <c r="D417" s="8">
        <f>'2025_Chase9335_Activity_2026062'!D417</f>
        <v>-34.99</v>
      </c>
      <c r="E417" s="8" t="str">
        <f>'2025_Chase9335_Activity_2026062'!E417</f>
        <v>DEBIT_CARD</v>
      </c>
      <c r="F417" s="8">
        <f>'2025_Chase9335_Activity_2026062'!F417</f>
        <v>296339.75</v>
      </c>
      <c r="G417" s="8" t="str">
        <f>'2025_Chase9335_Activity_2026062'!G417</f>
        <v>Personal - Subscriptions</v>
      </c>
      <c r="H417" s="26">
        <f t="shared" si="6"/>
        <v>45870</v>
      </c>
      <c r="I417" s="8" t="str">
        <f>IF($G417="","Uncategorized — Review",IFERROR(_xlfn.XLOOKUP($G417,Mapping!$A:$A,Mapping!$B:$B),"Uncategorized — Review"))</f>
        <v>Personal - Subscriptions</v>
      </c>
      <c r="J417" s="8" t="str">
        <f>IF($G417="","Uncategorized — Review",IFERROR(_xlfn.XLOOKUP($G417,Mapping!$A:$A,Mapping!$C:$C),"Uncategorized — Review"))</f>
        <v>Personal — Owner</v>
      </c>
    </row>
    <row r="418" spans="1:10" x14ac:dyDescent="0.25">
      <c r="A418" s="8" t="str">
        <f>'2025_Chase9335_Activity_2026062'!A418</f>
        <v>DEBIT</v>
      </c>
      <c r="B418" s="24">
        <f>'2025_Chase9335_Activity_2026062'!B418</f>
        <v>45880</v>
      </c>
      <c r="C418" s="8" t="str">
        <f>'2025_Chase9335_Activity_2026062'!C418</f>
        <v>Prime Video *885K31AN 888-802-3080 WA        08/11</v>
      </c>
      <c r="D418" s="8">
        <f>'2025_Chase9335_Activity_2026062'!D418</f>
        <v>-4.05</v>
      </c>
      <c r="E418" s="8" t="str">
        <f>'2025_Chase9335_Activity_2026062'!E418</f>
        <v>DEBIT_CARD</v>
      </c>
      <c r="F418" s="8">
        <f>'2025_Chase9335_Activity_2026062'!F418</f>
        <v>296374.74</v>
      </c>
      <c r="G418" s="8" t="str">
        <f>'2025_Chase9335_Activity_2026062'!G418</f>
        <v>Amazon Prime Video</v>
      </c>
      <c r="H418" s="26">
        <f t="shared" si="6"/>
        <v>45870</v>
      </c>
      <c r="I418" s="8" t="str">
        <f>IF($G418="","Uncategorized — Review",IFERROR(_xlfn.XLOOKUP($G418,Mapping!$A:$A,Mapping!$B:$B),"Uncategorized — Review"))</f>
        <v>Amazon Prime Video</v>
      </c>
      <c r="J418" s="8" t="str">
        <f>IF($G418="","Uncategorized — Review",IFERROR(_xlfn.XLOOKUP($G418,Mapping!$A:$A,Mapping!$C:$C),"Uncategorized — Review"))</f>
        <v>Personal — Owner</v>
      </c>
    </row>
    <row r="419" spans="1:10" x14ac:dyDescent="0.25">
      <c r="A419" s="8" t="str">
        <f>'2025_Chase9335_Activity_2026062'!A419</f>
        <v>DEBIT</v>
      </c>
      <c r="B419" s="24">
        <f>'2025_Chase9335_Activity_2026062'!B419</f>
        <v>45880</v>
      </c>
      <c r="C419" s="8" t="str">
        <f>'2025_Chase9335_Activity_2026062'!C419</f>
        <v>APPLE.COM/BILL 866-712-7753 CA               08/10</v>
      </c>
      <c r="D419" s="8">
        <f>'2025_Chase9335_Activity_2026062'!D419</f>
        <v>-30.89</v>
      </c>
      <c r="E419" s="8" t="str">
        <f>'2025_Chase9335_Activity_2026062'!E419</f>
        <v>DEBIT_CARD</v>
      </c>
      <c r="F419" s="8">
        <f>'2025_Chase9335_Activity_2026062'!F419</f>
        <v>296378.78999999998</v>
      </c>
      <c r="G419" s="8" t="str">
        <f>'2025_Chase9335_Activity_2026062'!G419</f>
        <v>Personal - Subscriptions</v>
      </c>
      <c r="H419" s="26">
        <f t="shared" si="6"/>
        <v>45870</v>
      </c>
      <c r="I419" s="8" t="str">
        <f>IF($G419="","Uncategorized — Review",IFERROR(_xlfn.XLOOKUP($G419,Mapping!$A:$A,Mapping!$B:$B),"Uncategorized — Review"))</f>
        <v>Personal - Subscriptions</v>
      </c>
      <c r="J419" s="8" t="str">
        <f>IF($G419="","Uncategorized — Review",IFERROR(_xlfn.XLOOKUP($G419,Mapping!$A:$A,Mapping!$C:$C),"Uncategorized — Review"))</f>
        <v>Personal — Owner</v>
      </c>
    </row>
    <row r="420" spans="1:10" x14ac:dyDescent="0.25">
      <c r="A420" s="8" t="str">
        <f>'2025_Chase9335_Activity_2026062'!A420</f>
        <v>DEBIT</v>
      </c>
      <c r="B420" s="24">
        <f>'2025_Chase9335_Activity_2026062'!B420</f>
        <v>45877</v>
      </c>
      <c r="C420" s="8" t="str">
        <f>'2025_Chase9335_Activity_2026062'!C420</f>
        <v>ONLINE DOMESTIC WIRE FEE</v>
      </c>
      <c r="D420" s="8">
        <f>'2025_Chase9335_Activity_2026062'!D420</f>
        <v>-25</v>
      </c>
      <c r="E420" s="8" t="str">
        <f>'2025_Chase9335_Activity_2026062'!E420</f>
        <v>FEE_TRANSACTION</v>
      </c>
      <c r="F420" s="8">
        <f>'2025_Chase9335_Activity_2026062'!F420</f>
        <v>296409.68</v>
      </c>
      <c r="G420" s="8" t="str">
        <f>'2025_Chase9335_Activity_2026062'!G420</f>
        <v>Bank Fees</v>
      </c>
      <c r="H420" s="26">
        <f t="shared" si="6"/>
        <v>45870</v>
      </c>
      <c r="I420" s="8" t="str">
        <f>IF($G420="","Uncategorized — Review",IFERROR(_xlfn.XLOOKUP($G420,Mapping!$A:$A,Mapping!$B:$B),"Uncategorized — Review"))</f>
        <v>Bank Fees</v>
      </c>
      <c r="J420" s="8" t="str">
        <f>IF($G420="","Uncategorized — Review",IFERROR(_xlfn.XLOOKUP($G420,Mapping!$A:$A,Mapping!$C:$C),"Uncategorized — Review"))</f>
        <v>DWG Operating</v>
      </c>
    </row>
    <row r="421" spans="1:10" x14ac:dyDescent="0.25">
      <c r="A421" s="8" t="str">
        <f>'2025_Chase9335_Activity_2026062'!A421</f>
        <v>DEBIT</v>
      </c>
      <c r="B421" s="24">
        <f>'2025_Chase9335_Activity_2026062'!B421</f>
        <v>45877</v>
      </c>
      <c r="C421" s="8" t="str">
        <f>'2025_Chase9335_Activity_2026062'!C421</f>
        <v>ONLINE DOMESTIC WIRE TRANSFER A/C: JOSEPH C WHITNER MIAMI FL 33133-3184 US REF:/ACC/309234364 JC WHITNER 2369 OVERBROOK ST MIAMI FL 33133 US TRN: 3767235220ES 08/08</v>
      </c>
      <c r="D421" s="8">
        <f>'2025_Chase9335_Activity_2026062'!D421</f>
        <v>-17500</v>
      </c>
      <c r="E421" s="8" t="str">
        <f>'2025_Chase9335_Activity_2026062'!E421</f>
        <v>WIRE_OUTGOING</v>
      </c>
      <c r="F421" s="8">
        <f>'2025_Chase9335_Activity_2026062'!F421</f>
        <v>296434.68</v>
      </c>
      <c r="G421" s="8" t="str">
        <f>'2025_Chase9335_Activity_2026062'!G421</f>
        <v>Outgoing wire to JC Whitner</v>
      </c>
      <c r="H421" s="26">
        <f t="shared" si="6"/>
        <v>45870</v>
      </c>
      <c r="I421" s="8" t="str">
        <f>IF($G421="","Uncategorized — Review",IFERROR(_xlfn.XLOOKUP($G421,Mapping!$A:$A,Mapping!$B:$B),"Uncategorized — Review"))</f>
        <v>Outgoing wire to JC Whitner</v>
      </c>
      <c r="J421" s="8" t="str">
        <f>IF($G421="","Uncategorized — Review",IFERROR(_xlfn.XLOOKUP($G421,Mapping!$A:$A,Mapping!$C:$C),"Uncategorized — Review"))</f>
        <v>Wire Transfers — Outgoing</v>
      </c>
    </row>
    <row r="422" spans="1:10" x14ac:dyDescent="0.25">
      <c r="A422" s="8" t="str">
        <f>'2025_Chase9335_Activity_2026062'!A422</f>
        <v>DEBIT</v>
      </c>
      <c r="B422" s="24">
        <f>'2025_Chase9335_Activity_2026062'!B422</f>
        <v>45877</v>
      </c>
      <c r="C422" s="8" t="str">
        <f>'2025_Chase9335_Activity_2026062'!C422</f>
        <v>Zelle payment to JC Whitner 25785412339</v>
      </c>
      <c r="D422" s="8">
        <f>'2025_Chase9335_Activity_2026062'!D422</f>
        <v>-7500</v>
      </c>
      <c r="E422" s="8" t="str">
        <f>'2025_Chase9335_Activity_2026062'!E422</f>
        <v>QUICKPAY_DEBIT</v>
      </c>
      <c r="F422" s="8">
        <f>'2025_Chase9335_Activity_2026062'!F422</f>
        <v>313934.68</v>
      </c>
      <c r="G422" s="8" t="str">
        <f>'2025_Chase9335_Activity_2026062'!G422</f>
        <v>Outgoing wire to JC Whitner</v>
      </c>
      <c r="H422" s="26">
        <f t="shared" si="6"/>
        <v>45870</v>
      </c>
      <c r="I422" s="8" t="str">
        <f>IF($G422="","Uncategorized — Review",IFERROR(_xlfn.XLOOKUP($G422,Mapping!$A:$A,Mapping!$B:$B),"Uncategorized — Review"))</f>
        <v>Outgoing wire to JC Whitner</v>
      </c>
      <c r="J422" s="8" t="str">
        <f>IF($G422="","Uncategorized — Review",IFERROR(_xlfn.XLOOKUP($G422,Mapping!$A:$A,Mapping!$C:$C),"Uncategorized — Review"))</f>
        <v>Wire Transfers — Outgoing</v>
      </c>
    </row>
    <row r="423" spans="1:10" x14ac:dyDescent="0.25">
      <c r="A423" s="8" t="str">
        <f>'2025_Chase9335_Activity_2026062'!A423</f>
        <v>CREDIT</v>
      </c>
      <c r="B423" s="24">
        <f>'2025_Chase9335_Activity_2026062'!B423</f>
        <v>45877</v>
      </c>
      <c r="C423" s="8" t="str">
        <f>'2025_Chase9335_Activity_2026062'!C423</f>
        <v>ORIG CO NAME:MRM Industrial P       ORIG ID:945440567  DESC DATE:       CO ENTRY DESCR:PAYMENT   SEC:PPD    TRACE#:273976362046149 EED:250808   IND ID:                             IND NAME:John Dunning TRN: 2202046149TC</v>
      </c>
      <c r="D423" s="8">
        <f>'2025_Chase9335_Activity_2026062'!D423</f>
        <v>236.37</v>
      </c>
      <c r="E423" s="8" t="str">
        <f>'2025_Chase9335_Activity_2026062'!E423</f>
        <v>ACH_CREDIT</v>
      </c>
      <c r="F423" s="8">
        <f>'2025_Chase9335_Activity_2026062'!F423</f>
        <v>321434.68</v>
      </c>
      <c r="G423" s="8" t="str">
        <f>'2025_Chase9335_Activity_2026062'!G423</f>
        <v>Deal Specific: MRM</v>
      </c>
      <c r="H423" s="26">
        <f t="shared" si="6"/>
        <v>45870</v>
      </c>
      <c r="I423" s="8" t="str">
        <f>IF($G423="","Uncategorized — Review",IFERROR(_xlfn.XLOOKUP($G423,Mapping!$A:$A,Mapping!$B:$B),"Uncategorized — Review"))</f>
        <v>Deal Specific: MRM</v>
      </c>
      <c r="J423" s="8" t="str">
        <f>IF($G423="","Uncategorized — Review",IFERROR(_xlfn.XLOOKUP($G423,Mapping!$A:$A,Mapping!$C:$C),"Uncategorized — Review"))</f>
        <v>Deal-Specific</v>
      </c>
    </row>
    <row r="424" spans="1:10" x14ac:dyDescent="0.25">
      <c r="A424" s="8" t="str">
        <f>'2025_Chase9335_Activity_2026062'!A424</f>
        <v>CREDIT</v>
      </c>
      <c r="B424" s="24">
        <f>'2025_Chase9335_Activity_2026062'!B424</f>
        <v>45877</v>
      </c>
      <c r="C424" s="8" t="str">
        <f>'2025_Chase9335_Activity_2026062'!C424</f>
        <v>ORIG CO NAME:Austin Iron Hold       ORIG ID:945440567  DESC DATE:       CO ENTRY DESCR:PAYMENT   SEC:PPD    TRACE#:273976362046514 EED:250808   IND ID:                             IND NAME:John Dunning TRN: 2202046514TC</v>
      </c>
      <c r="D424" s="8">
        <f>'2025_Chase9335_Activity_2026062'!D424</f>
        <v>350</v>
      </c>
      <c r="E424" s="8" t="str">
        <f>'2025_Chase9335_Activity_2026062'!E424</f>
        <v>ACH_CREDIT</v>
      </c>
      <c r="F424" s="8">
        <f>'2025_Chase9335_Activity_2026062'!F424</f>
        <v>321198.31</v>
      </c>
      <c r="G424" s="8" t="str">
        <f>'2025_Chase9335_Activity_2026062'!G424</f>
        <v>Deal Specific: Austin Iron</v>
      </c>
      <c r="H424" s="26">
        <f t="shared" si="6"/>
        <v>45870</v>
      </c>
      <c r="I424" s="8" t="str">
        <f>IF($G424="","Uncategorized — Review",IFERROR(_xlfn.XLOOKUP($G424,Mapping!$A:$A,Mapping!$B:$B),"Uncategorized — Review"))</f>
        <v>Deal Specific: Austin Iron</v>
      </c>
      <c r="J424" s="8" t="str">
        <f>IF($G424="","Uncategorized — Review",IFERROR(_xlfn.XLOOKUP($G424,Mapping!$A:$A,Mapping!$C:$C),"Uncategorized — Review"))</f>
        <v>Deal-Specific</v>
      </c>
    </row>
    <row r="425" spans="1:10" x14ac:dyDescent="0.25">
      <c r="A425" s="8" t="str">
        <f>'2025_Chase9335_Activity_2026062'!A425</f>
        <v>CREDIT</v>
      </c>
      <c r="B425" s="24">
        <f>'2025_Chase9335_Activity_2026062'!B425</f>
        <v>45877</v>
      </c>
      <c r="C425" s="8" t="str">
        <f>'2025_Chase9335_Activity_2026062'!C425</f>
        <v>ORIG CO NAME:Merit-Lancaster        ORIG ID:945440567  DESC DATE:       CO ENTRY DESCR:PAYMENT   SEC:PPD    TRACE#:273976362046505 EED:250808   IND ID:                             IND NAME:John Dunning TRN: 2202046505TC</v>
      </c>
      <c r="D425" s="8">
        <f>'2025_Chase9335_Activity_2026062'!D425</f>
        <v>476.41</v>
      </c>
      <c r="E425" s="8" t="str">
        <f>'2025_Chase9335_Activity_2026062'!E425</f>
        <v>ACH_CREDIT</v>
      </c>
      <c r="F425" s="8">
        <f>'2025_Chase9335_Activity_2026062'!F425</f>
        <v>320848.31</v>
      </c>
      <c r="G425" s="8" t="str">
        <f>'2025_Chase9335_Activity_2026062'!G425</f>
        <v>Deal Specific: Merit-Lancaster</v>
      </c>
      <c r="H425" s="26">
        <f t="shared" si="6"/>
        <v>45870</v>
      </c>
      <c r="I425" s="8" t="str">
        <f>IF($G425="","Uncategorized — Review",IFERROR(_xlfn.XLOOKUP($G425,Mapping!$A:$A,Mapping!$B:$B),"Uncategorized — Review"))</f>
        <v>Deal Specific: Merit-Lancaster</v>
      </c>
      <c r="J425" s="8" t="str">
        <f>IF($G425="","Uncategorized — Review",IFERROR(_xlfn.XLOOKUP($G425,Mapping!$A:$A,Mapping!$C:$C),"Uncategorized — Review"))</f>
        <v>Deal-Specific</v>
      </c>
    </row>
    <row r="426" spans="1:10" x14ac:dyDescent="0.25">
      <c r="A426" s="8" t="str">
        <f>'2025_Chase9335_Activity_2026062'!A426</f>
        <v>DEBIT</v>
      </c>
      <c r="B426" s="24">
        <f>'2025_Chase9335_Activity_2026062'!B426</f>
        <v>45876</v>
      </c>
      <c r="C426" s="8" t="str">
        <f>'2025_Chase9335_Activity_2026062'!C426</f>
        <v>AMAZON MKTPL*G05SD9O Amzn.com/bill WA        08/06</v>
      </c>
      <c r="D426" s="8">
        <f>'2025_Chase9335_Activity_2026062'!D426</f>
        <v>-32.409999999999997</v>
      </c>
      <c r="E426" s="8" t="str">
        <f>'2025_Chase9335_Activity_2026062'!E426</f>
        <v>DEBIT_CARD</v>
      </c>
      <c r="F426" s="8">
        <f>'2025_Chase9335_Activity_2026062'!F426</f>
        <v>320371.90000000002</v>
      </c>
      <c r="G426" s="8" t="str">
        <f>'2025_Chase9335_Activity_2026062'!G426</f>
        <v>Amazon</v>
      </c>
      <c r="H426" s="26">
        <f t="shared" si="6"/>
        <v>45870</v>
      </c>
      <c r="I426" s="8" t="str">
        <f>IF($G426="","Uncategorized — Review",IFERROR(_xlfn.XLOOKUP($G426,Mapping!$A:$A,Mapping!$B:$B),"Uncategorized — Review"))</f>
        <v>Amazon</v>
      </c>
      <c r="J426" s="8" t="str">
        <f>IF($G426="","Uncategorized — Review",IFERROR(_xlfn.XLOOKUP($G426,Mapping!$A:$A,Mapping!$C:$C),"Uncategorized — Review"))</f>
        <v>Personal — Owner</v>
      </c>
    </row>
    <row r="427" spans="1:10" x14ac:dyDescent="0.25">
      <c r="A427" s="8" t="str">
        <f>'2025_Chase9335_Activity_2026062'!A427</f>
        <v>DEBIT</v>
      </c>
      <c r="B427" s="24">
        <f>'2025_Chase9335_Activity_2026062'!B427</f>
        <v>45876</v>
      </c>
      <c r="C427" s="8" t="str">
        <f>'2025_Chase9335_Activity_2026062'!C427</f>
        <v>APPLE.COM/BILL 866-712-7753 CA               08/06</v>
      </c>
      <c r="D427" s="8">
        <f>'2025_Chase9335_Activity_2026062'!D427</f>
        <v>-9.99</v>
      </c>
      <c r="E427" s="8" t="str">
        <f>'2025_Chase9335_Activity_2026062'!E427</f>
        <v>DEBIT_CARD</v>
      </c>
      <c r="F427" s="8">
        <f>'2025_Chase9335_Activity_2026062'!F427</f>
        <v>320404.31</v>
      </c>
      <c r="G427" s="8" t="str">
        <f>'2025_Chase9335_Activity_2026062'!G427</f>
        <v>Personal - Subscriptions</v>
      </c>
      <c r="H427" s="26">
        <f t="shared" si="6"/>
        <v>45870</v>
      </c>
      <c r="I427" s="8" t="str">
        <f>IF($G427="","Uncategorized — Review",IFERROR(_xlfn.XLOOKUP($G427,Mapping!$A:$A,Mapping!$B:$B),"Uncategorized — Review"))</f>
        <v>Personal - Subscriptions</v>
      </c>
      <c r="J427" s="8" t="str">
        <f>IF($G427="","Uncategorized — Review",IFERROR(_xlfn.XLOOKUP($G427,Mapping!$A:$A,Mapping!$C:$C),"Uncategorized — Review"))</f>
        <v>Personal — Owner</v>
      </c>
    </row>
    <row r="428" spans="1:10" x14ac:dyDescent="0.25">
      <c r="A428" s="8" t="str">
        <f>'2025_Chase9335_Activity_2026062'!A428</f>
        <v>DEBIT</v>
      </c>
      <c r="B428" s="24">
        <f>'2025_Chase9335_Activity_2026062'!B428</f>
        <v>45875</v>
      </c>
      <c r="C428" s="8" t="str">
        <f>'2025_Chase9335_Activity_2026062'!C428</f>
        <v>VITO RESTAURANT SANTA MONICA CA              08/05</v>
      </c>
      <c r="D428" s="8">
        <f>'2025_Chase9335_Activity_2026062'!D428</f>
        <v>-43.03</v>
      </c>
      <c r="E428" s="8" t="str">
        <f>'2025_Chase9335_Activity_2026062'!E428</f>
        <v>DEBIT_CARD</v>
      </c>
      <c r="F428" s="8">
        <f>'2025_Chase9335_Activity_2026062'!F428</f>
        <v>320414.3</v>
      </c>
      <c r="G428" s="8" t="str">
        <f>'2025_Chase9335_Activity_2026062'!G428</f>
        <v>Personal - Food &amp; Dining</v>
      </c>
      <c r="H428" s="26">
        <f t="shared" si="6"/>
        <v>45870</v>
      </c>
      <c r="I428" s="8" t="str">
        <f>IF($G428="","Uncategorized — Review",IFERROR(_xlfn.XLOOKUP($G428,Mapping!$A:$A,Mapping!$B:$B),"Uncategorized — Review"))</f>
        <v>Personal - Food &amp; Dining</v>
      </c>
      <c r="J428" s="8" t="str">
        <f>IF($G428="","Uncategorized — Review",IFERROR(_xlfn.XLOOKUP($G428,Mapping!$A:$A,Mapping!$C:$C),"Uncategorized — Review"))</f>
        <v>Personal — Owner</v>
      </c>
    </row>
    <row r="429" spans="1:10" x14ac:dyDescent="0.25">
      <c r="A429" s="8" t="str">
        <f>'2025_Chase9335_Activity_2026062'!A429</f>
        <v>DEBIT</v>
      </c>
      <c r="B429" s="24">
        <f>'2025_Chase9335_Activity_2026062'!B429</f>
        <v>45875</v>
      </c>
      <c r="C429" s="8" t="str">
        <f>'2025_Chase9335_Activity_2026062'!C429</f>
        <v>CITY OF SANTA MONICA SANTA MONICA CA         08/05</v>
      </c>
      <c r="D429" s="8">
        <f>'2025_Chase9335_Activity_2026062'!D429</f>
        <v>-1.87</v>
      </c>
      <c r="E429" s="8" t="str">
        <f>'2025_Chase9335_Activity_2026062'!E429</f>
        <v>DEBIT_CARD</v>
      </c>
      <c r="F429" s="8">
        <f>'2025_Chase9335_Activity_2026062'!F429</f>
        <v>320457.33</v>
      </c>
      <c r="G429" s="8" t="str">
        <f>'2025_Chase9335_Activity_2026062'!G429</f>
        <v>Personal - Car</v>
      </c>
      <c r="H429" s="26">
        <f t="shared" si="6"/>
        <v>45870</v>
      </c>
      <c r="I429" s="8" t="str">
        <f>IF($G429="","Uncategorized — Review",IFERROR(_xlfn.XLOOKUP($G429,Mapping!$A:$A,Mapping!$B:$B),"Uncategorized — Review"))</f>
        <v>Personal - Car &amp; Auto</v>
      </c>
      <c r="J429" s="8" t="str">
        <f>IF($G429="","Uncategorized — Review",IFERROR(_xlfn.XLOOKUP($G429,Mapping!$A:$A,Mapping!$C:$C),"Uncategorized — Review"))</f>
        <v>Personal — Owner</v>
      </c>
    </row>
    <row r="430" spans="1:10" x14ac:dyDescent="0.25">
      <c r="A430" s="8" t="str">
        <f>'2025_Chase9335_Activity_2026062'!A430</f>
        <v>DEBIT</v>
      </c>
      <c r="B430" s="24">
        <f>'2025_Chase9335_Activity_2026062'!B430</f>
        <v>45873</v>
      </c>
      <c r="C430" s="8" t="str">
        <f>'2025_Chase9335_Activity_2026062'!C430</f>
        <v>CVS/PHARMACY #08872 ALISO VIEJO CA   015369  08/03</v>
      </c>
      <c r="D430" s="8">
        <f>'2025_Chase9335_Activity_2026062'!D430</f>
        <v>-21.54</v>
      </c>
      <c r="E430" s="8" t="str">
        <f>'2025_Chase9335_Activity_2026062'!E430</f>
        <v>DEBIT_CARD</v>
      </c>
      <c r="F430" s="8">
        <f>'2025_Chase9335_Activity_2026062'!F430</f>
        <v>320459.2</v>
      </c>
      <c r="G430" s="8" t="str">
        <f>'2025_Chase9335_Activity_2026062'!G430</f>
        <v>Personal - Health (incl. Ins.)</v>
      </c>
      <c r="H430" s="26">
        <f t="shared" si="6"/>
        <v>45870</v>
      </c>
      <c r="I430" s="8" t="str">
        <f>IF($G430="","Uncategorized — Review",IFERROR(_xlfn.XLOOKUP($G430,Mapping!$A:$A,Mapping!$B:$B),"Uncategorized — Review"))</f>
        <v>Personal - Health (incl. Ins.)</v>
      </c>
      <c r="J430" s="8" t="str">
        <f>IF($G430="","Uncategorized — Review",IFERROR(_xlfn.XLOOKUP($G430,Mapping!$A:$A,Mapping!$C:$C),"Uncategorized — Review"))</f>
        <v>Personal — Owner</v>
      </c>
    </row>
    <row r="431" spans="1:10" x14ac:dyDescent="0.25">
      <c r="A431" s="8" t="str">
        <f>'2025_Chase9335_Activity_2026062'!A431</f>
        <v>DEBIT</v>
      </c>
      <c r="B431" s="24">
        <f>'2025_Chase9335_Activity_2026062'!B431</f>
        <v>45873</v>
      </c>
      <c r="C431" s="8" t="str">
        <f>'2025_Chase9335_Activity_2026062'!C431</f>
        <v>STARBUCKS STORE 1415 NEWPORT COAST CA        08/03</v>
      </c>
      <c r="D431" s="8">
        <f>'2025_Chase9335_Activity_2026062'!D431</f>
        <v>-8.3000000000000007</v>
      </c>
      <c r="E431" s="8" t="str">
        <f>'2025_Chase9335_Activity_2026062'!E431</f>
        <v>DEBIT_CARD</v>
      </c>
      <c r="F431" s="8">
        <f>'2025_Chase9335_Activity_2026062'!F431</f>
        <v>320480.74</v>
      </c>
      <c r="G431" s="8" t="str">
        <f>'2025_Chase9335_Activity_2026062'!G431</f>
        <v>Personal - Food &amp; Dining</v>
      </c>
      <c r="H431" s="26">
        <f t="shared" si="6"/>
        <v>45870</v>
      </c>
      <c r="I431" s="8" t="str">
        <f>IF($G431="","Uncategorized — Review",IFERROR(_xlfn.XLOOKUP($G431,Mapping!$A:$A,Mapping!$B:$B),"Uncategorized — Review"))</f>
        <v>Personal - Food &amp; Dining</v>
      </c>
      <c r="J431" s="8" t="str">
        <f>IF($G431="","Uncategorized — Review",IFERROR(_xlfn.XLOOKUP($G431,Mapping!$A:$A,Mapping!$C:$C),"Uncategorized — Review"))</f>
        <v>Personal — Owner</v>
      </c>
    </row>
    <row r="432" spans="1:10" x14ac:dyDescent="0.25">
      <c r="A432" s="8" t="str">
        <f>'2025_Chase9335_Activity_2026062'!A432</f>
        <v>DEBIT</v>
      </c>
      <c r="B432" s="24">
        <f>'2025_Chase9335_Activity_2026062'!B432</f>
        <v>45873</v>
      </c>
      <c r="C432" s="8" t="str">
        <f>'2025_Chase9335_Activity_2026062'!C432</f>
        <v>CITY OF HB PARKING M HUNTINGTN BCH CA        08/03</v>
      </c>
      <c r="D432" s="8">
        <f>'2025_Chase9335_Activity_2026062'!D432</f>
        <v>-15.25</v>
      </c>
      <c r="E432" s="8" t="str">
        <f>'2025_Chase9335_Activity_2026062'!E432</f>
        <v>DEBIT_CARD</v>
      </c>
      <c r="F432" s="8">
        <f>'2025_Chase9335_Activity_2026062'!F432</f>
        <v>320489.03999999998</v>
      </c>
      <c r="G432" s="8" t="str">
        <f>'2025_Chase9335_Activity_2026062'!G432</f>
        <v>Personal - Car</v>
      </c>
      <c r="H432" s="26">
        <f t="shared" si="6"/>
        <v>45870</v>
      </c>
      <c r="I432" s="8" t="str">
        <f>IF($G432="","Uncategorized — Review",IFERROR(_xlfn.XLOOKUP($G432,Mapping!$A:$A,Mapping!$B:$B),"Uncategorized — Review"))</f>
        <v>Personal - Car &amp; Auto</v>
      </c>
      <c r="J432" s="8" t="str">
        <f>IF($G432="","Uncategorized — Review",IFERROR(_xlfn.XLOOKUP($G432,Mapping!$A:$A,Mapping!$C:$C),"Uncategorized — Review"))</f>
        <v>Personal — Owner</v>
      </c>
    </row>
    <row r="433" spans="1:10" x14ac:dyDescent="0.25">
      <c r="A433" s="8" t="str">
        <f>'2025_Chase9335_Activity_2026062'!A433</f>
        <v>DEBIT</v>
      </c>
      <c r="B433" s="24">
        <f>'2025_Chase9335_Activity_2026062'!B433</f>
        <v>45873</v>
      </c>
      <c r="C433" s="8" t="str">
        <f>'2025_Chase9335_Activity_2026062'!C433</f>
        <v>SQ *PAYA THAI LA LLC. LOS ANGELES CA         08/02</v>
      </c>
      <c r="D433" s="8">
        <f>'2025_Chase9335_Activity_2026062'!D433</f>
        <v>-150</v>
      </c>
      <c r="E433" s="8" t="str">
        <f>'2025_Chase9335_Activity_2026062'!E433</f>
        <v>DEBIT_CARD</v>
      </c>
      <c r="F433" s="8">
        <f>'2025_Chase9335_Activity_2026062'!F433</f>
        <v>320504.28999999998</v>
      </c>
      <c r="G433" s="8" t="str">
        <f>'2025_Chase9335_Activity_2026062'!G433</f>
        <v>Personal - Health (incl. Ins.)</v>
      </c>
      <c r="H433" s="26">
        <f t="shared" si="6"/>
        <v>45870</v>
      </c>
      <c r="I433" s="8" t="str">
        <f>IF($G433="","Uncategorized — Review",IFERROR(_xlfn.XLOOKUP($G433,Mapping!$A:$A,Mapping!$B:$B),"Uncategorized — Review"))</f>
        <v>Personal - Health (incl. Ins.)</v>
      </c>
      <c r="J433" s="8" t="str">
        <f>IF($G433="","Uncategorized — Review",IFERROR(_xlfn.XLOOKUP($G433,Mapping!$A:$A,Mapping!$C:$C),"Uncategorized — Review"))</f>
        <v>Personal — Owner</v>
      </c>
    </row>
    <row r="434" spans="1:10" x14ac:dyDescent="0.25">
      <c r="A434" s="8" t="str">
        <f>'2025_Chase9335_Activity_2026062'!A434</f>
        <v>DEBIT</v>
      </c>
      <c r="B434" s="24">
        <f>'2025_Chase9335_Activity_2026062'!B434</f>
        <v>45873</v>
      </c>
      <c r="C434" s="8" t="str">
        <f>'2025_Chase9335_Activity_2026062'!C434</f>
        <v>TST*SNUG HARBOR - SAN Santa Monica CA        08/02</v>
      </c>
      <c r="D434" s="8">
        <f>'2025_Chase9335_Activity_2026062'!D434</f>
        <v>-7.96</v>
      </c>
      <c r="E434" s="8" t="str">
        <f>'2025_Chase9335_Activity_2026062'!E434</f>
        <v>DEBIT_CARD</v>
      </c>
      <c r="F434" s="8">
        <f>'2025_Chase9335_Activity_2026062'!F434</f>
        <v>320654.28999999998</v>
      </c>
      <c r="G434" s="8" t="str">
        <f>'2025_Chase9335_Activity_2026062'!G434</f>
        <v>Personal - Food &amp; Dining</v>
      </c>
      <c r="H434" s="26">
        <f t="shared" si="6"/>
        <v>45870</v>
      </c>
      <c r="I434" s="8" t="str">
        <f>IF($G434="","Uncategorized — Review",IFERROR(_xlfn.XLOOKUP($G434,Mapping!$A:$A,Mapping!$B:$B),"Uncategorized — Review"))</f>
        <v>Personal - Food &amp; Dining</v>
      </c>
      <c r="J434" s="8" t="str">
        <f>IF($G434="","Uncategorized — Review",IFERROR(_xlfn.XLOOKUP($G434,Mapping!$A:$A,Mapping!$C:$C),"Uncategorized — Review"))</f>
        <v>Personal — Owner</v>
      </c>
    </row>
    <row r="435" spans="1:10" x14ac:dyDescent="0.25">
      <c r="A435" s="8" t="str">
        <f>'2025_Chase9335_Activity_2026062'!A435</f>
        <v>DEBIT</v>
      </c>
      <c r="B435" s="24">
        <f>'2025_Chase9335_Activity_2026062'!B435</f>
        <v>45873</v>
      </c>
      <c r="C435" s="8" t="str">
        <f>'2025_Chase9335_Activity_2026062'!C435</f>
        <v>TST*SNUG HARBOR - SAN Santa Monica CA        08/02</v>
      </c>
      <c r="D435" s="8">
        <f>'2025_Chase9335_Activity_2026062'!D435</f>
        <v>-37.83</v>
      </c>
      <c r="E435" s="8" t="str">
        <f>'2025_Chase9335_Activity_2026062'!E435</f>
        <v>DEBIT_CARD</v>
      </c>
      <c r="F435" s="8">
        <f>'2025_Chase9335_Activity_2026062'!F435</f>
        <v>320662.25</v>
      </c>
      <c r="G435" s="8" t="str">
        <f>'2025_Chase9335_Activity_2026062'!G435</f>
        <v>Personal - Food &amp; Dining</v>
      </c>
      <c r="H435" s="26">
        <f t="shared" si="6"/>
        <v>45870</v>
      </c>
      <c r="I435" s="8" t="str">
        <f>IF($G435="","Uncategorized — Review",IFERROR(_xlfn.XLOOKUP($G435,Mapping!$A:$A,Mapping!$B:$B),"Uncategorized — Review"))</f>
        <v>Personal - Food &amp; Dining</v>
      </c>
      <c r="J435" s="8" t="str">
        <f>IF($G435="","Uncategorized — Review",IFERROR(_xlfn.XLOOKUP($G435,Mapping!$A:$A,Mapping!$C:$C),"Uncategorized — Review"))</f>
        <v>Personal — Owner</v>
      </c>
    </row>
    <row r="436" spans="1:10" x14ac:dyDescent="0.25">
      <c r="A436" s="8" t="str">
        <f>'2025_Chase9335_Activity_2026062'!A436</f>
        <v>DEBIT</v>
      </c>
      <c r="B436" s="24">
        <f>'2025_Chase9335_Activity_2026062'!B436</f>
        <v>45870</v>
      </c>
      <c r="C436" s="8" t="str">
        <f>'2025_Chase9335_Activity_2026062'!C436</f>
        <v>Experian* Credit Repor 479-3436237 CA        08/01</v>
      </c>
      <c r="D436" s="8">
        <f>'2025_Chase9335_Activity_2026062'!D436</f>
        <v>-27.05</v>
      </c>
      <c r="E436" s="8" t="str">
        <f>'2025_Chase9335_Activity_2026062'!E436</f>
        <v>DEBIT_CARD</v>
      </c>
      <c r="F436" s="8">
        <f>'2025_Chase9335_Activity_2026062'!F436</f>
        <v>320700.08</v>
      </c>
      <c r="G436" s="8" t="str">
        <f>'2025_Chase9335_Activity_2026062'!G436</f>
        <v>Personal - Subscriptions</v>
      </c>
      <c r="H436" s="26">
        <f t="shared" si="6"/>
        <v>45870</v>
      </c>
      <c r="I436" s="8" t="str">
        <f>IF($G436="","Uncategorized — Review",IFERROR(_xlfn.XLOOKUP($G436,Mapping!$A:$A,Mapping!$B:$B),"Uncategorized — Review"))</f>
        <v>Personal - Subscriptions</v>
      </c>
      <c r="J436" s="8" t="str">
        <f>IF($G436="","Uncategorized — Review",IFERROR(_xlfn.XLOOKUP($G436,Mapping!$A:$A,Mapping!$C:$C),"Uncategorized — Review"))</f>
        <v>Personal — Owner</v>
      </c>
    </row>
    <row r="437" spans="1:10" x14ac:dyDescent="0.25">
      <c r="A437" s="8" t="str">
        <f>'2025_Chase9335_Activity_2026062'!A437</f>
        <v>DEBIT</v>
      </c>
      <c r="B437" s="24">
        <f>'2025_Chase9335_Activity_2026062'!B437</f>
        <v>45870</v>
      </c>
      <c r="C437" s="8" t="str">
        <f>'2025_Chase9335_Activity_2026062'!C437</f>
        <v>Amazon.com*5P1QZ3QW3 Amzn.com/bill WA        07/31</v>
      </c>
      <c r="D437" s="8">
        <f>'2025_Chase9335_Activity_2026062'!D437</f>
        <v>-17.399999999999999</v>
      </c>
      <c r="E437" s="8" t="str">
        <f>'2025_Chase9335_Activity_2026062'!E437</f>
        <v>DEBIT_CARD</v>
      </c>
      <c r="F437" s="8">
        <f>'2025_Chase9335_Activity_2026062'!F437</f>
        <v>320727.13</v>
      </c>
      <c r="G437" s="8" t="str">
        <f>'2025_Chase9335_Activity_2026062'!G437</f>
        <v>Amazon</v>
      </c>
      <c r="H437" s="26">
        <f t="shared" si="6"/>
        <v>45870</v>
      </c>
      <c r="I437" s="8" t="str">
        <f>IF($G437="","Uncategorized — Review",IFERROR(_xlfn.XLOOKUP($G437,Mapping!$A:$A,Mapping!$B:$B),"Uncategorized — Review"))</f>
        <v>Amazon</v>
      </c>
      <c r="J437" s="8" t="str">
        <f>IF($G437="","Uncategorized — Review",IFERROR(_xlfn.XLOOKUP($G437,Mapping!$A:$A,Mapping!$C:$C),"Uncategorized — Review"))</f>
        <v>Personal — Owner</v>
      </c>
    </row>
    <row r="438" spans="1:10" x14ac:dyDescent="0.25">
      <c r="A438" s="8" t="str">
        <f>'2025_Chase9335_Activity_2026062'!A438</f>
        <v>DEBIT</v>
      </c>
      <c r="B438" s="24">
        <f>'2025_Chase9335_Activity_2026062'!B438</f>
        <v>45869</v>
      </c>
      <c r="C438" s="8" t="str">
        <f>'2025_Chase9335_Activity_2026062'!C438</f>
        <v>Prime Video *W12482CA 888-802-3080 WA        07/31</v>
      </c>
      <c r="D438" s="8">
        <f>'2025_Chase9335_Activity_2026062'!D438</f>
        <v>-4.05</v>
      </c>
      <c r="E438" s="8" t="str">
        <f>'2025_Chase9335_Activity_2026062'!E438</f>
        <v>DEBIT_CARD</v>
      </c>
      <c r="F438" s="8">
        <f>'2025_Chase9335_Activity_2026062'!F438</f>
        <v>320744.53000000003</v>
      </c>
      <c r="G438" s="8" t="str">
        <f>'2025_Chase9335_Activity_2026062'!G438</f>
        <v>Amazon Prime Video</v>
      </c>
      <c r="H438" s="26">
        <f t="shared" si="6"/>
        <v>45839</v>
      </c>
      <c r="I438" s="8" t="str">
        <f>IF($G438="","Uncategorized — Review",IFERROR(_xlfn.XLOOKUP($G438,Mapping!$A:$A,Mapping!$B:$B),"Uncategorized — Review"))</f>
        <v>Amazon Prime Video</v>
      </c>
      <c r="J438" s="8" t="str">
        <f>IF($G438="","Uncategorized — Review",IFERROR(_xlfn.XLOOKUP($G438,Mapping!$A:$A,Mapping!$C:$C),"Uncategorized — Review"))</f>
        <v>Personal — Owner</v>
      </c>
    </row>
    <row r="439" spans="1:10" x14ac:dyDescent="0.25">
      <c r="A439" s="8" t="str">
        <f>'2025_Chase9335_Activity_2026062'!A439</f>
        <v>DEBIT</v>
      </c>
      <c r="B439" s="24">
        <f>'2025_Chase9335_Activity_2026062'!B439</f>
        <v>45869</v>
      </c>
      <c r="C439" s="8" t="str">
        <f>'2025_Chase9335_Activity_2026062'!C439</f>
        <v>AMAZON MKTPL*HW06Y0V Amzn.com/bill WA        07/31</v>
      </c>
      <c r="D439" s="8">
        <f>'2025_Chase9335_Activity_2026062'!D439</f>
        <v>-17.54</v>
      </c>
      <c r="E439" s="8" t="str">
        <f>'2025_Chase9335_Activity_2026062'!E439</f>
        <v>DEBIT_CARD</v>
      </c>
      <c r="F439" s="8">
        <f>'2025_Chase9335_Activity_2026062'!F439</f>
        <v>320748.58</v>
      </c>
      <c r="G439" s="8" t="str">
        <f>'2025_Chase9335_Activity_2026062'!G439</f>
        <v>Amazon</v>
      </c>
      <c r="H439" s="26">
        <f t="shared" si="6"/>
        <v>45839</v>
      </c>
      <c r="I439" s="8" t="str">
        <f>IF($G439="","Uncategorized — Review",IFERROR(_xlfn.XLOOKUP($G439,Mapping!$A:$A,Mapping!$B:$B),"Uncategorized — Review"))</f>
        <v>Amazon</v>
      </c>
      <c r="J439" s="8" t="str">
        <f>IF($G439="","Uncategorized — Review",IFERROR(_xlfn.XLOOKUP($G439,Mapping!$A:$A,Mapping!$C:$C),"Uncategorized — Review"))</f>
        <v>Personal — Owner</v>
      </c>
    </row>
    <row r="440" spans="1:10" x14ac:dyDescent="0.25">
      <c r="A440" s="8" t="str">
        <f>'2025_Chase9335_Activity_2026062'!A440</f>
        <v>DEBIT</v>
      </c>
      <c r="B440" s="24">
        <f>'2025_Chase9335_Activity_2026062'!B440</f>
        <v>45869</v>
      </c>
      <c r="C440" s="8" t="str">
        <f>'2025_Chase9335_Activity_2026062'!C440</f>
        <v>STARBUCKS STORE 53803 COLTON CA              07/30</v>
      </c>
      <c r="D440" s="8">
        <f>'2025_Chase9335_Activity_2026062'!D440</f>
        <v>-6.55</v>
      </c>
      <c r="E440" s="8" t="str">
        <f>'2025_Chase9335_Activity_2026062'!E440</f>
        <v>DEBIT_CARD</v>
      </c>
      <c r="F440" s="8">
        <f>'2025_Chase9335_Activity_2026062'!F440</f>
        <v>320766.12</v>
      </c>
      <c r="G440" s="8" t="str">
        <f>'2025_Chase9335_Activity_2026062'!G440</f>
        <v>Personal - Food &amp; Dining</v>
      </c>
      <c r="H440" s="26">
        <f t="shared" si="6"/>
        <v>45839</v>
      </c>
      <c r="I440" s="8" t="str">
        <f>IF($G440="","Uncategorized — Review",IFERROR(_xlfn.XLOOKUP($G440,Mapping!$A:$A,Mapping!$B:$B),"Uncategorized — Review"))</f>
        <v>Personal - Food &amp; Dining</v>
      </c>
      <c r="J440" s="8" t="str">
        <f>IF($G440="","Uncategorized — Review",IFERROR(_xlfn.XLOOKUP($G440,Mapping!$A:$A,Mapping!$C:$C),"Uncategorized — Review"))</f>
        <v>Personal — Owner</v>
      </c>
    </row>
    <row r="441" spans="1:10" x14ac:dyDescent="0.25">
      <c r="A441" s="8" t="str">
        <f>'2025_Chase9335_Activity_2026062'!A441</f>
        <v>DEBIT</v>
      </c>
      <c r="B441" s="24">
        <f>'2025_Chase9335_Activity_2026062'!B441</f>
        <v>45868</v>
      </c>
      <c r="C441" s="8" t="str">
        <f>'2025_Chase9335_Activity_2026062'!C441</f>
        <v>Amazon Tips*FG31M0I5 Amzn.com/bill WA        07/29</v>
      </c>
      <c r="D441" s="8">
        <f>'2025_Chase9335_Activity_2026062'!D441</f>
        <v>-5</v>
      </c>
      <c r="E441" s="8" t="str">
        <f>'2025_Chase9335_Activity_2026062'!E441</f>
        <v>DEBIT_CARD</v>
      </c>
      <c r="F441" s="8">
        <f>'2025_Chase9335_Activity_2026062'!F441</f>
        <v>320772.67</v>
      </c>
      <c r="G441" s="8" t="str">
        <f>'2025_Chase9335_Activity_2026062'!G441</f>
        <v>Amazon</v>
      </c>
      <c r="H441" s="26">
        <f t="shared" si="6"/>
        <v>45839</v>
      </c>
      <c r="I441" s="8" t="str">
        <f>IF($G441="","Uncategorized — Review",IFERROR(_xlfn.XLOOKUP($G441,Mapping!$A:$A,Mapping!$B:$B),"Uncategorized — Review"))</f>
        <v>Amazon</v>
      </c>
      <c r="J441" s="8" t="str">
        <f>IF($G441="","Uncategorized — Review",IFERROR(_xlfn.XLOOKUP($G441,Mapping!$A:$A,Mapping!$C:$C),"Uncategorized — Review"))</f>
        <v>Personal — Owner</v>
      </c>
    </row>
    <row r="442" spans="1:10" x14ac:dyDescent="0.25">
      <c r="A442" s="8" t="str">
        <f>'2025_Chase9335_Activity_2026062'!A442</f>
        <v>DEBIT</v>
      </c>
      <c r="B442" s="24">
        <f>'2025_Chase9335_Activity_2026062'!B442</f>
        <v>45868</v>
      </c>
      <c r="C442" s="8" t="str">
        <f>'2025_Chase9335_Activity_2026062'!C442</f>
        <v>APPLE.COM/BILL 866-712-7753 CA               07/30</v>
      </c>
      <c r="D442" s="8">
        <f>'2025_Chase9335_Activity_2026062'!D442</f>
        <v>-51.45</v>
      </c>
      <c r="E442" s="8" t="str">
        <f>'2025_Chase9335_Activity_2026062'!E442</f>
        <v>DEBIT_CARD</v>
      </c>
      <c r="F442" s="8">
        <f>'2025_Chase9335_Activity_2026062'!F442</f>
        <v>320777.67</v>
      </c>
      <c r="G442" s="8" t="str">
        <f>'2025_Chase9335_Activity_2026062'!G442</f>
        <v>Personal - Subscriptions</v>
      </c>
      <c r="H442" s="26">
        <f t="shared" si="6"/>
        <v>45839</v>
      </c>
      <c r="I442" s="8" t="str">
        <f>IF($G442="","Uncategorized — Review",IFERROR(_xlfn.XLOOKUP($G442,Mapping!$A:$A,Mapping!$B:$B),"Uncategorized — Review"))</f>
        <v>Personal - Subscriptions</v>
      </c>
      <c r="J442" s="8" t="str">
        <f>IF($G442="","Uncategorized — Review",IFERROR(_xlfn.XLOOKUP($G442,Mapping!$A:$A,Mapping!$C:$C),"Uncategorized — Review"))</f>
        <v>Personal — Owner</v>
      </c>
    </row>
    <row r="443" spans="1:10" x14ac:dyDescent="0.25">
      <c r="A443" s="8" t="str">
        <f>'2025_Chase9335_Activity_2026062'!A443</f>
        <v>DEBIT</v>
      </c>
      <c r="B443" s="24">
        <f>'2025_Chase9335_Activity_2026062'!B443</f>
        <v>45867</v>
      </c>
      <c r="C443" s="8" t="str">
        <f>'2025_Chase9335_Activity_2026062'!C443</f>
        <v>Prime Video *CC55764O 888-802-3080 WA        07/29</v>
      </c>
      <c r="D443" s="8">
        <f>'2025_Chase9335_Activity_2026062'!D443</f>
        <v>-4.05</v>
      </c>
      <c r="E443" s="8" t="str">
        <f>'2025_Chase9335_Activity_2026062'!E443</f>
        <v>DEBIT_CARD</v>
      </c>
      <c r="F443" s="8">
        <f>'2025_Chase9335_Activity_2026062'!F443</f>
        <v>320829.12</v>
      </c>
      <c r="G443" s="8" t="str">
        <f>'2025_Chase9335_Activity_2026062'!G443</f>
        <v>Amazon Prime Video</v>
      </c>
      <c r="H443" s="26">
        <f t="shared" si="6"/>
        <v>45839</v>
      </c>
      <c r="I443" s="8" t="str">
        <f>IF($G443="","Uncategorized — Review",IFERROR(_xlfn.XLOOKUP($G443,Mapping!$A:$A,Mapping!$B:$B),"Uncategorized — Review"))</f>
        <v>Amazon Prime Video</v>
      </c>
      <c r="J443" s="8" t="str">
        <f>IF($G443="","Uncategorized — Review",IFERROR(_xlfn.XLOOKUP($G443,Mapping!$A:$A,Mapping!$C:$C),"Uncategorized — Review"))</f>
        <v>Personal — Owner</v>
      </c>
    </row>
    <row r="444" spans="1:10" x14ac:dyDescent="0.25">
      <c r="A444" s="8" t="str">
        <f>'2025_Chase9335_Activity_2026062'!A444</f>
        <v>DEBIT</v>
      </c>
      <c r="B444" s="24">
        <f>'2025_Chase9335_Activity_2026062'!B444</f>
        <v>45867</v>
      </c>
      <c r="C444" s="8" t="str">
        <f>'2025_Chase9335_Activity_2026062'!C444</f>
        <v>Amazon.com*564JW5VY3 Amzn.com/bill WA        07/28</v>
      </c>
      <c r="D444" s="8">
        <f>'2025_Chase9335_Activity_2026062'!D444</f>
        <v>-65.7</v>
      </c>
      <c r="E444" s="8" t="str">
        <f>'2025_Chase9335_Activity_2026062'!E444</f>
        <v>DEBIT_CARD</v>
      </c>
      <c r="F444" s="8">
        <f>'2025_Chase9335_Activity_2026062'!F444</f>
        <v>320833.17</v>
      </c>
      <c r="G444" s="8" t="str">
        <f>'2025_Chase9335_Activity_2026062'!G444</f>
        <v>Amazon</v>
      </c>
      <c r="H444" s="26">
        <f t="shared" si="6"/>
        <v>45839</v>
      </c>
      <c r="I444" s="8" t="str">
        <f>IF($G444="","Uncategorized — Review",IFERROR(_xlfn.XLOOKUP($G444,Mapping!$A:$A,Mapping!$B:$B),"Uncategorized — Review"))</f>
        <v>Amazon</v>
      </c>
      <c r="J444" s="8" t="str">
        <f>IF($G444="","Uncategorized — Review",IFERROR(_xlfn.XLOOKUP($G444,Mapping!$A:$A,Mapping!$C:$C),"Uncategorized — Review"))</f>
        <v>Personal — Owner</v>
      </c>
    </row>
    <row r="445" spans="1:10" x14ac:dyDescent="0.25">
      <c r="A445" s="8" t="str">
        <f>'2025_Chase9335_Activity_2026062'!A445</f>
        <v>DEBIT</v>
      </c>
      <c r="B445" s="24">
        <f>'2025_Chase9335_Activity_2026062'!B445</f>
        <v>45866</v>
      </c>
      <c r="C445" s="8" t="str">
        <f>'2025_Chase9335_Activity_2026062'!C445</f>
        <v>APPLE COM BILL CUPERTINO CA          025527  07/26</v>
      </c>
      <c r="D445" s="8">
        <f>'2025_Chase9335_Activity_2026062'!D445</f>
        <v>-30.89</v>
      </c>
      <c r="E445" s="8" t="str">
        <f>'2025_Chase9335_Activity_2026062'!E445</f>
        <v>DEBIT_CARD</v>
      </c>
      <c r="F445" s="8">
        <f>'2025_Chase9335_Activity_2026062'!F445</f>
        <v>320898.87</v>
      </c>
      <c r="G445" s="8" t="str">
        <f>'2025_Chase9335_Activity_2026062'!G445</f>
        <v>Personal - Subscriptions</v>
      </c>
      <c r="H445" s="26">
        <f t="shared" si="6"/>
        <v>45839</v>
      </c>
      <c r="I445" s="8" t="str">
        <f>IF($G445="","Uncategorized — Review",IFERROR(_xlfn.XLOOKUP($G445,Mapping!$A:$A,Mapping!$B:$B),"Uncategorized — Review"))</f>
        <v>Personal - Subscriptions</v>
      </c>
      <c r="J445" s="8" t="str">
        <f>IF($G445="","Uncategorized — Review",IFERROR(_xlfn.XLOOKUP($G445,Mapping!$A:$A,Mapping!$C:$C),"Uncategorized — Review"))</f>
        <v>Personal — Owner</v>
      </c>
    </row>
    <row r="446" spans="1:10" x14ac:dyDescent="0.25">
      <c r="A446" s="8" t="str">
        <f>'2025_Chase9335_Activity_2026062'!A446</f>
        <v>DEBIT</v>
      </c>
      <c r="B446" s="24">
        <f>'2025_Chase9335_Activity_2026062'!B446</f>
        <v>45863</v>
      </c>
      <c r="C446" s="8" t="str">
        <f>'2025_Chase9335_Activity_2026062'!C446</f>
        <v>Online Transfer to CHK ...1168 transaction#: 25615617302 07/25</v>
      </c>
      <c r="D446" s="8">
        <f>'2025_Chase9335_Activity_2026062'!D446</f>
        <v>-20000</v>
      </c>
      <c r="E446" s="8" t="str">
        <f>'2025_Chase9335_Activity_2026062'!E446</f>
        <v>ACCT_XFER</v>
      </c>
      <c r="F446" s="8">
        <f>'2025_Chase9335_Activity_2026062'!F446</f>
        <v>320929.76</v>
      </c>
      <c r="G446" s="8" t="str">
        <f>'2025_Chase9335_Activity_2026062'!G446</f>
        <v>Transfer to DWG Capital Group</v>
      </c>
      <c r="H446" s="26">
        <f t="shared" si="6"/>
        <v>45839</v>
      </c>
      <c r="I446" s="8" t="str">
        <f>IF($G446="","Uncategorized — Review",IFERROR(_xlfn.XLOOKUP($G446,Mapping!$A:$A,Mapping!$B:$B),"Uncategorized — Review"))</f>
        <v>Transfer to DWG Capital Group</v>
      </c>
      <c r="J446" s="8" t="str">
        <f>IF($G446="","Uncategorized — Review",IFERROR(_xlfn.XLOOKUP($G446,Mapping!$A:$A,Mapping!$C:$C),"Uncategorized — Review"))</f>
        <v>Intercompany &amp; Savings Transfers</v>
      </c>
    </row>
    <row r="447" spans="1:10" x14ac:dyDescent="0.25">
      <c r="A447" s="8" t="str">
        <f>'2025_Chase9335_Activity_2026062'!A447</f>
        <v>DEBIT</v>
      </c>
      <c r="B447" s="24">
        <f>'2025_Chase9335_Activity_2026062'!B447</f>
        <v>45863</v>
      </c>
      <c r="C447" s="8" t="str">
        <f>'2025_Chase9335_Activity_2026062'!C447</f>
        <v>AMAZON MKTPL*RR87G1T Amzn.com/bill WA        07/25</v>
      </c>
      <c r="D447" s="8">
        <f>'2025_Chase9335_Activity_2026062'!D447</f>
        <v>-63.94</v>
      </c>
      <c r="E447" s="8" t="str">
        <f>'2025_Chase9335_Activity_2026062'!E447</f>
        <v>DEBIT_CARD</v>
      </c>
      <c r="F447" s="8">
        <f>'2025_Chase9335_Activity_2026062'!F447</f>
        <v>340929.76</v>
      </c>
      <c r="G447" s="8" t="str">
        <f>'2025_Chase9335_Activity_2026062'!G447</f>
        <v>Amazon</v>
      </c>
      <c r="H447" s="26">
        <f t="shared" si="6"/>
        <v>45839</v>
      </c>
      <c r="I447" s="8" t="str">
        <f>IF($G447="","Uncategorized — Review",IFERROR(_xlfn.XLOOKUP($G447,Mapping!$A:$A,Mapping!$B:$B),"Uncategorized — Review"))</f>
        <v>Amazon</v>
      </c>
      <c r="J447" s="8" t="str">
        <f>IF($G447="","Uncategorized — Review",IFERROR(_xlfn.XLOOKUP($G447,Mapping!$A:$A,Mapping!$C:$C),"Uncategorized — Review"))</f>
        <v>Personal — Owner</v>
      </c>
    </row>
    <row r="448" spans="1:10" x14ac:dyDescent="0.25">
      <c r="A448" s="8" t="str">
        <f>'2025_Chase9335_Activity_2026062'!A448</f>
        <v>DEBIT</v>
      </c>
      <c r="B448" s="24">
        <f>'2025_Chase9335_Activity_2026062'!B448</f>
        <v>45862</v>
      </c>
      <c r="C448" s="8" t="str">
        <f>'2025_Chase9335_Activity_2026062'!C448</f>
        <v>ORIG CO NAME:AMERICAN EXPRESS       ORIG ID:2005032111 DESC DATE:250724 CO ENTRY DESCR:ACH PMT   SEC:CCD    TRACE#:021000026456439 EED:250724   IND ID:W8200                        IND NAME:JOHN DUNNING                                                                                                 ER AM TRN: 2056456439TC</v>
      </c>
      <c r="D448" s="8">
        <f>'2025_Chase9335_Activity_2026062'!D448</f>
        <v>-23574.61</v>
      </c>
      <c r="E448" s="8" t="str">
        <f>'2025_Chase9335_Activity_2026062'!E448</f>
        <v>ACH_DEBIT</v>
      </c>
      <c r="F448" s="8">
        <f>'2025_Chase9335_Activity_2026062'!F448</f>
        <v>340993.7</v>
      </c>
      <c r="G448" s="8" t="str">
        <f>'2025_Chase9335_Activity_2026062'!G448</f>
        <v>American Express Credit Card PMT</v>
      </c>
      <c r="H448" s="26">
        <f t="shared" si="6"/>
        <v>45839</v>
      </c>
      <c r="I448" s="8" t="str">
        <f>IF($G448="","Uncategorized — Review",IFERROR(_xlfn.XLOOKUP($G448,Mapping!$A:$A,Mapping!$B:$B),"Uncategorized — Review"))</f>
        <v>American Express Credit Card PMT</v>
      </c>
      <c r="J448" s="8" t="str">
        <f>IF($G448="","Uncategorized — Review",IFERROR(_xlfn.XLOOKUP($G448,Mapping!$A:$A,Mapping!$C:$C),"Uncategorized — Review"))</f>
        <v>Credit Card &amp; Loan Payments</v>
      </c>
    </row>
    <row r="449" spans="1:10" x14ac:dyDescent="0.25">
      <c r="A449" s="8" t="str">
        <f>'2025_Chase9335_Activity_2026062'!A449</f>
        <v>DEBIT</v>
      </c>
      <c r="B449" s="24">
        <f>'2025_Chase9335_Activity_2026062'!B449</f>
        <v>45862</v>
      </c>
      <c r="C449" s="8" t="str">
        <f>'2025_Chase9335_Activity_2026062'!C449</f>
        <v>Zelle payment to Sentha JPM99bguagrs</v>
      </c>
      <c r="D449" s="8">
        <f>'2025_Chase9335_Activity_2026062'!D449</f>
        <v>-350</v>
      </c>
      <c r="E449" s="8" t="str">
        <f>'2025_Chase9335_Activity_2026062'!E449</f>
        <v>CHASE_TO_PARTNERFI</v>
      </c>
      <c r="F449" s="8">
        <f>'2025_Chase9335_Activity_2026062'!F449</f>
        <v>364568.31</v>
      </c>
      <c r="G449" s="8" t="str">
        <f>'2025_Chase9335_Activity_2026062'!G449</f>
        <v>Zelle to Sentha</v>
      </c>
      <c r="H449" s="26">
        <f t="shared" si="6"/>
        <v>45839</v>
      </c>
      <c r="I449" s="8" t="str">
        <f>IF($G449="","Uncategorized — Review",IFERROR(_xlfn.XLOOKUP($G449,Mapping!$A:$A,Mapping!$B:$B),"Uncategorized — Review"))</f>
        <v>Zelle to Sentha</v>
      </c>
      <c r="J449" s="8" t="str">
        <f>IF($G449="","Uncategorized — Review",IFERROR(_xlfn.XLOOKUP($G449,Mapping!$A:$A,Mapping!$C:$C),"Uncategorized — Review"))</f>
        <v>P2P Payments (Zelle/Venmo/PayPal)</v>
      </c>
    </row>
    <row r="450" spans="1:10" x14ac:dyDescent="0.25">
      <c r="A450" s="8" t="str">
        <f>'2025_Chase9335_Activity_2026062'!A450</f>
        <v>DEBIT</v>
      </c>
      <c r="B450" s="24">
        <f>'2025_Chase9335_Activity_2026062'!B450</f>
        <v>45861</v>
      </c>
      <c r="C450" s="8" t="str">
        <f>'2025_Chase9335_Activity_2026062'!C450</f>
        <v>Prime Video *B691H0GT 888-802-3080 WA        07/23</v>
      </c>
      <c r="D450" s="8">
        <f>'2025_Chase9335_Activity_2026062'!D450</f>
        <v>-4.26</v>
      </c>
      <c r="E450" s="8" t="str">
        <f>'2025_Chase9335_Activity_2026062'!E450</f>
        <v>DEBIT_CARD</v>
      </c>
      <c r="F450" s="8">
        <f>'2025_Chase9335_Activity_2026062'!F450</f>
        <v>364918.31</v>
      </c>
      <c r="G450" s="8" t="str">
        <f>'2025_Chase9335_Activity_2026062'!G450</f>
        <v>Amazon Prime Video</v>
      </c>
      <c r="H450" s="26">
        <f t="shared" si="6"/>
        <v>45839</v>
      </c>
      <c r="I450" s="8" t="str">
        <f>IF($G450="","Uncategorized — Review",IFERROR(_xlfn.XLOOKUP($G450,Mapping!$A:$A,Mapping!$B:$B),"Uncategorized — Review"))</f>
        <v>Amazon Prime Video</v>
      </c>
      <c r="J450" s="8" t="str">
        <f>IF($G450="","Uncategorized — Review",IFERROR(_xlfn.XLOOKUP($G450,Mapping!$A:$A,Mapping!$C:$C),"Uncategorized — Review"))</f>
        <v>Personal — Owner</v>
      </c>
    </row>
    <row r="451" spans="1:10" x14ac:dyDescent="0.25">
      <c r="A451" s="8" t="str">
        <f>'2025_Chase9335_Activity_2026062'!A451</f>
        <v>DEBIT</v>
      </c>
      <c r="B451" s="24">
        <f>'2025_Chase9335_Activity_2026062'!B451</f>
        <v>45861</v>
      </c>
      <c r="C451" s="8" t="str">
        <f>'2025_Chase9335_Activity_2026062'!C451</f>
        <v>Amazon.com*7O2TT9MP3 Amzn.com/bill WA        07/22</v>
      </c>
      <c r="D451" s="8">
        <f>'2025_Chase9335_Activity_2026062'!D451</f>
        <v>-61.44</v>
      </c>
      <c r="E451" s="8" t="str">
        <f>'2025_Chase9335_Activity_2026062'!E451</f>
        <v>DEBIT_CARD</v>
      </c>
      <c r="F451" s="8">
        <f>'2025_Chase9335_Activity_2026062'!F451</f>
        <v>364922.57</v>
      </c>
      <c r="G451" s="8" t="str">
        <f>'2025_Chase9335_Activity_2026062'!G451</f>
        <v>Amazon</v>
      </c>
      <c r="H451" s="26">
        <f t="shared" ref="H451:H514" si="7">IF($B451="","",DATE(YEAR($B451),MONTH($B451),1))</f>
        <v>45839</v>
      </c>
      <c r="I451" s="8" t="str">
        <f>IF($G451="","Uncategorized — Review",IFERROR(_xlfn.XLOOKUP($G451,Mapping!$A:$A,Mapping!$B:$B),"Uncategorized — Review"))</f>
        <v>Amazon</v>
      </c>
      <c r="J451" s="8" t="str">
        <f>IF($G451="","Uncategorized — Review",IFERROR(_xlfn.XLOOKUP($G451,Mapping!$A:$A,Mapping!$C:$C),"Uncategorized — Review"))</f>
        <v>Personal — Owner</v>
      </c>
    </row>
    <row r="452" spans="1:10" x14ac:dyDescent="0.25">
      <c r="A452" s="8" t="str">
        <f>'2025_Chase9335_Activity_2026062'!A452</f>
        <v>DEBIT</v>
      </c>
      <c r="B452" s="24">
        <f>'2025_Chase9335_Activity_2026062'!B452</f>
        <v>45860</v>
      </c>
      <c r="C452" s="8" t="str">
        <f>'2025_Chase9335_Activity_2026062'!C452</f>
        <v>Online Transfer to CHK ...1168 transaction#: 25575997996 07/22</v>
      </c>
      <c r="D452" s="8">
        <f>'2025_Chase9335_Activity_2026062'!D452</f>
        <v>-20000</v>
      </c>
      <c r="E452" s="8" t="str">
        <f>'2025_Chase9335_Activity_2026062'!E452</f>
        <v>ACCT_XFER</v>
      </c>
      <c r="F452" s="8">
        <f>'2025_Chase9335_Activity_2026062'!F452</f>
        <v>364984.01</v>
      </c>
      <c r="G452" s="8" t="str">
        <f>'2025_Chase9335_Activity_2026062'!G452</f>
        <v>Transfer to DWG Capital Group</v>
      </c>
      <c r="H452" s="26">
        <f t="shared" si="7"/>
        <v>45839</v>
      </c>
      <c r="I452" s="8" t="str">
        <f>IF($G452="","Uncategorized — Review",IFERROR(_xlfn.XLOOKUP($G452,Mapping!$A:$A,Mapping!$B:$B),"Uncategorized — Review"))</f>
        <v>Transfer to DWG Capital Group</v>
      </c>
      <c r="J452" s="8" t="str">
        <f>IF($G452="","Uncategorized — Review",IFERROR(_xlfn.XLOOKUP($G452,Mapping!$A:$A,Mapping!$C:$C),"Uncategorized — Review"))</f>
        <v>Intercompany &amp; Savings Transfers</v>
      </c>
    </row>
    <row r="453" spans="1:10" x14ac:dyDescent="0.25">
      <c r="A453" s="8" t="str">
        <f>'2025_Chase9335_Activity_2026062'!A453</f>
        <v>DEBIT</v>
      </c>
      <c r="B453" s="24">
        <f>'2025_Chase9335_Activity_2026062'!B453</f>
        <v>45860</v>
      </c>
      <c r="C453" s="8" t="str">
        <f>'2025_Chase9335_Activity_2026062'!C453</f>
        <v>Prime Video *KG8Q276P 888-802-3080 WA        07/22</v>
      </c>
      <c r="D453" s="8">
        <f>'2025_Chase9335_Activity_2026062'!D453</f>
        <v>-4.05</v>
      </c>
      <c r="E453" s="8" t="str">
        <f>'2025_Chase9335_Activity_2026062'!E453</f>
        <v>DEBIT_CARD</v>
      </c>
      <c r="F453" s="8">
        <f>'2025_Chase9335_Activity_2026062'!F453</f>
        <v>384984.01</v>
      </c>
      <c r="G453" s="8" t="str">
        <f>'2025_Chase9335_Activity_2026062'!G453</f>
        <v>Amazon Prime Video</v>
      </c>
      <c r="H453" s="26">
        <f t="shared" si="7"/>
        <v>45839</v>
      </c>
      <c r="I453" s="8" t="str">
        <f>IF($G453="","Uncategorized — Review",IFERROR(_xlfn.XLOOKUP($G453,Mapping!$A:$A,Mapping!$B:$B),"Uncategorized — Review"))</f>
        <v>Amazon Prime Video</v>
      </c>
      <c r="J453" s="8" t="str">
        <f>IF($G453="","Uncategorized — Review",IFERROR(_xlfn.XLOOKUP($G453,Mapping!$A:$A,Mapping!$C:$C),"Uncategorized — Review"))</f>
        <v>Personal — Owner</v>
      </c>
    </row>
    <row r="454" spans="1:10" x14ac:dyDescent="0.25">
      <c r="A454" s="8" t="str">
        <f>'2025_Chase9335_Activity_2026062'!A454</f>
        <v>DEBIT</v>
      </c>
      <c r="B454" s="24">
        <f>'2025_Chase9335_Activity_2026062'!B454</f>
        <v>45859</v>
      </c>
      <c r="C454" s="8" t="str">
        <f>'2025_Chase9335_Activity_2026062'!C454</f>
        <v>Online Transfer to CHK ...3922 transaction#: 25563251227 07/21</v>
      </c>
      <c r="D454" s="8">
        <f>'2025_Chase9335_Activity_2026062'!D454</f>
        <v>-10000</v>
      </c>
      <c r="E454" s="8" t="str">
        <f>'2025_Chase9335_Activity_2026062'!E454</f>
        <v>ACCT_XFER</v>
      </c>
      <c r="F454" s="8">
        <f>'2025_Chase9335_Activity_2026062'!F454</f>
        <v>384988.06</v>
      </c>
      <c r="G454" s="8" t="str">
        <f>'2025_Chase9335_Activity_2026062'!G454</f>
        <v>Transfer to DWG Capital Partners</v>
      </c>
      <c r="H454" s="26">
        <f t="shared" si="7"/>
        <v>45839</v>
      </c>
      <c r="I454" s="8" t="str">
        <f>IF($G454="","Uncategorized — Review",IFERROR(_xlfn.XLOOKUP($G454,Mapping!$A:$A,Mapping!$B:$B),"Uncategorized — Review"))</f>
        <v>Transfer to DWG Capital Partners</v>
      </c>
      <c r="J454" s="8" t="str">
        <f>IF($G454="","Uncategorized — Review",IFERROR(_xlfn.XLOOKUP($G454,Mapping!$A:$A,Mapping!$C:$C),"Uncategorized — Review"))</f>
        <v>Intercompany &amp; Savings Transfers</v>
      </c>
    </row>
    <row r="455" spans="1:10" x14ac:dyDescent="0.25">
      <c r="A455" s="8" t="str">
        <f>'2025_Chase9335_Activity_2026062'!A455</f>
        <v>DEBIT</v>
      </c>
      <c r="B455" s="24">
        <f>'2025_Chase9335_Activity_2026062'!B455</f>
        <v>45859</v>
      </c>
      <c r="C455" s="8" t="str">
        <f>'2025_Chase9335_Activity_2026062'!C455</f>
        <v>Netflix.com netflix.com CA                   07/21</v>
      </c>
      <c r="D455" s="8">
        <f>'2025_Chase9335_Activity_2026062'!D455</f>
        <v>-24.99</v>
      </c>
      <c r="E455" s="8" t="str">
        <f>'2025_Chase9335_Activity_2026062'!E455</f>
        <v>DEBIT_CARD</v>
      </c>
      <c r="F455" s="8">
        <f>'2025_Chase9335_Activity_2026062'!F455</f>
        <v>394988.06</v>
      </c>
      <c r="G455" s="8" t="str">
        <f>'2025_Chase9335_Activity_2026062'!G455</f>
        <v>Personal - Subscriptions</v>
      </c>
      <c r="H455" s="26">
        <f t="shared" si="7"/>
        <v>45839</v>
      </c>
      <c r="I455" s="8" t="str">
        <f>IF($G455="","Uncategorized — Review",IFERROR(_xlfn.XLOOKUP($G455,Mapping!$A:$A,Mapping!$B:$B),"Uncategorized — Review"))</f>
        <v>Personal - Subscriptions</v>
      </c>
      <c r="J455" s="8" t="str">
        <f>IF($G455="","Uncategorized — Review",IFERROR(_xlfn.XLOOKUP($G455,Mapping!$A:$A,Mapping!$C:$C),"Uncategorized — Review"))</f>
        <v>Personal — Owner</v>
      </c>
    </row>
    <row r="456" spans="1:10" x14ac:dyDescent="0.25">
      <c r="A456" s="8" t="str">
        <f>'2025_Chase9335_Activity_2026062'!A456</f>
        <v>DEBIT</v>
      </c>
      <c r="B456" s="24">
        <f>'2025_Chase9335_Activity_2026062'!B456</f>
        <v>45859</v>
      </c>
      <c r="C456" s="8" t="str">
        <f>'2025_Chase9335_Activity_2026062'!C456</f>
        <v>ParkWhiz, Inc. Chicago IL                    07/20</v>
      </c>
      <c r="D456" s="8">
        <f>'2025_Chase9335_Activity_2026062'!D456</f>
        <v>-10</v>
      </c>
      <c r="E456" s="8" t="str">
        <f>'2025_Chase9335_Activity_2026062'!E456</f>
        <v>DEBIT_CARD</v>
      </c>
      <c r="F456" s="8">
        <f>'2025_Chase9335_Activity_2026062'!F456</f>
        <v>395013.05</v>
      </c>
      <c r="G456" s="8" t="str">
        <f>'2025_Chase9335_Activity_2026062'!G456</f>
        <v>Personal - Car</v>
      </c>
      <c r="H456" s="26">
        <f t="shared" si="7"/>
        <v>45839</v>
      </c>
      <c r="I456" s="8" t="str">
        <f>IF($G456="","Uncategorized — Review",IFERROR(_xlfn.XLOOKUP($G456,Mapping!$A:$A,Mapping!$B:$B),"Uncategorized — Review"))</f>
        <v>Personal - Car &amp; Auto</v>
      </c>
      <c r="J456" s="8" t="str">
        <f>IF($G456="","Uncategorized — Review",IFERROR(_xlfn.XLOOKUP($G456,Mapping!$A:$A,Mapping!$C:$C),"Uncategorized — Review"))</f>
        <v>Personal — Owner</v>
      </c>
    </row>
    <row r="457" spans="1:10" x14ac:dyDescent="0.25">
      <c r="A457" s="8" t="str">
        <f>'2025_Chase9335_Activity_2026062'!A457</f>
        <v>DEBIT</v>
      </c>
      <c r="B457" s="24">
        <f>'2025_Chase9335_Activity_2026062'!B457</f>
        <v>45859</v>
      </c>
      <c r="C457" s="8" t="str">
        <f>'2025_Chase9335_Activity_2026062'!C457</f>
        <v>APPLE.COM/BILL 866-712-7753 CA               07/20</v>
      </c>
      <c r="D457" s="8">
        <f>'2025_Chase9335_Activity_2026062'!D457</f>
        <v>-30.89</v>
      </c>
      <c r="E457" s="8" t="str">
        <f>'2025_Chase9335_Activity_2026062'!E457</f>
        <v>DEBIT_CARD</v>
      </c>
      <c r="F457" s="8">
        <f>'2025_Chase9335_Activity_2026062'!F457</f>
        <v>395023.05</v>
      </c>
      <c r="G457" s="8" t="str">
        <f>'2025_Chase9335_Activity_2026062'!G457</f>
        <v>Personal - Subscriptions</v>
      </c>
      <c r="H457" s="26">
        <f t="shared" si="7"/>
        <v>45839</v>
      </c>
      <c r="I457" s="8" t="str">
        <f>IF($G457="","Uncategorized — Review",IFERROR(_xlfn.XLOOKUP($G457,Mapping!$A:$A,Mapping!$B:$B),"Uncategorized — Review"))</f>
        <v>Personal - Subscriptions</v>
      </c>
      <c r="J457" s="8" t="str">
        <f>IF($G457="","Uncategorized — Review",IFERROR(_xlfn.XLOOKUP($G457,Mapping!$A:$A,Mapping!$C:$C),"Uncategorized — Review"))</f>
        <v>Personal — Owner</v>
      </c>
    </row>
    <row r="458" spans="1:10" x14ac:dyDescent="0.25">
      <c r="A458" s="8" t="str">
        <f>'2025_Chase9335_Activity_2026062'!A458</f>
        <v>DEBIT</v>
      </c>
      <c r="B458" s="24">
        <f>'2025_Chase9335_Activity_2026062'!B458</f>
        <v>45859</v>
      </c>
      <c r="C458" s="8" t="str">
        <f>'2025_Chase9335_Activity_2026062'!C458</f>
        <v>Amazon.com*LS3ER7Z03 Amzn.com/bill WA        07/19</v>
      </c>
      <c r="D458" s="8">
        <f>'2025_Chase9335_Activity_2026062'!D458</f>
        <v>-22.26</v>
      </c>
      <c r="E458" s="8" t="str">
        <f>'2025_Chase9335_Activity_2026062'!E458</f>
        <v>DEBIT_CARD</v>
      </c>
      <c r="F458" s="8">
        <f>'2025_Chase9335_Activity_2026062'!F458</f>
        <v>395053.94</v>
      </c>
      <c r="G458" s="8" t="str">
        <f>'2025_Chase9335_Activity_2026062'!G458</f>
        <v>Amazon</v>
      </c>
      <c r="H458" s="26">
        <f t="shared" si="7"/>
        <v>45839</v>
      </c>
      <c r="I458" s="8" t="str">
        <f>IF($G458="","Uncategorized — Review",IFERROR(_xlfn.XLOOKUP($G458,Mapping!$A:$A,Mapping!$B:$B),"Uncategorized — Review"))</f>
        <v>Amazon</v>
      </c>
      <c r="J458" s="8" t="str">
        <f>IF($G458="","Uncategorized — Review",IFERROR(_xlfn.XLOOKUP($G458,Mapping!$A:$A,Mapping!$C:$C),"Uncategorized — Review"))</f>
        <v>Personal — Owner</v>
      </c>
    </row>
    <row r="459" spans="1:10" x14ac:dyDescent="0.25">
      <c r="A459" s="8" t="str">
        <f>'2025_Chase9335_Activity_2026062'!A459</f>
        <v>DEBIT</v>
      </c>
      <c r="B459" s="24">
        <f>'2025_Chase9335_Activity_2026062'!B459</f>
        <v>45859</v>
      </c>
      <c r="C459" s="8" t="str">
        <f>'2025_Chase9335_Activity_2026062'!C459</f>
        <v>AMAZON MKTPL*C513A4P Amzn.com/bill WA        07/19</v>
      </c>
      <c r="D459" s="8">
        <f>'2025_Chase9335_Activity_2026062'!D459</f>
        <v>-34.950000000000003</v>
      </c>
      <c r="E459" s="8" t="str">
        <f>'2025_Chase9335_Activity_2026062'!E459</f>
        <v>DEBIT_CARD</v>
      </c>
      <c r="F459" s="8">
        <f>'2025_Chase9335_Activity_2026062'!F459</f>
        <v>395076.2</v>
      </c>
      <c r="G459" s="8" t="str">
        <f>'2025_Chase9335_Activity_2026062'!G459</f>
        <v>Amazon</v>
      </c>
      <c r="H459" s="26">
        <f t="shared" si="7"/>
        <v>45839</v>
      </c>
      <c r="I459" s="8" t="str">
        <f>IF($G459="","Uncategorized — Review",IFERROR(_xlfn.XLOOKUP($G459,Mapping!$A:$A,Mapping!$B:$B),"Uncategorized — Review"))</f>
        <v>Amazon</v>
      </c>
      <c r="J459" s="8" t="str">
        <f>IF($G459="","Uncategorized — Review",IFERROR(_xlfn.XLOOKUP($G459,Mapping!$A:$A,Mapping!$C:$C),"Uncategorized — Review"))</f>
        <v>Personal — Owner</v>
      </c>
    </row>
    <row r="460" spans="1:10" x14ac:dyDescent="0.25">
      <c r="A460" s="8" t="str">
        <f>'2025_Chase9335_Activity_2026062'!A460</f>
        <v>DEBIT</v>
      </c>
      <c r="B460" s="24">
        <f>'2025_Chase9335_Activity_2026062'!B460</f>
        <v>45859</v>
      </c>
      <c r="C460" s="8" t="str">
        <f>'2025_Chase9335_Activity_2026062'!C460</f>
        <v>AMAZON MKTPL*D493J9D Amzn.com/bill WA        07/19</v>
      </c>
      <c r="D460" s="8">
        <f>'2025_Chase9335_Activity_2026062'!D460</f>
        <v>-14.99</v>
      </c>
      <c r="E460" s="8" t="str">
        <f>'2025_Chase9335_Activity_2026062'!E460</f>
        <v>DEBIT_CARD</v>
      </c>
      <c r="F460" s="8">
        <f>'2025_Chase9335_Activity_2026062'!F460</f>
        <v>395111.15</v>
      </c>
      <c r="G460" s="8" t="str">
        <f>'2025_Chase9335_Activity_2026062'!G460</f>
        <v>Amazon</v>
      </c>
      <c r="H460" s="26">
        <f t="shared" si="7"/>
        <v>45839</v>
      </c>
      <c r="I460" s="8" t="str">
        <f>IF($G460="","Uncategorized — Review",IFERROR(_xlfn.XLOOKUP($G460,Mapping!$A:$A,Mapping!$B:$B),"Uncategorized — Review"))</f>
        <v>Amazon</v>
      </c>
      <c r="J460" s="8" t="str">
        <f>IF($G460="","Uncategorized — Review",IFERROR(_xlfn.XLOOKUP($G460,Mapping!$A:$A,Mapping!$C:$C),"Uncategorized — Review"))</f>
        <v>Personal — Owner</v>
      </c>
    </row>
    <row r="461" spans="1:10" x14ac:dyDescent="0.25">
      <c r="A461" s="8" t="str">
        <f>'2025_Chase9335_Activity_2026062'!A461</f>
        <v>DEBIT</v>
      </c>
      <c r="B461" s="24">
        <f>'2025_Chase9335_Activity_2026062'!B461</f>
        <v>45859</v>
      </c>
      <c r="C461" s="8" t="str">
        <f>'2025_Chase9335_Activity_2026062'!C461</f>
        <v>CITY OF B H PARKING BEVERLY HILLS CA         07/18</v>
      </c>
      <c r="D461" s="8">
        <f>'2025_Chase9335_Activity_2026062'!D461</f>
        <v>-2</v>
      </c>
      <c r="E461" s="8" t="str">
        <f>'2025_Chase9335_Activity_2026062'!E461</f>
        <v>DEBIT_CARD</v>
      </c>
      <c r="F461" s="8">
        <f>'2025_Chase9335_Activity_2026062'!F461</f>
        <v>395126.14</v>
      </c>
      <c r="G461" s="8" t="str">
        <f>'2025_Chase9335_Activity_2026062'!G461</f>
        <v>Personal - Car</v>
      </c>
      <c r="H461" s="26">
        <f t="shared" si="7"/>
        <v>45839</v>
      </c>
      <c r="I461" s="8" t="str">
        <f>IF($G461="","Uncategorized — Review",IFERROR(_xlfn.XLOOKUP($G461,Mapping!$A:$A,Mapping!$B:$B),"Uncategorized — Review"))</f>
        <v>Personal - Car &amp; Auto</v>
      </c>
      <c r="J461" s="8" t="str">
        <f>IF($G461="","Uncategorized — Review",IFERROR(_xlfn.XLOOKUP($G461,Mapping!$A:$A,Mapping!$C:$C),"Uncategorized — Review"))</f>
        <v>Personal — Owner</v>
      </c>
    </row>
    <row r="462" spans="1:10" x14ac:dyDescent="0.25">
      <c r="A462" s="8" t="str">
        <f>'2025_Chase9335_Activity_2026062'!A462</f>
        <v>DEBIT</v>
      </c>
      <c r="B462" s="24">
        <f>'2025_Chase9335_Activity_2026062'!B462</f>
        <v>45856</v>
      </c>
      <c r="C462" s="8" t="str">
        <f>'2025_Chase9335_Activity_2026062'!C462</f>
        <v>Online ACH Payment 11180722695 To AstronomicInc (_###########7142)</v>
      </c>
      <c r="D462" s="8">
        <f>'2025_Chase9335_Activity_2026062'!D462</f>
        <v>-5000</v>
      </c>
      <c r="E462" s="8" t="str">
        <f>'2025_Chase9335_Activity_2026062'!E462</f>
        <v>ACH_PAYMENT</v>
      </c>
      <c r="F462" s="8">
        <f>'2025_Chase9335_Activity_2026062'!F462</f>
        <v>395128.14</v>
      </c>
      <c r="G462" s="8" t="str">
        <f>'2025_Chase9335_Activity_2026062'!G462</f>
        <v>ACH Payment - Astronomics</v>
      </c>
      <c r="H462" s="26">
        <f t="shared" si="7"/>
        <v>45839</v>
      </c>
      <c r="I462" s="8" t="str">
        <f>IF($G462="","Uncategorized — Review",IFERROR(_xlfn.XLOOKUP($G462,Mapping!$A:$A,Mapping!$B:$B),"Uncategorized — Review"))</f>
        <v>ACH Payment - Astronomics</v>
      </c>
      <c r="J462" s="8" t="str">
        <f>IF($G462="","Uncategorized — Review",IFERROR(_xlfn.XLOOKUP($G462,Mapping!$A:$A,Mapping!$C:$C),"Uncategorized — Review"))</f>
        <v>DWG Operating</v>
      </c>
    </row>
    <row r="463" spans="1:10" x14ac:dyDescent="0.25">
      <c r="A463" s="8" t="str">
        <f>'2025_Chase9335_Activity_2026062'!A463</f>
        <v>DEBIT</v>
      </c>
      <c r="B463" s="24">
        <f>'2025_Chase9335_Activity_2026062'!B463</f>
        <v>45855</v>
      </c>
      <c r="C463" s="8" t="str">
        <f>'2025_Chase9335_Activity_2026062'!C463</f>
        <v>Prime Video *RB0IH09J 888-802-3080 WA        07/17</v>
      </c>
      <c r="D463" s="8">
        <f>'2025_Chase9335_Activity_2026062'!D463</f>
        <v>-4.26</v>
      </c>
      <c r="E463" s="8" t="str">
        <f>'2025_Chase9335_Activity_2026062'!E463</f>
        <v>DEBIT_CARD</v>
      </c>
      <c r="F463" s="8">
        <f>'2025_Chase9335_Activity_2026062'!F463</f>
        <v>400128.14</v>
      </c>
      <c r="G463" s="8" t="str">
        <f>'2025_Chase9335_Activity_2026062'!G463</f>
        <v>Amazon Prime Video</v>
      </c>
      <c r="H463" s="26">
        <f t="shared" si="7"/>
        <v>45839</v>
      </c>
      <c r="I463" s="8" t="str">
        <f>IF($G463="","Uncategorized — Review",IFERROR(_xlfn.XLOOKUP($G463,Mapping!$A:$A,Mapping!$B:$B),"Uncategorized — Review"))</f>
        <v>Amazon Prime Video</v>
      </c>
      <c r="J463" s="8" t="str">
        <f>IF($G463="","Uncategorized — Review",IFERROR(_xlfn.XLOOKUP($G463,Mapping!$A:$A,Mapping!$C:$C),"Uncategorized — Review"))</f>
        <v>Personal — Owner</v>
      </c>
    </row>
    <row r="464" spans="1:10" x14ac:dyDescent="0.25">
      <c r="A464" s="8" t="str">
        <f>'2025_Chase9335_Activity_2026062'!A464</f>
        <v>DEBIT</v>
      </c>
      <c r="B464" s="24">
        <f>'2025_Chase9335_Activity_2026062'!B464</f>
        <v>45855</v>
      </c>
      <c r="C464" s="8" t="str">
        <f>'2025_Chase9335_Activity_2026062'!C464</f>
        <v>Audible*IZ2OR8QI3 Amzn.com/bill NJ           07/16</v>
      </c>
      <c r="D464" s="8">
        <f>'2025_Chase9335_Activity_2026062'!D464</f>
        <v>-16.18</v>
      </c>
      <c r="E464" s="8" t="str">
        <f>'2025_Chase9335_Activity_2026062'!E464</f>
        <v>DEBIT_CARD</v>
      </c>
      <c r="F464" s="8">
        <f>'2025_Chase9335_Activity_2026062'!F464</f>
        <v>400132.4</v>
      </c>
      <c r="G464" s="8" t="str">
        <f>'2025_Chase9335_Activity_2026062'!G464</f>
        <v>Amazon</v>
      </c>
      <c r="H464" s="26">
        <f t="shared" si="7"/>
        <v>45839</v>
      </c>
      <c r="I464" s="8" t="str">
        <f>IF($G464="","Uncategorized — Review",IFERROR(_xlfn.XLOOKUP($G464,Mapping!$A:$A,Mapping!$B:$B),"Uncategorized — Review"))</f>
        <v>Amazon</v>
      </c>
      <c r="J464" s="8" t="str">
        <f>IF($G464="","Uncategorized — Review",IFERROR(_xlfn.XLOOKUP($G464,Mapping!$A:$A,Mapping!$C:$C),"Uncategorized — Review"))</f>
        <v>Personal — Owner</v>
      </c>
    </row>
    <row r="465" spans="1:10" x14ac:dyDescent="0.25">
      <c r="A465" s="8" t="str">
        <f>'2025_Chase9335_Activity_2026062'!A465</f>
        <v>DEBIT</v>
      </c>
      <c r="B465" s="24">
        <f>'2025_Chase9335_Activity_2026062'!B465</f>
        <v>45854</v>
      </c>
      <c r="C465" s="8" t="str">
        <f>'2025_Chase9335_Activity_2026062'!C465</f>
        <v>Online Transfer to CHK ...1168 transaction#: 25507535073 07/16</v>
      </c>
      <c r="D465" s="8">
        <f>'2025_Chase9335_Activity_2026062'!D465</f>
        <v>-20000</v>
      </c>
      <c r="E465" s="8" t="str">
        <f>'2025_Chase9335_Activity_2026062'!E465</f>
        <v>ACCT_XFER</v>
      </c>
      <c r="F465" s="8">
        <f>'2025_Chase9335_Activity_2026062'!F465</f>
        <v>400148.58</v>
      </c>
      <c r="G465" s="8" t="str">
        <f>'2025_Chase9335_Activity_2026062'!G465</f>
        <v>Transfer to DWG Capital Group</v>
      </c>
      <c r="H465" s="26">
        <f t="shared" si="7"/>
        <v>45839</v>
      </c>
      <c r="I465" s="8" t="str">
        <f>IF($G465="","Uncategorized — Review",IFERROR(_xlfn.XLOOKUP($G465,Mapping!$A:$A,Mapping!$B:$B),"Uncategorized — Review"))</f>
        <v>Transfer to DWG Capital Group</v>
      </c>
      <c r="J465" s="8" t="str">
        <f>IF($G465="","Uncategorized — Review",IFERROR(_xlfn.XLOOKUP($G465,Mapping!$A:$A,Mapping!$C:$C),"Uncategorized — Review"))</f>
        <v>Intercompany &amp; Savings Transfers</v>
      </c>
    </row>
    <row r="466" spans="1:10" x14ac:dyDescent="0.25">
      <c r="A466" s="8" t="str">
        <f>'2025_Chase9335_Activity_2026062'!A466</f>
        <v>DEBIT</v>
      </c>
      <c r="B466" s="24">
        <f>'2025_Chase9335_Activity_2026062'!B466</f>
        <v>45853</v>
      </c>
      <c r="C466" s="8" t="str">
        <f>'2025_Chase9335_Activity_2026062'!C466</f>
        <v>DOMESTIC INCOMING WIRE FEE</v>
      </c>
      <c r="D466" s="8">
        <f>'2025_Chase9335_Activity_2026062'!D466</f>
        <v>-15</v>
      </c>
      <c r="E466" s="8" t="str">
        <f>'2025_Chase9335_Activity_2026062'!E466</f>
        <v>FEE_TRANSACTION</v>
      </c>
      <c r="F466" s="8">
        <f>'2025_Chase9335_Activity_2026062'!F466</f>
        <v>420148.58</v>
      </c>
      <c r="G466" s="8" t="str">
        <f>'2025_Chase9335_Activity_2026062'!G466</f>
        <v>Bank Fees</v>
      </c>
      <c r="H466" s="26">
        <f t="shared" si="7"/>
        <v>45839</v>
      </c>
      <c r="I466" s="8" t="str">
        <f>IF($G466="","Uncategorized — Review",IFERROR(_xlfn.XLOOKUP($G466,Mapping!$A:$A,Mapping!$B:$B),"Uncategorized — Review"))</f>
        <v>Bank Fees</v>
      </c>
      <c r="J466" s="8" t="str">
        <f>IF($G466="","Uncategorized — Review",IFERROR(_xlfn.XLOOKUP($G466,Mapping!$A:$A,Mapping!$C:$C),"Uncategorized — Review"))</f>
        <v>DWG Operating</v>
      </c>
    </row>
    <row r="467" spans="1:10" x14ac:dyDescent="0.25">
      <c r="A467" s="8" t="str">
        <f>'2025_Chase9335_Activity_2026062'!A467</f>
        <v>DEBIT</v>
      </c>
      <c r="B467" s="24">
        <f>'2025_Chase9335_Activity_2026062'!B467</f>
        <v>45853</v>
      </c>
      <c r="C467" s="8" t="str">
        <f>'2025_Chase9335_Activity_2026062'!C467</f>
        <v>MITSUWA MRKTPLACE SM LOS ANGELES CA  899750  07/15</v>
      </c>
      <c r="D467" s="8">
        <f>'2025_Chase9335_Activity_2026062'!D467</f>
        <v>-7.17</v>
      </c>
      <c r="E467" s="8" t="str">
        <f>'2025_Chase9335_Activity_2026062'!E467</f>
        <v>DEBIT_CARD</v>
      </c>
      <c r="F467" s="8">
        <f>'2025_Chase9335_Activity_2026062'!F467</f>
        <v>420163.58</v>
      </c>
      <c r="G467" s="8" t="str">
        <f>'2025_Chase9335_Activity_2026062'!G467</f>
        <v>Personal - Food &amp; Dining</v>
      </c>
      <c r="H467" s="26">
        <f t="shared" si="7"/>
        <v>45839</v>
      </c>
      <c r="I467" s="8" t="str">
        <f>IF($G467="","Uncategorized — Review",IFERROR(_xlfn.XLOOKUP($G467,Mapping!$A:$A,Mapping!$B:$B),"Uncategorized — Review"))</f>
        <v>Personal - Food &amp; Dining</v>
      </c>
      <c r="J467" s="8" t="str">
        <f>IF($G467="","Uncategorized — Review",IFERROR(_xlfn.XLOOKUP($G467,Mapping!$A:$A,Mapping!$C:$C),"Uncategorized — Review"))</f>
        <v>Personal — Owner</v>
      </c>
    </row>
    <row r="468" spans="1:10" x14ac:dyDescent="0.25">
      <c r="A468" s="8" t="str">
        <f>'2025_Chase9335_Activity_2026062'!A468</f>
        <v>CREDIT</v>
      </c>
      <c r="B468" s="24">
        <f>'2025_Chase9335_Activity_2026062'!B468</f>
        <v>45853</v>
      </c>
      <c r="C468" s="8" t="str">
        <f>'2025_Chase9335_Activity_2026062'!C468</f>
        <v>FEDWIRE CREDIT VIA: U S BANK NATIONAL ASSOC/091000022 B/O: OLD REPUBLIC NATIONAL TITLE INSURA+MINNEAPOLIS,MN,55401 REF: CHASE NYC/CTR/BNF=POSEIDON ASSET GROUP, LLC LOS ANGELES CA 90066-3638 US/AC-000000007200 RFB=NOTPROVIDED OBI=/URI/RETURN OF EXCESS FUNDS TO BUYE R &amp; RETURNED WIRE 8060 OLD US HWY 5 0 BRE IMAD: 0715I1Q73AGC002377 TRN: 0467871196FF</v>
      </c>
      <c r="D468" s="8">
        <f>'2025_Chase9335_Activity_2026062'!D468</f>
        <v>6973.73</v>
      </c>
      <c r="E468" s="8" t="str">
        <f>'2025_Chase9335_Activity_2026062'!E468</f>
        <v>WIRE_INCOMING</v>
      </c>
      <c r="F468" s="8">
        <f>'2025_Chase9335_Activity_2026062'!F468</f>
        <v>420170.75</v>
      </c>
      <c r="G468" s="8" t="str">
        <f>'2025_Chase9335_Activity_2026062'!G468</f>
        <v>Incoming Commission: Breese</v>
      </c>
      <c r="H468" s="26">
        <f t="shared" si="7"/>
        <v>45839</v>
      </c>
      <c r="I468" s="8" t="str">
        <f>IF($G468="","Uncategorized — Review",IFERROR(_xlfn.XLOOKUP($G468,Mapping!$A:$A,Mapping!$B:$B),"Uncategorized — Review"))</f>
        <v>Incoming Commission: Breese</v>
      </c>
      <c r="J468" s="8" t="str">
        <f>IF($G468="","Uncategorized — Review",IFERROR(_xlfn.XLOOKUP($G468,Mapping!$A:$A,Mapping!$C:$C),"Uncategorized — Review"))</f>
        <v>Commissions — Incoming</v>
      </c>
    </row>
    <row r="469" spans="1:10" x14ac:dyDescent="0.25">
      <c r="A469" s="8" t="str">
        <f>'2025_Chase9335_Activity_2026062'!A469</f>
        <v>DEBIT</v>
      </c>
      <c r="B469" s="24">
        <f>'2025_Chase9335_Activity_2026062'!B469</f>
        <v>45852</v>
      </c>
      <c r="C469" s="8" t="str">
        <f>'2025_Chase9335_Activity_2026062'!C469</f>
        <v>Online Transfer to CHK ...3922 transaction#: 25482788964 07/14</v>
      </c>
      <c r="D469" s="8">
        <f>'2025_Chase9335_Activity_2026062'!D469</f>
        <v>-50000</v>
      </c>
      <c r="E469" s="8" t="str">
        <f>'2025_Chase9335_Activity_2026062'!E469</f>
        <v>ACCT_XFER</v>
      </c>
      <c r="F469" s="8">
        <f>'2025_Chase9335_Activity_2026062'!F469</f>
        <v>413197.02</v>
      </c>
      <c r="G469" s="8" t="str">
        <f>'2025_Chase9335_Activity_2026062'!G469</f>
        <v>Transfer to DWG Capital Partners</v>
      </c>
      <c r="H469" s="26">
        <f t="shared" si="7"/>
        <v>45839</v>
      </c>
      <c r="I469" s="8" t="str">
        <f>IF($G469="","Uncategorized — Review",IFERROR(_xlfn.XLOOKUP($G469,Mapping!$A:$A,Mapping!$B:$B),"Uncategorized — Review"))</f>
        <v>Transfer to DWG Capital Partners</v>
      </c>
      <c r="J469" s="8" t="str">
        <f>IF($G469="","Uncategorized — Review",IFERROR(_xlfn.XLOOKUP($G469,Mapping!$A:$A,Mapping!$C:$C),"Uncategorized — Review"))</f>
        <v>Intercompany &amp; Savings Transfers</v>
      </c>
    </row>
    <row r="470" spans="1:10" x14ac:dyDescent="0.25">
      <c r="A470" s="8" t="str">
        <f>'2025_Chase9335_Activity_2026062'!A470</f>
        <v>DEBIT</v>
      </c>
      <c r="B470" s="24">
        <f>'2025_Chase9335_Activity_2026062'!B470</f>
        <v>45852</v>
      </c>
      <c r="C470" s="8" t="str">
        <f>'2025_Chase9335_Activity_2026062'!C470</f>
        <v>APPLE.COM/BILL 866-712-7753 CA               07/12</v>
      </c>
      <c r="D470" s="8">
        <f>'2025_Chase9335_Activity_2026062'!D470</f>
        <v>-30.89</v>
      </c>
      <c r="E470" s="8" t="str">
        <f>'2025_Chase9335_Activity_2026062'!E470</f>
        <v>DEBIT_CARD</v>
      </c>
      <c r="F470" s="8">
        <f>'2025_Chase9335_Activity_2026062'!F470</f>
        <v>463197.02</v>
      </c>
      <c r="G470" s="8" t="str">
        <f>'2025_Chase9335_Activity_2026062'!G470</f>
        <v>Personal - Subscriptions</v>
      </c>
      <c r="H470" s="26">
        <f t="shared" si="7"/>
        <v>45839</v>
      </c>
      <c r="I470" s="8" t="str">
        <f>IF($G470="","Uncategorized — Review",IFERROR(_xlfn.XLOOKUP($G470,Mapping!$A:$A,Mapping!$B:$B),"Uncategorized — Review"))</f>
        <v>Personal - Subscriptions</v>
      </c>
      <c r="J470" s="8" t="str">
        <f>IF($G470="","Uncategorized — Review",IFERROR(_xlfn.XLOOKUP($G470,Mapping!$A:$A,Mapping!$C:$C),"Uncategorized — Review"))</f>
        <v>Personal — Owner</v>
      </c>
    </row>
    <row r="471" spans="1:10" x14ac:dyDescent="0.25">
      <c r="A471" s="8" t="str">
        <f>'2025_Chase9335_Activity_2026062'!A471</f>
        <v>DEBIT</v>
      </c>
      <c r="B471" s="24">
        <f>'2025_Chase9335_Activity_2026062'!B471</f>
        <v>45852</v>
      </c>
      <c r="C471" s="8" t="str">
        <f>'2025_Chase9335_Activity_2026062'!C471</f>
        <v>BLOOMBERG* 37033964 BLOOMBERG.COM NY         07/12</v>
      </c>
      <c r="D471" s="8">
        <f>'2025_Chase9335_Activity_2026062'!D471</f>
        <v>-34.99</v>
      </c>
      <c r="E471" s="8" t="str">
        <f>'2025_Chase9335_Activity_2026062'!E471</f>
        <v>DEBIT_CARD</v>
      </c>
      <c r="F471" s="8">
        <f>'2025_Chase9335_Activity_2026062'!F471</f>
        <v>463227.91</v>
      </c>
      <c r="G471" s="8" t="str">
        <f>'2025_Chase9335_Activity_2026062'!G471</f>
        <v>Personal - Subscriptions</v>
      </c>
      <c r="H471" s="26">
        <f t="shared" si="7"/>
        <v>45839</v>
      </c>
      <c r="I471" s="8" t="str">
        <f>IF($G471="","Uncategorized — Review",IFERROR(_xlfn.XLOOKUP($G471,Mapping!$A:$A,Mapping!$B:$B),"Uncategorized — Review"))</f>
        <v>Personal - Subscriptions</v>
      </c>
      <c r="J471" s="8" t="str">
        <f>IF($G471="","Uncategorized — Review",IFERROR(_xlfn.XLOOKUP($G471,Mapping!$A:$A,Mapping!$C:$C),"Uncategorized — Review"))</f>
        <v>Personal — Owner</v>
      </c>
    </row>
    <row r="472" spans="1:10" x14ac:dyDescent="0.25">
      <c r="A472" s="8" t="str">
        <f>'2025_Chase9335_Activity_2026062'!A472</f>
        <v>CREDIT</v>
      </c>
      <c r="B472" s="24">
        <f>'2025_Chase9335_Activity_2026062'!B472</f>
        <v>45852</v>
      </c>
      <c r="C472" s="8" t="str">
        <f>'2025_Chase9335_Activity_2026062'!C472</f>
        <v>Online Transfer from CHK ...0805 transaction#: 25482772444</v>
      </c>
      <c r="D472" s="8">
        <f>'2025_Chase9335_Activity_2026062'!D472</f>
        <v>100000</v>
      </c>
      <c r="E472" s="8" t="str">
        <f>'2025_Chase9335_Activity_2026062'!E472</f>
        <v>ACCT_XFER</v>
      </c>
      <c r="F472" s="8">
        <f>'2025_Chase9335_Activity_2026062'!F472</f>
        <v>463262.9</v>
      </c>
      <c r="G472" s="8" t="str">
        <f>'2025_Chase9335_Activity_2026062'!G472</f>
        <v>Transfer from Breese</v>
      </c>
      <c r="H472" s="26">
        <f t="shared" si="7"/>
        <v>45839</v>
      </c>
      <c r="I472" s="8" t="str">
        <f>IF($G472="","Uncategorized — Review",IFERROR(_xlfn.XLOOKUP($G472,Mapping!$A:$A,Mapping!$B:$B),"Uncategorized — Review"))</f>
        <v>Transfer from Breese</v>
      </c>
      <c r="J472" s="8" t="str">
        <f>IF($G472="","Uncategorized — Review",IFERROR(_xlfn.XLOOKUP($G472,Mapping!$A:$A,Mapping!$C:$C),"Uncategorized — Review"))</f>
        <v>Intercompany &amp; Savings Transfers</v>
      </c>
    </row>
    <row r="473" spans="1:10" x14ac:dyDescent="0.25">
      <c r="A473" s="8" t="str">
        <f>'2025_Chase9335_Activity_2026062'!A473</f>
        <v>CREDIT</v>
      </c>
      <c r="B473" s="24">
        <f>'2025_Chase9335_Activity_2026062'!B473</f>
        <v>45849</v>
      </c>
      <c r="C473" s="8" t="str">
        <f>'2025_Chase9335_Activity_2026062'!C473</f>
        <v>ORIG CO NAME:Merit-Lancaster        ORIG ID:945440567  DESC DATE:       CO ENTRY DESCR:PAYMENT   SEC:PPD    TRACE#:273976369908784 EED:250711   IND ID:                             IND NAME:John Dunning TRN: 1929908784TC</v>
      </c>
      <c r="D473" s="8">
        <f>'2025_Chase9335_Activity_2026062'!D473</f>
        <v>476.41</v>
      </c>
      <c r="E473" s="8" t="str">
        <f>'2025_Chase9335_Activity_2026062'!E473</f>
        <v>ACH_CREDIT</v>
      </c>
      <c r="F473" s="8">
        <f>'2025_Chase9335_Activity_2026062'!F473</f>
        <v>363262.9</v>
      </c>
      <c r="G473" s="8" t="str">
        <f>'2025_Chase9335_Activity_2026062'!G473</f>
        <v>Deal Specific: Merit-Lancaster</v>
      </c>
      <c r="H473" s="26">
        <f t="shared" si="7"/>
        <v>45839</v>
      </c>
      <c r="I473" s="8" t="str">
        <f>IF($G473="","Uncategorized — Review",IFERROR(_xlfn.XLOOKUP($G473,Mapping!$A:$A,Mapping!$B:$B),"Uncategorized — Review"))</f>
        <v>Deal Specific: Merit-Lancaster</v>
      </c>
      <c r="J473" s="8" t="str">
        <f>IF($G473="","Uncategorized — Review",IFERROR(_xlfn.XLOOKUP($G473,Mapping!$A:$A,Mapping!$C:$C),"Uncategorized — Review"))</f>
        <v>Deal-Specific</v>
      </c>
    </row>
    <row r="474" spans="1:10" x14ac:dyDescent="0.25">
      <c r="A474" s="8" t="str">
        <f>'2025_Chase9335_Activity_2026062'!A474</f>
        <v>DEBIT</v>
      </c>
      <c r="B474" s="24">
        <f>'2025_Chase9335_Activity_2026062'!B474</f>
        <v>45848</v>
      </c>
      <c r="C474" s="8" t="str">
        <f>'2025_Chase9335_Activity_2026062'!C474</f>
        <v>DOMESTIC INCOMING WIRE FEE</v>
      </c>
      <c r="D474" s="8">
        <f>'2025_Chase9335_Activity_2026062'!D474</f>
        <v>-15</v>
      </c>
      <c r="E474" s="8" t="str">
        <f>'2025_Chase9335_Activity_2026062'!E474</f>
        <v>FEE_TRANSACTION</v>
      </c>
      <c r="F474" s="8">
        <f>'2025_Chase9335_Activity_2026062'!F474</f>
        <v>362786.49</v>
      </c>
      <c r="G474" s="8" t="str">
        <f>'2025_Chase9335_Activity_2026062'!G474</f>
        <v>Bank Fees</v>
      </c>
      <c r="H474" s="26">
        <f t="shared" si="7"/>
        <v>45839</v>
      </c>
      <c r="I474" s="8" t="str">
        <f>IF($G474="","Uncategorized — Review",IFERROR(_xlfn.XLOOKUP($G474,Mapping!$A:$A,Mapping!$B:$B),"Uncategorized — Review"))</f>
        <v>Bank Fees</v>
      </c>
      <c r="J474" s="8" t="str">
        <f>IF($G474="","Uncategorized — Review",IFERROR(_xlfn.XLOOKUP($G474,Mapping!$A:$A,Mapping!$C:$C),"Uncategorized — Review"))</f>
        <v>DWG Operating</v>
      </c>
    </row>
    <row r="475" spans="1:10" x14ac:dyDescent="0.25">
      <c r="A475" s="8" t="str">
        <f>'2025_Chase9335_Activity_2026062'!A475</f>
        <v>DEBIT</v>
      </c>
      <c r="B475" s="24">
        <f>'2025_Chase9335_Activity_2026062'!B475</f>
        <v>45848</v>
      </c>
      <c r="C475" s="8" t="str">
        <f>'2025_Chase9335_Activity_2026062'!C475</f>
        <v>DOMESTIC INCOMING WIRE FEE</v>
      </c>
      <c r="D475" s="8">
        <f>'2025_Chase9335_Activity_2026062'!D475</f>
        <v>-15</v>
      </c>
      <c r="E475" s="8" t="str">
        <f>'2025_Chase9335_Activity_2026062'!E475</f>
        <v>FEE_TRANSACTION</v>
      </c>
      <c r="F475" s="8">
        <f>'2025_Chase9335_Activity_2026062'!F475</f>
        <v>362801.49</v>
      </c>
      <c r="G475" s="8" t="str">
        <f>'2025_Chase9335_Activity_2026062'!G475</f>
        <v>Bank Fees</v>
      </c>
      <c r="H475" s="26">
        <f t="shared" si="7"/>
        <v>45839</v>
      </c>
      <c r="I475" s="8" t="str">
        <f>IF($G475="","Uncategorized — Review",IFERROR(_xlfn.XLOOKUP($G475,Mapping!$A:$A,Mapping!$B:$B),"Uncategorized — Review"))</f>
        <v>Bank Fees</v>
      </c>
      <c r="J475" s="8" t="str">
        <f>IF($G475="","Uncategorized — Review",IFERROR(_xlfn.XLOOKUP($G475,Mapping!$A:$A,Mapping!$C:$C),"Uncategorized — Review"))</f>
        <v>DWG Operating</v>
      </c>
    </row>
    <row r="476" spans="1:10" x14ac:dyDescent="0.25">
      <c r="A476" s="8" t="str">
        <f>'2025_Chase9335_Activity_2026062'!A476</f>
        <v>DEBIT</v>
      </c>
      <c r="B476" s="24">
        <f>'2025_Chase9335_Activity_2026062'!B476</f>
        <v>45848</v>
      </c>
      <c r="C476" s="8" t="str">
        <f>'2025_Chase9335_Activity_2026062'!C476</f>
        <v>Amazon.com*NL2XO4MP0 Amzn.com/bill WA        07/09</v>
      </c>
      <c r="D476" s="8">
        <f>'2025_Chase9335_Activity_2026062'!D476</f>
        <v>-145.34</v>
      </c>
      <c r="E476" s="8" t="str">
        <f>'2025_Chase9335_Activity_2026062'!E476</f>
        <v>DEBIT_CARD</v>
      </c>
      <c r="F476" s="8">
        <f>'2025_Chase9335_Activity_2026062'!F476</f>
        <v>362816.49</v>
      </c>
      <c r="G476" s="8" t="str">
        <f>'2025_Chase9335_Activity_2026062'!G476</f>
        <v>Amazon</v>
      </c>
      <c r="H476" s="26">
        <f t="shared" si="7"/>
        <v>45839</v>
      </c>
      <c r="I476" s="8" t="str">
        <f>IF($G476="","Uncategorized — Review",IFERROR(_xlfn.XLOOKUP($G476,Mapping!$A:$A,Mapping!$B:$B),"Uncategorized — Review"))</f>
        <v>Amazon</v>
      </c>
      <c r="J476" s="8" t="str">
        <f>IF($G476="","Uncategorized — Review",IFERROR(_xlfn.XLOOKUP($G476,Mapping!$A:$A,Mapping!$C:$C),"Uncategorized — Review"))</f>
        <v>Personal — Owner</v>
      </c>
    </row>
    <row r="477" spans="1:10" x14ac:dyDescent="0.25">
      <c r="A477" s="8" t="str">
        <f>'2025_Chase9335_Activity_2026062'!A477</f>
        <v>CREDIT</v>
      </c>
      <c r="B477" s="24">
        <f>'2025_Chase9335_Activity_2026062'!B477</f>
        <v>45848</v>
      </c>
      <c r="C477" s="8" t="str">
        <f>'2025_Chase9335_Activity_2026062'!C477</f>
        <v>ORIG CO NAME:Austin Iron Hold       ORIG ID:945440567  DESC DATE:       CO ENTRY DESCR:PAYMENT   SEC:PPD    TRACE#:273976361401006 EED:250710   IND ID:                             IND NAME:John Dunning TRN: 1911401006TC</v>
      </c>
      <c r="D477" s="8">
        <f>'2025_Chase9335_Activity_2026062'!D477</f>
        <v>350</v>
      </c>
      <c r="E477" s="8" t="str">
        <f>'2025_Chase9335_Activity_2026062'!E477</f>
        <v>ACH_CREDIT</v>
      </c>
      <c r="F477" s="8">
        <f>'2025_Chase9335_Activity_2026062'!F477</f>
        <v>362961.83</v>
      </c>
      <c r="G477" s="8" t="str">
        <f>'2025_Chase9335_Activity_2026062'!G477</f>
        <v>Deal Specific: Austin Iron</v>
      </c>
      <c r="H477" s="26">
        <f t="shared" si="7"/>
        <v>45839</v>
      </c>
      <c r="I477" s="8" t="str">
        <f>IF($G477="","Uncategorized — Review",IFERROR(_xlfn.XLOOKUP($G477,Mapping!$A:$A,Mapping!$B:$B),"Uncategorized — Review"))</f>
        <v>Deal Specific: Austin Iron</v>
      </c>
      <c r="J477" s="8" t="str">
        <f>IF($G477="","Uncategorized — Review",IFERROR(_xlfn.XLOOKUP($G477,Mapping!$A:$A,Mapping!$C:$C),"Uncategorized — Review"))</f>
        <v>Deal-Specific</v>
      </c>
    </row>
    <row r="478" spans="1:10" x14ac:dyDescent="0.25">
      <c r="A478" s="8" t="str">
        <f>'2025_Chase9335_Activity_2026062'!A478</f>
        <v>CREDIT</v>
      </c>
      <c r="B478" s="24">
        <f>'2025_Chase9335_Activity_2026062'!B478</f>
        <v>45848</v>
      </c>
      <c r="C478" s="8" t="str">
        <f>'2025_Chase9335_Activity_2026062'!C478</f>
        <v>FEDWIRE CREDIT VIA: U S BANK NATIONAL ASSOC/091000022 B/O: OLD REPUBLIC NATIONAL TITLE INSURANMINNEAPOLIS,MN,55401 REF: CHASE NYC/CTR/BNF=POSEIDON ASSET GROUP, LLC LOS ANGELES CA 90066-3638 US/AC-000000007200 RFB=DEBT FEE OBI =8060 OLD US HWY 50, BREESE IL SEND E R MSHUMWAY 214-239-6404 514700187 4 BBI=/C IMAD: 0710L3LF151C002826 TRN: 0692871191FF</v>
      </c>
      <c r="D478" s="8">
        <f>'2025_Chase9335_Activity_2026062'!D478</f>
        <v>52500</v>
      </c>
      <c r="E478" s="8" t="str">
        <f>'2025_Chase9335_Activity_2026062'!E478</f>
        <v>WIRE_INCOMING</v>
      </c>
      <c r="F478" s="8">
        <f>'2025_Chase9335_Activity_2026062'!F478</f>
        <v>362611.83</v>
      </c>
      <c r="G478" s="8" t="str">
        <f>'2025_Chase9335_Activity_2026062'!G478</f>
        <v>Incoming Commission: Breese</v>
      </c>
      <c r="H478" s="26">
        <f t="shared" si="7"/>
        <v>45839</v>
      </c>
      <c r="I478" s="8" t="str">
        <f>IF($G478="","Uncategorized — Review",IFERROR(_xlfn.XLOOKUP($G478,Mapping!$A:$A,Mapping!$B:$B),"Uncategorized — Review"))</f>
        <v>Incoming Commission: Breese</v>
      </c>
      <c r="J478" s="8" t="str">
        <f>IF($G478="","Uncategorized — Review",IFERROR(_xlfn.XLOOKUP($G478,Mapping!$A:$A,Mapping!$C:$C),"Uncategorized — Review"))</f>
        <v>Commissions — Incoming</v>
      </c>
    </row>
    <row r="479" spans="1:10" x14ac:dyDescent="0.25">
      <c r="A479" s="8" t="str">
        <f>'2025_Chase9335_Activity_2026062'!A479</f>
        <v>CREDIT</v>
      </c>
      <c r="B479" s="24">
        <f>'2025_Chase9335_Activity_2026062'!B479</f>
        <v>45848</v>
      </c>
      <c r="C479" s="8" t="str">
        <f>'2025_Chase9335_Activity_2026062'!C479</f>
        <v>FEDWIRE CREDIT VIA: U S BANK NATIONAL ASSOC/091000022 B/O: OLD REPUBLIC NATIONAL TITLE INSURANMINNEAPOLIS,MN,55401 REF: CHASE NYC/CTR/BNF=POSEIDON ASSET GROUP, LLC LOS ANGELES CA 90066-3638 US/AC-000000007200 RFB=COMMISSION O BI=JAL BREESE MARKETING.COM 8060 OL D U S HWY 50, BREESE IL SENDER MSHU MWAY 214 IMAD: 0710L3LF151C002821 TRN: 0691871191FF</v>
      </c>
      <c r="D479" s="8">
        <f>'2025_Chase9335_Activity_2026062'!D479</f>
        <v>210000</v>
      </c>
      <c r="E479" s="8" t="str">
        <f>'2025_Chase9335_Activity_2026062'!E479</f>
        <v>WIRE_INCOMING</v>
      </c>
      <c r="F479" s="8">
        <f>'2025_Chase9335_Activity_2026062'!F479</f>
        <v>310111.83</v>
      </c>
      <c r="G479" s="8" t="str">
        <f>'2025_Chase9335_Activity_2026062'!G479</f>
        <v>Incoming Commission: Breese</v>
      </c>
      <c r="H479" s="26">
        <f t="shared" si="7"/>
        <v>45839</v>
      </c>
      <c r="I479" s="8" t="str">
        <f>IF($G479="","Uncategorized — Review",IFERROR(_xlfn.XLOOKUP($G479,Mapping!$A:$A,Mapping!$B:$B),"Uncategorized — Review"))</f>
        <v>Incoming Commission: Breese</v>
      </c>
      <c r="J479" s="8" t="str">
        <f>IF($G479="","Uncategorized — Review",IFERROR(_xlfn.XLOOKUP($G479,Mapping!$A:$A,Mapping!$C:$C),"Uncategorized — Review"))</f>
        <v>Commissions — Incoming</v>
      </c>
    </row>
    <row r="480" spans="1:10" x14ac:dyDescent="0.25">
      <c r="A480" s="8" t="str">
        <f>'2025_Chase9335_Activity_2026062'!A480</f>
        <v>CREDIT</v>
      </c>
      <c r="B480" s="24">
        <f>'2025_Chase9335_Activity_2026062'!B480</f>
        <v>45847</v>
      </c>
      <c r="C480" s="8" t="str">
        <f>'2025_Chase9335_Activity_2026062'!C480</f>
        <v>ORIG CO NAME:MRM Industrial P       ORIG ID:945440567  DESC DATE:       CO ENTRY DESCR:PAYMENT   SEC:PPD    TRACE#:273976363828968 EED:250709   IND ID:                             IND NAME:John Dunning TRN: 1903828968TC</v>
      </c>
      <c r="D480" s="8">
        <f>'2025_Chase9335_Activity_2026062'!D480</f>
        <v>236.37</v>
      </c>
      <c r="E480" s="8" t="str">
        <f>'2025_Chase9335_Activity_2026062'!E480</f>
        <v>ACH_CREDIT</v>
      </c>
      <c r="F480" s="8">
        <f>'2025_Chase9335_Activity_2026062'!F480</f>
        <v>100111.83</v>
      </c>
      <c r="G480" s="8" t="str">
        <f>'2025_Chase9335_Activity_2026062'!G480</f>
        <v>Deal Specific: MRM</v>
      </c>
      <c r="H480" s="26">
        <f t="shared" si="7"/>
        <v>45839</v>
      </c>
      <c r="I480" s="8" t="str">
        <f>IF($G480="","Uncategorized — Review",IFERROR(_xlfn.XLOOKUP($G480,Mapping!$A:$A,Mapping!$B:$B),"Uncategorized — Review"))</f>
        <v>Deal Specific: MRM</v>
      </c>
      <c r="J480" s="8" t="str">
        <f>IF($G480="","Uncategorized — Review",IFERROR(_xlfn.XLOOKUP($G480,Mapping!$A:$A,Mapping!$C:$C),"Uncategorized — Review"))</f>
        <v>Deal-Specific</v>
      </c>
    </row>
    <row r="481" spans="1:10" x14ac:dyDescent="0.25">
      <c r="A481" s="8" t="str">
        <f>'2025_Chase9335_Activity_2026062'!A481</f>
        <v>CREDIT</v>
      </c>
      <c r="B481" s="24">
        <f>'2025_Chase9335_Activity_2026062'!B481</f>
        <v>45847</v>
      </c>
      <c r="C481" s="8" t="str">
        <f>'2025_Chase9335_Activity_2026062'!C481</f>
        <v>ORIG CO NAME:T and T Machine        ORIG ID:945440567  DESC DATE:       CO ENTRY DESCR:PAYMENT   SEC:PPD    TRACE#:273976363828998 EED:250709   IND ID:                             IND NAME:John Dunning TRN: 1903828998TC</v>
      </c>
      <c r="D481" s="8">
        <f>'2025_Chase9335_Activity_2026062'!D481</f>
        <v>356.38</v>
      </c>
      <c r="E481" s="8" t="str">
        <f>'2025_Chase9335_Activity_2026062'!E481</f>
        <v>ACH_CREDIT</v>
      </c>
      <c r="F481" s="8">
        <f>'2025_Chase9335_Activity_2026062'!F481</f>
        <v>99875.46</v>
      </c>
      <c r="G481" s="8" t="str">
        <f>'2025_Chase9335_Activity_2026062'!G481</f>
        <v>Deal Specific: T&amp;T Machine</v>
      </c>
      <c r="H481" s="26">
        <f t="shared" si="7"/>
        <v>45839</v>
      </c>
      <c r="I481" s="8" t="str">
        <f>IF($G481="","Uncategorized — Review",IFERROR(_xlfn.XLOOKUP($G481,Mapping!$A:$A,Mapping!$B:$B),"Uncategorized — Review"))</f>
        <v>Deal Specific: T&amp;T Machine</v>
      </c>
      <c r="J481" s="8" t="str">
        <f>IF($G481="","Uncategorized — Review",IFERROR(_xlfn.XLOOKUP($G481,Mapping!$A:$A,Mapping!$C:$C),"Uncategorized — Review"))</f>
        <v>Deal-Specific</v>
      </c>
    </row>
    <row r="482" spans="1:10" x14ac:dyDescent="0.25">
      <c r="A482" s="8" t="str">
        <f>'2025_Chase9335_Activity_2026062'!A482</f>
        <v>DEBIT</v>
      </c>
      <c r="B482" s="24">
        <f>'2025_Chase9335_Activity_2026062'!B482</f>
        <v>45845</v>
      </c>
      <c r="C482" s="8" t="str">
        <f>'2025_Chase9335_Activity_2026062'!C482</f>
        <v>Online Transfer to CHK ...1168 transaction#: 25394288341 07/07</v>
      </c>
      <c r="D482" s="8">
        <f>'2025_Chase9335_Activity_2026062'!D482</f>
        <v>-20000</v>
      </c>
      <c r="E482" s="8" t="str">
        <f>'2025_Chase9335_Activity_2026062'!E482</f>
        <v>ACCT_XFER</v>
      </c>
      <c r="F482" s="8">
        <f>'2025_Chase9335_Activity_2026062'!F482</f>
        <v>99519.08</v>
      </c>
      <c r="G482" s="8" t="str">
        <f>'2025_Chase9335_Activity_2026062'!G482</f>
        <v>Transfer to DWG Capital Group</v>
      </c>
      <c r="H482" s="26">
        <f t="shared" si="7"/>
        <v>45839</v>
      </c>
      <c r="I482" s="8" t="str">
        <f>IF($G482="","Uncategorized — Review",IFERROR(_xlfn.XLOOKUP($G482,Mapping!$A:$A,Mapping!$B:$B),"Uncategorized — Review"))</f>
        <v>Transfer to DWG Capital Group</v>
      </c>
      <c r="J482" s="8" t="str">
        <f>IF($G482="","Uncategorized — Review",IFERROR(_xlfn.XLOOKUP($G482,Mapping!$A:$A,Mapping!$C:$C),"Uncategorized — Review"))</f>
        <v>Intercompany &amp; Savings Transfers</v>
      </c>
    </row>
    <row r="483" spans="1:10" x14ac:dyDescent="0.25">
      <c r="A483" s="8" t="str">
        <f>'2025_Chase9335_Activity_2026062'!A483</f>
        <v>DEBIT</v>
      </c>
      <c r="B483" s="24">
        <f>'2025_Chase9335_Activity_2026062'!B483</f>
        <v>45845</v>
      </c>
      <c r="C483" s="8" t="str">
        <f>'2025_Chase9335_Activity_2026062'!C483</f>
        <v>AMAZON MKTPL*NL0SX9X Amzn.com/bill WA        07/07</v>
      </c>
      <c r="D483" s="8">
        <f>'2025_Chase9335_Activity_2026062'!D483</f>
        <v>-43.29</v>
      </c>
      <c r="E483" s="8" t="str">
        <f>'2025_Chase9335_Activity_2026062'!E483</f>
        <v>DEBIT_CARD</v>
      </c>
      <c r="F483" s="8">
        <f>'2025_Chase9335_Activity_2026062'!F483</f>
        <v>119519.08</v>
      </c>
      <c r="G483" s="8" t="str">
        <f>'2025_Chase9335_Activity_2026062'!G483</f>
        <v>Amazon</v>
      </c>
      <c r="H483" s="26">
        <f t="shared" si="7"/>
        <v>45839</v>
      </c>
      <c r="I483" s="8" t="str">
        <f>IF($G483="","Uncategorized — Review",IFERROR(_xlfn.XLOOKUP($G483,Mapping!$A:$A,Mapping!$B:$B),"Uncategorized — Review"))</f>
        <v>Amazon</v>
      </c>
      <c r="J483" s="8" t="str">
        <f>IF($G483="","Uncategorized — Review",IFERROR(_xlfn.XLOOKUP($G483,Mapping!$A:$A,Mapping!$C:$C),"Uncategorized — Review"))</f>
        <v>Personal — Owner</v>
      </c>
    </row>
    <row r="484" spans="1:10" x14ac:dyDescent="0.25">
      <c r="A484" s="8" t="str">
        <f>'2025_Chase9335_Activity_2026062'!A484</f>
        <v>DEBIT</v>
      </c>
      <c r="B484" s="24">
        <f>'2025_Chase9335_Activity_2026062'!B484</f>
        <v>45845</v>
      </c>
      <c r="C484" s="8" t="str">
        <f>'2025_Chase9335_Activity_2026062'!C484</f>
        <v>APPLE.COM/BILL 866-712-7753 CA               07/06</v>
      </c>
      <c r="D484" s="8">
        <f>'2025_Chase9335_Activity_2026062'!D484</f>
        <v>-9.99</v>
      </c>
      <c r="E484" s="8" t="str">
        <f>'2025_Chase9335_Activity_2026062'!E484</f>
        <v>DEBIT_CARD</v>
      </c>
      <c r="F484" s="8">
        <f>'2025_Chase9335_Activity_2026062'!F484</f>
        <v>119562.37</v>
      </c>
      <c r="G484" s="8" t="str">
        <f>'2025_Chase9335_Activity_2026062'!G484</f>
        <v>Personal - Subscriptions</v>
      </c>
      <c r="H484" s="26">
        <f t="shared" si="7"/>
        <v>45839</v>
      </c>
      <c r="I484" s="8" t="str">
        <f>IF($G484="","Uncategorized — Review",IFERROR(_xlfn.XLOOKUP($G484,Mapping!$A:$A,Mapping!$B:$B),"Uncategorized — Review"))</f>
        <v>Personal - Subscriptions</v>
      </c>
      <c r="J484" s="8" t="str">
        <f>IF($G484="","Uncategorized — Review",IFERROR(_xlfn.XLOOKUP($G484,Mapping!$A:$A,Mapping!$C:$C),"Uncategorized — Review"))</f>
        <v>Personal — Owner</v>
      </c>
    </row>
    <row r="485" spans="1:10" x14ac:dyDescent="0.25">
      <c r="A485" s="8" t="str">
        <f>'2025_Chase9335_Activity_2026062'!A485</f>
        <v>DEBIT</v>
      </c>
      <c r="B485" s="24">
        <f>'2025_Chase9335_Activity_2026062'!B485</f>
        <v>45845</v>
      </c>
      <c r="C485" s="8" t="str">
        <f>'2025_Chase9335_Activity_2026062'!C485</f>
        <v>APPLE.COM/BILL 866-712-7753 CA               07/06</v>
      </c>
      <c r="D485" s="8">
        <f>'2025_Chase9335_Activity_2026062'!D485</f>
        <v>-30.89</v>
      </c>
      <c r="E485" s="8" t="str">
        <f>'2025_Chase9335_Activity_2026062'!E485</f>
        <v>DEBIT_CARD</v>
      </c>
      <c r="F485" s="8">
        <f>'2025_Chase9335_Activity_2026062'!F485</f>
        <v>119572.36</v>
      </c>
      <c r="G485" s="8" t="str">
        <f>'2025_Chase9335_Activity_2026062'!G485</f>
        <v>Personal - Subscriptions</v>
      </c>
      <c r="H485" s="26">
        <f t="shared" si="7"/>
        <v>45839</v>
      </c>
      <c r="I485" s="8" t="str">
        <f>IF($G485="","Uncategorized — Review",IFERROR(_xlfn.XLOOKUP($G485,Mapping!$A:$A,Mapping!$B:$B),"Uncategorized — Review"))</f>
        <v>Personal - Subscriptions</v>
      </c>
      <c r="J485" s="8" t="str">
        <f>IF($G485="","Uncategorized — Review",IFERROR(_xlfn.XLOOKUP($G485,Mapping!$A:$A,Mapping!$C:$C),"Uncategorized — Review"))</f>
        <v>Personal — Owner</v>
      </c>
    </row>
    <row r="486" spans="1:10" x14ac:dyDescent="0.25">
      <c r="A486" s="8" t="str">
        <f>'2025_Chase9335_Activity_2026062'!A486</f>
        <v>DEBIT</v>
      </c>
      <c r="B486" s="24">
        <f>'2025_Chase9335_Activity_2026062'!B486</f>
        <v>45845</v>
      </c>
      <c r="C486" s="8" t="str">
        <f>'2025_Chase9335_Activity_2026062'!C486</f>
        <v>AMAZON MKTPL*N39EG1M Amzn.com/bill WA        07/04</v>
      </c>
      <c r="D486" s="8">
        <f>'2025_Chase9335_Activity_2026062'!D486</f>
        <v>-52.65</v>
      </c>
      <c r="E486" s="8" t="str">
        <f>'2025_Chase9335_Activity_2026062'!E486</f>
        <v>DEBIT_CARD</v>
      </c>
      <c r="F486" s="8">
        <f>'2025_Chase9335_Activity_2026062'!F486</f>
        <v>119603.25</v>
      </c>
      <c r="G486" s="8" t="str">
        <f>'2025_Chase9335_Activity_2026062'!G486</f>
        <v>Amazon</v>
      </c>
      <c r="H486" s="26">
        <f t="shared" si="7"/>
        <v>45839</v>
      </c>
      <c r="I486" s="8" t="str">
        <f>IF($G486="","Uncategorized — Review",IFERROR(_xlfn.XLOOKUP($G486,Mapping!$A:$A,Mapping!$B:$B),"Uncategorized — Review"))</f>
        <v>Amazon</v>
      </c>
      <c r="J486" s="8" t="str">
        <f>IF($G486="","Uncategorized — Review",IFERROR(_xlfn.XLOOKUP($G486,Mapping!$A:$A,Mapping!$C:$C),"Uncategorized — Review"))</f>
        <v>Personal — Owner</v>
      </c>
    </row>
    <row r="487" spans="1:10" x14ac:dyDescent="0.25">
      <c r="A487" s="8" t="str">
        <f>'2025_Chase9335_Activity_2026062'!A487</f>
        <v>DEBIT</v>
      </c>
      <c r="B487" s="24">
        <f>'2025_Chase9335_Activity_2026062'!B487</f>
        <v>45841</v>
      </c>
      <c r="C487" s="8" t="str">
        <f>'2025_Chase9335_Activity_2026062'!C487</f>
        <v>Online Transfer to CHK ...9769 transaction#: 25363874575 07/03</v>
      </c>
      <c r="D487" s="8">
        <f>'2025_Chase9335_Activity_2026062'!D487</f>
        <v>-10000</v>
      </c>
      <c r="E487" s="8" t="str">
        <f>'2025_Chase9335_Activity_2026062'!E487</f>
        <v>ACCT_XFER</v>
      </c>
      <c r="F487" s="8">
        <f>'2025_Chase9335_Activity_2026062'!F487</f>
        <v>119655.9</v>
      </c>
      <c r="G487" s="8" t="str">
        <f>'2025_Chase9335_Activity_2026062'!G487</f>
        <v>Transfer to JAL Southbend</v>
      </c>
      <c r="H487" s="26">
        <f t="shared" si="7"/>
        <v>45839</v>
      </c>
      <c r="I487" s="8" t="str">
        <f>IF($G487="","Uncategorized — Review",IFERROR(_xlfn.XLOOKUP($G487,Mapping!$A:$A,Mapping!$B:$B),"Uncategorized — Review"))</f>
        <v>Transfer to JAL Southbend</v>
      </c>
      <c r="J487" s="8" t="str">
        <f>IF($G487="","Uncategorized — Review",IFERROR(_xlfn.XLOOKUP($G487,Mapping!$A:$A,Mapping!$C:$C),"Uncategorized — Review"))</f>
        <v>Intercompany &amp; Savings Transfers</v>
      </c>
    </row>
    <row r="488" spans="1:10" x14ac:dyDescent="0.25">
      <c r="A488" s="8" t="str">
        <f>'2025_Chase9335_Activity_2026062'!A488</f>
        <v>DEBIT</v>
      </c>
      <c r="B488" s="24">
        <f>'2025_Chase9335_Activity_2026062'!B488</f>
        <v>45840</v>
      </c>
      <c r="C488" s="8" t="str">
        <f>'2025_Chase9335_Activity_2026062'!C488</f>
        <v>APPLE.COM/BILL 866-712-7753 CA               07/02</v>
      </c>
      <c r="D488" s="8">
        <f>'2025_Chase9335_Activity_2026062'!D488</f>
        <v>-20.56</v>
      </c>
      <c r="E488" s="8" t="str">
        <f>'2025_Chase9335_Activity_2026062'!E488</f>
        <v>DEBIT_CARD</v>
      </c>
      <c r="F488" s="8">
        <f>'2025_Chase9335_Activity_2026062'!F488</f>
        <v>129655.9</v>
      </c>
      <c r="G488" s="8" t="str">
        <f>'2025_Chase9335_Activity_2026062'!G488</f>
        <v>Personal - Subscriptions</v>
      </c>
      <c r="H488" s="26">
        <f t="shared" si="7"/>
        <v>45839</v>
      </c>
      <c r="I488" s="8" t="str">
        <f>IF($G488="","Uncategorized — Review",IFERROR(_xlfn.XLOOKUP($G488,Mapping!$A:$A,Mapping!$B:$B),"Uncategorized — Review"))</f>
        <v>Personal - Subscriptions</v>
      </c>
      <c r="J488" s="8" t="str">
        <f>IF($G488="","Uncategorized — Review",IFERROR(_xlfn.XLOOKUP($G488,Mapping!$A:$A,Mapping!$C:$C),"Uncategorized — Review"))</f>
        <v>Personal — Owner</v>
      </c>
    </row>
    <row r="489" spans="1:10" x14ac:dyDescent="0.25">
      <c r="A489" s="8" t="str">
        <f>'2025_Chase9335_Activity_2026062'!A489</f>
        <v>DEBIT</v>
      </c>
      <c r="B489" s="24">
        <f>'2025_Chase9335_Activity_2026062'!B489</f>
        <v>45839</v>
      </c>
      <c r="C489" s="8" t="str">
        <f>'2025_Chase9335_Activity_2026062'!C489</f>
        <v>Online Transfer to CHK ...3922 transaction#: 25333571387 07/01</v>
      </c>
      <c r="D489" s="8">
        <f>'2025_Chase9335_Activity_2026062'!D489</f>
        <v>-5000</v>
      </c>
      <c r="E489" s="8" t="str">
        <f>'2025_Chase9335_Activity_2026062'!E489</f>
        <v>ACCT_XFER</v>
      </c>
      <c r="F489" s="8">
        <f>'2025_Chase9335_Activity_2026062'!F489</f>
        <v>129676.46</v>
      </c>
      <c r="G489" s="8" t="str">
        <f>'2025_Chase9335_Activity_2026062'!G489</f>
        <v>Transfer to DWG Capital Partners</v>
      </c>
      <c r="H489" s="26">
        <f t="shared" si="7"/>
        <v>45839</v>
      </c>
      <c r="I489" s="8" t="str">
        <f>IF($G489="","Uncategorized — Review",IFERROR(_xlfn.XLOOKUP($G489,Mapping!$A:$A,Mapping!$B:$B),"Uncategorized — Review"))</f>
        <v>Transfer to DWG Capital Partners</v>
      </c>
      <c r="J489" s="8" t="str">
        <f>IF($G489="","Uncategorized — Review",IFERROR(_xlfn.XLOOKUP($G489,Mapping!$A:$A,Mapping!$C:$C),"Uncategorized — Review"))</f>
        <v>Intercompany &amp; Savings Transfers</v>
      </c>
    </row>
    <row r="490" spans="1:10" x14ac:dyDescent="0.25">
      <c r="A490" s="8" t="str">
        <f>'2025_Chase9335_Activity_2026062'!A490</f>
        <v>DEBIT</v>
      </c>
      <c r="B490" s="24">
        <f>'2025_Chase9335_Activity_2026062'!B490</f>
        <v>45839</v>
      </c>
      <c r="C490" s="8" t="str">
        <f>'2025_Chase9335_Activity_2026062'!C490</f>
        <v>Experian* Credit Repor 479-3436237 CA        07/01</v>
      </c>
      <c r="D490" s="8">
        <f>'2025_Chase9335_Activity_2026062'!D490</f>
        <v>-27.05</v>
      </c>
      <c r="E490" s="8" t="str">
        <f>'2025_Chase9335_Activity_2026062'!E490</f>
        <v>DEBIT_CARD</v>
      </c>
      <c r="F490" s="8">
        <f>'2025_Chase9335_Activity_2026062'!F490</f>
        <v>134676.46</v>
      </c>
      <c r="G490" s="8" t="str">
        <f>'2025_Chase9335_Activity_2026062'!G490</f>
        <v>Personal - Subscriptions</v>
      </c>
      <c r="H490" s="26">
        <f t="shared" si="7"/>
        <v>45839</v>
      </c>
      <c r="I490" s="8" t="str">
        <f>IF($G490="","Uncategorized — Review",IFERROR(_xlfn.XLOOKUP($G490,Mapping!$A:$A,Mapping!$B:$B),"Uncategorized — Review"))</f>
        <v>Personal - Subscriptions</v>
      </c>
      <c r="J490" s="8" t="str">
        <f>IF($G490="","Uncategorized — Review",IFERROR(_xlfn.XLOOKUP($G490,Mapping!$A:$A,Mapping!$C:$C),"Uncategorized — Review"))</f>
        <v>Personal — Owner</v>
      </c>
    </row>
    <row r="491" spans="1:10" x14ac:dyDescent="0.25">
      <c r="A491" s="8" t="str">
        <f>'2025_Chase9335_Activity_2026062'!A491</f>
        <v>DEBIT</v>
      </c>
      <c r="B491" s="24">
        <f>'2025_Chase9335_Activity_2026062'!B491</f>
        <v>45838</v>
      </c>
      <c r="C491" s="8" t="str">
        <f>'2025_Chase9335_Activity_2026062'!C491</f>
        <v>APPLE.COM/BILL 866-712-7753 CA               06/29</v>
      </c>
      <c r="D491" s="8">
        <f>'2025_Chase9335_Activity_2026062'!D491</f>
        <v>-30.89</v>
      </c>
      <c r="E491" s="8" t="str">
        <f>'2025_Chase9335_Activity_2026062'!E491</f>
        <v>DEBIT_CARD</v>
      </c>
      <c r="F491" s="8">
        <f>'2025_Chase9335_Activity_2026062'!F491</f>
        <v>134703.51</v>
      </c>
      <c r="G491" s="8" t="str">
        <f>'2025_Chase9335_Activity_2026062'!G491</f>
        <v>Personal - Subscriptions</v>
      </c>
      <c r="H491" s="26">
        <f t="shared" si="7"/>
        <v>45809</v>
      </c>
      <c r="I491" s="8" t="str">
        <f>IF($G491="","Uncategorized — Review",IFERROR(_xlfn.XLOOKUP($G491,Mapping!$A:$A,Mapping!$B:$B),"Uncategorized — Review"))</f>
        <v>Personal - Subscriptions</v>
      </c>
      <c r="J491" s="8" t="str">
        <f>IF($G491="","Uncategorized — Review",IFERROR(_xlfn.XLOOKUP($G491,Mapping!$A:$A,Mapping!$C:$C),"Uncategorized — Review"))</f>
        <v>Personal — Owner</v>
      </c>
    </row>
    <row r="492" spans="1:10" x14ac:dyDescent="0.25">
      <c r="A492" s="8" t="str">
        <f>'2025_Chase9335_Activity_2026062'!A492</f>
        <v>DEBIT</v>
      </c>
      <c r="B492" s="24">
        <f>'2025_Chase9335_Activity_2026062'!B492</f>
        <v>45831</v>
      </c>
      <c r="C492" s="8" t="str">
        <f>'2025_Chase9335_Activity_2026062'!C492</f>
        <v>AMAZON MKTPL*NQ63D1Z Amzn.com/bill WA        06/22</v>
      </c>
      <c r="D492" s="8">
        <f>'2025_Chase9335_Activity_2026062'!D492</f>
        <v>-14.99</v>
      </c>
      <c r="E492" s="8" t="str">
        <f>'2025_Chase9335_Activity_2026062'!E492</f>
        <v>DEBIT_CARD</v>
      </c>
      <c r="F492" s="8">
        <f>'2025_Chase9335_Activity_2026062'!F492</f>
        <v>134734.39999999999</v>
      </c>
      <c r="G492" s="8" t="str">
        <f>'2025_Chase9335_Activity_2026062'!G492</f>
        <v>Amazon</v>
      </c>
      <c r="H492" s="26">
        <f t="shared" si="7"/>
        <v>45809</v>
      </c>
      <c r="I492" s="8" t="str">
        <f>IF($G492="","Uncategorized — Review",IFERROR(_xlfn.XLOOKUP($G492,Mapping!$A:$A,Mapping!$B:$B),"Uncategorized — Review"))</f>
        <v>Amazon</v>
      </c>
      <c r="J492" s="8" t="str">
        <f>IF($G492="","Uncategorized — Review",IFERROR(_xlfn.XLOOKUP($G492,Mapping!$A:$A,Mapping!$C:$C),"Uncategorized — Review"))</f>
        <v>Personal — Owner</v>
      </c>
    </row>
    <row r="493" spans="1:10" x14ac:dyDescent="0.25">
      <c r="A493" s="8" t="str">
        <f>'2025_Chase9335_Activity_2026062'!A493</f>
        <v>DEBIT</v>
      </c>
      <c r="B493" s="24">
        <f>'2025_Chase9335_Activity_2026062'!B493</f>
        <v>45831</v>
      </c>
      <c r="C493" s="8" t="str">
        <f>'2025_Chase9335_Activity_2026062'!C493</f>
        <v>AMAZON MKTPL*NO3YJ58 Amzn.com/bill WA        06/22</v>
      </c>
      <c r="D493" s="8">
        <f>'2025_Chase9335_Activity_2026062'!D493</f>
        <v>-36.19</v>
      </c>
      <c r="E493" s="8" t="str">
        <f>'2025_Chase9335_Activity_2026062'!E493</f>
        <v>DEBIT_CARD</v>
      </c>
      <c r="F493" s="8">
        <f>'2025_Chase9335_Activity_2026062'!F493</f>
        <v>134749.39000000001</v>
      </c>
      <c r="G493" s="8" t="str">
        <f>'2025_Chase9335_Activity_2026062'!G493</f>
        <v>Amazon</v>
      </c>
      <c r="H493" s="26">
        <f t="shared" si="7"/>
        <v>45809</v>
      </c>
      <c r="I493" s="8" t="str">
        <f>IF($G493="","Uncategorized — Review",IFERROR(_xlfn.XLOOKUP($G493,Mapping!$A:$A,Mapping!$B:$B),"Uncategorized — Review"))</f>
        <v>Amazon</v>
      </c>
      <c r="J493" s="8" t="str">
        <f>IF($G493="","Uncategorized — Review",IFERROR(_xlfn.XLOOKUP($G493,Mapping!$A:$A,Mapping!$C:$C),"Uncategorized — Review"))</f>
        <v>Personal — Owner</v>
      </c>
    </row>
    <row r="494" spans="1:10" x14ac:dyDescent="0.25">
      <c r="A494" s="8" t="str">
        <f>'2025_Chase9335_Activity_2026062'!A494</f>
        <v>DEBIT</v>
      </c>
      <c r="B494" s="24">
        <f>'2025_Chase9335_Activity_2026062'!B494</f>
        <v>45831</v>
      </c>
      <c r="C494" s="8" t="str">
        <f>'2025_Chase9335_Activity_2026062'!C494</f>
        <v>APPLE COM BILL CUPERTINO CA          336946  06/21</v>
      </c>
      <c r="D494" s="8">
        <f>'2025_Chase9335_Activity_2026062'!D494</f>
        <v>-30.89</v>
      </c>
      <c r="E494" s="8" t="str">
        <f>'2025_Chase9335_Activity_2026062'!E494</f>
        <v>DEBIT_CARD</v>
      </c>
      <c r="F494" s="8">
        <f>'2025_Chase9335_Activity_2026062'!F494</f>
        <v>134785.57999999999</v>
      </c>
      <c r="G494" s="8" t="str">
        <f>'2025_Chase9335_Activity_2026062'!G494</f>
        <v>Personal - Subscriptions</v>
      </c>
      <c r="H494" s="26">
        <f t="shared" si="7"/>
        <v>45809</v>
      </c>
      <c r="I494" s="8" t="str">
        <f>IF($G494="","Uncategorized — Review",IFERROR(_xlfn.XLOOKUP($G494,Mapping!$A:$A,Mapping!$B:$B),"Uncategorized — Review"))</f>
        <v>Personal - Subscriptions</v>
      </c>
      <c r="J494" s="8" t="str">
        <f>IF($G494="","Uncategorized — Review",IFERROR(_xlfn.XLOOKUP($G494,Mapping!$A:$A,Mapping!$C:$C),"Uncategorized — Review"))</f>
        <v>Personal — Owner</v>
      </c>
    </row>
    <row r="495" spans="1:10" x14ac:dyDescent="0.25">
      <c r="A495" s="8" t="str">
        <f>'2025_Chase9335_Activity_2026062'!A495</f>
        <v>DEBIT</v>
      </c>
      <c r="B495" s="24">
        <f>'2025_Chase9335_Activity_2026062'!B495</f>
        <v>45831</v>
      </c>
      <c r="C495" s="8" t="str">
        <f>'2025_Chase9335_Activity_2026062'!C495</f>
        <v>Netflix.com 408-5403700 CA                   06/21</v>
      </c>
      <c r="D495" s="8">
        <f>'2025_Chase9335_Activity_2026062'!D495</f>
        <v>-24.99</v>
      </c>
      <c r="E495" s="8" t="str">
        <f>'2025_Chase9335_Activity_2026062'!E495</f>
        <v>DEBIT_CARD</v>
      </c>
      <c r="F495" s="8">
        <f>'2025_Chase9335_Activity_2026062'!F495</f>
        <v>134816.47</v>
      </c>
      <c r="G495" s="8" t="str">
        <f>'2025_Chase9335_Activity_2026062'!G495</f>
        <v>Personal - Subscriptions</v>
      </c>
      <c r="H495" s="26">
        <f t="shared" si="7"/>
        <v>45809</v>
      </c>
      <c r="I495" s="8" t="str">
        <f>IF($G495="","Uncategorized — Review",IFERROR(_xlfn.XLOOKUP($G495,Mapping!$A:$A,Mapping!$B:$B),"Uncategorized — Review"))</f>
        <v>Personal - Subscriptions</v>
      </c>
      <c r="J495" s="8" t="str">
        <f>IF($G495="","Uncategorized — Review",IFERROR(_xlfn.XLOOKUP($G495,Mapping!$A:$A,Mapping!$C:$C),"Uncategorized — Review"))</f>
        <v>Personal — Owner</v>
      </c>
    </row>
    <row r="496" spans="1:10" x14ac:dyDescent="0.25">
      <c r="A496" s="8" t="str">
        <f>'2025_Chase9335_Activity_2026062'!A496</f>
        <v>DEBIT</v>
      </c>
      <c r="B496" s="24">
        <f>'2025_Chase9335_Activity_2026062'!B496</f>
        <v>45828</v>
      </c>
      <c r="C496" s="8" t="str">
        <f>'2025_Chase9335_Activity_2026062'!C496</f>
        <v>AMAZON MKTPL*NO0768L Amzn.com/bill WA        06/20</v>
      </c>
      <c r="D496" s="8">
        <f>'2025_Chase9335_Activity_2026062'!D496</f>
        <v>-75.59</v>
      </c>
      <c r="E496" s="8" t="str">
        <f>'2025_Chase9335_Activity_2026062'!E496</f>
        <v>DEBIT_CARD</v>
      </c>
      <c r="F496" s="8">
        <f>'2025_Chase9335_Activity_2026062'!F496</f>
        <v>134841.46</v>
      </c>
      <c r="G496" s="8" t="str">
        <f>'2025_Chase9335_Activity_2026062'!G496</f>
        <v>Amazon</v>
      </c>
      <c r="H496" s="26">
        <f t="shared" si="7"/>
        <v>45809</v>
      </c>
      <c r="I496" s="8" t="str">
        <f>IF($G496="","Uncategorized — Review",IFERROR(_xlfn.XLOOKUP($G496,Mapping!$A:$A,Mapping!$B:$B),"Uncategorized — Review"))</f>
        <v>Amazon</v>
      </c>
      <c r="J496" s="8" t="str">
        <f>IF($G496="","Uncategorized — Review",IFERROR(_xlfn.XLOOKUP($G496,Mapping!$A:$A,Mapping!$C:$C),"Uncategorized — Review"))</f>
        <v>Personal — Owner</v>
      </c>
    </row>
    <row r="497" spans="1:10" x14ac:dyDescent="0.25">
      <c r="A497" s="8" t="str">
        <f>'2025_Chase9335_Activity_2026062'!A497</f>
        <v>DEBIT</v>
      </c>
      <c r="B497" s="24">
        <f>'2025_Chase9335_Activity_2026062'!B497</f>
        <v>45826</v>
      </c>
      <c r="C497" s="8" t="str">
        <f>'2025_Chase9335_Activity_2026062'!C497</f>
        <v>ONLINE DOMESTIC WIRE FEE</v>
      </c>
      <c r="D497" s="8">
        <f>'2025_Chase9335_Activity_2026062'!D497</f>
        <v>-25</v>
      </c>
      <c r="E497" s="8" t="str">
        <f>'2025_Chase9335_Activity_2026062'!E497</f>
        <v>FEE_TRANSACTION</v>
      </c>
      <c r="F497" s="8">
        <f>'2025_Chase9335_Activity_2026062'!F497</f>
        <v>134917.04999999999</v>
      </c>
      <c r="G497" s="8" t="str">
        <f>'2025_Chase9335_Activity_2026062'!G497</f>
        <v>Bank Fees</v>
      </c>
      <c r="H497" s="26">
        <f t="shared" si="7"/>
        <v>45809</v>
      </c>
      <c r="I497" s="8" t="str">
        <f>IF($G497="","Uncategorized — Review",IFERROR(_xlfn.XLOOKUP($G497,Mapping!$A:$A,Mapping!$B:$B),"Uncategorized — Review"))</f>
        <v>Bank Fees</v>
      </c>
      <c r="J497" s="8" t="str">
        <f>IF($G497="","Uncategorized — Review",IFERROR(_xlfn.XLOOKUP($G497,Mapping!$A:$A,Mapping!$C:$C),"Uncategorized — Review"))</f>
        <v>DWG Operating</v>
      </c>
    </row>
    <row r="498" spans="1:10" x14ac:dyDescent="0.25">
      <c r="A498" s="8" t="str">
        <f>'2025_Chase9335_Activity_2026062'!A498</f>
        <v>DEBIT</v>
      </c>
      <c r="B498" s="24">
        <f>'2025_Chase9335_Activity_2026062'!B498</f>
        <v>45826</v>
      </c>
      <c r="C498" s="8" t="str">
        <f>'2025_Chase9335_Activity_2026062'!C498</f>
        <v>ONLINE DOMESTIC WIRE TRANSFER A/C: ADMEER ADVISORY, LLC DANA POINT CA 92629-3313 US REF: LEASING ADVISORY TRN: 3271065169ES 06/18</v>
      </c>
      <c r="D498" s="8">
        <f>'2025_Chase9335_Activity_2026062'!D498</f>
        <v>-5000</v>
      </c>
      <c r="E498" s="8" t="str">
        <f>'2025_Chase9335_Activity_2026062'!E498</f>
        <v>WIRE_OUTGOING</v>
      </c>
      <c r="F498" s="8">
        <f>'2025_Chase9335_Activity_2026062'!F498</f>
        <v>134942.04999999999</v>
      </c>
      <c r="G498" s="8" t="str">
        <f>'2025_Chase9335_Activity_2026062'!G498</f>
        <v>MAG - Admeer Advisory Transfer</v>
      </c>
      <c r="H498" s="26">
        <f t="shared" si="7"/>
        <v>45809</v>
      </c>
      <c r="I498" s="8" t="str">
        <f>IF($G498="","Uncategorized — Review",IFERROR(_xlfn.XLOOKUP($G498,Mapping!$A:$A,Mapping!$B:$B),"Uncategorized — Review"))</f>
        <v>MAG - Admeer Advisory Transfer</v>
      </c>
      <c r="J498" s="8" t="str">
        <f>IF($G498="","Uncategorized — Review",IFERROR(_xlfn.XLOOKUP($G498,Mapping!$A:$A,Mapping!$C:$C),"Uncategorized — Review"))</f>
        <v>MAG Pass-Through</v>
      </c>
    </row>
    <row r="499" spans="1:10" x14ac:dyDescent="0.25">
      <c r="A499" s="8" t="str">
        <f>'2025_Chase9335_Activity_2026062'!A499</f>
        <v>DEBIT</v>
      </c>
      <c r="B499" s="24">
        <f>'2025_Chase9335_Activity_2026062'!B499</f>
        <v>45826</v>
      </c>
      <c r="C499" s="8" t="str">
        <f>'2025_Chase9335_Activity_2026062'!C499</f>
        <v>Prime Video *NA38T9UH 888-802-3080 WA        06/18</v>
      </c>
      <c r="D499" s="8">
        <f>'2025_Chase9335_Activity_2026062'!D499</f>
        <v>-21.34</v>
      </c>
      <c r="E499" s="8" t="str">
        <f>'2025_Chase9335_Activity_2026062'!E499</f>
        <v>DEBIT_CARD</v>
      </c>
      <c r="F499" s="8">
        <f>'2025_Chase9335_Activity_2026062'!F499</f>
        <v>139942.04999999999</v>
      </c>
      <c r="G499" s="8" t="str">
        <f>'2025_Chase9335_Activity_2026062'!G499</f>
        <v>Amazon Prime Video</v>
      </c>
      <c r="H499" s="26">
        <f t="shared" si="7"/>
        <v>45809</v>
      </c>
      <c r="I499" s="8" t="str">
        <f>IF($G499="","Uncategorized — Review",IFERROR(_xlfn.XLOOKUP($G499,Mapping!$A:$A,Mapping!$B:$B),"Uncategorized — Review"))</f>
        <v>Amazon Prime Video</v>
      </c>
      <c r="J499" s="8" t="str">
        <f>IF($G499="","Uncategorized — Review",IFERROR(_xlfn.XLOOKUP($G499,Mapping!$A:$A,Mapping!$C:$C),"Uncategorized — Review"))</f>
        <v>Personal — Owner</v>
      </c>
    </row>
    <row r="500" spans="1:10" x14ac:dyDescent="0.25">
      <c r="A500" s="8" t="str">
        <f>'2025_Chase9335_Activity_2026062'!A500</f>
        <v>DEBIT</v>
      </c>
      <c r="B500" s="24">
        <f>'2025_Chase9335_Activity_2026062'!B500</f>
        <v>45825</v>
      </c>
      <c r="C500" s="8" t="str">
        <f>'2025_Chase9335_Activity_2026062'!C500</f>
        <v>Prime Video *NA9FU5DE 888-802-3080 WA        06/17</v>
      </c>
      <c r="D500" s="8">
        <f>'2025_Chase9335_Activity_2026062'!D500</f>
        <v>-6.39</v>
      </c>
      <c r="E500" s="8" t="str">
        <f>'2025_Chase9335_Activity_2026062'!E500</f>
        <v>DEBIT_CARD</v>
      </c>
      <c r="F500" s="8">
        <f>'2025_Chase9335_Activity_2026062'!F500</f>
        <v>139963.39000000001</v>
      </c>
      <c r="G500" s="8" t="str">
        <f>'2025_Chase9335_Activity_2026062'!G500</f>
        <v>Amazon Prime Video</v>
      </c>
      <c r="H500" s="26">
        <f t="shared" si="7"/>
        <v>45809</v>
      </c>
      <c r="I500" s="8" t="str">
        <f>IF($G500="","Uncategorized — Review",IFERROR(_xlfn.XLOOKUP($G500,Mapping!$A:$A,Mapping!$B:$B),"Uncategorized — Review"))</f>
        <v>Amazon Prime Video</v>
      </c>
      <c r="J500" s="8" t="str">
        <f>IF($G500="","Uncategorized — Review",IFERROR(_xlfn.XLOOKUP($G500,Mapping!$A:$A,Mapping!$C:$C),"Uncategorized — Review"))</f>
        <v>Personal — Owner</v>
      </c>
    </row>
    <row r="501" spans="1:10" x14ac:dyDescent="0.25">
      <c r="A501" s="8" t="str">
        <f>'2025_Chase9335_Activity_2026062'!A501</f>
        <v>DEBIT</v>
      </c>
      <c r="B501" s="24">
        <f>'2025_Chase9335_Activity_2026062'!B501</f>
        <v>45824</v>
      </c>
      <c r="C501" s="8" t="str">
        <f>'2025_Chase9335_Activity_2026062'!C501</f>
        <v>Audible*NA2PO35A1 Amzn.com/bill NJ           06/16</v>
      </c>
      <c r="D501" s="8">
        <f>'2025_Chase9335_Activity_2026062'!D501</f>
        <v>-16.18</v>
      </c>
      <c r="E501" s="8" t="str">
        <f>'2025_Chase9335_Activity_2026062'!E501</f>
        <v>DEBIT_CARD</v>
      </c>
      <c r="F501" s="8">
        <f>'2025_Chase9335_Activity_2026062'!F501</f>
        <v>139969.78</v>
      </c>
      <c r="G501" s="8" t="str">
        <f>'2025_Chase9335_Activity_2026062'!G501</f>
        <v>Amazon</v>
      </c>
      <c r="H501" s="26">
        <f t="shared" si="7"/>
        <v>45809</v>
      </c>
      <c r="I501" s="8" t="str">
        <f>IF($G501="","Uncategorized — Review",IFERROR(_xlfn.XLOOKUP($G501,Mapping!$A:$A,Mapping!$B:$B),"Uncategorized — Review"))</f>
        <v>Amazon</v>
      </c>
      <c r="J501" s="8" t="str">
        <f>IF($G501="","Uncategorized — Review",IFERROR(_xlfn.XLOOKUP($G501,Mapping!$A:$A,Mapping!$C:$C),"Uncategorized — Review"))</f>
        <v>Personal — Owner</v>
      </c>
    </row>
    <row r="502" spans="1:10" x14ac:dyDescent="0.25">
      <c r="A502" s="8" t="str">
        <f>'2025_Chase9335_Activity_2026062'!A502</f>
        <v>DEBIT</v>
      </c>
      <c r="B502" s="24">
        <f>'2025_Chase9335_Activity_2026062'!B502</f>
        <v>45824</v>
      </c>
      <c r="C502" s="8" t="str">
        <f>'2025_Chase9335_Activity_2026062'!C502</f>
        <v>MANHATTAN BEACH PARK MANHATTAN BEA CA        06/15</v>
      </c>
      <c r="D502" s="8">
        <f>'2025_Chase9335_Activity_2026062'!D502</f>
        <v>-4.75</v>
      </c>
      <c r="E502" s="8" t="str">
        <f>'2025_Chase9335_Activity_2026062'!E502</f>
        <v>DEBIT_CARD</v>
      </c>
      <c r="F502" s="8">
        <f>'2025_Chase9335_Activity_2026062'!F502</f>
        <v>139985.96</v>
      </c>
      <c r="G502" s="8" t="str">
        <f>'2025_Chase9335_Activity_2026062'!G502</f>
        <v>Personal - Car</v>
      </c>
      <c r="H502" s="26">
        <f t="shared" si="7"/>
        <v>45809</v>
      </c>
      <c r="I502" s="8" t="str">
        <f>IF($G502="","Uncategorized — Review",IFERROR(_xlfn.XLOOKUP($G502,Mapping!$A:$A,Mapping!$B:$B),"Uncategorized — Review"))</f>
        <v>Personal - Car &amp; Auto</v>
      </c>
      <c r="J502" s="8" t="str">
        <f>IF($G502="","Uncategorized — Review",IFERROR(_xlfn.XLOOKUP($G502,Mapping!$A:$A,Mapping!$C:$C),"Uncategorized — Review"))</f>
        <v>Personal — Owner</v>
      </c>
    </row>
    <row r="503" spans="1:10" x14ac:dyDescent="0.25">
      <c r="A503" s="8" t="str">
        <f>'2025_Chase9335_Activity_2026062'!A503</f>
        <v>DEBIT</v>
      </c>
      <c r="B503" s="24">
        <f>'2025_Chase9335_Activity_2026062'!B503</f>
        <v>45824</v>
      </c>
      <c r="C503" s="8" t="str">
        <f>'2025_Chase9335_Activity_2026062'!C503</f>
        <v>APPLE.COM/BILL 866-712-7753 CA               06/15</v>
      </c>
      <c r="D503" s="8">
        <f>'2025_Chase9335_Activity_2026062'!D503</f>
        <v>-30.89</v>
      </c>
      <c r="E503" s="8" t="str">
        <f>'2025_Chase9335_Activity_2026062'!E503</f>
        <v>DEBIT_CARD</v>
      </c>
      <c r="F503" s="8">
        <f>'2025_Chase9335_Activity_2026062'!F503</f>
        <v>139990.71</v>
      </c>
      <c r="G503" s="8" t="str">
        <f>'2025_Chase9335_Activity_2026062'!G503</f>
        <v>Personal - Subscriptions</v>
      </c>
      <c r="H503" s="26">
        <f t="shared" si="7"/>
        <v>45809</v>
      </c>
      <c r="I503" s="8" t="str">
        <f>IF($G503="","Uncategorized — Review",IFERROR(_xlfn.XLOOKUP($G503,Mapping!$A:$A,Mapping!$B:$B),"Uncategorized — Review"))</f>
        <v>Personal - Subscriptions</v>
      </c>
      <c r="J503" s="8" t="str">
        <f>IF($G503="","Uncategorized — Review",IFERROR(_xlfn.XLOOKUP($G503,Mapping!$A:$A,Mapping!$C:$C),"Uncategorized — Review"))</f>
        <v>Personal — Owner</v>
      </c>
    </row>
    <row r="504" spans="1:10" x14ac:dyDescent="0.25">
      <c r="A504" s="8" t="str">
        <f>'2025_Chase9335_Activity_2026062'!A504</f>
        <v>DEBIT</v>
      </c>
      <c r="B504" s="24">
        <f>'2025_Chase9335_Activity_2026062'!B504</f>
        <v>45821</v>
      </c>
      <c r="C504" s="8" t="str">
        <f>'2025_Chase9335_Activity_2026062'!C504</f>
        <v>DOMESTIC INCOMING WIRE FEE</v>
      </c>
      <c r="D504" s="8">
        <f>'2025_Chase9335_Activity_2026062'!D504</f>
        <v>-15</v>
      </c>
      <c r="E504" s="8" t="str">
        <f>'2025_Chase9335_Activity_2026062'!E504</f>
        <v>FEE_TRANSACTION</v>
      </c>
      <c r="F504" s="8">
        <f>'2025_Chase9335_Activity_2026062'!F504</f>
        <v>140021.6</v>
      </c>
      <c r="G504" s="8" t="str">
        <f>'2025_Chase9335_Activity_2026062'!G504</f>
        <v>Bank Fees</v>
      </c>
      <c r="H504" s="26">
        <f t="shared" si="7"/>
        <v>45809</v>
      </c>
      <c r="I504" s="8" t="str">
        <f>IF($G504="","Uncategorized — Review",IFERROR(_xlfn.XLOOKUP($G504,Mapping!$A:$A,Mapping!$B:$B),"Uncategorized — Review"))</f>
        <v>Bank Fees</v>
      </c>
      <c r="J504" s="8" t="str">
        <f>IF($G504="","Uncategorized — Review",IFERROR(_xlfn.XLOOKUP($G504,Mapping!$A:$A,Mapping!$C:$C),"Uncategorized — Review"))</f>
        <v>DWG Operating</v>
      </c>
    </row>
    <row r="505" spans="1:10" x14ac:dyDescent="0.25">
      <c r="A505" s="8" t="str">
        <f>'2025_Chase9335_Activity_2026062'!A505</f>
        <v>DEBIT</v>
      </c>
      <c r="B505" s="24">
        <f>'2025_Chase9335_Activity_2026062'!B505</f>
        <v>45821</v>
      </c>
      <c r="C505" s="8" t="str">
        <f>'2025_Chase9335_Activity_2026062'!C505</f>
        <v>DOMESTIC WIRE FEE</v>
      </c>
      <c r="D505" s="8">
        <f>'2025_Chase9335_Activity_2026062'!D505</f>
        <v>-35</v>
      </c>
      <c r="E505" s="8" t="str">
        <f>'2025_Chase9335_Activity_2026062'!E505</f>
        <v>FEE_TRANSACTION</v>
      </c>
      <c r="F505" s="8">
        <f>'2025_Chase9335_Activity_2026062'!F505</f>
        <v>140036.6</v>
      </c>
      <c r="G505" s="8" t="str">
        <f>'2025_Chase9335_Activity_2026062'!G505</f>
        <v>Bank Fees</v>
      </c>
      <c r="H505" s="26">
        <f t="shared" si="7"/>
        <v>45809</v>
      </c>
      <c r="I505" s="8" t="str">
        <f>IF($G505="","Uncategorized — Review",IFERROR(_xlfn.XLOOKUP($G505,Mapping!$A:$A,Mapping!$B:$B),"Uncategorized — Review"))</f>
        <v>Bank Fees</v>
      </c>
      <c r="J505" s="8" t="str">
        <f>IF($G505="","Uncategorized — Review",IFERROR(_xlfn.XLOOKUP($G505,Mapping!$A:$A,Mapping!$C:$C),"Uncategorized — Review"))</f>
        <v>DWG Operating</v>
      </c>
    </row>
    <row r="506" spans="1:10" x14ac:dyDescent="0.25">
      <c r="A506" s="8" t="str">
        <f>'2025_Chase9335_Activity_2026062'!A506</f>
        <v>DEBIT</v>
      </c>
      <c r="B506" s="24">
        <f>'2025_Chase9335_Activity_2026062'!B506</f>
        <v>45821</v>
      </c>
      <c r="C506" s="8" t="str">
        <f>'2025_Chase9335_Activity_2026062'!C506</f>
        <v>DOMESTIC WIRE TRANSFER VIA: EW BK SMRINO/322070381 A/C: CHICAGO TITLE COMPANY REF: ESCROW NO. FBSC2505383-BP IMAD: 0613MMQFMP2N031957 TRN: 3718295164ES 06/13</v>
      </c>
      <c r="D506" s="8">
        <f>'2025_Chase9335_Activity_2026062'!D506</f>
        <v>-100000</v>
      </c>
      <c r="E506" s="8" t="str">
        <f>'2025_Chase9335_Activity_2026062'!E506</f>
        <v>WIRE_OUTGOING</v>
      </c>
      <c r="F506" s="8">
        <f>'2025_Chase9335_Activity_2026062'!F506</f>
        <v>140071.6</v>
      </c>
      <c r="G506" s="8" t="str">
        <f>'2025_Chase9335_Activity_2026062'!G506</f>
        <v>Outgoing Crystal Asset Management Wire</v>
      </c>
      <c r="H506" s="26">
        <f t="shared" si="7"/>
        <v>45809</v>
      </c>
      <c r="I506" s="8" t="str">
        <f>IF($G506="","Uncategorized — Review",IFERROR(_xlfn.XLOOKUP($G506,Mapping!$A:$A,Mapping!$B:$B),"Uncategorized — Review"))</f>
        <v>Outgoing Crystal Asset Management Wire</v>
      </c>
      <c r="J506" s="8" t="str">
        <f>IF($G506="","Uncategorized — Review",IFERROR(_xlfn.XLOOKUP($G506,Mapping!$A:$A,Mapping!$C:$C),"Uncategorized — Review"))</f>
        <v>Wire Transfers — Outgoing</v>
      </c>
    </row>
    <row r="507" spans="1:10" x14ac:dyDescent="0.25">
      <c r="A507" s="8" t="str">
        <f>'2025_Chase9335_Activity_2026062'!A507</f>
        <v>CREDIT</v>
      </c>
      <c r="B507" s="24">
        <f>'2025_Chase9335_Activity_2026062'!B507</f>
        <v>45821</v>
      </c>
      <c r="C507" s="8" t="str">
        <f>'2025_Chase9335_Activity_2026062'!C507</f>
        <v>FEDWIRE CREDIT VIA: FIRST CITIZENS BANK AND TRUST CO./053100300 B/O: CRYSTAL ASSET MANAGEMENT INC BEVERLY HILLS, CA 90212-2904 REF: CHASE NYC/CTR/BNF=POSEIDON ASSET GROUP, LLC LOS ANGELES CA 90066-3638 US/AC-000000007200 RFB=O/B FIRST CI TZ R IMAD: 0613E3QP0A1C000987 TRN: 0548081164FF</v>
      </c>
      <c r="D507" s="8">
        <f>'2025_Chase9335_Activity_2026062'!D507</f>
        <v>100000</v>
      </c>
      <c r="E507" s="8" t="str">
        <f>'2025_Chase9335_Activity_2026062'!E507</f>
        <v>WIRE_INCOMING</v>
      </c>
      <c r="F507" s="8">
        <f>'2025_Chase9335_Activity_2026062'!F507</f>
        <v>240071.6</v>
      </c>
      <c r="G507" s="8" t="str">
        <f>'2025_Chase9335_Activity_2026062'!G507</f>
        <v>Incoming Crystal Asset Management Wire</v>
      </c>
      <c r="H507" s="26">
        <f t="shared" si="7"/>
        <v>45809</v>
      </c>
      <c r="I507" s="8" t="str">
        <f>IF($G507="","Uncategorized — Review",IFERROR(_xlfn.XLOOKUP($G507,Mapping!$A:$A,Mapping!$B:$B),"Uncategorized — Review"))</f>
        <v>Incoming Crystal Asset Management Wire</v>
      </c>
      <c r="J507" s="8" t="str">
        <f>IF($G507="","Uncategorized — Review",IFERROR(_xlfn.XLOOKUP($G507,Mapping!$A:$A,Mapping!$C:$C),"Uncategorized — Review"))</f>
        <v>Wire Transfers — Incoming</v>
      </c>
    </row>
    <row r="508" spans="1:10" x14ac:dyDescent="0.25">
      <c r="A508" s="8" t="str">
        <f>'2025_Chase9335_Activity_2026062'!A508</f>
        <v>DEBIT</v>
      </c>
      <c r="B508" s="24">
        <f>'2025_Chase9335_Activity_2026062'!B508</f>
        <v>45820</v>
      </c>
      <c r="C508" s="8" t="str">
        <f>'2025_Chase9335_Activity_2026062'!C508</f>
        <v>BLOOMBERG* 37033964 BLOOMBERG.COM NY         06/12</v>
      </c>
      <c r="D508" s="8">
        <f>'2025_Chase9335_Activity_2026062'!D508</f>
        <v>-19.989999999999998</v>
      </c>
      <c r="E508" s="8" t="str">
        <f>'2025_Chase9335_Activity_2026062'!E508</f>
        <v>DEBIT_CARD</v>
      </c>
      <c r="F508" s="8">
        <f>'2025_Chase9335_Activity_2026062'!F508</f>
        <v>140071.6</v>
      </c>
      <c r="G508" s="8" t="str">
        <f>'2025_Chase9335_Activity_2026062'!G508</f>
        <v>Personal - Subscriptions</v>
      </c>
      <c r="H508" s="26">
        <f t="shared" si="7"/>
        <v>45809</v>
      </c>
      <c r="I508" s="8" t="str">
        <f>IF($G508="","Uncategorized — Review",IFERROR(_xlfn.XLOOKUP($G508,Mapping!$A:$A,Mapping!$B:$B),"Uncategorized — Review"))</f>
        <v>Personal - Subscriptions</v>
      </c>
      <c r="J508" s="8" t="str">
        <f>IF($G508="","Uncategorized — Review",IFERROR(_xlfn.XLOOKUP($G508,Mapping!$A:$A,Mapping!$C:$C),"Uncategorized — Review"))</f>
        <v>Personal — Owner</v>
      </c>
    </row>
    <row r="509" spans="1:10" x14ac:dyDescent="0.25">
      <c r="A509" s="8" t="str">
        <f>'2025_Chase9335_Activity_2026062'!A509</f>
        <v>CREDIT</v>
      </c>
      <c r="B509" s="24">
        <f>'2025_Chase9335_Activity_2026062'!B509</f>
        <v>45820</v>
      </c>
      <c r="C509" s="8" t="str">
        <f>'2025_Chase9335_Activity_2026062'!C509</f>
        <v>ORIG CO NAME:T and T Machine        ORIG ID:945440567  DESC DATE:       CO ENTRY DESCR:PAYMENT   SEC:PPD    TRACE#:273976368246251 EED:250612   IND ID:                             IND NAME:John Dunning TRN: 1638246251TC</v>
      </c>
      <c r="D509" s="8">
        <f>'2025_Chase9335_Activity_2026062'!D509</f>
        <v>356.38</v>
      </c>
      <c r="E509" s="8" t="str">
        <f>'2025_Chase9335_Activity_2026062'!E509</f>
        <v>ACH_CREDIT</v>
      </c>
      <c r="F509" s="8">
        <f>'2025_Chase9335_Activity_2026062'!F509</f>
        <v>140091.59</v>
      </c>
      <c r="G509" s="8" t="str">
        <f>'2025_Chase9335_Activity_2026062'!G509</f>
        <v>Deal Specific: T&amp;T Machine</v>
      </c>
      <c r="H509" s="26">
        <f t="shared" si="7"/>
        <v>45809</v>
      </c>
      <c r="I509" s="8" t="str">
        <f>IF($G509="","Uncategorized — Review",IFERROR(_xlfn.XLOOKUP($G509,Mapping!$A:$A,Mapping!$B:$B),"Uncategorized — Review"))</f>
        <v>Deal Specific: T&amp;T Machine</v>
      </c>
      <c r="J509" s="8" t="str">
        <f>IF($G509="","Uncategorized — Review",IFERROR(_xlfn.XLOOKUP($G509,Mapping!$A:$A,Mapping!$C:$C),"Uncategorized — Review"))</f>
        <v>Deal-Specific</v>
      </c>
    </row>
    <row r="510" spans="1:10" x14ac:dyDescent="0.25">
      <c r="A510" s="8" t="str">
        <f>'2025_Chase9335_Activity_2026062'!A510</f>
        <v>DEBIT</v>
      </c>
      <c r="B510" s="24">
        <f>'2025_Chase9335_Activity_2026062'!B510</f>
        <v>45819</v>
      </c>
      <c r="C510" s="8" t="str">
        <f>'2025_Chase9335_Activity_2026062'!C510</f>
        <v>Online Transfer to CHK ...1168 transaction#: 25094067351 06/11</v>
      </c>
      <c r="D510" s="8">
        <f>'2025_Chase9335_Activity_2026062'!D510</f>
        <v>-43000</v>
      </c>
      <c r="E510" s="8" t="str">
        <f>'2025_Chase9335_Activity_2026062'!E510</f>
        <v>ACCT_XFER</v>
      </c>
      <c r="F510" s="8">
        <f>'2025_Chase9335_Activity_2026062'!F510</f>
        <v>139735.21</v>
      </c>
      <c r="G510" s="8" t="str">
        <f>'2025_Chase9335_Activity_2026062'!G510</f>
        <v>Transfer to DWG Capital Group</v>
      </c>
      <c r="H510" s="26">
        <f t="shared" si="7"/>
        <v>45809</v>
      </c>
      <c r="I510" s="8" t="str">
        <f>IF($G510="","Uncategorized — Review",IFERROR(_xlfn.XLOOKUP($G510,Mapping!$A:$A,Mapping!$B:$B),"Uncategorized — Review"))</f>
        <v>Transfer to DWG Capital Group</v>
      </c>
      <c r="J510" s="8" t="str">
        <f>IF($G510="","Uncategorized — Review",IFERROR(_xlfn.XLOOKUP($G510,Mapping!$A:$A,Mapping!$C:$C),"Uncategorized — Review"))</f>
        <v>Intercompany &amp; Savings Transfers</v>
      </c>
    </row>
    <row r="511" spans="1:10" x14ac:dyDescent="0.25">
      <c r="A511" s="8" t="str">
        <f>'2025_Chase9335_Activity_2026062'!A511</f>
        <v>CREDIT</v>
      </c>
      <c r="B511" s="24">
        <f>'2025_Chase9335_Activity_2026062'!B511</f>
        <v>45818</v>
      </c>
      <c r="C511" s="8" t="str">
        <f>'2025_Chase9335_Activity_2026062'!C511</f>
        <v>ORIG CO NAME:MRM Industrial P       ORIG ID:945440567  DESC DATE:       CO ENTRY DESCR:PAYMENT   SEC:PPD    TRACE#:273976366699658 EED:250610   IND ID:                             IND NAME:John Dunning TRN: 1616699658TC</v>
      </c>
      <c r="D511" s="8">
        <f>'2025_Chase9335_Activity_2026062'!D511</f>
        <v>236.37</v>
      </c>
      <c r="E511" s="8" t="str">
        <f>'2025_Chase9335_Activity_2026062'!E511</f>
        <v>ACH_CREDIT</v>
      </c>
      <c r="F511" s="8">
        <f>'2025_Chase9335_Activity_2026062'!F511</f>
        <v>182735.21</v>
      </c>
      <c r="G511" s="8" t="str">
        <f>'2025_Chase9335_Activity_2026062'!G511</f>
        <v>Deal Specific: MRM</v>
      </c>
      <c r="H511" s="26">
        <f t="shared" si="7"/>
        <v>45809</v>
      </c>
      <c r="I511" s="8" t="str">
        <f>IF($G511="","Uncategorized — Review",IFERROR(_xlfn.XLOOKUP($G511,Mapping!$A:$A,Mapping!$B:$B),"Uncategorized — Review"))</f>
        <v>Deal Specific: MRM</v>
      </c>
      <c r="J511" s="8" t="str">
        <f>IF($G511="","Uncategorized — Review",IFERROR(_xlfn.XLOOKUP($G511,Mapping!$A:$A,Mapping!$C:$C),"Uncategorized — Review"))</f>
        <v>Deal-Specific</v>
      </c>
    </row>
    <row r="512" spans="1:10" x14ac:dyDescent="0.25">
      <c r="A512" s="8" t="str">
        <f>'2025_Chase9335_Activity_2026062'!A512</f>
        <v>CREDIT</v>
      </c>
      <c r="B512" s="24">
        <f>'2025_Chase9335_Activity_2026062'!B512</f>
        <v>45818</v>
      </c>
      <c r="C512" s="8" t="str">
        <f>'2025_Chase9335_Activity_2026062'!C512</f>
        <v>ORIG CO NAME:Merit-Lancaster        ORIG ID:945440567  DESC DATE:       CO ENTRY DESCR:PAYMENT   SEC:PPD    TRACE#:273976366700505 EED:250610   IND ID:                             IND NAME:John Dunning TRN: 1616700505TC</v>
      </c>
      <c r="D512" s="8">
        <f>'2025_Chase9335_Activity_2026062'!D512</f>
        <v>476.41</v>
      </c>
      <c r="E512" s="8" t="str">
        <f>'2025_Chase9335_Activity_2026062'!E512</f>
        <v>ACH_CREDIT</v>
      </c>
      <c r="F512" s="8">
        <f>'2025_Chase9335_Activity_2026062'!F512</f>
        <v>182498.84</v>
      </c>
      <c r="G512" s="8" t="str">
        <f>'2025_Chase9335_Activity_2026062'!G512</f>
        <v>Deal Specific: Merit-Lancaster</v>
      </c>
      <c r="H512" s="26">
        <f t="shared" si="7"/>
        <v>45809</v>
      </c>
      <c r="I512" s="8" t="str">
        <f>IF($G512="","Uncategorized — Review",IFERROR(_xlfn.XLOOKUP($G512,Mapping!$A:$A,Mapping!$B:$B),"Uncategorized — Review"))</f>
        <v>Deal Specific: Merit-Lancaster</v>
      </c>
      <c r="J512" s="8" t="str">
        <f>IF($G512="","Uncategorized — Review",IFERROR(_xlfn.XLOOKUP($G512,Mapping!$A:$A,Mapping!$C:$C),"Uncategorized — Review"))</f>
        <v>Deal-Specific</v>
      </c>
    </row>
    <row r="513" spans="1:10" x14ac:dyDescent="0.25">
      <c r="A513" s="8" t="str">
        <f>'2025_Chase9335_Activity_2026062'!A513</f>
        <v>DEBIT</v>
      </c>
      <c r="B513" s="24">
        <f>'2025_Chase9335_Activity_2026062'!B513</f>
        <v>45817</v>
      </c>
      <c r="C513" s="8" t="str">
        <f>'2025_Chase9335_Activity_2026062'!C513</f>
        <v>APPLE.COM/BILL 866-712-7753 CA               06/08</v>
      </c>
      <c r="D513" s="8">
        <f>'2025_Chase9335_Activity_2026062'!D513</f>
        <v>-30.89</v>
      </c>
      <c r="E513" s="8" t="str">
        <f>'2025_Chase9335_Activity_2026062'!E513</f>
        <v>DEBIT_CARD</v>
      </c>
      <c r="F513" s="8">
        <f>'2025_Chase9335_Activity_2026062'!F513</f>
        <v>182022.43</v>
      </c>
      <c r="G513" s="8" t="str">
        <f>'2025_Chase9335_Activity_2026062'!G513</f>
        <v>Personal - Subscriptions</v>
      </c>
      <c r="H513" s="26">
        <f t="shared" si="7"/>
        <v>45809</v>
      </c>
      <c r="I513" s="8" t="str">
        <f>IF($G513="","Uncategorized — Review",IFERROR(_xlfn.XLOOKUP($G513,Mapping!$A:$A,Mapping!$B:$B),"Uncategorized — Review"))</f>
        <v>Personal - Subscriptions</v>
      </c>
      <c r="J513" s="8" t="str">
        <f>IF($G513="","Uncategorized — Review",IFERROR(_xlfn.XLOOKUP($G513,Mapping!$A:$A,Mapping!$C:$C),"Uncategorized — Review"))</f>
        <v>Personal — Owner</v>
      </c>
    </row>
    <row r="514" spans="1:10" x14ac:dyDescent="0.25">
      <c r="A514" s="8" t="str">
        <f>'2025_Chase9335_Activity_2026062'!A514</f>
        <v>DEBIT</v>
      </c>
      <c r="B514" s="24">
        <f>'2025_Chase9335_Activity_2026062'!B514</f>
        <v>45817</v>
      </c>
      <c r="C514" s="8" t="str">
        <f>'2025_Chase9335_Activity_2026062'!C514</f>
        <v>Prime Video *NH14P6B3 888-802-3080 WA        06/07</v>
      </c>
      <c r="D514" s="8">
        <f>'2025_Chase9335_Activity_2026062'!D514</f>
        <v>-4.05</v>
      </c>
      <c r="E514" s="8" t="str">
        <f>'2025_Chase9335_Activity_2026062'!E514</f>
        <v>DEBIT_CARD</v>
      </c>
      <c r="F514" s="8">
        <f>'2025_Chase9335_Activity_2026062'!F514</f>
        <v>182053.32</v>
      </c>
      <c r="G514" s="8" t="str">
        <f>'2025_Chase9335_Activity_2026062'!G514</f>
        <v>Amazon Prime Video</v>
      </c>
      <c r="H514" s="26">
        <f t="shared" si="7"/>
        <v>45809</v>
      </c>
      <c r="I514" s="8" t="str">
        <f>IF($G514="","Uncategorized — Review",IFERROR(_xlfn.XLOOKUP($G514,Mapping!$A:$A,Mapping!$B:$B),"Uncategorized — Review"))</f>
        <v>Amazon Prime Video</v>
      </c>
      <c r="J514" s="8" t="str">
        <f>IF($G514="","Uncategorized — Review",IFERROR(_xlfn.XLOOKUP($G514,Mapping!$A:$A,Mapping!$C:$C),"Uncategorized — Review"))</f>
        <v>Personal — Owner</v>
      </c>
    </row>
    <row r="515" spans="1:10" x14ac:dyDescent="0.25">
      <c r="A515" s="8" t="str">
        <f>'2025_Chase9335_Activity_2026062'!A515</f>
        <v>DEBIT</v>
      </c>
      <c r="B515" s="24">
        <f>'2025_Chase9335_Activity_2026062'!B515</f>
        <v>45817</v>
      </c>
      <c r="C515" s="8" t="str">
        <f>'2025_Chase9335_Activity_2026062'!C515</f>
        <v>APPLE.COM/BILL 866-712-7753 CA               06/06</v>
      </c>
      <c r="D515" s="8">
        <f>'2025_Chase9335_Activity_2026062'!D515</f>
        <v>-9.99</v>
      </c>
      <c r="E515" s="8" t="str">
        <f>'2025_Chase9335_Activity_2026062'!E515</f>
        <v>DEBIT_CARD</v>
      </c>
      <c r="F515" s="8">
        <f>'2025_Chase9335_Activity_2026062'!F515</f>
        <v>182057.37</v>
      </c>
      <c r="G515" s="8" t="str">
        <f>'2025_Chase9335_Activity_2026062'!G515</f>
        <v>Personal - Subscriptions</v>
      </c>
      <c r="H515" s="26">
        <f t="shared" ref="H515:H578" si="8">IF($B515="","",DATE(YEAR($B515),MONTH($B515),1))</f>
        <v>45809</v>
      </c>
      <c r="I515" s="8" t="str">
        <f>IF($G515="","Uncategorized — Review",IFERROR(_xlfn.XLOOKUP($G515,Mapping!$A:$A,Mapping!$B:$B),"Uncategorized — Review"))</f>
        <v>Personal - Subscriptions</v>
      </c>
      <c r="J515" s="8" t="str">
        <f>IF($G515="","Uncategorized — Review",IFERROR(_xlfn.XLOOKUP($G515,Mapping!$A:$A,Mapping!$C:$C),"Uncategorized — Review"))</f>
        <v>Personal — Owner</v>
      </c>
    </row>
    <row r="516" spans="1:10" x14ac:dyDescent="0.25">
      <c r="A516" s="8" t="str">
        <f>'2025_Chase9335_Activity_2026062'!A516</f>
        <v>CREDIT</v>
      </c>
      <c r="B516" s="24">
        <f>'2025_Chase9335_Activity_2026062'!B516</f>
        <v>45817</v>
      </c>
      <c r="C516" s="8" t="str">
        <f>'2025_Chase9335_Activity_2026062'!C516</f>
        <v>ORIG CO NAME:Austin Iron Hold       ORIG ID:945440567  DESC DATE:       CO ENTRY DESCR:PAYMENT   SEC:PPD    TRACE#:273976365755159 EED:250609   IND ID:                             IND NAME:John Dunning TRN: 1605755159TC</v>
      </c>
      <c r="D516" s="8">
        <f>'2025_Chase9335_Activity_2026062'!D516</f>
        <v>350</v>
      </c>
      <c r="E516" s="8" t="str">
        <f>'2025_Chase9335_Activity_2026062'!E516</f>
        <v>ACH_CREDIT</v>
      </c>
      <c r="F516" s="8">
        <f>'2025_Chase9335_Activity_2026062'!F516</f>
        <v>182067.36</v>
      </c>
      <c r="G516" s="8" t="str">
        <f>'2025_Chase9335_Activity_2026062'!G516</f>
        <v>Deal Specific: Austin Iron</v>
      </c>
      <c r="H516" s="26">
        <f t="shared" si="8"/>
        <v>45809</v>
      </c>
      <c r="I516" s="8" t="str">
        <f>IF($G516="","Uncategorized — Review",IFERROR(_xlfn.XLOOKUP($G516,Mapping!$A:$A,Mapping!$B:$B),"Uncategorized — Review"))</f>
        <v>Deal Specific: Austin Iron</v>
      </c>
      <c r="J516" s="8" t="str">
        <f>IF($G516="","Uncategorized — Review",IFERROR(_xlfn.XLOOKUP($G516,Mapping!$A:$A,Mapping!$C:$C),"Uncategorized — Review"))</f>
        <v>Deal-Specific</v>
      </c>
    </row>
    <row r="517" spans="1:10" x14ac:dyDescent="0.25">
      <c r="A517" s="8" t="str">
        <f>'2025_Chase9335_Activity_2026062'!A517</f>
        <v>DEBIT</v>
      </c>
      <c r="B517" s="24">
        <f>'2025_Chase9335_Activity_2026062'!B517</f>
        <v>45814</v>
      </c>
      <c r="C517" s="8" t="str">
        <f>'2025_Chase9335_Activity_2026062'!C517</f>
        <v>Online Transfer to CHK ...3922 transaction#: 25043829857 06/06</v>
      </c>
      <c r="D517" s="8">
        <f>'2025_Chase9335_Activity_2026062'!D517</f>
        <v>-20000</v>
      </c>
      <c r="E517" s="8" t="str">
        <f>'2025_Chase9335_Activity_2026062'!E517</f>
        <v>ACCT_XFER</v>
      </c>
      <c r="F517" s="8">
        <f>'2025_Chase9335_Activity_2026062'!F517</f>
        <v>181717.36</v>
      </c>
      <c r="G517" s="8" t="str">
        <f>'2025_Chase9335_Activity_2026062'!G517</f>
        <v>Transfer to DWG Capital Partners</v>
      </c>
      <c r="H517" s="26">
        <f t="shared" si="8"/>
        <v>45809</v>
      </c>
      <c r="I517" s="8" t="str">
        <f>IF($G517="","Uncategorized — Review",IFERROR(_xlfn.XLOOKUP($G517,Mapping!$A:$A,Mapping!$B:$B),"Uncategorized — Review"))</f>
        <v>Transfer to DWG Capital Partners</v>
      </c>
      <c r="J517" s="8" t="str">
        <f>IF($G517="","Uncategorized — Review",IFERROR(_xlfn.XLOOKUP($G517,Mapping!$A:$A,Mapping!$C:$C),"Uncategorized — Review"))</f>
        <v>Intercompany &amp; Savings Transfers</v>
      </c>
    </row>
    <row r="518" spans="1:10" x14ac:dyDescent="0.25">
      <c r="A518" s="8" t="str">
        <f>'2025_Chase9335_Activity_2026062'!A518</f>
        <v>DEBIT</v>
      </c>
      <c r="B518" s="24">
        <f>'2025_Chase9335_Activity_2026062'!B518</f>
        <v>45814</v>
      </c>
      <c r="C518" s="8" t="str">
        <f>'2025_Chase9335_Activity_2026062'!C518</f>
        <v>Prime Video *N68OR3SS 888-802-3080 WA        06/06</v>
      </c>
      <c r="D518" s="8">
        <f>'2025_Chase9335_Activity_2026062'!D518</f>
        <v>-4.05</v>
      </c>
      <c r="E518" s="8" t="str">
        <f>'2025_Chase9335_Activity_2026062'!E518</f>
        <v>DEBIT_CARD</v>
      </c>
      <c r="F518" s="8">
        <f>'2025_Chase9335_Activity_2026062'!F518</f>
        <v>201717.36</v>
      </c>
      <c r="G518" s="8" t="str">
        <f>'2025_Chase9335_Activity_2026062'!G518</f>
        <v>Amazon Prime Video</v>
      </c>
      <c r="H518" s="26">
        <f t="shared" si="8"/>
        <v>45809</v>
      </c>
      <c r="I518" s="8" t="str">
        <f>IF($G518="","Uncategorized — Review",IFERROR(_xlfn.XLOOKUP($G518,Mapping!$A:$A,Mapping!$B:$B),"Uncategorized — Review"))</f>
        <v>Amazon Prime Video</v>
      </c>
      <c r="J518" s="8" t="str">
        <f>IF($G518="","Uncategorized — Review",IFERROR(_xlfn.XLOOKUP($G518,Mapping!$A:$A,Mapping!$C:$C),"Uncategorized — Review"))</f>
        <v>Personal — Owner</v>
      </c>
    </row>
    <row r="519" spans="1:10" x14ac:dyDescent="0.25">
      <c r="A519" s="8" t="str">
        <f>'2025_Chase9335_Activity_2026062'!A519</f>
        <v>DEBIT</v>
      </c>
      <c r="B519" s="24">
        <f>'2025_Chase9335_Activity_2026062'!B519</f>
        <v>45814</v>
      </c>
      <c r="C519" s="8" t="str">
        <f>'2025_Chase9335_Activity_2026062'!C519</f>
        <v>Prime Video *NH5FJ6G6 888-802-3080 WA        06/06</v>
      </c>
      <c r="D519" s="8">
        <f>'2025_Chase9335_Activity_2026062'!D519</f>
        <v>-4.05</v>
      </c>
      <c r="E519" s="8" t="str">
        <f>'2025_Chase9335_Activity_2026062'!E519</f>
        <v>DEBIT_CARD</v>
      </c>
      <c r="F519" s="8">
        <f>'2025_Chase9335_Activity_2026062'!F519</f>
        <v>201721.41</v>
      </c>
      <c r="G519" s="8" t="str">
        <f>'2025_Chase9335_Activity_2026062'!G519</f>
        <v>Amazon Prime Video</v>
      </c>
      <c r="H519" s="26">
        <f t="shared" si="8"/>
        <v>45809</v>
      </c>
      <c r="I519" s="8" t="str">
        <f>IF($G519="","Uncategorized — Review",IFERROR(_xlfn.XLOOKUP($G519,Mapping!$A:$A,Mapping!$B:$B),"Uncategorized — Review"))</f>
        <v>Amazon Prime Video</v>
      </c>
      <c r="J519" s="8" t="str">
        <f>IF($G519="","Uncategorized — Review",IFERROR(_xlfn.XLOOKUP($G519,Mapping!$A:$A,Mapping!$C:$C),"Uncategorized — Review"))</f>
        <v>Personal — Owner</v>
      </c>
    </row>
    <row r="520" spans="1:10" x14ac:dyDescent="0.25">
      <c r="A520" s="8" t="str">
        <f>'2025_Chase9335_Activity_2026062'!A520</f>
        <v>DEBIT</v>
      </c>
      <c r="B520" s="24">
        <f>'2025_Chase9335_Activity_2026062'!B520</f>
        <v>45814</v>
      </c>
      <c r="C520" s="8" t="str">
        <f>'2025_Chase9335_Activity_2026062'!C520</f>
        <v>Amazon.com*N63O697Q1 Amzn.com/bill WA        06/05</v>
      </c>
      <c r="D520" s="8">
        <f>'2025_Chase9335_Activity_2026062'!D520</f>
        <v>-20.58</v>
      </c>
      <c r="E520" s="8" t="str">
        <f>'2025_Chase9335_Activity_2026062'!E520</f>
        <v>DEBIT_CARD</v>
      </c>
      <c r="F520" s="8">
        <f>'2025_Chase9335_Activity_2026062'!F520</f>
        <v>201725.46</v>
      </c>
      <c r="G520" s="8" t="str">
        <f>'2025_Chase9335_Activity_2026062'!G520</f>
        <v>Amazon</v>
      </c>
      <c r="H520" s="26">
        <f t="shared" si="8"/>
        <v>45809</v>
      </c>
      <c r="I520" s="8" t="str">
        <f>IF($G520="","Uncategorized — Review",IFERROR(_xlfn.XLOOKUP($G520,Mapping!$A:$A,Mapping!$B:$B),"Uncategorized — Review"))</f>
        <v>Amazon</v>
      </c>
      <c r="J520" s="8" t="str">
        <f>IF($G520="","Uncategorized — Review",IFERROR(_xlfn.XLOOKUP($G520,Mapping!$A:$A,Mapping!$C:$C),"Uncategorized — Review"))</f>
        <v>Personal — Owner</v>
      </c>
    </row>
    <row r="521" spans="1:10" x14ac:dyDescent="0.25">
      <c r="A521" s="8" t="str">
        <f>'2025_Chase9335_Activity_2026062'!A521</f>
        <v>DEBIT</v>
      </c>
      <c r="B521" s="24">
        <f>'2025_Chase9335_Activity_2026062'!B521</f>
        <v>45813</v>
      </c>
      <c r="C521" s="8" t="str">
        <f>'2025_Chase9335_Activity_2026062'!C521</f>
        <v>Online Transfer to CHK ...0506 transaction#: 25022807220 06/05</v>
      </c>
      <c r="D521" s="8">
        <f>'2025_Chase9335_Activity_2026062'!D521</f>
        <v>-20000</v>
      </c>
      <c r="E521" s="8" t="str">
        <f>'2025_Chase9335_Activity_2026062'!E521</f>
        <v>ACCT_XFER</v>
      </c>
      <c r="F521" s="8">
        <f>'2025_Chase9335_Activity_2026062'!F521</f>
        <v>201746.04</v>
      </c>
      <c r="G521" s="8" t="str">
        <f>'2025_Chase9335_Activity_2026062'!G521</f>
        <v>Transfer to T&amp;T Machine</v>
      </c>
      <c r="H521" s="26">
        <f t="shared" si="8"/>
        <v>45809</v>
      </c>
      <c r="I521" s="8" t="str">
        <f>IF($G521="","Uncategorized — Review",IFERROR(_xlfn.XLOOKUP($G521,Mapping!$A:$A,Mapping!$B:$B),"Uncategorized — Review"))</f>
        <v>Transfer to T&amp;T Machine</v>
      </c>
      <c r="J521" s="8" t="str">
        <f>IF($G521="","Uncategorized — Review",IFERROR(_xlfn.XLOOKUP($G521,Mapping!$A:$A,Mapping!$C:$C),"Uncategorized — Review"))</f>
        <v>Intercompany &amp; Savings Transfers</v>
      </c>
    </row>
    <row r="522" spans="1:10" x14ac:dyDescent="0.25">
      <c r="A522" s="8" t="str">
        <f>'2025_Chase9335_Activity_2026062'!A522</f>
        <v>DEBIT</v>
      </c>
      <c r="B522" s="24">
        <f>'2025_Chase9335_Activity_2026062'!B522</f>
        <v>45812</v>
      </c>
      <c r="C522" s="8" t="str">
        <f>'2025_Chase9335_Activity_2026062'!C522</f>
        <v>Prime Video *N69CM8P5 888-802-3080 WA        06/04</v>
      </c>
      <c r="D522" s="8">
        <f>'2025_Chase9335_Activity_2026062'!D522</f>
        <v>-7.46</v>
      </c>
      <c r="E522" s="8" t="str">
        <f>'2025_Chase9335_Activity_2026062'!E522</f>
        <v>DEBIT_CARD</v>
      </c>
      <c r="F522" s="8">
        <f>'2025_Chase9335_Activity_2026062'!F522</f>
        <v>221746.04</v>
      </c>
      <c r="G522" s="8" t="str">
        <f>'2025_Chase9335_Activity_2026062'!G522</f>
        <v>Amazon Prime Video</v>
      </c>
      <c r="H522" s="26">
        <f t="shared" si="8"/>
        <v>45809</v>
      </c>
      <c r="I522" s="8" t="str">
        <f>IF($G522="","Uncategorized — Review",IFERROR(_xlfn.XLOOKUP($G522,Mapping!$A:$A,Mapping!$B:$B),"Uncategorized — Review"))</f>
        <v>Amazon Prime Video</v>
      </c>
      <c r="J522" s="8" t="str">
        <f>IF($G522="","Uncategorized — Review",IFERROR(_xlfn.XLOOKUP($G522,Mapping!$A:$A,Mapping!$C:$C),"Uncategorized — Review"))</f>
        <v>Personal — Owner</v>
      </c>
    </row>
    <row r="523" spans="1:10" x14ac:dyDescent="0.25">
      <c r="A523" s="8" t="str">
        <f>'2025_Chase9335_Activity_2026062'!A523</f>
        <v>DEBIT</v>
      </c>
      <c r="B523" s="24">
        <f>'2025_Chase9335_Activity_2026062'!B523</f>
        <v>45812</v>
      </c>
      <c r="C523" s="8" t="str">
        <f>'2025_Chase9335_Activity_2026062'!C523</f>
        <v>Prime Video *N68Z725U 888-802-3080 WA        06/04</v>
      </c>
      <c r="D523" s="8">
        <f>'2025_Chase9335_Activity_2026062'!D523</f>
        <v>-4.26</v>
      </c>
      <c r="E523" s="8" t="str">
        <f>'2025_Chase9335_Activity_2026062'!E523</f>
        <v>DEBIT_CARD</v>
      </c>
      <c r="F523" s="8">
        <f>'2025_Chase9335_Activity_2026062'!F523</f>
        <v>221753.5</v>
      </c>
      <c r="G523" s="8" t="str">
        <f>'2025_Chase9335_Activity_2026062'!G523</f>
        <v>Amazon Prime Video</v>
      </c>
      <c r="H523" s="26">
        <f t="shared" si="8"/>
        <v>45809</v>
      </c>
      <c r="I523" s="8" t="str">
        <f>IF($G523="","Uncategorized — Review",IFERROR(_xlfn.XLOOKUP($G523,Mapping!$A:$A,Mapping!$B:$B),"Uncategorized — Review"))</f>
        <v>Amazon Prime Video</v>
      </c>
      <c r="J523" s="8" t="str">
        <f>IF($G523="","Uncategorized — Review",IFERROR(_xlfn.XLOOKUP($G523,Mapping!$A:$A,Mapping!$C:$C),"Uncategorized — Review"))</f>
        <v>Personal — Owner</v>
      </c>
    </row>
    <row r="524" spans="1:10" x14ac:dyDescent="0.25">
      <c r="A524" s="8" t="str">
        <f>'2025_Chase9335_Activity_2026062'!A524</f>
        <v>DEBIT</v>
      </c>
      <c r="B524" s="24">
        <f>'2025_Chase9335_Activity_2026062'!B524</f>
        <v>45812</v>
      </c>
      <c r="C524" s="8" t="str">
        <f>'2025_Chase9335_Activity_2026062'!C524</f>
        <v>AMAZON MKTPL*N640091 Amzn.com/bill WA        06/04</v>
      </c>
      <c r="D524" s="8">
        <f>'2025_Chase9335_Activity_2026062'!D524</f>
        <v>-26.33</v>
      </c>
      <c r="E524" s="8" t="str">
        <f>'2025_Chase9335_Activity_2026062'!E524</f>
        <v>DEBIT_CARD</v>
      </c>
      <c r="F524" s="8">
        <f>'2025_Chase9335_Activity_2026062'!F524</f>
        <v>221757.76</v>
      </c>
      <c r="G524" s="8" t="str">
        <f>'2025_Chase9335_Activity_2026062'!G524</f>
        <v>Amazon</v>
      </c>
      <c r="H524" s="26">
        <f t="shared" si="8"/>
        <v>45809</v>
      </c>
      <c r="I524" s="8" t="str">
        <f>IF($G524="","Uncategorized — Review",IFERROR(_xlfn.XLOOKUP($G524,Mapping!$A:$A,Mapping!$B:$B),"Uncategorized — Review"))</f>
        <v>Amazon</v>
      </c>
      <c r="J524" s="8" t="str">
        <f>IF($G524="","Uncategorized — Review",IFERROR(_xlfn.XLOOKUP($G524,Mapping!$A:$A,Mapping!$C:$C),"Uncategorized — Review"))</f>
        <v>Personal — Owner</v>
      </c>
    </row>
    <row r="525" spans="1:10" x14ac:dyDescent="0.25">
      <c r="A525" s="8" t="str">
        <f>'2025_Chase9335_Activity_2026062'!A525</f>
        <v>DEBIT</v>
      </c>
      <c r="B525" s="24">
        <f>'2025_Chase9335_Activity_2026062'!B525</f>
        <v>45812</v>
      </c>
      <c r="C525" s="8" t="str">
        <f>'2025_Chase9335_Activity_2026062'!C525</f>
        <v>AMAZON MKTPL*N64E185 Amzn.com/bill WA        06/04</v>
      </c>
      <c r="D525" s="8">
        <f>'2025_Chase9335_Activity_2026062'!D525</f>
        <v>-21.93</v>
      </c>
      <c r="E525" s="8" t="str">
        <f>'2025_Chase9335_Activity_2026062'!E525</f>
        <v>DEBIT_CARD</v>
      </c>
      <c r="F525" s="8">
        <f>'2025_Chase9335_Activity_2026062'!F525</f>
        <v>221784.09</v>
      </c>
      <c r="G525" s="8" t="str">
        <f>'2025_Chase9335_Activity_2026062'!G525</f>
        <v>Amazon</v>
      </c>
      <c r="H525" s="26">
        <f t="shared" si="8"/>
        <v>45809</v>
      </c>
      <c r="I525" s="8" t="str">
        <f>IF($G525="","Uncategorized — Review",IFERROR(_xlfn.XLOOKUP($G525,Mapping!$A:$A,Mapping!$B:$B),"Uncategorized — Review"))</f>
        <v>Amazon</v>
      </c>
      <c r="J525" s="8" t="str">
        <f>IF($G525="","Uncategorized — Review",IFERROR(_xlfn.XLOOKUP($G525,Mapping!$A:$A,Mapping!$C:$C),"Uncategorized — Review"))</f>
        <v>Personal — Owner</v>
      </c>
    </row>
    <row r="526" spans="1:10" x14ac:dyDescent="0.25">
      <c r="A526" s="8" t="str">
        <f>'2025_Chase9335_Activity_2026062'!A526</f>
        <v>DEBIT</v>
      </c>
      <c r="B526" s="24">
        <f>'2025_Chase9335_Activity_2026062'!B526</f>
        <v>45811</v>
      </c>
      <c r="C526" s="8" t="str">
        <f>'2025_Chase9335_Activity_2026062'!C526</f>
        <v>AMAZON MKTPL*N61JN2K Amzn.com/bill WA        06/02</v>
      </c>
      <c r="D526" s="8">
        <f>'2025_Chase9335_Activity_2026062'!D526</f>
        <v>-46.1</v>
      </c>
      <c r="E526" s="8" t="str">
        <f>'2025_Chase9335_Activity_2026062'!E526</f>
        <v>DEBIT_CARD</v>
      </c>
      <c r="F526" s="8">
        <f>'2025_Chase9335_Activity_2026062'!F526</f>
        <v>221806.02</v>
      </c>
      <c r="G526" s="8" t="str">
        <f>'2025_Chase9335_Activity_2026062'!G526</f>
        <v>Amazon</v>
      </c>
      <c r="H526" s="26">
        <f t="shared" si="8"/>
        <v>45809</v>
      </c>
      <c r="I526" s="8" t="str">
        <f>IF($G526="","Uncategorized — Review",IFERROR(_xlfn.XLOOKUP($G526,Mapping!$A:$A,Mapping!$B:$B),"Uncategorized — Review"))</f>
        <v>Amazon</v>
      </c>
      <c r="J526" s="8" t="str">
        <f>IF($G526="","Uncategorized — Review",IFERROR(_xlfn.XLOOKUP($G526,Mapping!$A:$A,Mapping!$C:$C),"Uncategorized — Review"))</f>
        <v>Personal — Owner</v>
      </c>
    </row>
    <row r="527" spans="1:10" x14ac:dyDescent="0.25">
      <c r="A527" s="8" t="str">
        <f>'2025_Chase9335_Activity_2026062'!A527</f>
        <v>DEBIT</v>
      </c>
      <c r="B527" s="24">
        <f>'2025_Chase9335_Activity_2026062'!B527</f>
        <v>45810</v>
      </c>
      <c r="C527" s="8" t="str">
        <f>'2025_Chase9335_Activity_2026062'!C527</f>
        <v>Online Transfer to CHK ...1168 transaction#: 24989793317 06/02</v>
      </c>
      <c r="D527" s="8">
        <f>'2025_Chase9335_Activity_2026062'!D527</f>
        <v>-20000</v>
      </c>
      <c r="E527" s="8" t="str">
        <f>'2025_Chase9335_Activity_2026062'!E527</f>
        <v>ACCT_XFER</v>
      </c>
      <c r="F527" s="8">
        <f>'2025_Chase9335_Activity_2026062'!F527</f>
        <v>221852.12</v>
      </c>
      <c r="G527" s="8" t="str">
        <f>'2025_Chase9335_Activity_2026062'!G527</f>
        <v>Transfer to DWG Capital Group</v>
      </c>
      <c r="H527" s="26">
        <f t="shared" si="8"/>
        <v>45809</v>
      </c>
      <c r="I527" s="8" t="str">
        <f>IF($G527="","Uncategorized — Review",IFERROR(_xlfn.XLOOKUP($G527,Mapping!$A:$A,Mapping!$B:$B),"Uncategorized — Review"))</f>
        <v>Transfer to DWG Capital Group</v>
      </c>
      <c r="J527" s="8" t="str">
        <f>IF($G527="","Uncategorized — Review",IFERROR(_xlfn.XLOOKUP($G527,Mapping!$A:$A,Mapping!$C:$C),"Uncategorized — Review"))</f>
        <v>Intercompany &amp; Savings Transfers</v>
      </c>
    </row>
    <row r="528" spans="1:10" x14ac:dyDescent="0.25">
      <c r="A528" s="8" t="str">
        <f>'2025_Chase9335_Activity_2026062'!A528</f>
        <v>DEBIT</v>
      </c>
      <c r="B528" s="24">
        <f>'2025_Chase9335_Activity_2026062'!B528</f>
        <v>45810</v>
      </c>
      <c r="C528" s="8" t="str">
        <f>'2025_Chase9335_Activity_2026062'!C528</f>
        <v>SANTA MONICA SOUVENIR SANTA MONICA CA110145  06/01</v>
      </c>
      <c r="D528" s="8">
        <f>'2025_Chase9335_Activity_2026062'!D528</f>
        <v>-33.17</v>
      </c>
      <c r="E528" s="8" t="str">
        <f>'2025_Chase9335_Activity_2026062'!E528</f>
        <v>DEBIT_CARD</v>
      </c>
      <c r="F528" s="8">
        <f>'2025_Chase9335_Activity_2026062'!F528</f>
        <v>241852.12</v>
      </c>
      <c r="G528" s="8" t="str">
        <f>'2025_Chase9335_Activity_2026062'!G528</f>
        <v>Personal - Entertainment</v>
      </c>
      <c r="H528" s="26">
        <f t="shared" si="8"/>
        <v>45809</v>
      </c>
      <c r="I528" s="8" t="str">
        <f>IF($G528="","Uncategorized — Review",IFERROR(_xlfn.XLOOKUP($G528,Mapping!$A:$A,Mapping!$B:$B),"Uncategorized — Review"))</f>
        <v>Personal - Entertainment</v>
      </c>
      <c r="J528" s="8" t="str">
        <f>IF($G528="","Uncategorized — Review",IFERROR(_xlfn.XLOOKUP($G528,Mapping!$A:$A,Mapping!$C:$C),"Uncategorized — Review"))</f>
        <v>Personal — Owner</v>
      </c>
    </row>
    <row r="529" spans="1:10" x14ac:dyDescent="0.25">
      <c r="A529" s="8" t="str">
        <f>'2025_Chase9335_Activity_2026062'!A529</f>
        <v>DEBIT</v>
      </c>
      <c r="B529" s="24">
        <f>'2025_Chase9335_Activity_2026062'!B529</f>
        <v>45810</v>
      </c>
      <c r="C529" s="8" t="str">
        <f>'2025_Chase9335_Activity_2026062'!C529</f>
        <v>Prime Video *N68SD2DA 888-802-3080 WA        06/01</v>
      </c>
      <c r="D529" s="8">
        <f>'2025_Chase9335_Activity_2026062'!D529</f>
        <v>-3.19</v>
      </c>
      <c r="E529" s="8" t="str">
        <f>'2025_Chase9335_Activity_2026062'!E529</f>
        <v>DEBIT_CARD</v>
      </c>
      <c r="F529" s="8">
        <f>'2025_Chase9335_Activity_2026062'!F529</f>
        <v>241885.29</v>
      </c>
      <c r="G529" s="8" t="str">
        <f>'2025_Chase9335_Activity_2026062'!G529</f>
        <v>Amazon Prime Video</v>
      </c>
      <c r="H529" s="26">
        <f t="shared" si="8"/>
        <v>45809</v>
      </c>
      <c r="I529" s="8" t="str">
        <f>IF($G529="","Uncategorized — Review",IFERROR(_xlfn.XLOOKUP($G529,Mapping!$A:$A,Mapping!$B:$B),"Uncategorized — Review"))</f>
        <v>Amazon Prime Video</v>
      </c>
      <c r="J529" s="8" t="str">
        <f>IF($G529="","Uncategorized — Review",IFERROR(_xlfn.XLOOKUP($G529,Mapping!$A:$A,Mapping!$C:$C),"Uncategorized — Review"))</f>
        <v>Personal — Owner</v>
      </c>
    </row>
    <row r="530" spans="1:10" x14ac:dyDescent="0.25">
      <c r="A530" s="8" t="str">
        <f>'2025_Chase9335_Activity_2026062'!A530</f>
        <v>DEBIT</v>
      </c>
      <c r="B530" s="24">
        <f>'2025_Chase9335_Activity_2026062'!B530</f>
        <v>45810</v>
      </c>
      <c r="C530" s="8" t="str">
        <f>'2025_Chase9335_Activity_2026062'!C530</f>
        <v>Experian* Credit Repor 479-3436237 CA        06/01</v>
      </c>
      <c r="D530" s="8">
        <f>'2025_Chase9335_Activity_2026062'!D530</f>
        <v>-27.05</v>
      </c>
      <c r="E530" s="8" t="str">
        <f>'2025_Chase9335_Activity_2026062'!E530</f>
        <v>DEBIT_CARD</v>
      </c>
      <c r="F530" s="8">
        <f>'2025_Chase9335_Activity_2026062'!F530</f>
        <v>241888.48</v>
      </c>
      <c r="G530" s="8" t="str">
        <f>'2025_Chase9335_Activity_2026062'!G530</f>
        <v>Personal - Subscriptions</v>
      </c>
      <c r="H530" s="26">
        <f t="shared" si="8"/>
        <v>45809</v>
      </c>
      <c r="I530" s="8" t="str">
        <f>IF($G530="","Uncategorized — Review",IFERROR(_xlfn.XLOOKUP($G530,Mapping!$A:$A,Mapping!$B:$B),"Uncategorized — Review"))</f>
        <v>Personal - Subscriptions</v>
      </c>
      <c r="J530" s="8" t="str">
        <f>IF($G530="","Uncategorized — Review",IFERROR(_xlfn.XLOOKUP($G530,Mapping!$A:$A,Mapping!$C:$C),"Uncategorized — Review"))</f>
        <v>Personal — Owner</v>
      </c>
    </row>
    <row r="531" spans="1:10" x14ac:dyDescent="0.25">
      <c r="A531" s="8" t="str">
        <f>'2025_Chase9335_Activity_2026062'!A531</f>
        <v>DEBIT</v>
      </c>
      <c r="B531" s="24">
        <f>'2025_Chase9335_Activity_2026062'!B531</f>
        <v>45810</v>
      </c>
      <c r="C531" s="8" t="str">
        <f>'2025_Chase9335_Activity_2026062'!C531</f>
        <v>Prime Video *N622L1XH 888-802-3080 WA        05/31</v>
      </c>
      <c r="D531" s="8">
        <f>'2025_Chase9335_Activity_2026062'!D531</f>
        <v>-6.39</v>
      </c>
      <c r="E531" s="8" t="str">
        <f>'2025_Chase9335_Activity_2026062'!E531</f>
        <v>DEBIT_CARD</v>
      </c>
      <c r="F531" s="8">
        <f>'2025_Chase9335_Activity_2026062'!F531</f>
        <v>241915.53</v>
      </c>
      <c r="G531" s="8" t="str">
        <f>'2025_Chase9335_Activity_2026062'!G531</f>
        <v>Amazon Prime Video</v>
      </c>
      <c r="H531" s="26">
        <f t="shared" si="8"/>
        <v>45809</v>
      </c>
      <c r="I531" s="8" t="str">
        <f>IF($G531="","Uncategorized — Review",IFERROR(_xlfn.XLOOKUP($G531,Mapping!$A:$A,Mapping!$B:$B),"Uncategorized — Review"))</f>
        <v>Amazon Prime Video</v>
      </c>
      <c r="J531" s="8" t="str">
        <f>IF($G531="","Uncategorized — Review",IFERROR(_xlfn.XLOOKUP($G531,Mapping!$A:$A,Mapping!$C:$C),"Uncategorized — Review"))</f>
        <v>Personal — Owner</v>
      </c>
    </row>
    <row r="532" spans="1:10" x14ac:dyDescent="0.25">
      <c r="A532" s="8" t="str">
        <f>'2025_Chase9335_Activity_2026062'!A532</f>
        <v>DEBIT</v>
      </c>
      <c r="B532" s="24">
        <f>'2025_Chase9335_Activity_2026062'!B532</f>
        <v>45806</v>
      </c>
      <c r="C532" s="8" t="str">
        <f>'2025_Chase9335_Activity_2026062'!C532</f>
        <v>APPLE.COM/BILL 866-712-7753 CA               05/29</v>
      </c>
      <c r="D532" s="8">
        <f>'2025_Chase9335_Activity_2026062'!D532</f>
        <v>-51.45</v>
      </c>
      <c r="E532" s="8" t="str">
        <f>'2025_Chase9335_Activity_2026062'!E532</f>
        <v>DEBIT_CARD</v>
      </c>
      <c r="F532" s="8">
        <f>'2025_Chase9335_Activity_2026062'!F532</f>
        <v>241921.92000000001</v>
      </c>
      <c r="G532" s="8" t="str">
        <f>'2025_Chase9335_Activity_2026062'!G532</f>
        <v>Personal - Subscriptions</v>
      </c>
      <c r="H532" s="26">
        <f t="shared" si="8"/>
        <v>45778</v>
      </c>
      <c r="I532" s="8" t="str">
        <f>IF($G532="","Uncategorized — Review",IFERROR(_xlfn.XLOOKUP($G532,Mapping!$A:$A,Mapping!$B:$B),"Uncategorized — Review"))</f>
        <v>Personal - Subscriptions</v>
      </c>
      <c r="J532" s="8" t="str">
        <f>IF($G532="","Uncategorized — Review",IFERROR(_xlfn.XLOOKUP($G532,Mapping!$A:$A,Mapping!$C:$C),"Uncategorized — Review"))</f>
        <v>Personal — Owner</v>
      </c>
    </row>
    <row r="533" spans="1:10" x14ac:dyDescent="0.25">
      <c r="A533" s="8" t="str">
        <f>'2025_Chase9335_Activity_2026062'!A533</f>
        <v>DEBIT</v>
      </c>
      <c r="B533" s="24">
        <f>'2025_Chase9335_Activity_2026062'!B533</f>
        <v>45806</v>
      </c>
      <c r="C533" s="8" t="str">
        <f>'2025_Chase9335_Activity_2026062'!C533</f>
        <v>Prime Video *N66B27ZV 888-802-3080 WA        05/29</v>
      </c>
      <c r="D533" s="8">
        <f>'2025_Chase9335_Activity_2026062'!D533</f>
        <v>-4.05</v>
      </c>
      <c r="E533" s="8" t="str">
        <f>'2025_Chase9335_Activity_2026062'!E533</f>
        <v>DEBIT_CARD</v>
      </c>
      <c r="F533" s="8">
        <f>'2025_Chase9335_Activity_2026062'!F533</f>
        <v>241973.37</v>
      </c>
      <c r="G533" s="8" t="str">
        <f>'2025_Chase9335_Activity_2026062'!G533</f>
        <v>Amazon Prime Video</v>
      </c>
      <c r="H533" s="26">
        <f t="shared" si="8"/>
        <v>45778</v>
      </c>
      <c r="I533" s="8" t="str">
        <f>IF($G533="","Uncategorized — Review",IFERROR(_xlfn.XLOOKUP($G533,Mapping!$A:$A,Mapping!$B:$B),"Uncategorized — Review"))</f>
        <v>Amazon Prime Video</v>
      </c>
      <c r="J533" s="8" t="str">
        <f>IF($G533="","Uncategorized — Review",IFERROR(_xlfn.XLOOKUP($G533,Mapping!$A:$A,Mapping!$C:$C),"Uncategorized — Review"))</f>
        <v>Personal — Owner</v>
      </c>
    </row>
    <row r="534" spans="1:10" x14ac:dyDescent="0.25">
      <c r="A534" s="8" t="str">
        <f>'2025_Chase9335_Activity_2026062'!A534</f>
        <v>DEBIT</v>
      </c>
      <c r="B534" s="24">
        <f>'2025_Chase9335_Activity_2026062'!B534</f>
        <v>45804</v>
      </c>
      <c r="C534" s="8" t="str">
        <f>'2025_Chase9335_Activity_2026062'!C534</f>
        <v>Prime Video *NN32R69R 888-802-3080 WA        05/27</v>
      </c>
      <c r="D534" s="8">
        <f>'2025_Chase9335_Activity_2026062'!D534</f>
        <v>-16</v>
      </c>
      <c r="E534" s="8" t="str">
        <f>'2025_Chase9335_Activity_2026062'!E534</f>
        <v>DEBIT_CARD</v>
      </c>
      <c r="F534" s="8">
        <f>'2025_Chase9335_Activity_2026062'!F534</f>
        <v>241977.42</v>
      </c>
      <c r="G534" s="8" t="str">
        <f>'2025_Chase9335_Activity_2026062'!G534</f>
        <v>Amazon Prime Video</v>
      </c>
      <c r="H534" s="26">
        <f t="shared" si="8"/>
        <v>45778</v>
      </c>
      <c r="I534" s="8" t="str">
        <f>IF($G534="","Uncategorized — Review",IFERROR(_xlfn.XLOOKUP($G534,Mapping!$A:$A,Mapping!$B:$B),"Uncategorized — Review"))</f>
        <v>Amazon Prime Video</v>
      </c>
      <c r="J534" s="8" t="str">
        <f>IF($G534="","Uncategorized — Review",IFERROR(_xlfn.XLOOKUP($G534,Mapping!$A:$A,Mapping!$C:$C),"Uncategorized — Review"))</f>
        <v>Personal — Owner</v>
      </c>
    </row>
    <row r="535" spans="1:10" x14ac:dyDescent="0.25">
      <c r="A535" s="8" t="str">
        <f>'2025_Chase9335_Activity_2026062'!A535</f>
        <v>DEBIT</v>
      </c>
      <c r="B535" s="24">
        <f>'2025_Chase9335_Activity_2026062'!B535</f>
        <v>45804</v>
      </c>
      <c r="C535" s="8" t="str">
        <f>'2025_Chase9335_Activity_2026062'!C535</f>
        <v>Prime Video *NN82E6DV 888-802-3080 WA        05/26</v>
      </c>
      <c r="D535" s="8">
        <f>'2025_Chase9335_Activity_2026062'!D535</f>
        <v>-3.19</v>
      </c>
      <c r="E535" s="8" t="str">
        <f>'2025_Chase9335_Activity_2026062'!E535</f>
        <v>DEBIT_CARD</v>
      </c>
      <c r="F535" s="8">
        <f>'2025_Chase9335_Activity_2026062'!F535</f>
        <v>241993.42</v>
      </c>
      <c r="G535" s="8" t="str">
        <f>'2025_Chase9335_Activity_2026062'!G535</f>
        <v>Amazon Prime Video</v>
      </c>
      <c r="H535" s="26">
        <f t="shared" si="8"/>
        <v>45778</v>
      </c>
      <c r="I535" s="8" t="str">
        <f>IF($G535="","Uncategorized — Review",IFERROR(_xlfn.XLOOKUP($G535,Mapping!$A:$A,Mapping!$B:$B),"Uncategorized — Review"))</f>
        <v>Amazon Prime Video</v>
      </c>
      <c r="J535" s="8" t="str">
        <f>IF($G535="","Uncategorized — Review",IFERROR(_xlfn.XLOOKUP($G535,Mapping!$A:$A,Mapping!$C:$C),"Uncategorized — Review"))</f>
        <v>Personal — Owner</v>
      </c>
    </row>
    <row r="536" spans="1:10" x14ac:dyDescent="0.25">
      <c r="A536" s="8" t="str">
        <f>'2025_Chase9335_Activity_2026062'!A536</f>
        <v>DEBIT</v>
      </c>
      <c r="B536" s="24">
        <f>'2025_Chase9335_Activity_2026062'!B536</f>
        <v>45804</v>
      </c>
      <c r="C536" s="8" t="str">
        <f>'2025_Chase9335_Activity_2026062'!C536</f>
        <v>APPLE.COM/BILL 866-712-7753 CA               05/25</v>
      </c>
      <c r="D536" s="8">
        <f>'2025_Chase9335_Activity_2026062'!D536</f>
        <v>-30.89</v>
      </c>
      <c r="E536" s="8" t="str">
        <f>'2025_Chase9335_Activity_2026062'!E536</f>
        <v>DEBIT_CARD</v>
      </c>
      <c r="F536" s="8">
        <f>'2025_Chase9335_Activity_2026062'!F536</f>
        <v>241996.61</v>
      </c>
      <c r="G536" s="8" t="str">
        <f>'2025_Chase9335_Activity_2026062'!G536</f>
        <v>Personal - Subscriptions</v>
      </c>
      <c r="H536" s="26">
        <f t="shared" si="8"/>
        <v>45778</v>
      </c>
      <c r="I536" s="8" t="str">
        <f>IF($G536="","Uncategorized — Review",IFERROR(_xlfn.XLOOKUP($G536,Mapping!$A:$A,Mapping!$B:$B),"Uncategorized — Review"))</f>
        <v>Personal - Subscriptions</v>
      </c>
      <c r="J536" s="8" t="str">
        <f>IF($G536="","Uncategorized — Review",IFERROR(_xlfn.XLOOKUP($G536,Mapping!$A:$A,Mapping!$C:$C),"Uncategorized — Review"))</f>
        <v>Personal — Owner</v>
      </c>
    </row>
    <row r="537" spans="1:10" x14ac:dyDescent="0.25">
      <c r="A537" s="8" t="str">
        <f>'2025_Chase9335_Activity_2026062'!A537</f>
        <v>DEBIT</v>
      </c>
      <c r="B537" s="24">
        <f>'2025_Chase9335_Activity_2026062'!B537</f>
        <v>45804</v>
      </c>
      <c r="C537" s="8" t="str">
        <f>'2025_Chase9335_Activity_2026062'!C537</f>
        <v>Online Transfer to CHK ...1117 transaction#: 24883648954 05/27</v>
      </c>
      <c r="D537" s="8">
        <f>'2025_Chase9335_Activity_2026062'!D537</f>
        <v>-1000</v>
      </c>
      <c r="E537" s="8" t="str">
        <f>'2025_Chase9335_Activity_2026062'!E537</f>
        <v>ACCT_XFER</v>
      </c>
      <c r="F537" s="8">
        <f>'2025_Chase9335_Activity_2026062'!F537</f>
        <v>242027.5</v>
      </c>
      <c r="G537" s="8" t="str">
        <f>'2025_Chase9335_Activity_2026062'!G537</f>
        <v>Transfer to Angela Dunning</v>
      </c>
      <c r="H537" s="26">
        <f t="shared" si="8"/>
        <v>45778</v>
      </c>
      <c r="I537" s="8" t="str">
        <f>IF($G537="","Uncategorized — Review",IFERROR(_xlfn.XLOOKUP($G537,Mapping!$A:$A,Mapping!$B:$B),"Uncategorized — Review"))</f>
        <v>Transfer to Angela Dunning</v>
      </c>
      <c r="J537" s="8" t="str">
        <f>IF($G537="","Uncategorized — Review",IFERROR(_xlfn.XLOOKUP($G537,Mapping!$A:$A,Mapping!$C:$C),"Uncategorized — Review"))</f>
        <v>Owner / Family Distributions</v>
      </c>
    </row>
    <row r="538" spans="1:10" x14ac:dyDescent="0.25">
      <c r="A538" s="8" t="str">
        <f>'2025_Chase9335_Activity_2026062'!A538</f>
        <v>DEBIT</v>
      </c>
      <c r="B538" s="24">
        <f>'2025_Chase9335_Activity_2026062'!B538</f>
        <v>45798</v>
      </c>
      <c r="C538" s="8" t="str">
        <f>'2025_Chase9335_Activity_2026062'!C538</f>
        <v>Online Transfer to CHK ...1168 transaction#: 24842589640 05/21</v>
      </c>
      <c r="D538" s="8">
        <f>'2025_Chase9335_Activity_2026062'!D538</f>
        <v>-20000</v>
      </c>
      <c r="E538" s="8" t="str">
        <f>'2025_Chase9335_Activity_2026062'!E538</f>
        <v>ACCT_XFER</v>
      </c>
      <c r="F538" s="8">
        <f>'2025_Chase9335_Activity_2026062'!F538</f>
        <v>243027.5</v>
      </c>
      <c r="G538" s="8" t="str">
        <f>'2025_Chase9335_Activity_2026062'!G538</f>
        <v>Transfer to DWG Capital Group</v>
      </c>
      <c r="H538" s="26">
        <f t="shared" si="8"/>
        <v>45778</v>
      </c>
      <c r="I538" s="8" t="str">
        <f>IF($G538="","Uncategorized — Review",IFERROR(_xlfn.XLOOKUP($G538,Mapping!$A:$A,Mapping!$B:$B),"Uncategorized — Review"))</f>
        <v>Transfer to DWG Capital Group</v>
      </c>
      <c r="J538" s="8" t="str">
        <f>IF($G538="","Uncategorized — Review",IFERROR(_xlfn.XLOOKUP($G538,Mapping!$A:$A,Mapping!$C:$C),"Uncategorized — Review"))</f>
        <v>Intercompany &amp; Savings Transfers</v>
      </c>
    </row>
    <row r="539" spans="1:10" x14ac:dyDescent="0.25">
      <c r="A539" s="8" t="str">
        <f>'2025_Chase9335_Activity_2026062'!A539</f>
        <v>DEBIT</v>
      </c>
      <c r="B539" s="24">
        <f>'2025_Chase9335_Activity_2026062'!B539</f>
        <v>45798</v>
      </c>
      <c r="C539" s="8" t="str">
        <f>'2025_Chase9335_Activity_2026062'!C539</f>
        <v>Netflix.com 408-5403700 CA                   05/21</v>
      </c>
      <c r="D539" s="8">
        <f>'2025_Chase9335_Activity_2026062'!D539</f>
        <v>-24.99</v>
      </c>
      <c r="E539" s="8" t="str">
        <f>'2025_Chase9335_Activity_2026062'!E539</f>
        <v>DEBIT_CARD</v>
      </c>
      <c r="F539" s="8">
        <f>'2025_Chase9335_Activity_2026062'!F539</f>
        <v>263027.5</v>
      </c>
      <c r="G539" s="8" t="str">
        <f>'2025_Chase9335_Activity_2026062'!G539</f>
        <v>Personal - Subscriptions</v>
      </c>
      <c r="H539" s="26">
        <f t="shared" si="8"/>
        <v>45778</v>
      </c>
      <c r="I539" s="8" t="str">
        <f>IF($G539="","Uncategorized — Review",IFERROR(_xlfn.XLOOKUP($G539,Mapping!$A:$A,Mapping!$B:$B),"Uncategorized — Review"))</f>
        <v>Personal - Subscriptions</v>
      </c>
      <c r="J539" s="8" t="str">
        <f>IF($G539="","Uncategorized — Review",IFERROR(_xlfn.XLOOKUP($G539,Mapping!$A:$A,Mapping!$C:$C),"Uncategorized — Review"))</f>
        <v>Personal — Owner</v>
      </c>
    </row>
    <row r="540" spans="1:10" x14ac:dyDescent="0.25">
      <c r="A540" s="8" t="str">
        <f>'2025_Chase9335_Activity_2026062'!A540</f>
        <v>DEBIT</v>
      </c>
      <c r="B540" s="24">
        <f>'2025_Chase9335_Activity_2026062'!B540</f>
        <v>45798</v>
      </c>
      <c r="C540" s="8" t="str">
        <f>'2025_Chase9335_Activity_2026062'!C540</f>
        <v>Amazon.com*NW0396YB1 Amzn.com/bill WA        05/20</v>
      </c>
      <c r="D540" s="8">
        <f>'2025_Chase9335_Activity_2026062'!D540</f>
        <v>-46</v>
      </c>
      <c r="E540" s="8" t="str">
        <f>'2025_Chase9335_Activity_2026062'!E540</f>
        <v>DEBIT_CARD</v>
      </c>
      <c r="F540" s="8">
        <f>'2025_Chase9335_Activity_2026062'!F540</f>
        <v>263052.49</v>
      </c>
      <c r="G540" s="8" t="str">
        <f>'2025_Chase9335_Activity_2026062'!G540</f>
        <v>Amazon</v>
      </c>
      <c r="H540" s="26">
        <f t="shared" si="8"/>
        <v>45778</v>
      </c>
      <c r="I540" s="8" t="str">
        <f>IF($G540="","Uncategorized — Review",IFERROR(_xlfn.XLOOKUP($G540,Mapping!$A:$A,Mapping!$B:$B),"Uncategorized — Review"))</f>
        <v>Amazon</v>
      </c>
      <c r="J540" s="8" t="str">
        <f>IF($G540="","Uncategorized — Review",IFERROR(_xlfn.XLOOKUP($G540,Mapping!$A:$A,Mapping!$C:$C),"Uncategorized — Review"))</f>
        <v>Personal — Owner</v>
      </c>
    </row>
    <row r="541" spans="1:10" x14ac:dyDescent="0.25">
      <c r="A541" s="8" t="str">
        <f>'2025_Chase9335_Activity_2026062'!A541</f>
        <v>DEBIT</v>
      </c>
      <c r="B541" s="24">
        <f>'2025_Chase9335_Activity_2026062'!B541</f>
        <v>45797</v>
      </c>
      <c r="C541" s="8" t="str">
        <f>'2025_Chase9335_Activity_2026062'!C541</f>
        <v>Prime Video *NW0NF8R0 888-802-3080 WA        05/20</v>
      </c>
      <c r="D541" s="8">
        <f>'2025_Chase9335_Activity_2026062'!D541</f>
        <v>-4.05</v>
      </c>
      <c r="E541" s="8" t="str">
        <f>'2025_Chase9335_Activity_2026062'!E541</f>
        <v>DEBIT_CARD</v>
      </c>
      <c r="F541" s="8">
        <f>'2025_Chase9335_Activity_2026062'!F541</f>
        <v>263098.49</v>
      </c>
      <c r="G541" s="8" t="str">
        <f>'2025_Chase9335_Activity_2026062'!G541</f>
        <v>Amazon Prime Video</v>
      </c>
      <c r="H541" s="26">
        <f t="shared" si="8"/>
        <v>45778</v>
      </c>
      <c r="I541" s="8" t="str">
        <f>IF($G541="","Uncategorized — Review",IFERROR(_xlfn.XLOOKUP($G541,Mapping!$A:$A,Mapping!$B:$B),"Uncategorized — Review"))</f>
        <v>Amazon Prime Video</v>
      </c>
      <c r="J541" s="8" t="str">
        <f>IF($G541="","Uncategorized — Review",IFERROR(_xlfn.XLOOKUP($G541,Mapping!$A:$A,Mapping!$C:$C),"Uncategorized — Review"))</f>
        <v>Personal — Owner</v>
      </c>
    </row>
    <row r="542" spans="1:10" x14ac:dyDescent="0.25">
      <c r="A542" s="8" t="str">
        <f>'2025_Chase9335_Activity_2026062'!A542</f>
        <v>DEBIT</v>
      </c>
      <c r="B542" s="24">
        <f>'2025_Chase9335_Activity_2026062'!B542</f>
        <v>45797</v>
      </c>
      <c r="C542" s="8" t="str">
        <f>'2025_Chase9335_Activity_2026062'!C542</f>
        <v>Prime Video *NZ82G170 888-802-3080 WA        05/19</v>
      </c>
      <c r="D542" s="8">
        <f>'2025_Chase9335_Activity_2026062'!D542</f>
        <v>-26.68</v>
      </c>
      <c r="E542" s="8" t="str">
        <f>'2025_Chase9335_Activity_2026062'!E542</f>
        <v>DEBIT_CARD</v>
      </c>
      <c r="F542" s="8">
        <f>'2025_Chase9335_Activity_2026062'!F542</f>
        <v>263102.53999999998</v>
      </c>
      <c r="G542" s="8" t="str">
        <f>'2025_Chase9335_Activity_2026062'!G542</f>
        <v>Amazon Prime Video</v>
      </c>
      <c r="H542" s="26">
        <f t="shared" si="8"/>
        <v>45778</v>
      </c>
      <c r="I542" s="8" t="str">
        <f>IF($G542="","Uncategorized — Review",IFERROR(_xlfn.XLOOKUP($G542,Mapping!$A:$A,Mapping!$B:$B),"Uncategorized — Review"))</f>
        <v>Amazon Prime Video</v>
      </c>
      <c r="J542" s="8" t="str">
        <f>IF($G542="","Uncategorized — Review",IFERROR(_xlfn.XLOOKUP($G542,Mapping!$A:$A,Mapping!$C:$C),"Uncategorized — Review"))</f>
        <v>Personal — Owner</v>
      </c>
    </row>
    <row r="543" spans="1:10" x14ac:dyDescent="0.25">
      <c r="A543" s="8" t="str">
        <f>'2025_Chase9335_Activity_2026062'!A543</f>
        <v>DEBIT</v>
      </c>
      <c r="B543" s="24">
        <f>'2025_Chase9335_Activity_2026062'!B543</f>
        <v>45796</v>
      </c>
      <c r="C543" s="8" t="str">
        <f>'2025_Chase9335_Activity_2026062'!C543</f>
        <v>Prime Video *NW3DP3SS 888-802-3080 WA        05/19</v>
      </c>
      <c r="D543" s="8">
        <f>'2025_Chase9335_Activity_2026062'!D543</f>
        <v>-4.26</v>
      </c>
      <c r="E543" s="8" t="str">
        <f>'2025_Chase9335_Activity_2026062'!E543</f>
        <v>DEBIT_CARD</v>
      </c>
      <c r="F543" s="8">
        <f>'2025_Chase9335_Activity_2026062'!F543</f>
        <v>263129.21999999997</v>
      </c>
      <c r="G543" s="8" t="str">
        <f>'2025_Chase9335_Activity_2026062'!G543</f>
        <v>Amazon Prime Video</v>
      </c>
      <c r="H543" s="26">
        <f t="shared" si="8"/>
        <v>45778</v>
      </c>
      <c r="I543" s="8" t="str">
        <f>IF($G543="","Uncategorized — Review",IFERROR(_xlfn.XLOOKUP($G543,Mapping!$A:$A,Mapping!$B:$B),"Uncategorized — Review"))</f>
        <v>Amazon Prime Video</v>
      </c>
      <c r="J543" s="8" t="str">
        <f>IF($G543="","Uncategorized — Review",IFERROR(_xlfn.XLOOKUP($G543,Mapping!$A:$A,Mapping!$C:$C),"Uncategorized — Review"))</f>
        <v>Personal — Owner</v>
      </c>
    </row>
    <row r="544" spans="1:10" x14ac:dyDescent="0.25">
      <c r="A544" s="8" t="str">
        <f>'2025_Chase9335_Activity_2026062'!A544</f>
        <v>DEBIT</v>
      </c>
      <c r="B544" s="24">
        <f>'2025_Chase9335_Activity_2026062'!B544</f>
        <v>45796</v>
      </c>
      <c r="C544" s="8" t="str">
        <f>'2025_Chase9335_Activity_2026062'!C544</f>
        <v>Prime Video *NZ5XL8QO 888-802-3080 WA        05/18</v>
      </c>
      <c r="D544" s="8">
        <f>'2025_Chase9335_Activity_2026062'!D544</f>
        <v>-4.05</v>
      </c>
      <c r="E544" s="8" t="str">
        <f>'2025_Chase9335_Activity_2026062'!E544</f>
        <v>DEBIT_CARD</v>
      </c>
      <c r="F544" s="8">
        <f>'2025_Chase9335_Activity_2026062'!F544</f>
        <v>263133.48</v>
      </c>
      <c r="G544" s="8" t="str">
        <f>'2025_Chase9335_Activity_2026062'!G544</f>
        <v>Amazon Prime Video</v>
      </c>
      <c r="H544" s="26">
        <f t="shared" si="8"/>
        <v>45778</v>
      </c>
      <c r="I544" s="8" t="str">
        <f>IF($G544="","Uncategorized — Review",IFERROR(_xlfn.XLOOKUP($G544,Mapping!$A:$A,Mapping!$B:$B),"Uncategorized — Review"))</f>
        <v>Amazon Prime Video</v>
      </c>
      <c r="J544" s="8" t="str">
        <f>IF($G544="","Uncategorized — Review",IFERROR(_xlfn.XLOOKUP($G544,Mapping!$A:$A,Mapping!$C:$C),"Uncategorized — Review"))</f>
        <v>Personal — Owner</v>
      </c>
    </row>
    <row r="545" spans="1:10" x14ac:dyDescent="0.25">
      <c r="A545" s="8" t="str">
        <f>'2025_Chase9335_Activity_2026062'!A545</f>
        <v>DEBIT</v>
      </c>
      <c r="B545" s="24">
        <f>'2025_Chase9335_Activity_2026062'!B545</f>
        <v>45796</v>
      </c>
      <c r="C545" s="8" t="str">
        <f>'2025_Chase9335_Activity_2026062'!C545</f>
        <v>APPLE.COM/BILL 866-712-7753 CA               05/18</v>
      </c>
      <c r="D545" s="8">
        <f>'2025_Chase9335_Activity_2026062'!D545</f>
        <v>-30.89</v>
      </c>
      <c r="E545" s="8" t="str">
        <f>'2025_Chase9335_Activity_2026062'!E545</f>
        <v>DEBIT_CARD</v>
      </c>
      <c r="F545" s="8">
        <f>'2025_Chase9335_Activity_2026062'!F545</f>
        <v>263137.53000000003</v>
      </c>
      <c r="G545" s="8" t="str">
        <f>'2025_Chase9335_Activity_2026062'!G545</f>
        <v>Personal - Subscriptions</v>
      </c>
      <c r="H545" s="26">
        <f t="shared" si="8"/>
        <v>45778</v>
      </c>
      <c r="I545" s="8" t="str">
        <f>IF($G545="","Uncategorized — Review",IFERROR(_xlfn.XLOOKUP($G545,Mapping!$A:$A,Mapping!$B:$B),"Uncategorized — Review"))</f>
        <v>Personal - Subscriptions</v>
      </c>
      <c r="J545" s="8" t="str">
        <f>IF($G545="","Uncategorized — Review",IFERROR(_xlfn.XLOOKUP($G545,Mapping!$A:$A,Mapping!$C:$C),"Uncategorized — Review"))</f>
        <v>Personal — Owner</v>
      </c>
    </row>
    <row r="546" spans="1:10" x14ac:dyDescent="0.25">
      <c r="A546" s="8" t="str">
        <f>'2025_Chase9335_Activity_2026062'!A546</f>
        <v>DEBIT</v>
      </c>
      <c r="B546" s="24">
        <f>'2025_Chase9335_Activity_2026062'!B546</f>
        <v>45793</v>
      </c>
      <c r="C546" s="8" t="str">
        <f>'2025_Chase9335_Activity_2026062'!C546</f>
        <v>Audible*NW2EX5TE1 Amzn.com/bill NJ           05/16</v>
      </c>
      <c r="D546" s="8">
        <f>'2025_Chase9335_Activity_2026062'!D546</f>
        <v>-16.18</v>
      </c>
      <c r="E546" s="8" t="str">
        <f>'2025_Chase9335_Activity_2026062'!E546</f>
        <v>DEBIT_CARD</v>
      </c>
      <c r="F546" s="8">
        <f>'2025_Chase9335_Activity_2026062'!F546</f>
        <v>263168.42</v>
      </c>
      <c r="G546" s="8" t="str">
        <f>'2025_Chase9335_Activity_2026062'!G546</f>
        <v>Amazon</v>
      </c>
      <c r="H546" s="26">
        <f t="shared" si="8"/>
        <v>45778</v>
      </c>
      <c r="I546" s="8" t="str">
        <f>IF($G546="","Uncategorized — Review",IFERROR(_xlfn.XLOOKUP($G546,Mapping!$A:$A,Mapping!$B:$B),"Uncategorized — Review"))</f>
        <v>Amazon</v>
      </c>
      <c r="J546" s="8" t="str">
        <f>IF($G546="","Uncategorized — Review",IFERROR(_xlfn.XLOOKUP($G546,Mapping!$A:$A,Mapping!$C:$C),"Uncategorized — Review"))</f>
        <v>Personal — Owner</v>
      </c>
    </row>
    <row r="547" spans="1:10" x14ac:dyDescent="0.25">
      <c r="A547" s="8" t="str">
        <f>'2025_Chase9335_Activity_2026062'!A547</f>
        <v>CREDIT</v>
      </c>
      <c r="B547" s="24">
        <f>'2025_Chase9335_Activity_2026062'!B547</f>
        <v>45793</v>
      </c>
      <c r="C547" s="8" t="str">
        <f>'2025_Chase9335_Activity_2026062'!C547</f>
        <v>Online Transfer from CHK ...9082 transaction#: 24793707316</v>
      </c>
      <c r="D547" s="8">
        <f>'2025_Chase9335_Activity_2026062'!D547</f>
        <v>17500</v>
      </c>
      <c r="E547" s="8" t="str">
        <f>'2025_Chase9335_Activity_2026062'!E547</f>
        <v>ACCT_XFER</v>
      </c>
      <c r="F547" s="8">
        <f>'2025_Chase9335_Activity_2026062'!F547</f>
        <v>263184.59999999998</v>
      </c>
      <c r="G547" s="8" t="str">
        <f>'2025_Chase9335_Activity_2026062'!G547</f>
        <v>Transfer from Hibbert</v>
      </c>
      <c r="H547" s="26">
        <f t="shared" si="8"/>
        <v>45778</v>
      </c>
      <c r="I547" s="8" t="str">
        <f>IF($G547="","Uncategorized — Review",IFERROR(_xlfn.XLOOKUP($G547,Mapping!$A:$A,Mapping!$B:$B),"Uncategorized — Review"))</f>
        <v>Transfer from Hibbert</v>
      </c>
      <c r="J547" s="8" t="str">
        <f>IF($G547="","Uncategorized — Review",IFERROR(_xlfn.XLOOKUP($G547,Mapping!$A:$A,Mapping!$C:$C),"Uncategorized — Review"))</f>
        <v>Intercompany &amp; Savings Transfers</v>
      </c>
    </row>
    <row r="548" spans="1:10" x14ac:dyDescent="0.25">
      <c r="A548" s="8" t="str">
        <f>'2025_Chase9335_Activity_2026062'!A548</f>
        <v>DEBIT</v>
      </c>
      <c r="B548" s="24">
        <f>'2025_Chase9335_Activity_2026062'!B548</f>
        <v>45790</v>
      </c>
      <c r="C548" s="8" t="str">
        <f>'2025_Chase9335_Activity_2026062'!C548</f>
        <v>Online Transfer to CHK ...9082 transaction#: 24755002378 05/13</v>
      </c>
      <c r="D548" s="8">
        <f>'2025_Chase9335_Activity_2026062'!D548</f>
        <v>-17500</v>
      </c>
      <c r="E548" s="8" t="str">
        <f>'2025_Chase9335_Activity_2026062'!E548</f>
        <v>ACCT_XFER</v>
      </c>
      <c r="F548" s="8">
        <f>'2025_Chase9335_Activity_2026062'!F548</f>
        <v>245684.6</v>
      </c>
      <c r="G548" s="8" t="str">
        <f>'2025_Chase9335_Activity_2026062'!G548</f>
        <v>Transfer to Hibbert</v>
      </c>
      <c r="H548" s="26">
        <f t="shared" si="8"/>
        <v>45778</v>
      </c>
      <c r="I548" s="8" t="str">
        <f>IF($G548="","Uncategorized — Review",IFERROR(_xlfn.XLOOKUP($G548,Mapping!$A:$A,Mapping!$B:$B),"Uncategorized — Review"))</f>
        <v>Transfer to Hibbert</v>
      </c>
      <c r="J548" s="8" t="str">
        <f>IF($G548="","Uncategorized — Review",IFERROR(_xlfn.XLOOKUP($G548,Mapping!$A:$A,Mapping!$C:$C),"Uncategorized — Review"))</f>
        <v>Intercompany &amp; Savings Transfers</v>
      </c>
    </row>
    <row r="549" spans="1:10" x14ac:dyDescent="0.25">
      <c r="A549" s="8" t="str">
        <f>'2025_Chase9335_Activity_2026062'!A549</f>
        <v>DEBIT</v>
      </c>
      <c r="B549" s="24">
        <f>'2025_Chase9335_Activity_2026062'!B549</f>
        <v>45790</v>
      </c>
      <c r="C549" s="8" t="str">
        <f>'2025_Chase9335_Activity_2026062'!C549</f>
        <v>Online Transfer to CHK ...1168 transaction#: 24752137717 05/13</v>
      </c>
      <c r="D549" s="8">
        <f>'2025_Chase9335_Activity_2026062'!D549</f>
        <v>-10000</v>
      </c>
      <c r="E549" s="8" t="str">
        <f>'2025_Chase9335_Activity_2026062'!E549</f>
        <v>ACCT_XFER</v>
      </c>
      <c r="F549" s="8">
        <f>'2025_Chase9335_Activity_2026062'!F549</f>
        <v>263184.59999999998</v>
      </c>
      <c r="G549" s="8" t="str">
        <f>'2025_Chase9335_Activity_2026062'!G549</f>
        <v>Transfer to DWG Capital Group</v>
      </c>
      <c r="H549" s="26">
        <f t="shared" si="8"/>
        <v>45778</v>
      </c>
      <c r="I549" s="8" t="str">
        <f>IF($G549="","Uncategorized — Review",IFERROR(_xlfn.XLOOKUP($G549,Mapping!$A:$A,Mapping!$B:$B),"Uncategorized — Review"))</f>
        <v>Transfer to DWG Capital Group</v>
      </c>
      <c r="J549" s="8" t="str">
        <f>IF($G549="","Uncategorized — Review",IFERROR(_xlfn.XLOOKUP($G549,Mapping!$A:$A,Mapping!$C:$C),"Uncategorized — Review"))</f>
        <v>Intercompany &amp; Savings Transfers</v>
      </c>
    </row>
    <row r="550" spans="1:10" x14ac:dyDescent="0.25">
      <c r="A550" s="8" t="str">
        <f>'2025_Chase9335_Activity_2026062'!A550</f>
        <v>DEBIT</v>
      </c>
      <c r="B550" s="24">
        <f>'2025_Chase9335_Activity_2026062'!B550</f>
        <v>45789</v>
      </c>
      <c r="C550" s="8" t="str">
        <f>'2025_Chase9335_Activity_2026062'!C550</f>
        <v>BLOOMBERG* 37033964 BLOOMBERG.COM NY         05/12</v>
      </c>
      <c r="D550" s="8">
        <f>'2025_Chase9335_Activity_2026062'!D550</f>
        <v>-19.989999999999998</v>
      </c>
      <c r="E550" s="8" t="str">
        <f>'2025_Chase9335_Activity_2026062'!E550</f>
        <v>DEBIT_CARD</v>
      </c>
      <c r="F550" s="8">
        <f>'2025_Chase9335_Activity_2026062'!F550</f>
        <v>273184.59999999998</v>
      </c>
      <c r="G550" s="8" t="str">
        <f>'2025_Chase9335_Activity_2026062'!G550</f>
        <v>Personal - Subscriptions</v>
      </c>
      <c r="H550" s="26">
        <f t="shared" si="8"/>
        <v>45778</v>
      </c>
      <c r="I550" s="8" t="str">
        <f>IF($G550="","Uncategorized — Review",IFERROR(_xlfn.XLOOKUP($G550,Mapping!$A:$A,Mapping!$B:$B),"Uncategorized — Review"))</f>
        <v>Personal - Subscriptions</v>
      </c>
      <c r="J550" s="8" t="str">
        <f>IF($G550="","Uncategorized — Review",IFERROR(_xlfn.XLOOKUP($G550,Mapping!$A:$A,Mapping!$C:$C),"Uncategorized — Review"))</f>
        <v>Personal — Owner</v>
      </c>
    </row>
    <row r="551" spans="1:10" x14ac:dyDescent="0.25">
      <c r="A551" s="8" t="str">
        <f>'2025_Chase9335_Activity_2026062'!A551</f>
        <v>DEBIT</v>
      </c>
      <c r="B551" s="24">
        <f>'2025_Chase9335_Activity_2026062'!B551</f>
        <v>45789</v>
      </c>
      <c r="C551" s="8" t="str">
        <f>'2025_Chase9335_Activity_2026062'!C551</f>
        <v>Prime Video *NI6RH5MH 888-802-3080 WA        05/11</v>
      </c>
      <c r="D551" s="8">
        <f>'2025_Chase9335_Activity_2026062'!D551</f>
        <v>-10.66</v>
      </c>
      <c r="E551" s="8" t="str">
        <f>'2025_Chase9335_Activity_2026062'!E551</f>
        <v>DEBIT_CARD</v>
      </c>
      <c r="F551" s="8">
        <f>'2025_Chase9335_Activity_2026062'!F551</f>
        <v>273204.59000000003</v>
      </c>
      <c r="G551" s="8" t="str">
        <f>'2025_Chase9335_Activity_2026062'!G551</f>
        <v>Amazon Prime Video</v>
      </c>
      <c r="H551" s="26">
        <f t="shared" si="8"/>
        <v>45778</v>
      </c>
      <c r="I551" s="8" t="str">
        <f>IF($G551="","Uncategorized — Review",IFERROR(_xlfn.XLOOKUP($G551,Mapping!$A:$A,Mapping!$B:$B),"Uncategorized — Review"))</f>
        <v>Amazon Prime Video</v>
      </c>
      <c r="J551" s="8" t="str">
        <f>IF($G551="","Uncategorized — Review",IFERROR(_xlfn.XLOOKUP($G551,Mapping!$A:$A,Mapping!$C:$C),"Uncategorized — Review"))</f>
        <v>Personal — Owner</v>
      </c>
    </row>
    <row r="552" spans="1:10" x14ac:dyDescent="0.25">
      <c r="A552" s="8" t="str">
        <f>'2025_Chase9335_Activity_2026062'!A552</f>
        <v>DEBIT</v>
      </c>
      <c r="B552" s="24">
        <f>'2025_Chase9335_Activity_2026062'!B552</f>
        <v>45789</v>
      </c>
      <c r="C552" s="8" t="str">
        <f>'2025_Chase9335_Activity_2026062'!C552</f>
        <v>APPLE.COM/BILL 866-712-7753 CA               05/11</v>
      </c>
      <c r="D552" s="8">
        <f>'2025_Chase9335_Activity_2026062'!D552</f>
        <v>-30.89</v>
      </c>
      <c r="E552" s="8" t="str">
        <f>'2025_Chase9335_Activity_2026062'!E552</f>
        <v>DEBIT_CARD</v>
      </c>
      <c r="F552" s="8">
        <f>'2025_Chase9335_Activity_2026062'!F552</f>
        <v>273215.25</v>
      </c>
      <c r="G552" s="8" t="str">
        <f>'2025_Chase9335_Activity_2026062'!G552</f>
        <v>Personal - Subscriptions</v>
      </c>
      <c r="H552" s="26">
        <f t="shared" si="8"/>
        <v>45778</v>
      </c>
      <c r="I552" s="8" t="str">
        <f>IF($G552="","Uncategorized — Review",IFERROR(_xlfn.XLOOKUP($G552,Mapping!$A:$A,Mapping!$B:$B),"Uncategorized — Review"))</f>
        <v>Personal - Subscriptions</v>
      </c>
      <c r="J552" s="8" t="str">
        <f>IF($G552="","Uncategorized — Review",IFERROR(_xlfn.XLOOKUP($G552,Mapping!$A:$A,Mapping!$C:$C),"Uncategorized — Review"))</f>
        <v>Personal — Owner</v>
      </c>
    </row>
    <row r="553" spans="1:10" x14ac:dyDescent="0.25">
      <c r="A553" s="8" t="str">
        <f>'2025_Chase9335_Activity_2026062'!A553</f>
        <v>DEBIT</v>
      </c>
      <c r="B553" s="24">
        <f>'2025_Chase9335_Activity_2026062'!B553</f>
        <v>45789</v>
      </c>
      <c r="C553" s="8" t="str">
        <f>'2025_Chase9335_Activity_2026062'!C553</f>
        <v>AMAZON MKTPL*NI8900T Amzn.com/bill WA        05/10</v>
      </c>
      <c r="D553" s="8">
        <f>'2025_Chase9335_Activity_2026062'!D553</f>
        <v>-16.46</v>
      </c>
      <c r="E553" s="8" t="str">
        <f>'2025_Chase9335_Activity_2026062'!E553</f>
        <v>DEBIT_CARD</v>
      </c>
      <c r="F553" s="8">
        <f>'2025_Chase9335_Activity_2026062'!F553</f>
        <v>273246.14</v>
      </c>
      <c r="G553" s="8" t="str">
        <f>'2025_Chase9335_Activity_2026062'!G553</f>
        <v>Amazon</v>
      </c>
      <c r="H553" s="26">
        <f t="shared" si="8"/>
        <v>45778</v>
      </c>
      <c r="I553" s="8" t="str">
        <f>IF($G553="","Uncategorized — Review",IFERROR(_xlfn.XLOOKUP($G553,Mapping!$A:$A,Mapping!$B:$B),"Uncategorized — Review"))</f>
        <v>Amazon</v>
      </c>
      <c r="J553" s="8" t="str">
        <f>IF($G553="","Uncategorized — Review",IFERROR(_xlfn.XLOOKUP($G553,Mapping!$A:$A,Mapping!$C:$C),"Uncategorized — Review"))</f>
        <v>Personal — Owner</v>
      </c>
    </row>
    <row r="554" spans="1:10" x14ac:dyDescent="0.25">
      <c r="A554" s="8" t="str">
        <f>'2025_Chase9335_Activity_2026062'!A554</f>
        <v>DEBIT</v>
      </c>
      <c r="B554" s="24">
        <f>'2025_Chase9335_Activity_2026062'!B554</f>
        <v>45789</v>
      </c>
      <c r="C554" s="8" t="str">
        <f>'2025_Chase9335_Activity_2026062'!C554</f>
        <v>CITY OF SANTA MONICA SANTA MONICA CA         05/09</v>
      </c>
      <c r="D554" s="8">
        <f>'2025_Chase9335_Activity_2026062'!D554</f>
        <v>-1.25</v>
      </c>
      <c r="E554" s="8" t="str">
        <f>'2025_Chase9335_Activity_2026062'!E554</f>
        <v>DEBIT_CARD</v>
      </c>
      <c r="F554" s="8">
        <f>'2025_Chase9335_Activity_2026062'!F554</f>
        <v>273262.59999999998</v>
      </c>
      <c r="G554" s="8" t="str">
        <f>'2025_Chase9335_Activity_2026062'!G554</f>
        <v>Personal - Car</v>
      </c>
      <c r="H554" s="26">
        <f t="shared" si="8"/>
        <v>45778</v>
      </c>
      <c r="I554" s="8" t="str">
        <f>IF($G554="","Uncategorized — Review",IFERROR(_xlfn.XLOOKUP($G554,Mapping!$A:$A,Mapping!$B:$B),"Uncategorized — Review"))</f>
        <v>Personal - Car &amp; Auto</v>
      </c>
      <c r="J554" s="8" t="str">
        <f>IF($G554="","Uncategorized — Review",IFERROR(_xlfn.XLOOKUP($G554,Mapping!$A:$A,Mapping!$C:$C),"Uncategorized — Review"))</f>
        <v>Personal — Owner</v>
      </c>
    </row>
    <row r="555" spans="1:10" x14ac:dyDescent="0.25">
      <c r="A555" s="8" t="str">
        <f>'2025_Chase9335_Activity_2026062'!A555</f>
        <v>DEBIT</v>
      </c>
      <c r="B555" s="24">
        <f>'2025_Chase9335_Activity_2026062'!B555</f>
        <v>45786</v>
      </c>
      <c r="C555" s="8" t="str">
        <f>'2025_Chase9335_Activity_2026062'!C555</f>
        <v>ONLINE DOMESTIC WIRE FEE</v>
      </c>
      <c r="D555" s="8">
        <f>'2025_Chase9335_Activity_2026062'!D555</f>
        <v>-25</v>
      </c>
      <c r="E555" s="8" t="str">
        <f>'2025_Chase9335_Activity_2026062'!E555</f>
        <v>FEE_TRANSACTION</v>
      </c>
      <c r="F555" s="8">
        <f>'2025_Chase9335_Activity_2026062'!F555</f>
        <v>273263.84999999998</v>
      </c>
      <c r="G555" s="8" t="str">
        <f>'2025_Chase9335_Activity_2026062'!G555</f>
        <v>Bank Fees</v>
      </c>
      <c r="H555" s="26">
        <f t="shared" si="8"/>
        <v>45778</v>
      </c>
      <c r="I555" s="8" t="str">
        <f>IF($G555="","Uncategorized — Review",IFERROR(_xlfn.XLOOKUP($G555,Mapping!$A:$A,Mapping!$B:$B),"Uncategorized — Review"))</f>
        <v>Bank Fees</v>
      </c>
      <c r="J555" s="8" t="str">
        <f>IF($G555="","Uncategorized — Review",IFERROR(_xlfn.XLOOKUP($G555,Mapping!$A:$A,Mapping!$C:$C),"Uncategorized — Review"))</f>
        <v>DWG Operating</v>
      </c>
    </row>
    <row r="556" spans="1:10" x14ac:dyDescent="0.25">
      <c r="A556" s="8" t="str">
        <f>'2025_Chase9335_Activity_2026062'!A556</f>
        <v>DEBIT</v>
      </c>
      <c r="B556" s="24">
        <f>'2025_Chase9335_Activity_2026062'!B556</f>
        <v>45786</v>
      </c>
      <c r="C556" s="8" t="str">
        <f>'2025_Chase9335_Activity_2026062'!C556</f>
        <v>ONLINE DOMESTIC WIRE TRANSFER A/C: ADMEER ADVISORY, LLC DANA POINT CA 92629-3313 US REF: CONSULTANT FEE TRN: 3485495129ES 05/09</v>
      </c>
      <c r="D556" s="8">
        <f>'2025_Chase9335_Activity_2026062'!D556</f>
        <v>-2500</v>
      </c>
      <c r="E556" s="8" t="str">
        <f>'2025_Chase9335_Activity_2026062'!E556</f>
        <v>WIRE_OUTGOING</v>
      </c>
      <c r="F556" s="8">
        <f>'2025_Chase9335_Activity_2026062'!F556</f>
        <v>273288.84999999998</v>
      </c>
      <c r="G556" s="8" t="str">
        <f>'2025_Chase9335_Activity_2026062'!G556</f>
        <v>MAG - Admeer Advisory Transfer</v>
      </c>
      <c r="H556" s="26">
        <f t="shared" si="8"/>
        <v>45778</v>
      </c>
      <c r="I556" s="8" t="str">
        <f>IF($G556="","Uncategorized — Review",IFERROR(_xlfn.XLOOKUP($G556,Mapping!$A:$A,Mapping!$B:$B),"Uncategorized — Review"))</f>
        <v>MAG - Admeer Advisory Transfer</v>
      </c>
      <c r="J556" s="8" t="str">
        <f>IF($G556="","Uncategorized — Review",IFERROR(_xlfn.XLOOKUP($G556,Mapping!$A:$A,Mapping!$C:$C),"Uncategorized — Review"))</f>
        <v>MAG Pass-Through</v>
      </c>
    </row>
    <row r="557" spans="1:10" x14ac:dyDescent="0.25">
      <c r="A557" s="8" t="str">
        <f>'2025_Chase9335_Activity_2026062'!A557</f>
        <v>DEBIT</v>
      </c>
      <c r="B557" s="24">
        <f>'2025_Chase9335_Activity_2026062'!B557</f>
        <v>45786</v>
      </c>
      <c r="C557" s="8" t="str">
        <f>'2025_Chase9335_Activity_2026062'!C557</f>
        <v>Prime Video *NI7NH748 888-802-3080 WA        05/09</v>
      </c>
      <c r="D557" s="8">
        <f>'2025_Chase9335_Activity_2026062'!D557</f>
        <v>-21.34</v>
      </c>
      <c r="E557" s="8" t="str">
        <f>'2025_Chase9335_Activity_2026062'!E557</f>
        <v>DEBIT_CARD</v>
      </c>
      <c r="F557" s="8">
        <f>'2025_Chase9335_Activity_2026062'!F557</f>
        <v>275788.84999999998</v>
      </c>
      <c r="G557" s="8" t="str">
        <f>'2025_Chase9335_Activity_2026062'!G557</f>
        <v>Amazon Prime Video</v>
      </c>
      <c r="H557" s="26">
        <f t="shared" si="8"/>
        <v>45778</v>
      </c>
      <c r="I557" s="8" t="str">
        <f>IF($G557="","Uncategorized — Review",IFERROR(_xlfn.XLOOKUP($G557,Mapping!$A:$A,Mapping!$B:$B),"Uncategorized — Review"))</f>
        <v>Amazon Prime Video</v>
      </c>
      <c r="J557" s="8" t="str">
        <f>IF($G557="","Uncategorized — Review",IFERROR(_xlfn.XLOOKUP($G557,Mapping!$A:$A,Mapping!$C:$C),"Uncategorized — Review"))</f>
        <v>Personal — Owner</v>
      </c>
    </row>
    <row r="558" spans="1:10" x14ac:dyDescent="0.25">
      <c r="A558" s="8" t="str">
        <f>'2025_Chase9335_Activity_2026062'!A558</f>
        <v>DEBIT</v>
      </c>
      <c r="B558" s="24">
        <f>'2025_Chase9335_Activity_2026062'!B558</f>
        <v>45785</v>
      </c>
      <c r="C558" s="8" t="str">
        <f>'2025_Chase9335_Activity_2026062'!C558</f>
        <v>AMZ*Emergent Devices pay.amazon.co PA        05/08</v>
      </c>
      <c r="D558" s="8">
        <f>'2025_Chase9335_Activity_2026062'!D558</f>
        <v>-148.06</v>
      </c>
      <c r="E558" s="8" t="str">
        <f>'2025_Chase9335_Activity_2026062'!E558</f>
        <v>DEBIT_CARD</v>
      </c>
      <c r="F558" s="8">
        <f>'2025_Chase9335_Activity_2026062'!F558</f>
        <v>275810.19</v>
      </c>
      <c r="G558" s="8" t="str">
        <f>'2025_Chase9335_Activity_2026062'!G558</f>
        <v>Amazon</v>
      </c>
      <c r="H558" s="26">
        <f t="shared" si="8"/>
        <v>45778</v>
      </c>
      <c r="I558" s="8" t="str">
        <f>IF($G558="","Uncategorized — Review",IFERROR(_xlfn.XLOOKUP($G558,Mapping!$A:$A,Mapping!$B:$B),"Uncategorized — Review"))</f>
        <v>Amazon</v>
      </c>
      <c r="J558" s="8" t="str">
        <f>IF($G558="","Uncategorized — Review",IFERROR(_xlfn.XLOOKUP($G558,Mapping!$A:$A,Mapping!$C:$C),"Uncategorized — Review"))</f>
        <v>Personal — Owner</v>
      </c>
    </row>
    <row r="559" spans="1:10" x14ac:dyDescent="0.25">
      <c r="A559" s="8" t="str">
        <f>'2025_Chase9335_Activity_2026062'!A559</f>
        <v>CREDIT</v>
      </c>
      <c r="B559" s="24">
        <f>'2025_Chase9335_Activity_2026062'!B559</f>
        <v>45785</v>
      </c>
      <c r="C559" s="8" t="str">
        <f>'2025_Chase9335_Activity_2026062'!C559</f>
        <v>ORIG CO NAME:T and T Machine        ORIG ID:945440567  DESC DATE:       CO ENTRY DESCR:PAYMENT   SEC:PPD    TRACE#:273976362881825 EED:250508   IND ID:                             IND NAME:John Dunning TRN: 1282881825TC</v>
      </c>
      <c r="D559" s="8">
        <f>'2025_Chase9335_Activity_2026062'!D559</f>
        <v>356.38</v>
      </c>
      <c r="E559" s="8" t="str">
        <f>'2025_Chase9335_Activity_2026062'!E559</f>
        <v>ACH_CREDIT</v>
      </c>
      <c r="F559" s="8">
        <f>'2025_Chase9335_Activity_2026062'!F559</f>
        <v>275958.25</v>
      </c>
      <c r="G559" s="8" t="str">
        <f>'2025_Chase9335_Activity_2026062'!G559</f>
        <v>Deal Specific: T&amp;T Machine</v>
      </c>
      <c r="H559" s="26">
        <f t="shared" si="8"/>
        <v>45778</v>
      </c>
      <c r="I559" s="8" t="str">
        <f>IF($G559="","Uncategorized — Review",IFERROR(_xlfn.XLOOKUP($G559,Mapping!$A:$A,Mapping!$B:$B),"Uncategorized — Review"))</f>
        <v>Deal Specific: T&amp;T Machine</v>
      </c>
      <c r="J559" s="8" t="str">
        <f>IF($G559="","Uncategorized — Review",IFERROR(_xlfn.XLOOKUP($G559,Mapping!$A:$A,Mapping!$C:$C),"Uncategorized — Review"))</f>
        <v>Deal-Specific</v>
      </c>
    </row>
    <row r="560" spans="1:10" x14ac:dyDescent="0.25">
      <c r="A560" s="8" t="str">
        <f>'2025_Chase9335_Activity_2026062'!A560</f>
        <v>DEBIT</v>
      </c>
      <c r="B560" s="24">
        <f>'2025_Chase9335_Activity_2026062'!B560</f>
        <v>45784</v>
      </c>
      <c r="C560" s="8" t="str">
        <f>'2025_Chase9335_Activity_2026062'!C560</f>
        <v>Online Transfer to CHK ...1168 transaction#: 24678752814 05/07</v>
      </c>
      <c r="D560" s="8">
        <f>'2025_Chase9335_Activity_2026062'!D560</f>
        <v>-10000</v>
      </c>
      <c r="E560" s="8" t="str">
        <f>'2025_Chase9335_Activity_2026062'!E560</f>
        <v>ACCT_XFER</v>
      </c>
      <c r="F560" s="8">
        <f>'2025_Chase9335_Activity_2026062'!F560</f>
        <v>275601.87</v>
      </c>
      <c r="G560" s="8" t="str">
        <f>'2025_Chase9335_Activity_2026062'!G560</f>
        <v>Transfer to DWG Capital Group</v>
      </c>
      <c r="H560" s="26">
        <f t="shared" si="8"/>
        <v>45778</v>
      </c>
      <c r="I560" s="8" t="str">
        <f>IF($G560="","Uncategorized — Review",IFERROR(_xlfn.XLOOKUP($G560,Mapping!$A:$A,Mapping!$B:$B),"Uncategorized — Review"))</f>
        <v>Transfer to DWG Capital Group</v>
      </c>
      <c r="J560" s="8" t="str">
        <f>IF($G560="","Uncategorized — Review",IFERROR(_xlfn.XLOOKUP($G560,Mapping!$A:$A,Mapping!$C:$C),"Uncategorized — Review"))</f>
        <v>Intercompany &amp; Savings Transfers</v>
      </c>
    </row>
    <row r="561" spans="1:10" x14ac:dyDescent="0.25">
      <c r="A561" s="8" t="str">
        <f>'2025_Chase9335_Activity_2026062'!A561</f>
        <v>DEBIT</v>
      </c>
      <c r="B561" s="24">
        <f>'2025_Chase9335_Activity_2026062'!B561</f>
        <v>45784</v>
      </c>
      <c r="C561" s="8" t="str">
        <f>'2025_Chase9335_Activity_2026062'!C561</f>
        <v>APPLE.COM/BILL 866-712-7753 CA               05/06</v>
      </c>
      <c r="D561" s="8">
        <f>'2025_Chase9335_Activity_2026062'!D561</f>
        <v>-9.99</v>
      </c>
      <c r="E561" s="8" t="str">
        <f>'2025_Chase9335_Activity_2026062'!E561</f>
        <v>DEBIT_CARD</v>
      </c>
      <c r="F561" s="8">
        <f>'2025_Chase9335_Activity_2026062'!F561</f>
        <v>285601.87</v>
      </c>
      <c r="G561" s="8" t="str">
        <f>'2025_Chase9335_Activity_2026062'!G561</f>
        <v>Personal - Subscriptions</v>
      </c>
      <c r="H561" s="26">
        <f t="shared" si="8"/>
        <v>45778</v>
      </c>
      <c r="I561" s="8" t="str">
        <f>IF($G561="","Uncategorized — Review",IFERROR(_xlfn.XLOOKUP($G561,Mapping!$A:$A,Mapping!$B:$B),"Uncategorized — Review"))</f>
        <v>Personal - Subscriptions</v>
      </c>
      <c r="J561" s="8" t="str">
        <f>IF($G561="","Uncategorized — Review",IFERROR(_xlfn.XLOOKUP($G561,Mapping!$A:$A,Mapping!$C:$C),"Uncategorized — Review"))</f>
        <v>Personal — Owner</v>
      </c>
    </row>
    <row r="562" spans="1:10" x14ac:dyDescent="0.25">
      <c r="A562" s="8" t="str">
        <f>'2025_Chase9335_Activity_2026062'!A562</f>
        <v>CREDIT</v>
      </c>
      <c r="B562" s="24">
        <f>'2025_Chase9335_Activity_2026062'!B562</f>
        <v>45784</v>
      </c>
      <c r="C562" s="8" t="str">
        <f>'2025_Chase9335_Activity_2026062'!C562</f>
        <v>ORIG CO NAME:MRM Industrial P       ORIG ID:945440567  DESC DATE:       CO ENTRY DESCR:PAYMENT   SEC:PPD    TRACE#:273976366395232 EED:250507   IND ID:                             IND NAME:John Dunning TRN: 1276395232TC</v>
      </c>
      <c r="D562" s="8">
        <f>'2025_Chase9335_Activity_2026062'!D562</f>
        <v>236.37</v>
      </c>
      <c r="E562" s="8" t="str">
        <f>'2025_Chase9335_Activity_2026062'!E562</f>
        <v>ACH_CREDIT</v>
      </c>
      <c r="F562" s="8">
        <f>'2025_Chase9335_Activity_2026062'!F562</f>
        <v>285611.86</v>
      </c>
      <c r="G562" s="8" t="str">
        <f>'2025_Chase9335_Activity_2026062'!G562</f>
        <v>Deal Specific: MRM</v>
      </c>
      <c r="H562" s="26">
        <f t="shared" si="8"/>
        <v>45778</v>
      </c>
      <c r="I562" s="8" t="str">
        <f>IF($G562="","Uncategorized — Review",IFERROR(_xlfn.XLOOKUP($G562,Mapping!$A:$A,Mapping!$B:$B),"Uncategorized — Review"))</f>
        <v>Deal Specific: MRM</v>
      </c>
      <c r="J562" s="8" t="str">
        <f>IF($G562="","Uncategorized — Review",IFERROR(_xlfn.XLOOKUP($G562,Mapping!$A:$A,Mapping!$C:$C),"Uncategorized — Review"))</f>
        <v>Deal-Specific</v>
      </c>
    </row>
    <row r="563" spans="1:10" x14ac:dyDescent="0.25">
      <c r="A563" s="8" t="str">
        <f>'2025_Chase9335_Activity_2026062'!A563</f>
        <v>CREDIT</v>
      </c>
      <c r="B563" s="24">
        <f>'2025_Chase9335_Activity_2026062'!B563</f>
        <v>45784</v>
      </c>
      <c r="C563" s="8" t="str">
        <f>'2025_Chase9335_Activity_2026062'!C563</f>
        <v>ORIG CO NAME:Austin Iron Hold       ORIG ID:945440567  DESC DATE:       CO ENTRY DESCR:PAYMENT   SEC:PPD    TRACE#:273976366394948 EED:250507   IND ID:                             IND NAME:John Dunning TRN: 1276394948TC</v>
      </c>
      <c r="D563" s="8">
        <f>'2025_Chase9335_Activity_2026062'!D563</f>
        <v>350</v>
      </c>
      <c r="E563" s="8" t="str">
        <f>'2025_Chase9335_Activity_2026062'!E563</f>
        <v>ACH_CREDIT</v>
      </c>
      <c r="F563" s="8">
        <f>'2025_Chase9335_Activity_2026062'!F563</f>
        <v>285375.49</v>
      </c>
      <c r="G563" s="8" t="str">
        <f>'2025_Chase9335_Activity_2026062'!G563</f>
        <v>Deal Specific: Austin Iron</v>
      </c>
      <c r="H563" s="26">
        <f t="shared" si="8"/>
        <v>45778</v>
      </c>
      <c r="I563" s="8" t="str">
        <f>IF($G563="","Uncategorized — Review",IFERROR(_xlfn.XLOOKUP($G563,Mapping!$A:$A,Mapping!$B:$B),"Uncategorized — Review"))</f>
        <v>Deal Specific: Austin Iron</v>
      </c>
      <c r="J563" s="8" t="str">
        <f>IF($G563="","Uncategorized — Review",IFERROR(_xlfn.XLOOKUP($G563,Mapping!$A:$A,Mapping!$C:$C),"Uncategorized — Review"))</f>
        <v>Deal-Specific</v>
      </c>
    </row>
    <row r="564" spans="1:10" x14ac:dyDescent="0.25">
      <c r="A564" s="8" t="str">
        <f>'2025_Chase9335_Activity_2026062'!A564</f>
        <v>CREDIT</v>
      </c>
      <c r="B564" s="24">
        <f>'2025_Chase9335_Activity_2026062'!B564</f>
        <v>45784</v>
      </c>
      <c r="C564" s="8" t="str">
        <f>'2025_Chase9335_Activity_2026062'!C564</f>
        <v>ORIG CO NAME:Merit-Lancaster        ORIG ID:945440567  DESC DATE:       CO ENTRY DESCR:PAYMENT   SEC:PPD    TRACE#:273976366395411 EED:250507   IND ID:                             IND NAME:John Dunning TRN: 1276395411TC</v>
      </c>
      <c r="D564" s="8">
        <f>'2025_Chase9335_Activity_2026062'!D564</f>
        <v>476.41</v>
      </c>
      <c r="E564" s="8" t="str">
        <f>'2025_Chase9335_Activity_2026062'!E564</f>
        <v>ACH_CREDIT</v>
      </c>
      <c r="F564" s="8">
        <f>'2025_Chase9335_Activity_2026062'!F564</f>
        <v>285025.49</v>
      </c>
      <c r="G564" s="8" t="str">
        <f>'2025_Chase9335_Activity_2026062'!G564</f>
        <v>Deal Specific: Merit-Lancaster</v>
      </c>
      <c r="H564" s="26">
        <f t="shared" si="8"/>
        <v>45778</v>
      </c>
      <c r="I564" s="8" t="str">
        <f>IF($G564="","Uncategorized — Review",IFERROR(_xlfn.XLOOKUP($G564,Mapping!$A:$A,Mapping!$B:$B),"Uncategorized — Review"))</f>
        <v>Deal Specific: Merit-Lancaster</v>
      </c>
      <c r="J564" s="8" t="str">
        <f>IF($G564="","Uncategorized — Review",IFERROR(_xlfn.XLOOKUP($G564,Mapping!$A:$A,Mapping!$C:$C),"Uncategorized — Review"))</f>
        <v>Deal-Specific</v>
      </c>
    </row>
    <row r="565" spans="1:10" x14ac:dyDescent="0.25">
      <c r="A565" s="8" t="str">
        <f>'2025_Chase9335_Activity_2026062'!A565</f>
        <v>DEBIT</v>
      </c>
      <c r="B565" s="24">
        <f>'2025_Chase9335_Activity_2026062'!B565</f>
        <v>45783</v>
      </c>
      <c r="C565" s="8" t="str">
        <f>'2025_Chase9335_Activity_2026062'!C565</f>
        <v>LADOT METER PARKING LOS ANGELES CA           05/05</v>
      </c>
      <c r="D565" s="8">
        <f>'2025_Chase9335_Activity_2026062'!D565</f>
        <v>-2</v>
      </c>
      <c r="E565" s="8" t="str">
        <f>'2025_Chase9335_Activity_2026062'!E565</f>
        <v>DEBIT_CARD</v>
      </c>
      <c r="F565" s="8">
        <f>'2025_Chase9335_Activity_2026062'!F565</f>
        <v>284549.08</v>
      </c>
      <c r="G565" s="8" t="str">
        <f>'2025_Chase9335_Activity_2026062'!G565</f>
        <v>Personal - Car</v>
      </c>
      <c r="H565" s="26">
        <f t="shared" si="8"/>
        <v>45778</v>
      </c>
      <c r="I565" s="8" t="str">
        <f>IF($G565="","Uncategorized — Review",IFERROR(_xlfn.XLOOKUP($G565,Mapping!$A:$A,Mapping!$B:$B),"Uncategorized — Review"))</f>
        <v>Personal - Car &amp; Auto</v>
      </c>
      <c r="J565" s="8" t="str">
        <f>IF($G565="","Uncategorized — Review",IFERROR(_xlfn.XLOOKUP($G565,Mapping!$A:$A,Mapping!$C:$C),"Uncategorized — Review"))</f>
        <v>Personal — Owner</v>
      </c>
    </row>
    <row r="566" spans="1:10" x14ac:dyDescent="0.25">
      <c r="A566" s="8" t="str">
        <f>'2025_Chase9335_Activity_2026062'!A566</f>
        <v>DEBIT</v>
      </c>
      <c r="B566" s="24">
        <f>'2025_Chase9335_Activity_2026062'!B566</f>
        <v>45782</v>
      </c>
      <c r="C566" s="8" t="str">
        <f>'2025_Chase9335_Activity_2026062'!C566</f>
        <v>ORIG CO NAME:AMERICAN EXPRESS       ORIG ID:2005032111 DESC DATE:250505 CO ENTRY DESCR:ACH PMT   SEC:CCD    TRACE#:021000025562928 EED:250505   IND ID:S0208                        IND NAME:JOHN DUNNING                                                                                                 ER AM TRN: 1255562928TC</v>
      </c>
      <c r="D566" s="8">
        <f>'2025_Chase9335_Activity_2026062'!D566</f>
        <v>-8226.61</v>
      </c>
      <c r="E566" s="8" t="str">
        <f>'2025_Chase9335_Activity_2026062'!E566</f>
        <v>ACH_DEBIT</v>
      </c>
      <c r="F566" s="8">
        <f>'2025_Chase9335_Activity_2026062'!F566</f>
        <v>284551.08</v>
      </c>
      <c r="G566" s="8" t="str">
        <f>'2025_Chase9335_Activity_2026062'!G566</f>
        <v>American Express Credit Card PMT</v>
      </c>
      <c r="H566" s="26">
        <f t="shared" si="8"/>
        <v>45778</v>
      </c>
      <c r="I566" s="8" t="str">
        <f>IF($G566="","Uncategorized — Review",IFERROR(_xlfn.XLOOKUP($G566,Mapping!$A:$A,Mapping!$B:$B),"Uncategorized — Review"))</f>
        <v>American Express Credit Card PMT</v>
      </c>
      <c r="J566" s="8" t="str">
        <f>IF($G566="","Uncategorized — Review",IFERROR(_xlfn.XLOOKUP($G566,Mapping!$A:$A,Mapping!$C:$C),"Uncategorized — Review"))</f>
        <v>Credit Card &amp; Loan Payments</v>
      </c>
    </row>
    <row r="567" spans="1:10" x14ac:dyDescent="0.25">
      <c r="A567" s="8" t="str">
        <f>'2025_Chase9335_Activity_2026062'!A567</f>
        <v>DEBIT</v>
      </c>
      <c r="B567" s="24">
        <f>'2025_Chase9335_Activity_2026062'!B567</f>
        <v>45782</v>
      </c>
      <c r="C567" s="8" t="str">
        <f>'2025_Chase9335_Activity_2026062'!C567</f>
        <v>Prime Video *NB30Q0T2 888-802-3080 WA        05/04</v>
      </c>
      <c r="D567" s="8">
        <f>'2025_Chase9335_Activity_2026062'!D567</f>
        <v>-6.39</v>
      </c>
      <c r="E567" s="8" t="str">
        <f>'2025_Chase9335_Activity_2026062'!E567</f>
        <v>DEBIT_CARD</v>
      </c>
      <c r="F567" s="8">
        <f>'2025_Chase9335_Activity_2026062'!F567</f>
        <v>292777.69</v>
      </c>
      <c r="G567" s="8" t="str">
        <f>'2025_Chase9335_Activity_2026062'!G567</f>
        <v>Amazon Prime Video</v>
      </c>
      <c r="H567" s="26">
        <f t="shared" si="8"/>
        <v>45778</v>
      </c>
      <c r="I567" s="8" t="str">
        <f>IF($G567="","Uncategorized — Review",IFERROR(_xlfn.XLOOKUP($G567,Mapping!$A:$A,Mapping!$B:$B),"Uncategorized — Review"))</f>
        <v>Amazon Prime Video</v>
      </c>
      <c r="J567" s="8" t="str">
        <f>IF($G567="","Uncategorized — Review",IFERROR(_xlfn.XLOOKUP($G567,Mapping!$A:$A,Mapping!$C:$C),"Uncategorized — Review"))</f>
        <v>Personal — Owner</v>
      </c>
    </row>
    <row r="568" spans="1:10" x14ac:dyDescent="0.25">
      <c r="A568" s="8" t="str">
        <f>'2025_Chase9335_Activity_2026062'!A568</f>
        <v>DEBIT</v>
      </c>
      <c r="B568" s="24">
        <f>'2025_Chase9335_Activity_2026062'!B568</f>
        <v>45782</v>
      </c>
      <c r="C568" s="8" t="str">
        <f>'2025_Chase9335_Activity_2026062'!C568</f>
        <v>Prime Video *NB8H23LP 888-802-3080 WA        05/03</v>
      </c>
      <c r="D568" s="8">
        <f>'2025_Chase9335_Activity_2026062'!D568</f>
        <v>-4.26</v>
      </c>
      <c r="E568" s="8" t="str">
        <f>'2025_Chase9335_Activity_2026062'!E568</f>
        <v>DEBIT_CARD</v>
      </c>
      <c r="F568" s="8">
        <f>'2025_Chase9335_Activity_2026062'!F568</f>
        <v>292784.08</v>
      </c>
      <c r="G568" s="8" t="str">
        <f>'2025_Chase9335_Activity_2026062'!G568</f>
        <v>Amazon Prime Video</v>
      </c>
      <c r="H568" s="26">
        <f t="shared" si="8"/>
        <v>45778</v>
      </c>
      <c r="I568" s="8" t="str">
        <f>IF($G568="","Uncategorized — Review",IFERROR(_xlfn.XLOOKUP($G568,Mapping!$A:$A,Mapping!$B:$B),"Uncategorized — Review"))</f>
        <v>Amazon Prime Video</v>
      </c>
      <c r="J568" s="8" t="str">
        <f>IF($G568="","Uncategorized — Review",IFERROR(_xlfn.XLOOKUP($G568,Mapping!$A:$A,Mapping!$C:$C),"Uncategorized — Review"))</f>
        <v>Personal — Owner</v>
      </c>
    </row>
    <row r="569" spans="1:10" x14ac:dyDescent="0.25">
      <c r="A569" s="8" t="str">
        <f>'2025_Chase9335_Activity_2026062'!A569</f>
        <v>DEBIT</v>
      </c>
      <c r="B569" s="24">
        <f>'2025_Chase9335_Activity_2026062'!B569</f>
        <v>45779</v>
      </c>
      <c r="C569" s="8" t="str">
        <f>'2025_Chase9335_Activity_2026062'!C569</f>
        <v>Prime Video *NB6S59Y9 888-802-3080 WA        05/02</v>
      </c>
      <c r="D569" s="8">
        <f>'2025_Chase9335_Activity_2026062'!D569</f>
        <v>-24.76</v>
      </c>
      <c r="E569" s="8" t="str">
        <f>'2025_Chase9335_Activity_2026062'!E569</f>
        <v>DEBIT_CARD</v>
      </c>
      <c r="F569" s="8">
        <f>'2025_Chase9335_Activity_2026062'!F569</f>
        <v>292788.34000000003</v>
      </c>
      <c r="G569" s="8" t="str">
        <f>'2025_Chase9335_Activity_2026062'!G569</f>
        <v>Amazon Prime Video</v>
      </c>
      <c r="H569" s="26">
        <f t="shared" si="8"/>
        <v>45778</v>
      </c>
      <c r="I569" s="8" t="str">
        <f>IF($G569="","Uncategorized — Review",IFERROR(_xlfn.XLOOKUP($G569,Mapping!$A:$A,Mapping!$B:$B),"Uncategorized — Review"))</f>
        <v>Amazon Prime Video</v>
      </c>
      <c r="J569" s="8" t="str">
        <f>IF($G569="","Uncategorized — Review",IFERROR(_xlfn.XLOOKUP($G569,Mapping!$A:$A,Mapping!$C:$C),"Uncategorized — Review"))</f>
        <v>Personal — Owner</v>
      </c>
    </row>
    <row r="570" spans="1:10" x14ac:dyDescent="0.25">
      <c r="A570" s="8" t="str">
        <f>'2025_Chase9335_Activity_2026062'!A570</f>
        <v>DEBIT</v>
      </c>
      <c r="B570" s="24">
        <f>'2025_Chase9335_Activity_2026062'!B570</f>
        <v>45778</v>
      </c>
      <c r="C570" s="8" t="str">
        <f>'2025_Chase9335_Activity_2026062'!C570</f>
        <v>Experian* Credit Repor 479-3436237 CA        05/01</v>
      </c>
      <c r="D570" s="8">
        <f>'2025_Chase9335_Activity_2026062'!D570</f>
        <v>-27.05</v>
      </c>
      <c r="E570" s="8" t="str">
        <f>'2025_Chase9335_Activity_2026062'!E570</f>
        <v>DEBIT_CARD</v>
      </c>
      <c r="F570" s="8">
        <f>'2025_Chase9335_Activity_2026062'!F570</f>
        <v>292813.09999999998</v>
      </c>
      <c r="G570" s="8" t="str">
        <f>'2025_Chase9335_Activity_2026062'!G570</f>
        <v>Personal - Subscriptions</v>
      </c>
      <c r="H570" s="26">
        <f t="shared" si="8"/>
        <v>45778</v>
      </c>
      <c r="I570" s="8" t="str">
        <f>IF($G570="","Uncategorized — Review",IFERROR(_xlfn.XLOOKUP($G570,Mapping!$A:$A,Mapping!$B:$B),"Uncategorized — Review"))</f>
        <v>Personal - Subscriptions</v>
      </c>
      <c r="J570" s="8" t="str">
        <f>IF($G570="","Uncategorized — Review",IFERROR(_xlfn.XLOOKUP($G570,Mapping!$A:$A,Mapping!$C:$C),"Uncategorized — Review"))</f>
        <v>Personal — Owner</v>
      </c>
    </row>
    <row r="571" spans="1:10" x14ac:dyDescent="0.25">
      <c r="A571" s="8" t="str">
        <f>'2025_Chase9335_Activity_2026062'!A571</f>
        <v>DEBIT</v>
      </c>
      <c r="B571" s="24">
        <f>'2025_Chase9335_Activity_2026062'!B571</f>
        <v>45776</v>
      </c>
      <c r="C571" s="8" t="str">
        <f>'2025_Chase9335_Activity_2026062'!C571</f>
        <v>Online Transfer to CHK ...1168 transaction#: 24583994944 04/29</v>
      </c>
      <c r="D571" s="8">
        <f>'2025_Chase9335_Activity_2026062'!D571</f>
        <v>-30000</v>
      </c>
      <c r="E571" s="8" t="str">
        <f>'2025_Chase9335_Activity_2026062'!E571</f>
        <v>ACCT_XFER</v>
      </c>
      <c r="F571" s="8">
        <f>'2025_Chase9335_Activity_2026062'!F571</f>
        <v>292840.15000000002</v>
      </c>
      <c r="G571" s="8" t="str">
        <f>'2025_Chase9335_Activity_2026062'!G571</f>
        <v>Transfer to DWG Capital Group</v>
      </c>
      <c r="H571" s="26">
        <f t="shared" si="8"/>
        <v>45748</v>
      </c>
      <c r="I571" s="8" t="str">
        <f>IF($G571="","Uncategorized — Review",IFERROR(_xlfn.XLOOKUP($G571,Mapping!$A:$A,Mapping!$B:$B),"Uncategorized — Review"))</f>
        <v>Transfer to DWG Capital Group</v>
      </c>
      <c r="J571" s="8" t="str">
        <f>IF($G571="","Uncategorized — Review",IFERROR(_xlfn.XLOOKUP($G571,Mapping!$A:$A,Mapping!$C:$C),"Uncategorized — Review"))</f>
        <v>Intercompany &amp; Savings Transfers</v>
      </c>
    </row>
    <row r="572" spans="1:10" x14ac:dyDescent="0.25">
      <c r="A572" s="8" t="str">
        <f>'2025_Chase9335_Activity_2026062'!A572</f>
        <v>DEBIT</v>
      </c>
      <c r="B572" s="24">
        <f>'2025_Chase9335_Activity_2026062'!B572</f>
        <v>45776</v>
      </c>
      <c r="C572" s="8" t="str">
        <f>'2025_Chase9335_Activity_2026062'!C572</f>
        <v>APPLE COM BILL CUPERTINO CA          008063  04/29</v>
      </c>
      <c r="D572" s="8">
        <f>'2025_Chase9335_Activity_2026062'!D572</f>
        <v>-51.45</v>
      </c>
      <c r="E572" s="8" t="str">
        <f>'2025_Chase9335_Activity_2026062'!E572</f>
        <v>DEBIT_CARD</v>
      </c>
      <c r="F572" s="8">
        <f>'2025_Chase9335_Activity_2026062'!F572</f>
        <v>322840.15000000002</v>
      </c>
      <c r="G572" s="8" t="str">
        <f>'2025_Chase9335_Activity_2026062'!G572</f>
        <v>Personal - Subscriptions</v>
      </c>
      <c r="H572" s="26">
        <f t="shared" si="8"/>
        <v>45748</v>
      </c>
      <c r="I572" s="8" t="str">
        <f>IF($G572="","Uncategorized — Review",IFERROR(_xlfn.XLOOKUP($G572,Mapping!$A:$A,Mapping!$B:$B),"Uncategorized — Review"))</f>
        <v>Personal - Subscriptions</v>
      </c>
      <c r="J572" s="8" t="str">
        <f>IF($G572="","Uncategorized — Review",IFERROR(_xlfn.XLOOKUP($G572,Mapping!$A:$A,Mapping!$C:$C),"Uncategorized — Review"))</f>
        <v>Personal — Owner</v>
      </c>
    </row>
    <row r="573" spans="1:10" x14ac:dyDescent="0.25">
      <c r="A573" s="8" t="str">
        <f>'2025_Chase9335_Activity_2026062'!A573</f>
        <v>DEBIT</v>
      </c>
      <c r="B573" s="24">
        <f>'2025_Chase9335_Activity_2026062'!B573</f>
        <v>45775</v>
      </c>
      <c r="C573" s="8" t="str">
        <f>'2025_Chase9335_Activity_2026062'!C573</f>
        <v>ORIG CO NAME:AMERICAN EXPRESS       ORIG ID:2005032111 DESC DATE:250428 CO ENTRY DESCR:ACH PMT   SEC:CCD    TRACE#:021000027961574 EED:250428   IND ID:A6472                        IND NAME:JOHN DUNNING                                                                                                 ER AM TRN: 1187961574TC</v>
      </c>
      <c r="D573" s="8">
        <f>'2025_Chase9335_Activity_2026062'!D573</f>
        <v>-2222.92</v>
      </c>
      <c r="E573" s="8" t="str">
        <f>'2025_Chase9335_Activity_2026062'!E573</f>
        <v>ACH_DEBIT</v>
      </c>
      <c r="F573" s="8">
        <f>'2025_Chase9335_Activity_2026062'!F573</f>
        <v>322891.59999999998</v>
      </c>
      <c r="G573" s="8" t="str">
        <f>'2025_Chase9335_Activity_2026062'!G573</f>
        <v>American Express Credit Card PMT</v>
      </c>
      <c r="H573" s="26">
        <f t="shared" si="8"/>
        <v>45748</v>
      </c>
      <c r="I573" s="8" t="str">
        <f>IF($G573="","Uncategorized — Review",IFERROR(_xlfn.XLOOKUP($G573,Mapping!$A:$A,Mapping!$B:$B),"Uncategorized — Review"))</f>
        <v>American Express Credit Card PMT</v>
      </c>
      <c r="J573" s="8" t="str">
        <f>IF($G573="","Uncategorized — Review",IFERROR(_xlfn.XLOOKUP($G573,Mapping!$A:$A,Mapping!$C:$C),"Uncategorized — Review"))</f>
        <v>Credit Card &amp; Loan Payments</v>
      </c>
    </row>
    <row r="574" spans="1:10" x14ac:dyDescent="0.25">
      <c r="A574" s="8" t="str">
        <f>'2025_Chase9335_Activity_2026062'!A574</f>
        <v>DEBIT</v>
      </c>
      <c r="B574" s="24">
        <f>'2025_Chase9335_Activity_2026062'!B574</f>
        <v>45775</v>
      </c>
      <c r="C574" s="8" t="str">
        <f>'2025_Chase9335_Activity_2026062'!C574</f>
        <v>ORIG CO NAME:AMERICAN EXPRESS       ORIG ID:2005032111 DESC DATE:250428 CO ENTRY DESCR:ACH PMT   SEC:CCD    TRACE#:021000027961472 EED:250428   IND ID:A5788                        IND NAME:JOHN DUNNING                                                                                                 ER AM TRN: 1187961472TC</v>
      </c>
      <c r="D574" s="8">
        <f>'2025_Chase9335_Activity_2026062'!D574</f>
        <v>-40000</v>
      </c>
      <c r="E574" s="8" t="str">
        <f>'2025_Chase9335_Activity_2026062'!E574</f>
        <v>ACH_DEBIT</v>
      </c>
      <c r="F574" s="8">
        <f>'2025_Chase9335_Activity_2026062'!F574</f>
        <v>325114.52</v>
      </c>
      <c r="G574" s="8" t="str">
        <f>'2025_Chase9335_Activity_2026062'!G574</f>
        <v>American Express Credit Card PMT</v>
      </c>
      <c r="H574" s="26">
        <f t="shared" si="8"/>
        <v>45748</v>
      </c>
      <c r="I574" s="8" t="str">
        <f>IF($G574="","Uncategorized — Review",IFERROR(_xlfn.XLOOKUP($G574,Mapping!$A:$A,Mapping!$B:$B),"Uncategorized — Review"))</f>
        <v>American Express Credit Card PMT</v>
      </c>
      <c r="J574" s="8" t="str">
        <f>IF($G574="","Uncategorized — Review",IFERROR(_xlfn.XLOOKUP($G574,Mapping!$A:$A,Mapping!$C:$C),"Uncategorized — Review"))</f>
        <v>Credit Card &amp; Loan Payments</v>
      </c>
    </row>
    <row r="575" spans="1:10" x14ac:dyDescent="0.25">
      <c r="A575" s="8" t="str">
        <f>'2025_Chase9335_Activity_2026062'!A575</f>
        <v>DEBIT</v>
      </c>
      <c r="B575" s="24">
        <f>'2025_Chase9335_Activity_2026062'!B575</f>
        <v>45775</v>
      </c>
      <c r="C575" s="8" t="str">
        <f>'2025_Chase9335_Activity_2026062'!C575</f>
        <v>Amazon.com*NB8MS0AF2 Amzn.com/bill WA        04/28</v>
      </c>
      <c r="D575" s="8">
        <f>'2025_Chase9335_Activity_2026062'!D575</f>
        <v>-20.74</v>
      </c>
      <c r="E575" s="8" t="str">
        <f>'2025_Chase9335_Activity_2026062'!E575</f>
        <v>DEBIT_CARD</v>
      </c>
      <c r="F575" s="8">
        <f>'2025_Chase9335_Activity_2026062'!F575</f>
        <v>365114.52</v>
      </c>
      <c r="G575" s="8" t="str">
        <f>'2025_Chase9335_Activity_2026062'!G575</f>
        <v>Amazon</v>
      </c>
      <c r="H575" s="26">
        <f t="shared" si="8"/>
        <v>45748</v>
      </c>
      <c r="I575" s="8" t="str">
        <f>IF($G575="","Uncategorized — Review",IFERROR(_xlfn.XLOOKUP($G575,Mapping!$A:$A,Mapping!$B:$B),"Uncategorized — Review"))</f>
        <v>Amazon</v>
      </c>
      <c r="J575" s="8" t="str">
        <f>IF($G575="","Uncategorized — Review",IFERROR(_xlfn.XLOOKUP($G575,Mapping!$A:$A,Mapping!$C:$C),"Uncategorized — Review"))</f>
        <v>Personal — Owner</v>
      </c>
    </row>
    <row r="576" spans="1:10" x14ac:dyDescent="0.25">
      <c r="A576" s="8" t="str">
        <f>'2025_Chase9335_Activity_2026062'!A576</f>
        <v>DEBIT</v>
      </c>
      <c r="B576" s="24">
        <f>'2025_Chase9335_Activity_2026062'!B576</f>
        <v>45775</v>
      </c>
      <c r="C576" s="8" t="str">
        <f>'2025_Chase9335_Activity_2026062'!C576</f>
        <v>Prime Video *CR1K2725 888-802-3080 WA        04/27</v>
      </c>
      <c r="D576" s="8">
        <f>'2025_Chase9335_Activity_2026062'!D576</f>
        <v>-3.19</v>
      </c>
      <c r="E576" s="8" t="str">
        <f>'2025_Chase9335_Activity_2026062'!E576</f>
        <v>DEBIT_CARD</v>
      </c>
      <c r="F576" s="8">
        <f>'2025_Chase9335_Activity_2026062'!F576</f>
        <v>365135.26</v>
      </c>
      <c r="G576" s="8" t="str">
        <f>'2025_Chase9335_Activity_2026062'!G576</f>
        <v>Amazon Prime Video</v>
      </c>
      <c r="H576" s="26">
        <f t="shared" si="8"/>
        <v>45748</v>
      </c>
      <c r="I576" s="8" t="str">
        <f>IF($G576="","Uncategorized — Review",IFERROR(_xlfn.XLOOKUP($G576,Mapping!$A:$A,Mapping!$B:$B),"Uncategorized — Review"))</f>
        <v>Amazon Prime Video</v>
      </c>
      <c r="J576" s="8" t="str">
        <f>IF($G576="","Uncategorized — Review",IFERROR(_xlfn.XLOOKUP($G576,Mapping!$A:$A,Mapping!$C:$C),"Uncategorized — Review"))</f>
        <v>Personal — Owner</v>
      </c>
    </row>
    <row r="577" spans="1:10" x14ac:dyDescent="0.25">
      <c r="A577" s="8" t="str">
        <f>'2025_Chase9335_Activity_2026062'!A577</f>
        <v>DEBIT</v>
      </c>
      <c r="B577" s="24">
        <f>'2025_Chase9335_Activity_2026062'!B577</f>
        <v>45775</v>
      </c>
      <c r="C577" s="8" t="str">
        <f>'2025_Chase9335_Activity_2026062'!C577</f>
        <v>APPLE COM BILL CUPERTINO CA          006176  04/26</v>
      </c>
      <c r="D577" s="8">
        <f>'2025_Chase9335_Activity_2026062'!D577</f>
        <v>-30.89</v>
      </c>
      <c r="E577" s="8" t="str">
        <f>'2025_Chase9335_Activity_2026062'!E577</f>
        <v>DEBIT_CARD</v>
      </c>
      <c r="F577" s="8">
        <f>'2025_Chase9335_Activity_2026062'!F577</f>
        <v>365138.45</v>
      </c>
      <c r="G577" s="8" t="str">
        <f>'2025_Chase9335_Activity_2026062'!G577</f>
        <v>Personal - Subscriptions</v>
      </c>
      <c r="H577" s="26">
        <f t="shared" si="8"/>
        <v>45748</v>
      </c>
      <c r="I577" s="8" t="str">
        <f>IF($G577="","Uncategorized — Review",IFERROR(_xlfn.XLOOKUP($G577,Mapping!$A:$A,Mapping!$B:$B),"Uncategorized — Review"))</f>
        <v>Personal - Subscriptions</v>
      </c>
      <c r="J577" s="8" t="str">
        <f>IF($G577="","Uncategorized — Review",IFERROR(_xlfn.XLOOKUP($G577,Mapping!$A:$A,Mapping!$C:$C),"Uncategorized — Review"))</f>
        <v>Personal — Owner</v>
      </c>
    </row>
    <row r="578" spans="1:10" x14ac:dyDescent="0.25">
      <c r="A578" s="8" t="str">
        <f>'2025_Chase9335_Activity_2026062'!A578</f>
        <v>CREDIT</v>
      </c>
      <c r="B578" s="24">
        <f>'2025_Chase9335_Activity_2026062'!B578</f>
        <v>45775</v>
      </c>
      <c r="C578" s="8" t="str">
        <f>'2025_Chase9335_Activity_2026062'!C578</f>
        <v>BOOK TRANSFER CREDIT B/O: PNC BANK NATIONAL ASSOCIATION AKRON OH 44308- US ORG:/4234603259 ELISECO INC OGB: ABA/043000096 PNC BANK, N.A. REF: KALKASKA SCREW PRODUCTS/INS/ABA/043000096PNCBANK TRN: 0628591118EZ</v>
      </c>
      <c r="D578" s="8">
        <f>'2025_Chase9335_Activity_2026062'!D578</f>
        <v>26775</v>
      </c>
      <c r="E578" s="8" t="str">
        <f>'2025_Chase9335_Activity_2026062'!E578</f>
        <v>WIRE_INCOMING</v>
      </c>
      <c r="F578" s="8">
        <f>'2025_Chase9335_Activity_2026062'!F578</f>
        <v>365169.34</v>
      </c>
      <c r="G578" s="8" t="str">
        <f>'2025_Chase9335_Activity_2026062'!G578</f>
        <v>Incoming Commission: Kalkaska Screw</v>
      </c>
      <c r="H578" s="26">
        <f t="shared" si="8"/>
        <v>45748</v>
      </c>
      <c r="I578" s="8" t="str">
        <f>IF($G578="","Uncategorized — Review",IFERROR(_xlfn.XLOOKUP($G578,Mapping!$A:$A,Mapping!$B:$B),"Uncategorized — Review"))</f>
        <v>Incoming Commission: Kalkaska Screw</v>
      </c>
      <c r="J578" s="8" t="str">
        <f>IF($G578="","Uncategorized — Review",IFERROR(_xlfn.XLOOKUP($G578,Mapping!$A:$A,Mapping!$C:$C),"Uncategorized — Review"))</f>
        <v>Commissions — Incoming</v>
      </c>
    </row>
    <row r="579" spans="1:10" x14ac:dyDescent="0.25">
      <c r="A579" s="8" t="str">
        <f>'2025_Chase9335_Activity_2026062'!A579</f>
        <v>CREDIT</v>
      </c>
      <c r="B579" s="24">
        <f>'2025_Chase9335_Activity_2026062'!B579</f>
        <v>45775</v>
      </c>
      <c r="C579" s="8" t="str">
        <f>'2025_Chase9335_Activity_2026062'!C579</f>
        <v>BOOK TRANSFER CREDIT B/O: PNC BANK NATIONAL ASSOCIATION AKRON OH 44308- US ORG:/4234603259 ELISECO INC OGB: ABA/043000096 PNC BANK, N.A. REF: PROPERTY: KALKASKA SCREW PRODUCTS/INS/ABA/043000096PNCBANK TRN: 0628271118EZ</v>
      </c>
      <c r="D579" s="8">
        <f>'2025_Chase9335_Activity_2026062'!D579</f>
        <v>107100</v>
      </c>
      <c r="E579" s="8" t="str">
        <f>'2025_Chase9335_Activity_2026062'!E579</f>
        <v>WIRE_INCOMING</v>
      </c>
      <c r="F579" s="8">
        <f>'2025_Chase9335_Activity_2026062'!F579</f>
        <v>338394.34</v>
      </c>
      <c r="G579" s="8" t="str">
        <f>'2025_Chase9335_Activity_2026062'!G579</f>
        <v>Incoming Commission: Kalkaska Screw</v>
      </c>
      <c r="H579" s="26">
        <f t="shared" ref="H579:H642" si="9">IF($B579="","",DATE(YEAR($B579),MONTH($B579),1))</f>
        <v>45748</v>
      </c>
      <c r="I579" s="8" t="str">
        <f>IF($G579="","Uncategorized — Review",IFERROR(_xlfn.XLOOKUP($G579,Mapping!$A:$A,Mapping!$B:$B),"Uncategorized — Review"))</f>
        <v>Incoming Commission: Kalkaska Screw</v>
      </c>
      <c r="J579" s="8" t="str">
        <f>IF($G579="","Uncategorized — Review",IFERROR(_xlfn.XLOOKUP($G579,Mapping!$A:$A,Mapping!$C:$C),"Uncategorized — Review"))</f>
        <v>Commissions — Incoming</v>
      </c>
    </row>
    <row r="580" spans="1:10" x14ac:dyDescent="0.25">
      <c r="A580" s="8" t="str">
        <f>'2025_Chase9335_Activity_2026062'!A580</f>
        <v>DEBIT</v>
      </c>
      <c r="B580" s="24">
        <f>'2025_Chase9335_Activity_2026062'!B580</f>
        <v>45770</v>
      </c>
      <c r="C580" s="8" t="str">
        <f>'2025_Chase9335_Activity_2026062'!C580</f>
        <v>Prime Video *7Q9PW71S 888-802-3080 WA        04/23</v>
      </c>
      <c r="D580" s="8">
        <f>'2025_Chase9335_Activity_2026062'!D580</f>
        <v>-16</v>
      </c>
      <c r="E580" s="8" t="str">
        <f>'2025_Chase9335_Activity_2026062'!E580</f>
        <v>DEBIT_CARD</v>
      </c>
      <c r="F580" s="8">
        <f>'2025_Chase9335_Activity_2026062'!F580</f>
        <v>231294.34</v>
      </c>
      <c r="G580" s="8" t="str">
        <f>'2025_Chase9335_Activity_2026062'!G580</f>
        <v>Amazon Prime Video</v>
      </c>
      <c r="H580" s="26">
        <f t="shared" si="9"/>
        <v>45748</v>
      </c>
      <c r="I580" s="8" t="str">
        <f>IF($G580="","Uncategorized — Review",IFERROR(_xlfn.XLOOKUP($G580,Mapping!$A:$A,Mapping!$B:$B),"Uncategorized — Review"))</f>
        <v>Amazon Prime Video</v>
      </c>
      <c r="J580" s="8" t="str">
        <f>IF($G580="","Uncategorized — Review",IFERROR(_xlfn.XLOOKUP($G580,Mapping!$A:$A,Mapping!$C:$C),"Uncategorized — Review"))</f>
        <v>Personal — Owner</v>
      </c>
    </row>
    <row r="581" spans="1:10" x14ac:dyDescent="0.25">
      <c r="A581" s="8" t="str">
        <f>'2025_Chase9335_Activity_2026062'!A581</f>
        <v>DEBIT</v>
      </c>
      <c r="B581" s="24">
        <f>'2025_Chase9335_Activity_2026062'!B581</f>
        <v>45768</v>
      </c>
      <c r="C581" s="8" t="str">
        <f>'2025_Chase9335_Activity_2026062'!C581</f>
        <v>Online Transfer to CHK ...3922 transaction#: 24494689156 04/21</v>
      </c>
      <c r="D581" s="8">
        <f>'2025_Chase9335_Activity_2026062'!D581</f>
        <v>-30000</v>
      </c>
      <c r="E581" s="8" t="str">
        <f>'2025_Chase9335_Activity_2026062'!E581</f>
        <v>ACCT_XFER</v>
      </c>
      <c r="F581" s="8">
        <f>'2025_Chase9335_Activity_2026062'!F581</f>
        <v>231310.34</v>
      </c>
      <c r="G581" s="8" t="str">
        <f>'2025_Chase9335_Activity_2026062'!G581</f>
        <v>Transfer to DWG Capital Partners</v>
      </c>
      <c r="H581" s="26">
        <f t="shared" si="9"/>
        <v>45748</v>
      </c>
      <c r="I581" s="8" t="str">
        <f>IF($G581="","Uncategorized — Review",IFERROR(_xlfn.XLOOKUP($G581,Mapping!$A:$A,Mapping!$B:$B),"Uncategorized — Review"))</f>
        <v>Transfer to DWG Capital Partners</v>
      </c>
      <c r="J581" s="8" t="str">
        <f>IF($G581="","Uncategorized — Review",IFERROR(_xlfn.XLOOKUP($G581,Mapping!$A:$A,Mapping!$C:$C),"Uncategorized — Review"))</f>
        <v>Intercompany &amp; Savings Transfers</v>
      </c>
    </row>
    <row r="582" spans="1:10" x14ac:dyDescent="0.25">
      <c r="A582" s="8" t="str">
        <f>'2025_Chase9335_Activity_2026062'!A582</f>
        <v>DEBIT</v>
      </c>
      <c r="B582" s="24">
        <f>'2025_Chase9335_Activity_2026062'!B582</f>
        <v>45768</v>
      </c>
      <c r="C582" s="8" t="str">
        <f>'2025_Chase9335_Activity_2026062'!C582</f>
        <v>Netflix.com netflix.com CA                   04/21</v>
      </c>
      <c r="D582" s="8">
        <f>'2025_Chase9335_Activity_2026062'!D582</f>
        <v>-24.99</v>
      </c>
      <c r="E582" s="8" t="str">
        <f>'2025_Chase9335_Activity_2026062'!E582</f>
        <v>DEBIT_CARD</v>
      </c>
      <c r="F582" s="8">
        <f>'2025_Chase9335_Activity_2026062'!F582</f>
        <v>261310.34</v>
      </c>
      <c r="G582" s="8" t="str">
        <f>'2025_Chase9335_Activity_2026062'!G582</f>
        <v>Personal - Subscriptions</v>
      </c>
      <c r="H582" s="26">
        <f t="shared" si="9"/>
        <v>45748</v>
      </c>
      <c r="I582" s="8" t="str">
        <f>IF($G582="","Uncategorized — Review",IFERROR(_xlfn.XLOOKUP($G582,Mapping!$A:$A,Mapping!$B:$B),"Uncategorized — Review"))</f>
        <v>Personal - Subscriptions</v>
      </c>
      <c r="J582" s="8" t="str">
        <f>IF($G582="","Uncategorized — Review",IFERROR(_xlfn.XLOOKUP($G582,Mapping!$A:$A,Mapping!$C:$C),"Uncategorized — Review"))</f>
        <v>Personal — Owner</v>
      </c>
    </row>
    <row r="583" spans="1:10" x14ac:dyDescent="0.25">
      <c r="A583" s="8" t="str">
        <f>'2025_Chase9335_Activity_2026062'!A583</f>
        <v>DEBIT</v>
      </c>
      <c r="B583" s="24">
        <f>'2025_Chase9335_Activity_2026062'!B583</f>
        <v>45768</v>
      </c>
      <c r="C583" s="8" t="str">
        <f>'2025_Chase9335_Activity_2026062'!C583</f>
        <v>AMAZON MKTPL*D84H84D Amzn.com/bill WA        04/20</v>
      </c>
      <c r="D583" s="8">
        <f>'2025_Chase9335_Activity_2026062'!D583</f>
        <v>-159.99</v>
      </c>
      <c r="E583" s="8" t="str">
        <f>'2025_Chase9335_Activity_2026062'!E583</f>
        <v>DEBIT_CARD</v>
      </c>
      <c r="F583" s="8">
        <f>'2025_Chase9335_Activity_2026062'!F583</f>
        <v>261335.33</v>
      </c>
      <c r="G583" s="8" t="str">
        <f>'2025_Chase9335_Activity_2026062'!G583</f>
        <v>Amazon</v>
      </c>
      <c r="H583" s="26">
        <f t="shared" si="9"/>
        <v>45748</v>
      </c>
      <c r="I583" s="8" t="str">
        <f>IF($G583="","Uncategorized — Review",IFERROR(_xlfn.XLOOKUP($G583,Mapping!$A:$A,Mapping!$B:$B),"Uncategorized — Review"))</f>
        <v>Amazon</v>
      </c>
      <c r="J583" s="8" t="str">
        <f>IF($G583="","Uncategorized — Review",IFERROR(_xlfn.XLOOKUP($G583,Mapping!$A:$A,Mapping!$C:$C),"Uncategorized — Review"))</f>
        <v>Personal — Owner</v>
      </c>
    </row>
    <row r="584" spans="1:10" x14ac:dyDescent="0.25">
      <c r="A584" s="8" t="str">
        <f>'2025_Chase9335_Activity_2026062'!A584</f>
        <v>DEBIT</v>
      </c>
      <c r="B584" s="24">
        <f>'2025_Chase9335_Activity_2026062'!B584</f>
        <v>45768</v>
      </c>
      <c r="C584" s="8" t="str">
        <f>'2025_Chase9335_Activity_2026062'!C584</f>
        <v>APPLE.COM/BILL 866-712-7753 CA               04/20</v>
      </c>
      <c r="D584" s="8">
        <f>'2025_Chase9335_Activity_2026062'!D584</f>
        <v>-30.89</v>
      </c>
      <c r="E584" s="8" t="str">
        <f>'2025_Chase9335_Activity_2026062'!E584</f>
        <v>DEBIT_CARD</v>
      </c>
      <c r="F584" s="8">
        <f>'2025_Chase9335_Activity_2026062'!F584</f>
        <v>261495.32</v>
      </c>
      <c r="G584" s="8" t="str">
        <f>'2025_Chase9335_Activity_2026062'!G584</f>
        <v>Personal - Subscriptions</v>
      </c>
      <c r="H584" s="26">
        <f t="shared" si="9"/>
        <v>45748</v>
      </c>
      <c r="I584" s="8" t="str">
        <f>IF($G584="","Uncategorized — Review",IFERROR(_xlfn.XLOOKUP($G584,Mapping!$A:$A,Mapping!$B:$B),"Uncategorized — Review"))</f>
        <v>Personal - Subscriptions</v>
      </c>
      <c r="J584" s="8" t="str">
        <f>IF($G584="","Uncategorized — Review",IFERROR(_xlfn.XLOOKUP($G584,Mapping!$A:$A,Mapping!$C:$C),"Uncategorized — Review"))</f>
        <v>Personal — Owner</v>
      </c>
    </row>
    <row r="585" spans="1:10" x14ac:dyDescent="0.25">
      <c r="A585" s="8" t="str">
        <f>'2025_Chase9335_Activity_2026062'!A585</f>
        <v>DEBIT</v>
      </c>
      <c r="B585" s="24">
        <f>'2025_Chase9335_Activity_2026062'!B585</f>
        <v>45763</v>
      </c>
      <c r="C585" s="8" t="str">
        <f>'2025_Chase9335_Activity_2026062'!C585</f>
        <v>Audible*N88KU1ET0 Amzn.com/bill NJ           04/16</v>
      </c>
      <c r="D585" s="8">
        <f>'2025_Chase9335_Activity_2026062'!D585</f>
        <v>-16.18</v>
      </c>
      <c r="E585" s="8" t="str">
        <f>'2025_Chase9335_Activity_2026062'!E585</f>
        <v>DEBIT_CARD</v>
      </c>
      <c r="F585" s="8">
        <f>'2025_Chase9335_Activity_2026062'!F585</f>
        <v>261526.21</v>
      </c>
      <c r="G585" s="8" t="str">
        <f>'2025_Chase9335_Activity_2026062'!G585</f>
        <v>Amazon</v>
      </c>
      <c r="H585" s="26">
        <f t="shared" si="9"/>
        <v>45748</v>
      </c>
      <c r="I585" s="8" t="str">
        <f>IF($G585="","Uncategorized — Review",IFERROR(_xlfn.XLOOKUP($G585,Mapping!$A:$A,Mapping!$B:$B),"Uncategorized — Review"))</f>
        <v>Amazon</v>
      </c>
      <c r="J585" s="8" t="str">
        <f>IF($G585="","Uncategorized — Review",IFERROR(_xlfn.XLOOKUP($G585,Mapping!$A:$A,Mapping!$C:$C),"Uncategorized — Review"))</f>
        <v>Personal — Owner</v>
      </c>
    </row>
    <row r="586" spans="1:10" x14ac:dyDescent="0.25">
      <c r="A586" s="8" t="str">
        <f>'2025_Chase9335_Activity_2026062'!A586</f>
        <v>DEBIT</v>
      </c>
      <c r="B586" s="24">
        <f>'2025_Chase9335_Activity_2026062'!B586</f>
        <v>45761</v>
      </c>
      <c r="C586" s="8" t="str">
        <f>'2025_Chase9335_Activity_2026062'!C586</f>
        <v>APPLE.COM/BILL 866-712-7753 CA               04/12</v>
      </c>
      <c r="D586" s="8">
        <f>'2025_Chase9335_Activity_2026062'!D586</f>
        <v>-30.89</v>
      </c>
      <c r="E586" s="8" t="str">
        <f>'2025_Chase9335_Activity_2026062'!E586</f>
        <v>DEBIT_CARD</v>
      </c>
      <c r="F586" s="8">
        <f>'2025_Chase9335_Activity_2026062'!F586</f>
        <v>261542.39</v>
      </c>
      <c r="G586" s="8" t="str">
        <f>'2025_Chase9335_Activity_2026062'!G586</f>
        <v>Personal - Subscriptions</v>
      </c>
      <c r="H586" s="26">
        <f t="shared" si="9"/>
        <v>45748</v>
      </c>
      <c r="I586" s="8" t="str">
        <f>IF($G586="","Uncategorized — Review",IFERROR(_xlfn.XLOOKUP($G586,Mapping!$A:$A,Mapping!$B:$B),"Uncategorized — Review"))</f>
        <v>Personal - Subscriptions</v>
      </c>
      <c r="J586" s="8" t="str">
        <f>IF($G586="","Uncategorized — Review",IFERROR(_xlfn.XLOOKUP($G586,Mapping!$A:$A,Mapping!$C:$C),"Uncategorized — Review"))</f>
        <v>Personal — Owner</v>
      </c>
    </row>
    <row r="587" spans="1:10" x14ac:dyDescent="0.25">
      <c r="A587" s="8" t="str">
        <f>'2025_Chase9335_Activity_2026062'!A587</f>
        <v>DEBIT</v>
      </c>
      <c r="B587" s="24">
        <f>'2025_Chase9335_Activity_2026062'!B587</f>
        <v>45761</v>
      </c>
      <c r="C587" s="8" t="str">
        <f>'2025_Chase9335_Activity_2026062'!C587</f>
        <v>BLOOMBERG* 37033964 BLOOMBERG.COM NY         04/12</v>
      </c>
      <c r="D587" s="8">
        <f>'2025_Chase9335_Activity_2026062'!D587</f>
        <v>-19.989999999999998</v>
      </c>
      <c r="E587" s="8" t="str">
        <f>'2025_Chase9335_Activity_2026062'!E587</f>
        <v>DEBIT_CARD</v>
      </c>
      <c r="F587" s="8">
        <f>'2025_Chase9335_Activity_2026062'!F587</f>
        <v>261573.28</v>
      </c>
      <c r="G587" s="8" t="str">
        <f>'2025_Chase9335_Activity_2026062'!G587</f>
        <v>Personal - Subscriptions</v>
      </c>
      <c r="H587" s="26">
        <f t="shared" si="9"/>
        <v>45748</v>
      </c>
      <c r="I587" s="8" t="str">
        <f>IF($G587="","Uncategorized — Review",IFERROR(_xlfn.XLOOKUP($G587,Mapping!$A:$A,Mapping!$B:$B),"Uncategorized — Review"))</f>
        <v>Personal - Subscriptions</v>
      </c>
      <c r="J587" s="8" t="str">
        <f>IF($G587="","Uncategorized — Review",IFERROR(_xlfn.XLOOKUP($G587,Mapping!$A:$A,Mapping!$C:$C),"Uncategorized — Review"))</f>
        <v>Personal — Owner</v>
      </c>
    </row>
    <row r="588" spans="1:10" x14ac:dyDescent="0.25">
      <c r="A588" s="8" t="str">
        <f>'2025_Chase9335_Activity_2026062'!A588</f>
        <v>DEBIT</v>
      </c>
      <c r="B588" s="24">
        <f>'2025_Chase9335_Activity_2026062'!B588</f>
        <v>45758</v>
      </c>
      <c r="C588" s="8" t="str">
        <f>'2025_Chase9335_Activity_2026062'!C588</f>
        <v>FOREIGN EXCHANGE RATE ADJUSTMENT FEE         04/10FLORIPA S</v>
      </c>
      <c r="D588" s="8">
        <f>'2025_Chase9335_Activity_2026062'!D588</f>
        <v>-0.23</v>
      </c>
      <c r="E588" s="8" t="str">
        <f>'2025_Chase9335_Activity_2026062'!E588</f>
        <v>FEE_TRANSACTION</v>
      </c>
      <c r="F588" s="8">
        <f>'2025_Chase9335_Activity_2026062'!F588</f>
        <v>261593.27</v>
      </c>
      <c r="G588" s="8" t="str">
        <f>'2025_Chase9335_Activity_2026062'!G588</f>
        <v>Personal - Travel (Italy)</v>
      </c>
      <c r="H588" s="26">
        <f t="shared" si="9"/>
        <v>45748</v>
      </c>
      <c r="I588" s="8" t="str">
        <f>IF($G588="","Uncategorized — Review",IFERROR(_xlfn.XLOOKUP($G588,Mapping!$A:$A,Mapping!$B:$B),"Uncategorized — Review"))</f>
        <v>Personal - Travel (Italy)</v>
      </c>
      <c r="J588" s="8" t="str">
        <f>IF($G588="","Uncategorized — Review",IFERROR(_xlfn.XLOOKUP($G588,Mapping!$A:$A,Mapping!$C:$C),"Uncategorized — Review"))</f>
        <v>Personal — Owner</v>
      </c>
    </row>
    <row r="589" spans="1:10" x14ac:dyDescent="0.25">
      <c r="A589" s="8" t="str">
        <f>'2025_Chase9335_Activity_2026062'!A589</f>
        <v>DEBIT</v>
      </c>
      <c r="B589" s="24">
        <f>'2025_Chase9335_Activity_2026062'!B589</f>
        <v>45758</v>
      </c>
      <c r="C589" s="8" t="str">
        <f>'2025_Chase9335_Activity_2026062'!C589</f>
        <v>FOREIGN EXCHANGE RATE ADJUSTMENT FEE         04/10SANTO FAL</v>
      </c>
      <c r="D589" s="8">
        <f>'2025_Chase9335_Activity_2026062'!D589</f>
        <v>-2.44</v>
      </c>
      <c r="E589" s="8" t="str">
        <f>'2025_Chase9335_Activity_2026062'!E589</f>
        <v>FEE_TRANSACTION</v>
      </c>
      <c r="F589" s="8">
        <f>'2025_Chase9335_Activity_2026062'!F589</f>
        <v>261593.5</v>
      </c>
      <c r="G589" s="8" t="str">
        <f>'2025_Chase9335_Activity_2026062'!G589</f>
        <v>Personal - Travel (Italy)</v>
      </c>
      <c r="H589" s="26">
        <f t="shared" si="9"/>
        <v>45748</v>
      </c>
      <c r="I589" s="8" t="str">
        <f>IF($G589="","Uncategorized — Review",IFERROR(_xlfn.XLOOKUP($G589,Mapping!$A:$A,Mapping!$B:$B),"Uncategorized — Review"))</f>
        <v>Personal - Travel (Italy)</v>
      </c>
      <c r="J589" s="8" t="str">
        <f>IF($G589="","Uncategorized — Review",IFERROR(_xlfn.XLOOKUP($G589,Mapping!$A:$A,Mapping!$C:$C),"Uncategorized — Review"))</f>
        <v>Personal — Owner</v>
      </c>
    </row>
    <row r="590" spans="1:10" x14ac:dyDescent="0.25">
      <c r="A590" s="8" t="str">
        <f>'2025_Chase9335_Activity_2026062'!A590</f>
        <v>DEBIT</v>
      </c>
      <c r="B590" s="24">
        <f>'2025_Chase9335_Activity_2026062'!B590</f>
        <v>45758</v>
      </c>
      <c r="C590" s="8" t="str">
        <f>'2025_Chase9335_Activity_2026062'!C590</f>
        <v>FLORIPA SOCIETA A RES FIRENZE                04/10 Euro       7.00 X 1.110000 (EXCHG RTE)</v>
      </c>
      <c r="D590" s="8">
        <f>'2025_Chase9335_Activity_2026062'!D590</f>
        <v>-7.77</v>
      </c>
      <c r="E590" s="8" t="str">
        <f>'2025_Chase9335_Activity_2026062'!E590</f>
        <v>DEBIT_CARD</v>
      </c>
      <c r="F590" s="8">
        <f>'2025_Chase9335_Activity_2026062'!F590</f>
        <v>261595.94</v>
      </c>
      <c r="G590" s="8" t="str">
        <f>'2025_Chase9335_Activity_2026062'!G590</f>
        <v>Personal - Travel (Italy)</v>
      </c>
      <c r="H590" s="26">
        <f t="shared" si="9"/>
        <v>45748</v>
      </c>
      <c r="I590" s="8" t="str">
        <f>IF($G590="","Uncategorized — Review",IFERROR(_xlfn.XLOOKUP($G590,Mapping!$A:$A,Mapping!$B:$B),"Uncategorized — Review"))</f>
        <v>Personal - Travel (Italy)</v>
      </c>
      <c r="J590" s="8" t="str">
        <f>IF($G590="","Uncategorized — Review",IFERROR(_xlfn.XLOOKUP($G590,Mapping!$A:$A,Mapping!$C:$C),"Uncategorized — Review"))</f>
        <v>Personal — Owner</v>
      </c>
    </row>
    <row r="591" spans="1:10" x14ac:dyDescent="0.25">
      <c r="A591" s="8" t="str">
        <f>'2025_Chase9335_Activity_2026062'!A591</f>
        <v>DEBIT</v>
      </c>
      <c r="B591" s="24">
        <f>'2025_Chase9335_Activity_2026062'!B591</f>
        <v>45758</v>
      </c>
      <c r="C591" s="8" t="str">
        <f>'2025_Chase9335_Activity_2026062'!C591</f>
        <v>SANTO FALAFEL FIRENZE                        04/10 Euro       73.50 X 1.109796 (EXCHG RTE)</v>
      </c>
      <c r="D591" s="8">
        <f>'2025_Chase9335_Activity_2026062'!D591</f>
        <v>-81.569999999999993</v>
      </c>
      <c r="E591" s="8" t="str">
        <f>'2025_Chase9335_Activity_2026062'!E591</f>
        <v>DEBIT_CARD</v>
      </c>
      <c r="F591" s="8">
        <f>'2025_Chase9335_Activity_2026062'!F591</f>
        <v>261603.71</v>
      </c>
      <c r="G591" s="8" t="str">
        <f>'2025_Chase9335_Activity_2026062'!G591</f>
        <v>Personal - Travel (Italy)</v>
      </c>
      <c r="H591" s="26">
        <f t="shared" si="9"/>
        <v>45748</v>
      </c>
      <c r="I591" s="8" t="str">
        <f>IF($G591="","Uncategorized — Review",IFERROR(_xlfn.XLOOKUP($G591,Mapping!$A:$A,Mapping!$B:$B),"Uncategorized — Review"))</f>
        <v>Personal - Travel (Italy)</v>
      </c>
      <c r="J591" s="8" t="str">
        <f>IF($G591="","Uncategorized — Review",IFERROR(_xlfn.XLOOKUP($G591,Mapping!$A:$A,Mapping!$C:$C),"Uncategorized — Review"))</f>
        <v>Personal — Owner</v>
      </c>
    </row>
    <row r="592" spans="1:10" x14ac:dyDescent="0.25">
      <c r="A592" s="8" t="str">
        <f>'2025_Chase9335_Activity_2026062'!A592</f>
        <v>DEBIT</v>
      </c>
      <c r="B592" s="24">
        <f>'2025_Chase9335_Activity_2026062'!B592</f>
        <v>45757</v>
      </c>
      <c r="C592" s="8" t="str">
        <f>'2025_Chase9335_Activity_2026062'!C592</f>
        <v>FOREIGN EXCHANGE RATE ADJUSTMENT FEE         04/09SUMUP  *P</v>
      </c>
      <c r="D592" s="8">
        <f>'2025_Chase9335_Activity_2026062'!D592</f>
        <v>-0.17</v>
      </c>
      <c r="E592" s="8" t="str">
        <f>'2025_Chase9335_Activity_2026062'!E592</f>
        <v>FEE_TRANSACTION</v>
      </c>
      <c r="F592" s="8">
        <f>'2025_Chase9335_Activity_2026062'!F592</f>
        <v>261685.28</v>
      </c>
      <c r="G592" s="8" t="str">
        <f>'2025_Chase9335_Activity_2026062'!G592</f>
        <v>Personal - Travel (Italy)</v>
      </c>
      <c r="H592" s="26">
        <f t="shared" si="9"/>
        <v>45748</v>
      </c>
      <c r="I592" s="8" t="str">
        <f>IF($G592="","Uncategorized — Review",IFERROR(_xlfn.XLOOKUP($G592,Mapping!$A:$A,Mapping!$B:$B),"Uncategorized — Review"))</f>
        <v>Personal - Travel (Italy)</v>
      </c>
      <c r="J592" s="8" t="str">
        <f>IF($G592="","Uncategorized — Review",IFERROR(_xlfn.XLOOKUP($G592,Mapping!$A:$A,Mapping!$C:$C),"Uncategorized — Review"))</f>
        <v>Personal — Owner</v>
      </c>
    </row>
    <row r="593" spans="1:10" x14ac:dyDescent="0.25">
      <c r="A593" s="8" t="str">
        <f>'2025_Chase9335_Activity_2026062'!A593</f>
        <v>DEBIT</v>
      </c>
      <c r="B593" s="24">
        <f>'2025_Chase9335_Activity_2026062'!B593</f>
        <v>45757</v>
      </c>
      <c r="C593" s="8" t="str">
        <f>'2025_Chase9335_Activity_2026062'!C593</f>
        <v>SUMUP  *PASTIFICIO ARTI SOVICILLE            04/09 Euro       5.40 X 1.100000 (EXCHG RTE)</v>
      </c>
      <c r="D593" s="8">
        <f>'2025_Chase9335_Activity_2026062'!D593</f>
        <v>-5.94</v>
      </c>
      <c r="E593" s="8" t="str">
        <f>'2025_Chase9335_Activity_2026062'!E593</f>
        <v>DEBIT_CARD</v>
      </c>
      <c r="F593" s="8">
        <f>'2025_Chase9335_Activity_2026062'!F593</f>
        <v>261685.45</v>
      </c>
      <c r="G593" s="8" t="str">
        <f>'2025_Chase9335_Activity_2026062'!G593</f>
        <v>Personal - Travel (Italy)</v>
      </c>
      <c r="H593" s="26">
        <f t="shared" si="9"/>
        <v>45748</v>
      </c>
      <c r="I593" s="8" t="str">
        <f>IF($G593="","Uncategorized — Review",IFERROR(_xlfn.XLOOKUP($G593,Mapping!$A:$A,Mapping!$B:$B),"Uncategorized — Review"))</f>
        <v>Personal - Travel (Italy)</v>
      </c>
      <c r="J593" s="8" t="str">
        <f>IF($G593="","Uncategorized — Review",IFERROR(_xlfn.XLOOKUP($G593,Mapping!$A:$A,Mapping!$C:$C),"Uncategorized — Review"))</f>
        <v>Personal — Owner</v>
      </c>
    </row>
    <row r="594" spans="1:10" x14ac:dyDescent="0.25">
      <c r="A594" s="8" t="str">
        <f>'2025_Chase9335_Activity_2026062'!A594</f>
        <v>DEBIT</v>
      </c>
      <c r="B594" s="24">
        <f>'2025_Chase9335_Activity_2026062'!B594</f>
        <v>45756</v>
      </c>
      <c r="C594" s="8" t="str">
        <f>'2025_Chase9335_Activity_2026062'!C594</f>
        <v>FOREIGN EXCHANGE RATE ADJUSTMENT FEE         04/08CAMPOBASS</v>
      </c>
      <c r="D594" s="8">
        <f>'2025_Chase9335_Activity_2026062'!D594</f>
        <v>-1.1499999999999999</v>
      </c>
      <c r="E594" s="8" t="str">
        <f>'2025_Chase9335_Activity_2026062'!E594</f>
        <v>FEE_TRANSACTION</v>
      </c>
      <c r="F594" s="8">
        <f>'2025_Chase9335_Activity_2026062'!F594</f>
        <v>261691.39</v>
      </c>
      <c r="G594" s="8" t="str">
        <f>'2025_Chase9335_Activity_2026062'!G594</f>
        <v>Personal - Travel (Italy)</v>
      </c>
      <c r="H594" s="26">
        <f t="shared" si="9"/>
        <v>45748</v>
      </c>
      <c r="I594" s="8" t="str">
        <f>IF($G594="","Uncategorized — Review",IFERROR(_xlfn.XLOOKUP($G594,Mapping!$A:$A,Mapping!$B:$B),"Uncategorized — Review"))</f>
        <v>Personal - Travel (Italy)</v>
      </c>
      <c r="J594" s="8" t="str">
        <f>IF($G594="","Uncategorized — Review",IFERROR(_xlfn.XLOOKUP($G594,Mapping!$A:$A,Mapping!$C:$C),"Uncategorized — Review"))</f>
        <v>Personal — Owner</v>
      </c>
    </row>
    <row r="595" spans="1:10" x14ac:dyDescent="0.25">
      <c r="A595" s="8" t="str">
        <f>'2025_Chase9335_Activity_2026062'!A595</f>
        <v>DEBIT</v>
      </c>
      <c r="B595" s="24">
        <f>'2025_Chase9335_Activity_2026062'!B595</f>
        <v>45756</v>
      </c>
      <c r="C595" s="8" t="str">
        <f>'2025_Chase9335_Activity_2026062'!C595</f>
        <v>FOREIGN EXCHANGE RATE ADJUSTMENT FEE         04/08BAR IL PA</v>
      </c>
      <c r="D595" s="8">
        <f>'2025_Chase9335_Activity_2026062'!D595</f>
        <v>-4.3499999999999996</v>
      </c>
      <c r="E595" s="8" t="str">
        <f>'2025_Chase9335_Activity_2026062'!E595</f>
        <v>FEE_TRANSACTION</v>
      </c>
      <c r="F595" s="8">
        <f>'2025_Chase9335_Activity_2026062'!F595</f>
        <v>261692.54</v>
      </c>
      <c r="G595" s="8" t="str">
        <f>'2025_Chase9335_Activity_2026062'!G595</f>
        <v>Personal - Travel (Italy)</v>
      </c>
      <c r="H595" s="26">
        <f t="shared" si="9"/>
        <v>45748</v>
      </c>
      <c r="I595" s="8" t="str">
        <f>IF($G595="","Uncategorized — Review",IFERROR(_xlfn.XLOOKUP($G595,Mapping!$A:$A,Mapping!$B:$B),"Uncategorized — Review"))</f>
        <v>Personal - Travel (Italy)</v>
      </c>
      <c r="J595" s="8" t="str">
        <f>IF($G595="","Uncategorized — Review",IFERROR(_xlfn.XLOOKUP($G595,Mapping!$A:$A,Mapping!$C:$C),"Uncategorized — Review"))</f>
        <v>Personal — Owner</v>
      </c>
    </row>
    <row r="596" spans="1:10" x14ac:dyDescent="0.25">
      <c r="A596" s="8" t="str">
        <f>'2025_Chase9335_Activity_2026062'!A596</f>
        <v>DEBIT</v>
      </c>
      <c r="B596" s="24">
        <f>'2025_Chase9335_Activity_2026062'!B596</f>
        <v>45756</v>
      </c>
      <c r="C596" s="8" t="str">
        <f>'2025_Chase9335_Activity_2026062'!C596</f>
        <v>ONLINE DOMESTIC WIRE FEE</v>
      </c>
      <c r="D596" s="8">
        <f>'2025_Chase9335_Activity_2026062'!D596</f>
        <v>-25</v>
      </c>
      <c r="E596" s="8" t="str">
        <f>'2025_Chase9335_Activity_2026062'!E596</f>
        <v>FEE_TRANSACTION</v>
      </c>
      <c r="F596" s="8">
        <f>'2025_Chase9335_Activity_2026062'!F596</f>
        <v>261696.89</v>
      </c>
      <c r="G596" s="8" t="str">
        <f>'2025_Chase9335_Activity_2026062'!G596</f>
        <v>Bank Fees</v>
      </c>
      <c r="H596" s="26">
        <f t="shared" si="9"/>
        <v>45748</v>
      </c>
      <c r="I596" s="8" t="str">
        <f>IF($G596="","Uncategorized — Review",IFERROR(_xlfn.XLOOKUP($G596,Mapping!$A:$A,Mapping!$B:$B),"Uncategorized — Review"))</f>
        <v>Bank Fees</v>
      </c>
      <c r="J596" s="8" t="str">
        <f>IF($G596="","Uncategorized — Review",IFERROR(_xlfn.XLOOKUP($G596,Mapping!$A:$A,Mapping!$C:$C),"Uncategorized — Review"))</f>
        <v>DWG Operating</v>
      </c>
    </row>
    <row r="597" spans="1:10" x14ac:dyDescent="0.25">
      <c r="A597" s="8" t="str">
        <f>'2025_Chase9335_Activity_2026062'!A597</f>
        <v>DEBIT</v>
      </c>
      <c r="B597" s="24">
        <f>'2025_Chase9335_Activity_2026062'!B597</f>
        <v>45756</v>
      </c>
      <c r="C597" s="8" t="str">
        <f>'2025_Chase9335_Activity_2026062'!C597</f>
        <v>ONLINE DOMESTIC WIRE TRANSFER VIA: US BANK MINNESOTA/091000022 A/C: US BANK MINNEAPOLIS MN 55402 US REF: GF 5147001874/BNF/ESCROW DEP/TIME/15:07 IMAD: 0409MMQFMP2L030624 TRN: 3526295099ES 04/09</v>
      </c>
      <c r="D597" s="8">
        <f>'2025_Chase9335_Activity_2026062'!D597</f>
        <v>-50000</v>
      </c>
      <c r="E597" s="8" t="str">
        <f>'2025_Chase9335_Activity_2026062'!E597</f>
        <v>WIRE_OUTGOING</v>
      </c>
      <c r="F597" s="8">
        <f>'2025_Chase9335_Activity_2026062'!F597</f>
        <v>261721.89</v>
      </c>
      <c r="G597" s="8" t="str">
        <f>'2025_Chase9335_Activity_2026062'!G597</f>
        <v>Deal Specific: JAL Breese</v>
      </c>
      <c r="H597" s="26">
        <f t="shared" si="9"/>
        <v>45748</v>
      </c>
      <c r="I597" s="8" t="str">
        <f>IF($G597="","Uncategorized — Review",IFERROR(_xlfn.XLOOKUP($G597,Mapping!$A:$A,Mapping!$B:$B),"Uncategorized — Review"))</f>
        <v>Deal Specific: JAL Breese</v>
      </c>
      <c r="J597" s="8" t="str">
        <f>IF($G597="","Uncategorized — Review",IFERROR(_xlfn.XLOOKUP($G597,Mapping!$A:$A,Mapping!$C:$C),"Uncategorized — Review"))</f>
        <v>Deal-Specific</v>
      </c>
    </row>
    <row r="598" spans="1:10" x14ac:dyDescent="0.25">
      <c r="A598" s="8" t="str">
        <f>'2025_Chase9335_Activity_2026062'!A598</f>
        <v>DEBIT</v>
      </c>
      <c r="B598" s="24">
        <f>'2025_Chase9335_Activity_2026062'!B598</f>
        <v>45756</v>
      </c>
      <c r="C598" s="8" t="str">
        <f>'2025_Chase9335_Activity_2026062'!C598</f>
        <v>BAR IL PALIO DI GIULIAN SIENA                04/08 Euro       131.50 X 1.105171 (EXCHG RTE)</v>
      </c>
      <c r="D598" s="8">
        <f>'2025_Chase9335_Activity_2026062'!D598</f>
        <v>-145.33000000000001</v>
      </c>
      <c r="E598" s="8" t="str">
        <f>'2025_Chase9335_Activity_2026062'!E598</f>
        <v>DEBIT_CARD</v>
      </c>
      <c r="F598" s="8">
        <f>'2025_Chase9335_Activity_2026062'!F598</f>
        <v>311721.89</v>
      </c>
      <c r="G598" s="8" t="str">
        <f>'2025_Chase9335_Activity_2026062'!G598</f>
        <v>Personal - Travel (Italy)</v>
      </c>
      <c r="H598" s="26">
        <f t="shared" si="9"/>
        <v>45748</v>
      </c>
      <c r="I598" s="8" t="str">
        <f>IF($G598="","Uncategorized — Review",IFERROR(_xlfn.XLOOKUP($G598,Mapping!$A:$A,Mapping!$B:$B),"Uncategorized — Review"))</f>
        <v>Personal - Travel (Italy)</v>
      </c>
      <c r="J598" s="8" t="str">
        <f>IF($G598="","Uncategorized — Review",IFERROR(_xlfn.XLOOKUP($G598,Mapping!$A:$A,Mapping!$C:$C),"Uncategorized — Review"))</f>
        <v>Personal — Owner</v>
      </c>
    </row>
    <row r="599" spans="1:10" x14ac:dyDescent="0.25">
      <c r="A599" s="8" t="str">
        <f>'2025_Chase9335_Activity_2026062'!A599</f>
        <v>DEBIT</v>
      </c>
      <c r="B599" s="24">
        <f>'2025_Chase9335_Activity_2026062'!B599</f>
        <v>45756</v>
      </c>
      <c r="C599" s="8" t="str">
        <f>'2025_Chase9335_Activity_2026062'!C599</f>
        <v>CAMPOBASSO SIMONA SIENA                      04/08 Euro       34.70 X 1.105187 (EXCHG RTE)</v>
      </c>
      <c r="D599" s="8">
        <f>'2025_Chase9335_Activity_2026062'!D599</f>
        <v>-38.35</v>
      </c>
      <c r="E599" s="8" t="str">
        <f>'2025_Chase9335_Activity_2026062'!E599</f>
        <v>DEBIT_CARD</v>
      </c>
      <c r="F599" s="8">
        <f>'2025_Chase9335_Activity_2026062'!F599</f>
        <v>311867.21999999997</v>
      </c>
      <c r="G599" s="8" t="str">
        <f>'2025_Chase9335_Activity_2026062'!G599</f>
        <v>Personal - Travel (Italy)</v>
      </c>
      <c r="H599" s="26">
        <f t="shared" si="9"/>
        <v>45748</v>
      </c>
      <c r="I599" s="8" t="str">
        <f>IF($G599="","Uncategorized — Review",IFERROR(_xlfn.XLOOKUP($G599,Mapping!$A:$A,Mapping!$B:$B),"Uncategorized — Review"))</f>
        <v>Personal - Travel (Italy)</v>
      </c>
      <c r="J599" s="8" t="str">
        <f>IF($G599="","Uncategorized — Review",IFERROR(_xlfn.XLOOKUP($G599,Mapping!$A:$A,Mapping!$C:$C),"Uncategorized — Review"))</f>
        <v>Personal — Owner</v>
      </c>
    </row>
    <row r="600" spans="1:10" x14ac:dyDescent="0.25">
      <c r="A600" s="8" t="str">
        <f>'2025_Chase9335_Activity_2026062'!A600</f>
        <v>CREDIT</v>
      </c>
      <c r="B600" s="24">
        <f>'2025_Chase9335_Activity_2026062'!B600</f>
        <v>45756</v>
      </c>
      <c r="C600" s="8" t="str">
        <f>'2025_Chase9335_Activity_2026062'!C600</f>
        <v>Online Transfer from CHK ...5369 transaction#: 24355470284</v>
      </c>
      <c r="D600" s="8">
        <f>'2025_Chase9335_Activity_2026062'!D600</f>
        <v>50000</v>
      </c>
      <c r="E600" s="8" t="str">
        <f>'2025_Chase9335_Activity_2026062'!E600</f>
        <v>ACCT_XFER</v>
      </c>
      <c r="F600" s="8">
        <f>'2025_Chase9335_Activity_2026062'!F600</f>
        <v>311905.57</v>
      </c>
      <c r="G600" s="8" t="str">
        <f>'2025_Chase9335_Activity_2026062'!G600</f>
        <v>Transfer from Kalkaska Screw</v>
      </c>
      <c r="H600" s="26">
        <f t="shared" si="9"/>
        <v>45748</v>
      </c>
      <c r="I600" s="8" t="str">
        <f>IF($G600="","Uncategorized — Review",IFERROR(_xlfn.XLOOKUP($G600,Mapping!$A:$A,Mapping!$B:$B),"Uncategorized — Review"))</f>
        <v>Transfer from Kalkaska Screw</v>
      </c>
      <c r="J600" s="8" t="str">
        <f>IF($G600="","Uncategorized — Review",IFERROR(_xlfn.XLOOKUP($G600,Mapping!$A:$A,Mapping!$C:$C),"Uncategorized — Review"))</f>
        <v>Intercompany &amp; Savings Transfers</v>
      </c>
    </row>
    <row r="601" spans="1:10" x14ac:dyDescent="0.25">
      <c r="A601" s="8" t="str">
        <f>'2025_Chase9335_Activity_2026062'!A601</f>
        <v>DEBIT</v>
      </c>
      <c r="B601" s="24">
        <f>'2025_Chase9335_Activity_2026062'!B601</f>
        <v>45755</v>
      </c>
      <c r="C601" s="8" t="str">
        <f>'2025_Chase9335_Activity_2026062'!C601</f>
        <v>FOREIGN EXCHANGE RATE ADJUSTMENT FEE         04/07ASPIT ORV</v>
      </c>
      <c r="D601" s="8">
        <f>'2025_Chase9335_Activity_2026062'!D601</f>
        <v>-0.1</v>
      </c>
      <c r="E601" s="8" t="str">
        <f>'2025_Chase9335_Activity_2026062'!E601</f>
        <v>FEE_TRANSACTION</v>
      </c>
      <c r="F601" s="8">
        <f>'2025_Chase9335_Activity_2026062'!F601</f>
        <v>261905.57</v>
      </c>
      <c r="G601" s="8" t="str">
        <f>'2025_Chase9335_Activity_2026062'!G601</f>
        <v>Personal - Travel (Italy)</v>
      </c>
      <c r="H601" s="26">
        <f t="shared" si="9"/>
        <v>45748</v>
      </c>
      <c r="I601" s="8" t="str">
        <f>IF($G601="","Uncategorized — Review",IFERROR(_xlfn.XLOOKUP($G601,Mapping!$A:$A,Mapping!$B:$B),"Uncategorized — Review"))</f>
        <v>Personal - Travel (Italy)</v>
      </c>
      <c r="J601" s="8" t="str">
        <f>IF($G601="","Uncategorized — Review",IFERROR(_xlfn.XLOOKUP($G601,Mapping!$A:$A,Mapping!$C:$C),"Uncategorized — Review"))</f>
        <v>Personal — Owner</v>
      </c>
    </row>
    <row r="602" spans="1:10" x14ac:dyDescent="0.25">
      <c r="A602" s="8" t="str">
        <f>'2025_Chase9335_Activity_2026062'!A602</f>
        <v>DEBIT</v>
      </c>
      <c r="B602" s="24">
        <f>'2025_Chase9335_Activity_2026062'!B602</f>
        <v>45755</v>
      </c>
      <c r="C602" s="8" t="str">
        <f>'2025_Chase9335_Activity_2026062'!C602</f>
        <v>FOREIGN EXCHANGE RATE ADJUSTMENT FEE         04/07PARCHEGGI</v>
      </c>
      <c r="D602" s="8">
        <f>'2025_Chase9335_Activity_2026062'!D602</f>
        <v>-0.14000000000000001</v>
      </c>
      <c r="E602" s="8" t="str">
        <f>'2025_Chase9335_Activity_2026062'!E602</f>
        <v>FEE_TRANSACTION</v>
      </c>
      <c r="F602" s="8">
        <f>'2025_Chase9335_Activity_2026062'!F602</f>
        <v>261905.67</v>
      </c>
      <c r="G602" s="8" t="str">
        <f>'2025_Chase9335_Activity_2026062'!G602</f>
        <v>Personal - Travel (Italy)</v>
      </c>
      <c r="H602" s="26">
        <f t="shared" si="9"/>
        <v>45748</v>
      </c>
      <c r="I602" s="8" t="str">
        <f>IF($G602="","Uncategorized — Review",IFERROR(_xlfn.XLOOKUP($G602,Mapping!$A:$A,Mapping!$B:$B),"Uncategorized — Review"))</f>
        <v>Personal - Travel (Italy)</v>
      </c>
      <c r="J602" s="8" t="str">
        <f>IF($G602="","Uncategorized — Review",IFERROR(_xlfn.XLOOKUP($G602,Mapping!$A:$A,Mapping!$C:$C),"Uncategorized — Review"))</f>
        <v>Personal — Owner</v>
      </c>
    </row>
    <row r="603" spans="1:10" x14ac:dyDescent="0.25">
      <c r="A603" s="8" t="str">
        <f>'2025_Chase9335_Activity_2026062'!A603</f>
        <v>DEBIT</v>
      </c>
      <c r="B603" s="24">
        <f>'2025_Chase9335_Activity_2026062'!B603</f>
        <v>45755</v>
      </c>
      <c r="C603" s="8" t="str">
        <f>'2025_Chase9335_Activity_2026062'!C603</f>
        <v>FOREIGN EXCHANGE RATE ADJUSTMENT FEE         04/07ASPIT RMP</v>
      </c>
      <c r="D603" s="8">
        <f>'2025_Chase9335_Activity_2026062'!D603</f>
        <v>-0.27</v>
      </c>
      <c r="E603" s="8" t="str">
        <f>'2025_Chase9335_Activity_2026062'!E603</f>
        <v>FEE_TRANSACTION</v>
      </c>
      <c r="F603" s="8">
        <f>'2025_Chase9335_Activity_2026062'!F603</f>
        <v>261905.81</v>
      </c>
      <c r="G603" s="8" t="str">
        <f>'2025_Chase9335_Activity_2026062'!G603</f>
        <v>Personal - Travel (Italy)</v>
      </c>
      <c r="H603" s="26">
        <f t="shared" si="9"/>
        <v>45748</v>
      </c>
      <c r="I603" s="8" t="str">
        <f>IF($G603="","Uncategorized — Review",IFERROR(_xlfn.XLOOKUP($G603,Mapping!$A:$A,Mapping!$B:$B),"Uncategorized — Review"))</f>
        <v>Personal - Travel (Italy)</v>
      </c>
      <c r="J603" s="8" t="str">
        <f>IF($G603="","Uncategorized — Review",IFERROR(_xlfn.XLOOKUP($G603,Mapping!$A:$A,Mapping!$C:$C),"Uncategorized — Review"))</f>
        <v>Personal — Owner</v>
      </c>
    </row>
    <row r="604" spans="1:10" x14ac:dyDescent="0.25">
      <c r="A604" s="8" t="str">
        <f>'2025_Chase9335_Activity_2026062'!A604</f>
        <v>DEBIT</v>
      </c>
      <c r="B604" s="24">
        <f>'2025_Chase9335_Activity_2026062'!B604</f>
        <v>45755</v>
      </c>
      <c r="C604" s="8" t="str">
        <f>'2025_Chase9335_Activity_2026062'!C604</f>
        <v>FOREIGN EXCHANGE RATE ADJUSTMENT FEE         04/07ENZO E SO</v>
      </c>
      <c r="D604" s="8">
        <f>'2025_Chase9335_Activity_2026062'!D604</f>
        <v>-2.99</v>
      </c>
      <c r="E604" s="8" t="str">
        <f>'2025_Chase9335_Activity_2026062'!E604</f>
        <v>FEE_TRANSACTION</v>
      </c>
      <c r="F604" s="8">
        <f>'2025_Chase9335_Activity_2026062'!F604</f>
        <v>261906.08</v>
      </c>
      <c r="G604" s="8" t="str">
        <f>'2025_Chase9335_Activity_2026062'!G604</f>
        <v>Personal - Travel (Italy)</v>
      </c>
      <c r="H604" s="26">
        <f t="shared" si="9"/>
        <v>45748</v>
      </c>
      <c r="I604" s="8" t="str">
        <f>IF($G604="","Uncategorized — Review",IFERROR(_xlfn.XLOOKUP($G604,Mapping!$A:$A,Mapping!$B:$B),"Uncategorized — Review"))</f>
        <v>Personal - Travel (Italy)</v>
      </c>
      <c r="J604" s="8" t="str">
        <f>IF($G604="","Uncategorized — Review",IFERROR(_xlfn.XLOOKUP($G604,Mapping!$A:$A,Mapping!$C:$C),"Uncategorized — Review"))</f>
        <v>Personal — Owner</v>
      </c>
    </row>
    <row r="605" spans="1:10" x14ac:dyDescent="0.25">
      <c r="A605" s="8" t="str">
        <f>'2025_Chase9335_Activity_2026062'!A605</f>
        <v>DEBIT</v>
      </c>
      <c r="B605" s="24">
        <f>'2025_Chase9335_Activity_2026062'!B605</f>
        <v>45755</v>
      </c>
      <c r="C605" s="8" t="str">
        <f>'2025_Chase9335_Activity_2026062'!C605</f>
        <v>FOREIGN EXCHANGE RATE ADJUSTMENT FEE         04/07ACQUA DI</v>
      </c>
      <c r="D605" s="8">
        <f>'2025_Chase9335_Activity_2026062'!D605</f>
        <v>-3.29</v>
      </c>
      <c r="E605" s="8" t="str">
        <f>'2025_Chase9335_Activity_2026062'!E605</f>
        <v>FEE_TRANSACTION</v>
      </c>
      <c r="F605" s="8">
        <f>'2025_Chase9335_Activity_2026062'!F605</f>
        <v>261909.07</v>
      </c>
      <c r="G605" s="8" t="str">
        <f>'2025_Chase9335_Activity_2026062'!G605</f>
        <v>Personal - Travel (Italy)</v>
      </c>
      <c r="H605" s="26">
        <f t="shared" si="9"/>
        <v>45748</v>
      </c>
      <c r="I605" s="8" t="str">
        <f>IF($G605="","Uncategorized — Review",IFERROR(_xlfn.XLOOKUP($G605,Mapping!$A:$A,Mapping!$B:$B),"Uncategorized — Review"))</f>
        <v>Personal - Travel (Italy)</v>
      </c>
      <c r="J605" s="8" t="str">
        <f>IF($G605="","Uncategorized — Review",IFERROR(_xlfn.XLOOKUP($G605,Mapping!$A:$A,Mapping!$C:$C),"Uncategorized — Review"))</f>
        <v>Personal — Owner</v>
      </c>
    </row>
    <row r="606" spans="1:10" x14ac:dyDescent="0.25">
      <c r="A606" s="8" t="str">
        <f>'2025_Chase9335_Activity_2026062'!A606</f>
        <v>DEBIT</v>
      </c>
      <c r="B606" s="24">
        <f>'2025_Chase9335_Activity_2026062'!B606</f>
        <v>45755</v>
      </c>
      <c r="C606" s="8" t="str">
        <f>'2025_Chase9335_Activity_2026062'!C606</f>
        <v>ENZO E SONIA SIENA                           04/07 Euro       90.00 X 1.111000 (EXCHG RTE)</v>
      </c>
      <c r="D606" s="8">
        <f>'2025_Chase9335_Activity_2026062'!D606</f>
        <v>-99.99</v>
      </c>
      <c r="E606" s="8" t="str">
        <f>'2025_Chase9335_Activity_2026062'!E606</f>
        <v>DEBIT_CARD</v>
      </c>
      <c r="F606" s="8">
        <f>'2025_Chase9335_Activity_2026062'!F606</f>
        <v>261912.36</v>
      </c>
      <c r="G606" s="8" t="str">
        <f>'2025_Chase9335_Activity_2026062'!G606</f>
        <v>Personal - Travel (Italy)</v>
      </c>
      <c r="H606" s="26">
        <f t="shared" si="9"/>
        <v>45748</v>
      </c>
      <c r="I606" s="8" t="str">
        <f>IF($G606="","Uncategorized — Review",IFERROR(_xlfn.XLOOKUP($G606,Mapping!$A:$A,Mapping!$B:$B),"Uncategorized — Review"))</f>
        <v>Personal - Travel (Italy)</v>
      </c>
      <c r="J606" s="8" t="str">
        <f>IF($G606="","Uncategorized — Review",IFERROR(_xlfn.XLOOKUP($G606,Mapping!$A:$A,Mapping!$C:$C),"Uncategorized — Review"))</f>
        <v>Personal — Owner</v>
      </c>
    </row>
    <row r="607" spans="1:10" x14ac:dyDescent="0.25">
      <c r="A607" s="8" t="str">
        <f>'2025_Chase9335_Activity_2026062'!A607</f>
        <v>DEBIT</v>
      </c>
      <c r="B607" s="24">
        <f>'2025_Chase9335_Activity_2026062'!B607</f>
        <v>45755</v>
      </c>
      <c r="C607" s="8" t="str">
        <f>'2025_Chase9335_Activity_2026062'!C607</f>
        <v>ASPIT RMPP:4063451191- VALDICHIANA           04/07 Euro       8.20 X 1.110976 (EXCHG RTE)</v>
      </c>
      <c r="D607" s="8">
        <f>'2025_Chase9335_Activity_2026062'!D607</f>
        <v>-9.11</v>
      </c>
      <c r="E607" s="8" t="str">
        <f>'2025_Chase9335_Activity_2026062'!E607</f>
        <v>DEBIT_CARD</v>
      </c>
      <c r="F607" s="8">
        <f>'2025_Chase9335_Activity_2026062'!F607</f>
        <v>262012.35</v>
      </c>
      <c r="G607" s="8" t="str">
        <f>'2025_Chase9335_Activity_2026062'!G607</f>
        <v>Personal - Travel (Italy)</v>
      </c>
      <c r="H607" s="26">
        <f t="shared" si="9"/>
        <v>45748</v>
      </c>
      <c r="I607" s="8" t="str">
        <f>IF($G607="","Uncategorized — Review",IFERROR(_xlfn.XLOOKUP($G607,Mapping!$A:$A,Mapping!$B:$B),"Uncategorized — Review"))</f>
        <v>Personal - Travel (Italy)</v>
      </c>
      <c r="J607" s="8" t="str">
        <f>IF($G607="","Uncategorized — Review",IFERROR(_xlfn.XLOOKUP($G607,Mapping!$A:$A,Mapping!$C:$C),"Uncategorized — Review"))</f>
        <v>Personal — Owner</v>
      </c>
    </row>
    <row r="608" spans="1:10" x14ac:dyDescent="0.25">
      <c r="A608" s="8" t="str">
        <f>'2025_Chase9335_Activity_2026062'!A608</f>
        <v>DEBIT</v>
      </c>
      <c r="B608" s="24">
        <f>'2025_Chase9335_Activity_2026062'!B608</f>
        <v>45755</v>
      </c>
      <c r="C608" s="8" t="str">
        <f>'2025_Chase9335_Activity_2026062'!C608</f>
        <v>ASPIT ORVIETO        - ORTE                  04/07 Euro       3.20 X 1.112500 (EXCHG RTE)</v>
      </c>
      <c r="D608" s="8">
        <f>'2025_Chase9335_Activity_2026062'!D608</f>
        <v>-3.56</v>
      </c>
      <c r="E608" s="8" t="str">
        <f>'2025_Chase9335_Activity_2026062'!E608</f>
        <v>DEBIT_CARD</v>
      </c>
      <c r="F608" s="8">
        <f>'2025_Chase9335_Activity_2026062'!F608</f>
        <v>262021.46</v>
      </c>
      <c r="G608" s="8" t="str">
        <f>'2025_Chase9335_Activity_2026062'!G608</f>
        <v>Personal - Travel (Italy)</v>
      </c>
      <c r="H608" s="26">
        <f t="shared" si="9"/>
        <v>45748</v>
      </c>
      <c r="I608" s="8" t="str">
        <f>IF($G608="","Uncategorized — Review",IFERROR(_xlfn.XLOOKUP($G608,Mapping!$A:$A,Mapping!$B:$B),"Uncategorized — Review"))</f>
        <v>Personal - Travel (Italy)</v>
      </c>
      <c r="J608" s="8" t="str">
        <f>IF($G608="","Uncategorized — Review",IFERROR(_xlfn.XLOOKUP($G608,Mapping!$A:$A,Mapping!$C:$C),"Uncategorized — Review"))</f>
        <v>Personal — Owner</v>
      </c>
    </row>
    <row r="609" spans="1:10" x14ac:dyDescent="0.25">
      <c r="A609" s="8" t="str">
        <f>'2025_Chase9335_Activity_2026062'!A609</f>
        <v>DEBIT</v>
      </c>
      <c r="B609" s="24">
        <f>'2025_Chase9335_Activity_2026062'!B609</f>
        <v>45755</v>
      </c>
      <c r="C609" s="8" t="str">
        <f>'2025_Chase9335_Activity_2026062'!C609</f>
        <v>PARCHEGGIO CAMPO DELLA ORVIETO               04/07 Euro       4.30 X 1.111628 (EXCHG RTE)</v>
      </c>
      <c r="D609" s="8">
        <f>'2025_Chase9335_Activity_2026062'!D609</f>
        <v>-4.78</v>
      </c>
      <c r="E609" s="8" t="str">
        <f>'2025_Chase9335_Activity_2026062'!E609</f>
        <v>DEBIT_CARD</v>
      </c>
      <c r="F609" s="8">
        <f>'2025_Chase9335_Activity_2026062'!F609</f>
        <v>262025.02</v>
      </c>
      <c r="G609" s="8" t="str">
        <f>'2025_Chase9335_Activity_2026062'!G609</f>
        <v>Personal - Travel (Italy)</v>
      </c>
      <c r="H609" s="26">
        <f t="shared" si="9"/>
        <v>45748</v>
      </c>
      <c r="I609" s="8" t="str">
        <f>IF($G609="","Uncategorized — Review",IFERROR(_xlfn.XLOOKUP($G609,Mapping!$A:$A,Mapping!$B:$B),"Uncategorized — Review"))</f>
        <v>Personal - Travel (Italy)</v>
      </c>
      <c r="J609" s="8" t="str">
        <f>IF($G609="","Uncategorized — Review",IFERROR(_xlfn.XLOOKUP($G609,Mapping!$A:$A,Mapping!$C:$C),"Uncategorized — Review"))</f>
        <v>Personal — Owner</v>
      </c>
    </row>
    <row r="610" spans="1:10" x14ac:dyDescent="0.25">
      <c r="A610" s="8" t="str">
        <f>'2025_Chase9335_Activity_2026062'!A610</f>
        <v>DEBIT</v>
      </c>
      <c r="B610" s="24">
        <f>'2025_Chase9335_Activity_2026062'!B610</f>
        <v>45755</v>
      </c>
      <c r="C610" s="8" t="str">
        <f>'2025_Chase9335_Activity_2026062'!C610</f>
        <v>ACQUA DI SPELLO ORVIETO                      04/07 Euro       99.00 X 1.111010 (EXCHG RTE)</v>
      </c>
      <c r="D610" s="8">
        <f>'2025_Chase9335_Activity_2026062'!D610</f>
        <v>-109.99</v>
      </c>
      <c r="E610" s="8" t="str">
        <f>'2025_Chase9335_Activity_2026062'!E610</f>
        <v>DEBIT_CARD</v>
      </c>
      <c r="F610" s="8">
        <f>'2025_Chase9335_Activity_2026062'!F610</f>
        <v>262029.8</v>
      </c>
      <c r="G610" s="8" t="str">
        <f>'2025_Chase9335_Activity_2026062'!G610</f>
        <v>Personal - Travel (Italy)</v>
      </c>
      <c r="H610" s="26">
        <f t="shared" si="9"/>
        <v>45748</v>
      </c>
      <c r="I610" s="8" t="str">
        <f>IF($G610="","Uncategorized — Review",IFERROR(_xlfn.XLOOKUP($G610,Mapping!$A:$A,Mapping!$B:$B),"Uncategorized — Review"))</f>
        <v>Personal - Travel (Italy)</v>
      </c>
      <c r="J610" s="8" t="str">
        <f>IF($G610="","Uncategorized — Review",IFERROR(_xlfn.XLOOKUP($G610,Mapping!$A:$A,Mapping!$C:$C),"Uncategorized — Review"))</f>
        <v>Personal — Owner</v>
      </c>
    </row>
    <row r="611" spans="1:10" x14ac:dyDescent="0.25">
      <c r="A611" s="8" t="str">
        <f>'2025_Chase9335_Activity_2026062'!A611</f>
        <v>CREDIT</v>
      </c>
      <c r="B611" s="24">
        <f>'2025_Chase9335_Activity_2026062'!B611</f>
        <v>45755</v>
      </c>
      <c r="C611" s="8" t="str">
        <f>'2025_Chase9335_Activity_2026062'!C611</f>
        <v>ORIG CO NAME:MRM Industrial P       ORIG ID:945440567  DESC DATE:       CO ENTRY DESCR:PAYMENT   SEC:PPD    TRACE#:273976366956833 EED:250408   IND ID:                             IND NAME:John Dunning TRN: 0986956833TC</v>
      </c>
      <c r="D611" s="8">
        <f>'2025_Chase9335_Activity_2026062'!D611</f>
        <v>236.37</v>
      </c>
      <c r="E611" s="8" t="str">
        <f>'2025_Chase9335_Activity_2026062'!E611</f>
        <v>ACH_CREDIT</v>
      </c>
      <c r="F611" s="8">
        <f>'2025_Chase9335_Activity_2026062'!F611</f>
        <v>262139.79</v>
      </c>
      <c r="G611" s="8" t="str">
        <f>'2025_Chase9335_Activity_2026062'!G611</f>
        <v>Deal Specific: MRM</v>
      </c>
      <c r="H611" s="26">
        <f t="shared" si="9"/>
        <v>45748</v>
      </c>
      <c r="I611" s="8" t="str">
        <f>IF($G611="","Uncategorized — Review",IFERROR(_xlfn.XLOOKUP($G611,Mapping!$A:$A,Mapping!$B:$B),"Uncategorized — Review"))</f>
        <v>Deal Specific: MRM</v>
      </c>
      <c r="J611" s="8" t="str">
        <f>IF($G611="","Uncategorized — Review",IFERROR(_xlfn.XLOOKUP($G611,Mapping!$A:$A,Mapping!$C:$C),"Uncategorized — Review"))</f>
        <v>Deal-Specific</v>
      </c>
    </row>
    <row r="612" spans="1:10" x14ac:dyDescent="0.25">
      <c r="A612" s="8" t="str">
        <f>'2025_Chase9335_Activity_2026062'!A612</f>
        <v>CREDIT</v>
      </c>
      <c r="B612" s="24">
        <f>'2025_Chase9335_Activity_2026062'!B612</f>
        <v>45755</v>
      </c>
      <c r="C612" s="8" t="str">
        <f>'2025_Chase9335_Activity_2026062'!C612</f>
        <v>ORIG CO NAME:Austin Iron Hold       ORIG ID:945440567  DESC DATE:       CO ENTRY DESCR:PAYMENT   SEC:PPD    TRACE#:273976366957231 EED:250408   IND ID:                             IND NAME:John Dunning TRN: 0986957231TC</v>
      </c>
      <c r="D612" s="8">
        <f>'2025_Chase9335_Activity_2026062'!D612</f>
        <v>350</v>
      </c>
      <c r="E612" s="8" t="str">
        <f>'2025_Chase9335_Activity_2026062'!E612</f>
        <v>ACH_CREDIT</v>
      </c>
      <c r="F612" s="8">
        <f>'2025_Chase9335_Activity_2026062'!F612</f>
        <v>261903.42</v>
      </c>
      <c r="G612" s="8" t="str">
        <f>'2025_Chase9335_Activity_2026062'!G612</f>
        <v>Deal Specific: Austin Iron</v>
      </c>
      <c r="H612" s="26">
        <f t="shared" si="9"/>
        <v>45748</v>
      </c>
      <c r="I612" s="8" t="str">
        <f>IF($G612="","Uncategorized — Review",IFERROR(_xlfn.XLOOKUP($G612,Mapping!$A:$A,Mapping!$B:$B),"Uncategorized — Review"))</f>
        <v>Deal Specific: Austin Iron</v>
      </c>
      <c r="J612" s="8" t="str">
        <f>IF($G612="","Uncategorized — Review",IFERROR(_xlfn.XLOOKUP($G612,Mapping!$A:$A,Mapping!$C:$C),"Uncategorized — Review"))</f>
        <v>Deal-Specific</v>
      </c>
    </row>
    <row r="613" spans="1:10" x14ac:dyDescent="0.25">
      <c r="A613" s="8" t="str">
        <f>'2025_Chase9335_Activity_2026062'!A613</f>
        <v>CREDIT</v>
      </c>
      <c r="B613" s="24">
        <f>'2025_Chase9335_Activity_2026062'!B613</f>
        <v>45755</v>
      </c>
      <c r="C613" s="8" t="str">
        <f>'2025_Chase9335_Activity_2026062'!C613</f>
        <v>ORIG CO NAME:T and T Machine        ORIG ID:945440567  DESC DATE:       CO ENTRY DESCR:PAYMENT   SEC:PPD    TRACE#:273976366957240 EED:250408   IND ID:                             IND NAME:John Dunning TRN: 0986957240TC</v>
      </c>
      <c r="D613" s="8">
        <f>'2025_Chase9335_Activity_2026062'!D613</f>
        <v>356.38</v>
      </c>
      <c r="E613" s="8" t="str">
        <f>'2025_Chase9335_Activity_2026062'!E613</f>
        <v>ACH_CREDIT</v>
      </c>
      <c r="F613" s="8">
        <f>'2025_Chase9335_Activity_2026062'!F613</f>
        <v>261553.42</v>
      </c>
      <c r="G613" s="8" t="str">
        <f>'2025_Chase9335_Activity_2026062'!G613</f>
        <v>Deal Specific: T&amp;T Machine</v>
      </c>
      <c r="H613" s="26">
        <f t="shared" si="9"/>
        <v>45748</v>
      </c>
      <c r="I613" s="8" t="str">
        <f>IF($G613="","Uncategorized — Review",IFERROR(_xlfn.XLOOKUP($G613,Mapping!$A:$A,Mapping!$B:$B),"Uncategorized — Review"))</f>
        <v>Deal Specific: T&amp;T Machine</v>
      </c>
      <c r="J613" s="8" t="str">
        <f>IF($G613="","Uncategorized — Review",IFERROR(_xlfn.XLOOKUP($G613,Mapping!$A:$A,Mapping!$C:$C),"Uncategorized — Review"))</f>
        <v>Deal-Specific</v>
      </c>
    </row>
    <row r="614" spans="1:10" x14ac:dyDescent="0.25">
      <c r="A614" s="8" t="str">
        <f>'2025_Chase9335_Activity_2026062'!A614</f>
        <v>CREDIT</v>
      </c>
      <c r="B614" s="24">
        <f>'2025_Chase9335_Activity_2026062'!B614</f>
        <v>45755</v>
      </c>
      <c r="C614" s="8" t="str">
        <f>'2025_Chase9335_Activity_2026062'!C614</f>
        <v>ORIG CO NAME:Merit-Lancaster        ORIG ID:945440567  DESC DATE:       CO ENTRY DESCR:PAYMENT   SEC:PPD    TRACE#:273976366955088 EED:250408   IND ID:                             IND NAME:John Dunning TRN: 0986955088TC</v>
      </c>
      <c r="D614" s="8">
        <f>'2025_Chase9335_Activity_2026062'!D614</f>
        <v>476.41</v>
      </c>
      <c r="E614" s="8" t="str">
        <f>'2025_Chase9335_Activity_2026062'!E614</f>
        <v>ACH_CREDIT</v>
      </c>
      <c r="F614" s="8">
        <f>'2025_Chase9335_Activity_2026062'!F614</f>
        <v>261197.04</v>
      </c>
      <c r="G614" s="8" t="str">
        <f>'2025_Chase9335_Activity_2026062'!G614</f>
        <v>Deal Specific: Merit-Lancaster</v>
      </c>
      <c r="H614" s="26">
        <f t="shared" si="9"/>
        <v>45748</v>
      </c>
      <c r="I614" s="8" t="str">
        <f>IF($G614="","Uncategorized — Review",IFERROR(_xlfn.XLOOKUP($G614,Mapping!$A:$A,Mapping!$B:$B),"Uncategorized — Review"))</f>
        <v>Deal Specific: Merit-Lancaster</v>
      </c>
      <c r="J614" s="8" t="str">
        <f>IF($G614="","Uncategorized — Review",IFERROR(_xlfn.XLOOKUP($G614,Mapping!$A:$A,Mapping!$C:$C),"Uncategorized — Review"))</f>
        <v>Deal-Specific</v>
      </c>
    </row>
    <row r="615" spans="1:10" x14ac:dyDescent="0.25">
      <c r="A615" s="8" t="str">
        <f>'2025_Chase9335_Activity_2026062'!A615</f>
        <v>DEBIT</v>
      </c>
      <c r="B615" s="24">
        <f>'2025_Chase9335_Activity_2026062'!B615</f>
        <v>45754</v>
      </c>
      <c r="C615" s="8" t="str">
        <f>'2025_Chase9335_Activity_2026062'!C615</f>
        <v>APPLE.COM/BILL 866-712-7753 CA               04/06</v>
      </c>
      <c r="D615" s="8">
        <f>'2025_Chase9335_Activity_2026062'!D615</f>
        <v>-9.99</v>
      </c>
      <c r="E615" s="8" t="str">
        <f>'2025_Chase9335_Activity_2026062'!E615</f>
        <v>DEBIT_CARD</v>
      </c>
      <c r="F615" s="8">
        <f>'2025_Chase9335_Activity_2026062'!F615</f>
        <v>260720.63</v>
      </c>
      <c r="G615" s="8" t="str">
        <f>'2025_Chase9335_Activity_2026062'!G615</f>
        <v>Personal - Subscriptions</v>
      </c>
      <c r="H615" s="26">
        <f t="shared" si="9"/>
        <v>45748</v>
      </c>
      <c r="I615" s="8" t="str">
        <f>IF($G615="","Uncategorized — Review",IFERROR(_xlfn.XLOOKUP($G615,Mapping!$A:$A,Mapping!$B:$B),"Uncategorized — Review"))</f>
        <v>Personal - Subscriptions</v>
      </c>
      <c r="J615" s="8" t="str">
        <f>IF($G615="","Uncategorized — Review",IFERROR(_xlfn.XLOOKUP($G615,Mapping!$A:$A,Mapping!$C:$C),"Uncategorized — Review"))</f>
        <v>Personal — Owner</v>
      </c>
    </row>
    <row r="616" spans="1:10" x14ac:dyDescent="0.25">
      <c r="A616" s="8" t="str">
        <f>'2025_Chase9335_Activity_2026062'!A616</f>
        <v>DEBIT</v>
      </c>
      <c r="B616" s="24">
        <f>'2025_Chase9335_Activity_2026062'!B616</f>
        <v>45754</v>
      </c>
      <c r="C616" s="8" t="str">
        <f>'2025_Chase9335_Activity_2026062'!C616</f>
        <v>APPLE.COM/BILL 866-712-7753 CA               04/06</v>
      </c>
      <c r="D616" s="8">
        <f>'2025_Chase9335_Activity_2026062'!D616</f>
        <v>-30.89</v>
      </c>
      <c r="E616" s="8" t="str">
        <f>'2025_Chase9335_Activity_2026062'!E616</f>
        <v>DEBIT_CARD</v>
      </c>
      <c r="F616" s="8">
        <f>'2025_Chase9335_Activity_2026062'!F616</f>
        <v>260730.62</v>
      </c>
      <c r="G616" s="8" t="str">
        <f>'2025_Chase9335_Activity_2026062'!G616</f>
        <v>Personal - Subscriptions</v>
      </c>
      <c r="H616" s="26">
        <f t="shared" si="9"/>
        <v>45748</v>
      </c>
      <c r="I616" s="8" t="str">
        <f>IF($G616="","Uncategorized — Review",IFERROR(_xlfn.XLOOKUP($G616,Mapping!$A:$A,Mapping!$B:$B),"Uncategorized — Review"))</f>
        <v>Personal - Subscriptions</v>
      </c>
      <c r="J616" s="8" t="str">
        <f>IF($G616="","Uncategorized — Review",IFERROR(_xlfn.XLOOKUP($G616,Mapping!$A:$A,Mapping!$C:$C),"Uncategorized — Review"))</f>
        <v>Personal — Owner</v>
      </c>
    </row>
    <row r="617" spans="1:10" x14ac:dyDescent="0.25">
      <c r="A617" s="8" t="str">
        <f>'2025_Chase9335_Activity_2026062'!A617</f>
        <v>DEBIT</v>
      </c>
      <c r="B617" s="24">
        <f>'2025_Chase9335_Activity_2026062'!B617</f>
        <v>45750</v>
      </c>
      <c r="C617" s="8" t="str">
        <f>'2025_Chase9335_Activity_2026062'!C617</f>
        <v>FOREIGN EXCHANGE RATE ADJUSTMENT FEE         04/02SOCIAL TA</v>
      </c>
      <c r="D617" s="8">
        <f>'2025_Chase9335_Activity_2026062'!D617</f>
        <v>-0.84</v>
      </c>
      <c r="E617" s="8" t="str">
        <f>'2025_Chase9335_Activity_2026062'!E617</f>
        <v>FEE_TRANSACTION</v>
      </c>
      <c r="F617" s="8">
        <f>'2025_Chase9335_Activity_2026062'!F617</f>
        <v>260761.51</v>
      </c>
      <c r="G617" s="8" t="str">
        <f>'2025_Chase9335_Activity_2026062'!G617</f>
        <v>Personal - Travel (Italy)</v>
      </c>
      <c r="H617" s="26">
        <f t="shared" si="9"/>
        <v>45748</v>
      </c>
      <c r="I617" s="8" t="str">
        <f>IF($G617="","Uncategorized — Review",IFERROR(_xlfn.XLOOKUP($G617,Mapping!$A:$A,Mapping!$B:$B),"Uncategorized — Review"))</f>
        <v>Personal - Travel (Italy)</v>
      </c>
      <c r="J617" s="8" t="str">
        <f>IF($G617="","Uncategorized — Review",IFERROR(_xlfn.XLOOKUP($G617,Mapping!$A:$A,Mapping!$C:$C),"Uncategorized — Review"))</f>
        <v>Personal — Owner</v>
      </c>
    </row>
    <row r="618" spans="1:10" x14ac:dyDescent="0.25">
      <c r="A618" s="8" t="str">
        <f>'2025_Chase9335_Activity_2026062'!A618</f>
        <v>DEBIT</v>
      </c>
      <c r="B618" s="24">
        <f>'2025_Chase9335_Activity_2026062'!B618</f>
        <v>45750</v>
      </c>
      <c r="C618" s="8" t="str">
        <f>'2025_Chase9335_Activity_2026062'!C618</f>
        <v>FOREIGN EXCHANGE RATE ADJUSTMENT FEE         04/02100PERCEN</v>
      </c>
      <c r="D618" s="8">
        <f>'2025_Chase9335_Activity_2026062'!D618</f>
        <v>-1.79</v>
      </c>
      <c r="E618" s="8" t="str">
        <f>'2025_Chase9335_Activity_2026062'!E618</f>
        <v>FEE_TRANSACTION</v>
      </c>
      <c r="F618" s="8">
        <f>'2025_Chase9335_Activity_2026062'!F618</f>
        <v>260762.35</v>
      </c>
      <c r="G618" s="8" t="str">
        <f>'2025_Chase9335_Activity_2026062'!G618</f>
        <v>Personal - Travel (Italy)</v>
      </c>
      <c r="H618" s="26">
        <f t="shared" si="9"/>
        <v>45748</v>
      </c>
      <c r="I618" s="8" t="str">
        <f>IF($G618="","Uncategorized — Review",IFERROR(_xlfn.XLOOKUP($G618,Mapping!$A:$A,Mapping!$B:$B),"Uncategorized — Review"))</f>
        <v>Personal - Travel (Italy)</v>
      </c>
      <c r="J618" s="8" t="str">
        <f>IF($G618="","Uncategorized — Review",IFERROR(_xlfn.XLOOKUP($G618,Mapping!$A:$A,Mapping!$C:$C),"Uncategorized — Review"))</f>
        <v>Personal — Owner</v>
      </c>
    </row>
    <row r="619" spans="1:10" x14ac:dyDescent="0.25">
      <c r="A619" s="8" t="str">
        <f>'2025_Chase9335_Activity_2026062'!A619</f>
        <v>DEBIT</v>
      </c>
      <c r="B619" s="24">
        <f>'2025_Chase9335_Activity_2026062'!B619</f>
        <v>45750</v>
      </c>
      <c r="C619" s="8" t="str">
        <f>'2025_Chase9335_Activity_2026062'!C619</f>
        <v>FOREIGN EXCHANGE RATE ADJUSTMENT FEE         04/02HONG SUWE</v>
      </c>
      <c r="D619" s="8">
        <f>'2025_Chase9335_Activity_2026062'!D619</f>
        <v>-3.89</v>
      </c>
      <c r="E619" s="8" t="str">
        <f>'2025_Chase9335_Activity_2026062'!E619</f>
        <v>FEE_TRANSACTION</v>
      </c>
      <c r="F619" s="8">
        <f>'2025_Chase9335_Activity_2026062'!F619</f>
        <v>260764.14</v>
      </c>
      <c r="G619" s="8" t="str">
        <f>'2025_Chase9335_Activity_2026062'!G619</f>
        <v>Personal - Travel (Italy)</v>
      </c>
      <c r="H619" s="26">
        <f t="shared" si="9"/>
        <v>45748</v>
      </c>
      <c r="I619" s="8" t="str">
        <f>IF($G619="","Uncategorized — Review",IFERROR(_xlfn.XLOOKUP($G619,Mapping!$A:$A,Mapping!$B:$B),"Uncategorized — Review"))</f>
        <v>Personal - Travel (Italy)</v>
      </c>
      <c r="J619" s="8" t="str">
        <f>IF($G619="","Uncategorized — Review",IFERROR(_xlfn.XLOOKUP($G619,Mapping!$A:$A,Mapping!$C:$C),"Uncategorized — Review"))</f>
        <v>Personal — Owner</v>
      </c>
    </row>
    <row r="620" spans="1:10" x14ac:dyDescent="0.25">
      <c r="A620" s="8" t="str">
        <f>'2025_Chase9335_Activity_2026062'!A620</f>
        <v>DEBIT</v>
      </c>
      <c r="B620" s="24">
        <f>'2025_Chase9335_Activity_2026062'!B620</f>
        <v>45750</v>
      </c>
      <c r="C620" s="8" t="str">
        <f>'2025_Chase9335_Activity_2026062'!C620</f>
        <v>100PERCENTOBIO  GEA ROM ROMA                 04/02 Euro       55.10 X 1.083122 (EXCHG RTE)</v>
      </c>
      <c r="D620" s="8">
        <f>'2025_Chase9335_Activity_2026062'!D620</f>
        <v>-59.68</v>
      </c>
      <c r="E620" s="8" t="str">
        <f>'2025_Chase9335_Activity_2026062'!E620</f>
        <v>DEBIT_CARD</v>
      </c>
      <c r="F620" s="8">
        <f>'2025_Chase9335_Activity_2026062'!F620</f>
        <v>260768.03</v>
      </c>
      <c r="G620" s="8" t="str">
        <f>'2025_Chase9335_Activity_2026062'!G620</f>
        <v>Personal - Travel (Italy)</v>
      </c>
      <c r="H620" s="26">
        <f t="shared" si="9"/>
        <v>45748</v>
      </c>
      <c r="I620" s="8" t="str">
        <f>IF($G620="","Uncategorized — Review",IFERROR(_xlfn.XLOOKUP($G620,Mapping!$A:$A,Mapping!$B:$B),"Uncategorized — Review"))</f>
        <v>Personal - Travel (Italy)</v>
      </c>
      <c r="J620" s="8" t="str">
        <f>IF($G620="","Uncategorized — Review",IFERROR(_xlfn.XLOOKUP($G620,Mapping!$A:$A,Mapping!$C:$C),"Uncategorized — Review"))</f>
        <v>Personal — Owner</v>
      </c>
    </row>
    <row r="621" spans="1:10" x14ac:dyDescent="0.25">
      <c r="A621" s="8" t="str">
        <f>'2025_Chase9335_Activity_2026062'!A621</f>
        <v>DEBIT</v>
      </c>
      <c r="B621" s="24">
        <f>'2025_Chase9335_Activity_2026062'!B621</f>
        <v>45750</v>
      </c>
      <c r="C621" s="8" t="str">
        <f>'2025_Chase9335_Activity_2026062'!C621</f>
        <v>SOCIAL TAXI ROMA                             04/02 Euro       26.00 X 1.083077 (EXCHG RTE)</v>
      </c>
      <c r="D621" s="8">
        <f>'2025_Chase9335_Activity_2026062'!D621</f>
        <v>-28.16</v>
      </c>
      <c r="E621" s="8" t="str">
        <f>'2025_Chase9335_Activity_2026062'!E621</f>
        <v>DEBIT_CARD</v>
      </c>
      <c r="F621" s="8">
        <f>'2025_Chase9335_Activity_2026062'!F621</f>
        <v>260827.71</v>
      </c>
      <c r="G621" s="8" t="str">
        <f>'2025_Chase9335_Activity_2026062'!G621</f>
        <v>Personal - Travel (Italy)</v>
      </c>
      <c r="H621" s="26">
        <f t="shared" si="9"/>
        <v>45748</v>
      </c>
      <c r="I621" s="8" t="str">
        <f>IF($G621="","Uncategorized — Review",IFERROR(_xlfn.XLOOKUP($G621,Mapping!$A:$A,Mapping!$B:$B),"Uncategorized — Review"))</f>
        <v>Personal - Travel (Italy)</v>
      </c>
      <c r="J621" s="8" t="str">
        <f>IF($G621="","Uncategorized — Review",IFERROR(_xlfn.XLOOKUP($G621,Mapping!$A:$A,Mapping!$C:$C),"Uncategorized — Review"))</f>
        <v>Personal — Owner</v>
      </c>
    </row>
    <row r="622" spans="1:10" x14ac:dyDescent="0.25">
      <c r="A622" s="8" t="str">
        <f>'2025_Chase9335_Activity_2026062'!A622</f>
        <v>DEBIT</v>
      </c>
      <c r="B622" s="24">
        <f>'2025_Chase9335_Activity_2026062'!B622</f>
        <v>45750</v>
      </c>
      <c r="C622" s="8" t="str">
        <f>'2025_Chase9335_Activity_2026062'!C622</f>
        <v>HONG SUWEI ROMA                              04/02 Euro       120.00 X 1.083167 (EXCHG RTE)</v>
      </c>
      <c r="D622" s="8">
        <f>'2025_Chase9335_Activity_2026062'!D622</f>
        <v>-129.97999999999999</v>
      </c>
      <c r="E622" s="8" t="str">
        <f>'2025_Chase9335_Activity_2026062'!E622</f>
        <v>DEBIT_CARD</v>
      </c>
      <c r="F622" s="8">
        <f>'2025_Chase9335_Activity_2026062'!F622</f>
        <v>260855.87</v>
      </c>
      <c r="G622" s="8" t="str">
        <f>'2025_Chase9335_Activity_2026062'!G622</f>
        <v>Personal - Travel (Italy)</v>
      </c>
      <c r="H622" s="26">
        <f t="shared" si="9"/>
        <v>45748</v>
      </c>
      <c r="I622" s="8" t="str">
        <f>IF($G622="","Uncategorized — Review",IFERROR(_xlfn.XLOOKUP($G622,Mapping!$A:$A,Mapping!$B:$B),"Uncategorized — Review"))</f>
        <v>Personal - Travel (Italy)</v>
      </c>
      <c r="J622" s="8" t="str">
        <f>IF($G622="","Uncategorized — Review",IFERROR(_xlfn.XLOOKUP($G622,Mapping!$A:$A,Mapping!$C:$C),"Uncategorized — Review"))</f>
        <v>Personal — Owner</v>
      </c>
    </row>
    <row r="623" spans="1:10" x14ac:dyDescent="0.25">
      <c r="A623" s="8" t="str">
        <f>'2025_Chase9335_Activity_2026062'!A623</f>
        <v>DEBIT</v>
      </c>
      <c r="B623" s="24">
        <f>'2025_Chase9335_Activity_2026062'!B623</f>
        <v>45749</v>
      </c>
      <c r="C623" s="8" t="str">
        <f>'2025_Chase9335_Activity_2026062'!C623</f>
        <v>FOREIGN EXCHANGE RATE ADJUSTMENT FEE         03/25RESTAURAN</v>
      </c>
      <c r="D623" s="8">
        <f>'2025_Chase9335_Activity_2026062'!D623</f>
        <v>-0.61</v>
      </c>
      <c r="E623" s="8" t="str">
        <f>'2025_Chase9335_Activity_2026062'!E623</f>
        <v>FEE_TRANSACTION</v>
      </c>
      <c r="F623" s="8">
        <f>'2025_Chase9335_Activity_2026062'!F623</f>
        <v>260985.85</v>
      </c>
      <c r="G623" s="8" t="str">
        <f>'2025_Chase9335_Activity_2026062'!G623</f>
        <v>Personal - Travel (Italy)</v>
      </c>
      <c r="H623" s="26">
        <f t="shared" si="9"/>
        <v>45748</v>
      </c>
      <c r="I623" s="8" t="str">
        <f>IF($G623="","Uncategorized — Review",IFERROR(_xlfn.XLOOKUP($G623,Mapping!$A:$A,Mapping!$B:$B),"Uncategorized — Review"))</f>
        <v>Personal - Travel (Italy)</v>
      </c>
      <c r="J623" s="8" t="str">
        <f>IF($G623="","Uncategorized — Review",IFERROR(_xlfn.XLOOKUP($G623,Mapping!$A:$A,Mapping!$C:$C),"Uncategorized — Review"))</f>
        <v>Personal — Owner</v>
      </c>
    </row>
    <row r="624" spans="1:10" x14ac:dyDescent="0.25">
      <c r="A624" s="8" t="str">
        <f>'2025_Chase9335_Activity_2026062'!A624</f>
        <v>DEBIT</v>
      </c>
      <c r="B624" s="24">
        <f>'2025_Chase9335_Activity_2026062'!B624</f>
        <v>45749</v>
      </c>
      <c r="C624" s="8" t="str">
        <f>'2025_Chase9335_Activity_2026062'!C624</f>
        <v>RESTAURANTE BAR BOWIE S PUNTARENAS           03/25 CR Colon   10228.00 X 0.002015057 (EXCHG RTE)</v>
      </c>
      <c r="D624" s="8">
        <f>'2025_Chase9335_Activity_2026062'!D624</f>
        <v>-20.61</v>
      </c>
      <c r="E624" s="8" t="str">
        <f>'2025_Chase9335_Activity_2026062'!E624</f>
        <v>DEBIT_CARD</v>
      </c>
      <c r="F624" s="8">
        <f>'2025_Chase9335_Activity_2026062'!F624</f>
        <v>260986.46</v>
      </c>
      <c r="G624" s="8" t="str">
        <f>'2025_Chase9335_Activity_2026062'!G624</f>
        <v>Personal - Travel (Italy)</v>
      </c>
      <c r="H624" s="26">
        <f t="shared" si="9"/>
        <v>45748</v>
      </c>
      <c r="I624" s="8" t="str">
        <f>IF($G624="","Uncategorized — Review",IFERROR(_xlfn.XLOOKUP($G624,Mapping!$A:$A,Mapping!$B:$B),"Uncategorized — Review"))</f>
        <v>Personal - Travel (Italy)</v>
      </c>
      <c r="J624" s="8" t="str">
        <f>IF($G624="","Uncategorized — Review",IFERROR(_xlfn.XLOOKUP($G624,Mapping!$A:$A,Mapping!$C:$C),"Uncategorized — Review"))</f>
        <v>Personal — Owner</v>
      </c>
    </row>
    <row r="625" spans="1:10" x14ac:dyDescent="0.25">
      <c r="A625" s="8" t="str">
        <f>'2025_Chase9335_Activity_2026062'!A625</f>
        <v>DEBIT</v>
      </c>
      <c r="B625" s="24">
        <f>'2025_Chase9335_Activity_2026062'!B625</f>
        <v>45748</v>
      </c>
      <c r="C625" s="8" t="str">
        <f>'2025_Chase9335_Activity_2026062'!C625</f>
        <v>Experian* Credit Repor 479-3436237 CA        04/01</v>
      </c>
      <c r="D625" s="8">
        <f>'2025_Chase9335_Activity_2026062'!D625</f>
        <v>-27.05</v>
      </c>
      <c r="E625" s="8" t="str">
        <f>'2025_Chase9335_Activity_2026062'!E625</f>
        <v>DEBIT_CARD</v>
      </c>
      <c r="F625" s="8">
        <f>'2025_Chase9335_Activity_2026062'!F625</f>
        <v>261007.07</v>
      </c>
      <c r="G625" s="8" t="str">
        <f>'2025_Chase9335_Activity_2026062'!G625</f>
        <v>Personal - Subscriptions</v>
      </c>
      <c r="H625" s="26">
        <f t="shared" si="9"/>
        <v>45748</v>
      </c>
      <c r="I625" s="8" t="str">
        <f>IF($G625="","Uncategorized — Review",IFERROR(_xlfn.XLOOKUP($G625,Mapping!$A:$A,Mapping!$B:$B),"Uncategorized — Review"))</f>
        <v>Personal - Subscriptions</v>
      </c>
      <c r="J625" s="8" t="str">
        <f>IF($G625="","Uncategorized — Review",IFERROR(_xlfn.XLOOKUP($G625,Mapping!$A:$A,Mapping!$C:$C),"Uncategorized — Review"))</f>
        <v>Personal — Owner</v>
      </c>
    </row>
    <row r="626" spans="1:10" x14ac:dyDescent="0.25">
      <c r="A626" s="8" t="str">
        <f>'2025_Chase9335_Activity_2026062'!A626</f>
        <v>DEBIT</v>
      </c>
      <c r="B626" s="24">
        <f>'2025_Chase9335_Activity_2026062'!B626</f>
        <v>45747</v>
      </c>
      <c r="C626" s="8" t="str">
        <f>'2025_Chase9335_Activity_2026062'!C626</f>
        <v>Online Transfer to CHK ...1168 transaction#: 24244376834 03/31</v>
      </c>
      <c r="D626" s="8">
        <f>'2025_Chase9335_Activity_2026062'!D626</f>
        <v>-15000</v>
      </c>
      <c r="E626" s="8" t="str">
        <f>'2025_Chase9335_Activity_2026062'!E626</f>
        <v>ACCT_XFER</v>
      </c>
      <c r="F626" s="8">
        <f>'2025_Chase9335_Activity_2026062'!F626</f>
        <v>261034.12</v>
      </c>
      <c r="G626" s="8" t="str">
        <f>'2025_Chase9335_Activity_2026062'!G626</f>
        <v>Transfer to DWG Capital Group</v>
      </c>
      <c r="H626" s="26">
        <f t="shared" si="9"/>
        <v>45717</v>
      </c>
      <c r="I626" s="8" t="str">
        <f>IF($G626="","Uncategorized — Review",IFERROR(_xlfn.XLOOKUP($G626,Mapping!$A:$A,Mapping!$B:$B),"Uncategorized — Review"))</f>
        <v>Transfer to DWG Capital Group</v>
      </c>
      <c r="J626" s="8" t="str">
        <f>IF($G626="","Uncategorized — Review",IFERROR(_xlfn.XLOOKUP($G626,Mapping!$A:$A,Mapping!$C:$C),"Uncategorized — Review"))</f>
        <v>Intercompany &amp; Savings Transfers</v>
      </c>
    </row>
    <row r="627" spans="1:10" x14ac:dyDescent="0.25">
      <c r="A627" s="8" t="str">
        <f>'2025_Chase9335_Activity_2026062'!A627</f>
        <v>DEBIT</v>
      </c>
      <c r="B627" s="24">
        <f>'2025_Chase9335_Activity_2026062'!B627</f>
        <v>45747</v>
      </c>
      <c r="C627" s="8" t="str">
        <f>'2025_Chase9335_Activity_2026062'!C627</f>
        <v>ORIG CO NAME:AMERICAN EXPRESS       ORIG ID:2005032111 DESC DATE:250331 CO ENTRY DESCR:ACH PMT   SEC:CCD    TRACE#:021000029721867 EED:250331   IND ID:A5456                        IND NAME:JOHN DUNNING                                                                                                 ER AM TRN: 0909721867TC</v>
      </c>
      <c r="D627" s="8">
        <f>'2025_Chase9335_Activity_2026062'!D627</f>
        <v>-1982.28</v>
      </c>
      <c r="E627" s="8" t="str">
        <f>'2025_Chase9335_Activity_2026062'!E627</f>
        <v>ACH_DEBIT</v>
      </c>
      <c r="F627" s="8">
        <f>'2025_Chase9335_Activity_2026062'!F627</f>
        <v>276034.12</v>
      </c>
      <c r="G627" s="8" t="str">
        <f>'2025_Chase9335_Activity_2026062'!G627</f>
        <v>American Express Credit Card PMT</v>
      </c>
      <c r="H627" s="26">
        <f t="shared" si="9"/>
        <v>45717</v>
      </c>
      <c r="I627" s="8" t="str">
        <f>IF($G627="","Uncategorized — Review",IFERROR(_xlfn.XLOOKUP($G627,Mapping!$A:$A,Mapping!$B:$B),"Uncategorized — Review"))</f>
        <v>American Express Credit Card PMT</v>
      </c>
      <c r="J627" s="8" t="str">
        <f>IF($G627="","Uncategorized — Review",IFERROR(_xlfn.XLOOKUP($G627,Mapping!$A:$A,Mapping!$C:$C),"Uncategorized — Review"))</f>
        <v>Credit Card &amp; Loan Payments</v>
      </c>
    </row>
    <row r="628" spans="1:10" x14ac:dyDescent="0.25">
      <c r="A628" s="8" t="str">
        <f>'2025_Chase9335_Activity_2026062'!A628</f>
        <v>DEBIT</v>
      </c>
      <c r="B628" s="24">
        <f>'2025_Chase9335_Activity_2026062'!B628</f>
        <v>45747</v>
      </c>
      <c r="C628" s="8" t="str">
        <f>'2025_Chase9335_Activity_2026062'!C628</f>
        <v>ORIG CO NAME:AMERICAN EXPRESS       ORIG ID:2005032111 DESC DATE:250331 CO ENTRY DESCR:ACH PMT   SEC:CCD    TRACE#:021000029721805 EED:250331   IND ID:A9090                        IND NAME:JOHN DUNNING                                                                                                 ER AM TRN: 0909721805TC</v>
      </c>
      <c r="D628" s="8">
        <f>'2025_Chase9335_Activity_2026062'!D628</f>
        <v>-18892.34</v>
      </c>
      <c r="E628" s="8" t="str">
        <f>'2025_Chase9335_Activity_2026062'!E628</f>
        <v>ACH_DEBIT</v>
      </c>
      <c r="F628" s="8">
        <f>'2025_Chase9335_Activity_2026062'!F628</f>
        <v>278016.40000000002</v>
      </c>
      <c r="G628" s="8" t="str">
        <f>'2025_Chase9335_Activity_2026062'!G628</f>
        <v>American Express Credit Card PMT</v>
      </c>
      <c r="H628" s="26">
        <f t="shared" si="9"/>
        <v>45717</v>
      </c>
      <c r="I628" s="8" t="str">
        <f>IF($G628="","Uncategorized — Review",IFERROR(_xlfn.XLOOKUP($G628,Mapping!$A:$A,Mapping!$B:$B),"Uncategorized — Review"))</f>
        <v>American Express Credit Card PMT</v>
      </c>
      <c r="J628" s="8" t="str">
        <f>IF($G628="","Uncategorized — Review",IFERROR(_xlfn.XLOOKUP($G628,Mapping!$A:$A,Mapping!$C:$C),"Uncategorized — Review"))</f>
        <v>Credit Card &amp; Loan Payments</v>
      </c>
    </row>
    <row r="629" spans="1:10" x14ac:dyDescent="0.25">
      <c r="A629" s="8" t="str">
        <f>'2025_Chase9335_Activity_2026062'!A629</f>
        <v>DEBIT</v>
      </c>
      <c r="B629" s="24">
        <f>'2025_Chase9335_Activity_2026062'!B629</f>
        <v>45747</v>
      </c>
      <c r="C629" s="8" t="str">
        <f>'2025_Chase9335_Activity_2026062'!C629</f>
        <v>Online Transfer to CHK ...1168 transaction#: 24237494598 03/31</v>
      </c>
      <c r="D629" s="8">
        <f>'2025_Chase9335_Activity_2026062'!D629</f>
        <v>-20000</v>
      </c>
      <c r="E629" s="8" t="str">
        <f>'2025_Chase9335_Activity_2026062'!E629</f>
        <v>ACCT_XFER</v>
      </c>
      <c r="F629" s="8">
        <f>'2025_Chase9335_Activity_2026062'!F629</f>
        <v>296908.74</v>
      </c>
      <c r="G629" s="8" t="str">
        <f>'2025_Chase9335_Activity_2026062'!G629</f>
        <v>Transfer to DWG Capital Group</v>
      </c>
      <c r="H629" s="26">
        <f t="shared" si="9"/>
        <v>45717</v>
      </c>
      <c r="I629" s="8" t="str">
        <f>IF($G629="","Uncategorized — Review",IFERROR(_xlfn.XLOOKUP($G629,Mapping!$A:$A,Mapping!$B:$B),"Uncategorized — Review"))</f>
        <v>Transfer to DWG Capital Group</v>
      </c>
      <c r="J629" s="8" t="str">
        <f>IF($G629="","Uncategorized — Review",IFERROR(_xlfn.XLOOKUP($G629,Mapping!$A:$A,Mapping!$C:$C),"Uncategorized — Review"))</f>
        <v>Intercompany &amp; Savings Transfers</v>
      </c>
    </row>
    <row r="630" spans="1:10" x14ac:dyDescent="0.25">
      <c r="A630" s="8" t="str">
        <f>'2025_Chase9335_Activity_2026062'!A630</f>
        <v>DEBIT</v>
      </c>
      <c r="B630" s="24">
        <f>'2025_Chase9335_Activity_2026062'!B630</f>
        <v>45747</v>
      </c>
      <c r="C630" s="8" t="str">
        <f>'2025_Chase9335_Activity_2026062'!C630</f>
        <v>SQ *ALANA'S COFFEE ROA Los Angeles CA        03/29</v>
      </c>
      <c r="D630" s="8">
        <f>'2025_Chase9335_Activity_2026062'!D630</f>
        <v>-13.2</v>
      </c>
      <c r="E630" s="8" t="str">
        <f>'2025_Chase9335_Activity_2026062'!E630</f>
        <v>DEBIT_CARD</v>
      </c>
      <c r="F630" s="8">
        <f>'2025_Chase9335_Activity_2026062'!F630</f>
        <v>316908.74</v>
      </c>
      <c r="G630" s="8" t="str">
        <f>'2025_Chase9335_Activity_2026062'!G630</f>
        <v>Personal - Food &amp; Dining</v>
      </c>
      <c r="H630" s="26">
        <f t="shared" si="9"/>
        <v>45717</v>
      </c>
      <c r="I630" s="8" t="str">
        <f>IF($G630="","Uncategorized — Review",IFERROR(_xlfn.XLOOKUP($G630,Mapping!$A:$A,Mapping!$B:$B),"Uncategorized — Review"))</f>
        <v>Personal - Food &amp; Dining</v>
      </c>
      <c r="J630" s="8" t="str">
        <f>IF($G630="","Uncategorized — Review",IFERROR(_xlfn.XLOOKUP($G630,Mapping!$A:$A,Mapping!$C:$C),"Uncategorized — Review"))</f>
        <v>Personal — Owner</v>
      </c>
    </row>
    <row r="631" spans="1:10" x14ac:dyDescent="0.25">
      <c r="A631" s="8" t="str">
        <f>'2025_Chase9335_Activity_2026062'!A631</f>
        <v>DEBIT</v>
      </c>
      <c r="B631" s="24">
        <f>'2025_Chase9335_Activity_2026062'!B631</f>
        <v>45747</v>
      </c>
      <c r="C631" s="8" t="str">
        <f>'2025_Chase9335_Activity_2026062'!C631</f>
        <v>APPLE.COM/BILL 866-712-7753 CA               03/29</v>
      </c>
      <c r="D631" s="8">
        <f>'2025_Chase9335_Activity_2026062'!D631</f>
        <v>-51.45</v>
      </c>
      <c r="E631" s="8" t="str">
        <f>'2025_Chase9335_Activity_2026062'!E631</f>
        <v>DEBIT_CARD</v>
      </c>
      <c r="F631" s="8">
        <f>'2025_Chase9335_Activity_2026062'!F631</f>
        <v>316921.94</v>
      </c>
      <c r="G631" s="8" t="str">
        <f>'2025_Chase9335_Activity_2026062'!G631</f>
        <v>Personal - Subscriptions</v>
      </c>
      <c r="H631" s="26">
        <f t="shared" si="9"/>
        <v>45717</v>
      </c>
      <c r="I631" s="8" t="str">
        <f>IF($G631="","Uncategorized — Review",IFERROR(_xlfn.XLOOKUP($G631,Mapping!$A:$A,Mapping!$B:$B),"Uncategorized — Review"))</f>
        <v>Personal - Subscriptions</v>
      </c>
      <c r="J631" s="8" t="str">
        <f>IF($G631="","Uncategorized — Review",IFERROR(_xlfn.XLOOKUP($G631,Mapping!$A:$A,Mapping!$C:$C),"Uncategorized — Review"))</f>
        <v>Personal — Owner</v>
      </c>
    </row>
    <row r="632" spans="1:10" x14ac:dyDescent="0.25">
      <c r="A632" s="8" t="str">
        <f>'2025_Chase9335_Activity_2026062'!A632</f>
        <v>DEBIT</v>
      </c>
      <c r="B632" s="24">
        <f>'2025_Chase9335_Activity_2026062'!B632</f>
        <v>45747</v>
      </c>
      <c r="C632" s="8" t="str">
        <f>'2025_Chase9335_Activity_2026062'!C632</f>
        <v>Prime Video *IB8GG8VK 888-802-3080 WA        03/29</v>
      </c>
      <c r="D632" s="8">
        <f>'2025_Chase9335_Activity_2026062'!D632</f>
        <v>-10.66</v>
      </c>
      <c r="E632" s="8" t="str">
        <f>'2025_Chase9335_Activity_2026062'!E632</f>
        <v>DEBIT_CARD</v>
      </c>
      <c r="F632" s="8">
        <f>'2025_Chase9335_Activity_2026062'!F632</f>
        <v>316973.39</v>
      </c>
      <c r="G632" s="8" t="str">
        <f>'2025_Chase9335_Activity_2026062'!G632</f>
        <v>Amazon Prime Video</v>
      </c>
      <c r="H632" s="26">
        <f t="shared" si="9"/>
        <v>45717</v>
      </c>
      <c r="I632" s="8" t="str">
        <f>IF($G632="","Uncategorized — Review",IFERROR(_xlfn.XLOOKUP($G632,Mapping!$A:$A,Mapping!$B:$B),"Uncategorized — Review"))</f>
        <v>Amazon Prime Video</v>
      </c>
      <c r="J632" s="8" t="str">
        <f>IF($G632="","Uncategorized — Review",IFERROR(_xlfn.XLOOKUP($G632,Mapping!$A:$A,Mapping!$C:$C),"Uncategorized — Review"))</f>
        <v>Personal — Owner</v>
      </c>
    </row>
    <row r="633" spans="1:10" x14ac:dyDescent="0.25">
      <c r="A633" s="8" t="str">
        <f>'2025_Chase9335_Activity_2026062'!A633</f>
        <v>DEBIT</v>
      </c>
      <c r="B633" s="24">
        <f>'2025_Chase9335_Activity_2026062'!B633</f>
        <v>45744</v>
      </c>
      <c r="C633" s="8" t="str">
        <f>'2025_Chase9335_Activity_2026062'!C633</f>
        <v>ORIG CO NAME:AMERICAN EXPRESS       ORIG ID:2005032111 DESC DATE:250328 CO ENTRY DESCR:ACH PMT   SEC:CCD    TRACE#:021000023228679 EED:250328   IND ID:A0966                        IND NAME:JOHN DUNNING                                                                                                 ER AM TRN: 0873228679TC</v>
      </c>
      <c r="D633" s="8">
        <f>'2025_Chase9335_Activity_2026062'!D633</f>
        <v>-12000</v>
      </c>
      <c r="E633" s="8" t="str">
        <f>'2025_Chase9335_Activity_2026062'!E633</f>
        <v>ACH_DEBIT</v>
      </c>
      <c r="F633" s="8">
        <f>'2025_Chase9335_Activity_2026062'!F633</f>
        <v>316984.05</v>
      </c>
      <c r="G633" s="8" t="str">
        <f>'2025_Chase9335_Activity_2026062'!G633</f>
        <v>American Express Credit Card PMT</v>
      </c>
      <c r="H633" s="26">
        <f t="shared" si="9"/>
        <v>45717</v>
      </c>
      <c r="I633" s="8" t="str">
        <f>IF($G633="","Uncategorized — Review",IFERROR(_xlfn.XLOOKUP($G633,Mapping!$A:$A,Mapping!$B:$B),"Uncategorized — Review"))</f>
        <v>American Express Credit Card PMT</v>
      </c>
      <c r="J633" s="8" t="str">
        <f>IF($G633="","Uncategorized — Review",IFERROR(_xlfn.XLOOKUP($G633,Mapping!$A:$A,Mapping!$C:$C),"Uncategorized — Review"))</f>
        <v>Credit Card &amp; Loan Payments</v>
      </c>
    </row>
    <row r="634" spans="1:10" x14ac:dyDescent="0.25">
      <c r="A634" s="8" t="str">
        <f>'2025_Chase9335_Activity_2026062'!A634</f>
        <v>DEBIT</v>
      </c>
      <c r="B634" s="24">
        <f>'2025_Chase9335_Activity_2026062'!B634</f>
        <v>45744</v>
      </c>
      <c r="C634" s="8" t="str">
        <f>'2025_Chase9335_Activity_2026062'!C634</f>
        <v>Online Transfer to CHK ...1168 transaction#: 24215691297 03/28</v>
      </c>
      <c r="D634" s="8">
        <f>'2025_Chase9335_Activity_2026062'!D634</f>
        <v>-30000</v>
      </c>
      <c r="E634" s="8" t="str">
        <f>'2025_Chase9335_Activity_2026062'!E634</f>
        <v>ACCT_XFER</v>
      </c>
      <c r="F634" s="8">
        <f>'2025_Chase9335_Activity_2026062'!F634</f>
        <v>328984.05</v>
      </c>
      <c r="G634" s="8" t="str">
        <f>'2025_Chase9335_Activity_2026062'!G634</f>
        <v>Transfer to DWG Capital Group</v>
      </c>
      <c r="H634" s="26">
        <f t="shared" si="9"/>
        <v>45717</v>
      </c>
      <c r="I634" s="8" t="str">
        <f>IF($G634="","Uncategorized — Review",IFERROR(_xlfn.XLOOKUP($G634,Mapping!$A:$A,Mapping!$B:$B),"Uncategorized — Review"))</f>
        <v>Transfer to DWG Capital Group</v>
      </c>
      <c r="J634" s="8" t="str">
        <f>IF($G634="","Uncategorized — Review",IFERROR(_xlfn.XLOOKUP($G634,Mapping!$A:$A,Mapping!$C:$C),"Uncategorized — Review"))</f>
        <v>Intercompany &amp; Savings Transfers</v>
      </c>
    </row>
    <row r="635" spans="1:10" x14ac:dyDescent="0.25">
      <c r="A635" s="8" t="str">
        <f>'2025_Chase9335_Activity_2026062'!A635</f>
        <v>DEBIT</v>
      </c>
      <c r="B635" s="24">
        <f>'2025_Chase9335_Activity_2026062'!B635</f>
        <v>45743</v>
      </c>
      <c r="C635" s="8" t="str">
        <f>'2025_Chase9335_Activity_2026062'!C635</f>
        <v>FOREIGN EXCHANGE RATE ADJUSTMENT FEE         03/25GLOBAL VI</v>
      </c>
      <c r="D635" s="8">
        <f>'2025_Chase9335_Activity_2026062'!D635</f>
        <v>-0.03</v>
      </c>
      <c r="E635" s="8" t="str">
        <f>'2025_Chase9335_Activity_2026062'!E635</f>
        <v>FEE_TRANSACTION</v>
      </c>
      <c r="F635" s="8">
        <f>'2025_Chase9335_Activity_2026062'!F635</f>
        <v>358984.05</v>
      </c>
      <c r="G635" s="8" t="str">
        <f>'2025_Chase9335_Activity_2026062'!G635</f>
        <v>Personal - Travel (Costa Rica Trip #1)</v>
      </c>
      <c r="H635" s="26">
        <f t="shared" si="9"/>
        <v>45717</v>
      </c>
      <c r="I635" s="8" t="str">
        <f>IF($G635="","Uncategorized — Review",IFERROR(_xlfn.XLOOKUP($G635,Mapping!$A:$A,Mapping!$B:$B),"Uncategorized — Review"))</f>
        <v>Personal - Travel (Costa Rica Trip #1)</v>
      </c>
      <c r="J635" s="8" t="str">
        <f>IF($G635="","Uncategorized — Review",IFERROR(_xlfn.XLOOKUP($G635,Mapping!$A:$A,Mapping!$C:$C),"Uncategorized — Review"))</f>
        <v>Personal — Owner</v>
      </c>
    </row>
    <row r="636" spans="1:10" x14ac:dyDescent="0.25">
      <c r="A636" s="8" t="str">
        <f>'2025_Chase9335_Activity_2026062'!A636</f>
        <v>DEBIT</v>
      </c>
      <c r="B636" s="24">
        <f>'2025_Chase9335_Activity_2026062'!B636</f>
        <v>45743</v>
      </c>
      <c r="C636" s="8" t="str">
        <f>'2025_Chase9335_Activity_2026062'!C636</f>
        <v>FOREIGN EXCHANGE RATE ADJUSTMENT FEE         03/25GLOBAL VI</v>
      </c>
      <c r="D636" s="8">
        <f>'2025_Chase9335_Activity_2026062'!D636</f>
        <v>-0.03</v>
      </c>
      <c r="E636" s="8" t="str">
        <f>'2025_Chase9335_Activity_2026062'!E636</f>
        <v>FEE_TRANSACTION</v>
      </c>
      <c r="F636" s="8">
        <f>'2025_Chase9335_Activity_2026062'!F636</f>
        <v>358984.08</v>
      </c>
      <c r="G636" s="8" t="str">
        <f>'2025_Chase9335_Activity_2026062'!G636</f>
        <v>Personal - Travel (Costa Rica Trip #1)</v>
      </c>
      <c r="H636" s="26">
        <f t="shared" si="9"/>
        <v>45717</v>
      </c>
      <c r="I636" s="8" t="str">
        <f>IF($G636="","Uncategorized — Review",IFERROR(_xlfn.XLOOKUP($G636,Mapping!$A:$A,Mapping!$B:$B),"Uncategorized — Review"))</f>
        <v>Personal - Travel (Costa Rica Trip #1)</v>
      </c>
      <c r="J636" s="8" t="str">
        <f>IF($G636="","Uncategorized — Review",IFERROR(_xlfn.XLOOKUP($G636,Mapping!$A:$A,Mapping!$C:$C),"Uncategorized — Review"))</f>
        <v>Personal — Owner</v>
      </c>
    </row>
    <row r="637" spans="1:10" x14ac:dyDescent="0.25">
      <c r="A637" s="8" t="str">
        <f>'2025_Chase9335_Activity_2026062'!A637</f>
        <v>DEBIT</v>
      </c>
      <c r="B637" s="24">
        <f>'2025_Chase9335_Activity_2026062'!B637</f>
        <v>45743</v>
      </c>
      <c r="C637" s="8" t="str">
        <f>'2025_Chase9335_Activity_2026062'!C637</f>
        <v>FOREIGN EXCHANGE RATE ADJUSTMENT FEE         03/25GLOBAL VI</v>
      </c>
      <c r="D637" s="8">
        <f>'2025_Chase9335_Activity_2026062'!D637</f>
        <v>-0.04</v>
      </c>
      <c r="E637" s="8" t="str">
        <f>'2025_Chase9335_Activity_2026062'!E637</f>
        <v>FEE_TRANSACTION</v>
      </c>
      <c r="F637" s="8">
        <f>'2025_Chase9335_Activity_2026062'!F637</f>
        <v>358984.11</v>
      </c>
      <c r="G637" s="8" t="str">
        <f>'2025_Chase9335_Activity_2026062'!G637</f>
        <v>Personal - Travel (Costa Rica Trip #1)</v>
      </c>
      <c r="H637" s="26">
        <f t="shared" si="9"/>
        <v>45717</v>
      </c>
      <c r="I637" s="8" t="str">
        <f>IF($G637="","Uncategorized — Review",IFERROR(_xlfn.XLOOKUP($G637,Mapping!$A:$A,Mapping!$B:$B),"Uncategorized — Review"))</f>
        <v>Personal - Travel (Costa Rica Trip #1)</v>
      </c>
      <c r="J637" s="8" t="str">
        <f>IF($G637="","Uncategorized — Review",IFERROR(_xlfn.XLOOKUP($G637,Mapping!$A:$A,Mapping!$C:$C),"Uncategorized — Review"))</f>
        <v>Personal — Owner</v>
      </c>
    </row>
    <row r="638" spans="1:10" x14ac:dyDescent="0.25">
      <c r="A638" s="8" t="str">
        <f>'2025_Chase9335_Activity_2026062'!A638</f>
        <v>DEBIT</v>
      </c>
      <c r="B638" s="24">
        <f>'2025_Chase9335_Activity_2026062'!B638</f>
        <v>45743</v>
      </c>
      <c r="C638" s="8" t="str">
        <f>'2025_Chase9335_Activity_2026062'!C638</f>
        <v>FOREIGN EXCHANGE RATE ADJUSTMENT FEE         03/25CASINO FI</v>
      </c>
      <c r="D638" s="8">
        <f>'2025_Chase9335_Activity_2026062'!D638</f>
        <v>-0.09</v>
      </c>
      <c r="E638" s="8" t="str">
        <f>'2025_Chase9335_Activity_2026062'!E638</f>
        <v>FEE_TRANSACTION</v>
      </c>
      <c r="F638" s="8">
        <f>'2025_Chase9335_Activity_2026062'!F638</f>
        <v>358984.15</v>
      </c>
      <c r="G638" s="8" t="str">
        <f>'2025_Chase9335_Activity_2026062'!G638</f>
        <v>Personal - Travel (Costa Rica Trip #1)</v>
      </c>
      <c r="H638" s="26">
        <f t="shared" si="9"/>
        <v>45717</v>
      </c>
      <c r="I638" s="8" t="str">
        <f>IF($G638="","Uncategorized — Review",IFERROR(_xlfn.XLOOKUP($G638,Mapping!$A:$A,Mapping!$B:$B),"Uncategorized — Review"))</f>
        <v>Personal - Travel (Costa Rica Trip #1)</v>
      </c>
      <c r="J638" s="8" t="str">
        <f>IF($G638="","Uncategorized — Review",IFERROR(_xlfn.XLOOKUP($G638,Mapping!$A:$A,Mapping!$C:$C),"Uncategorized — Review"))</f>
        <v>Personal — Owner</v>
      </c>
    </row>
    <row r="639" spans="1:10" x14ac:dyDescent="0.25">
      <c r="A639" s="8" t="str">
        <f>'2025_Chase9335_Activity_2026062'!A639</f>
        <v>DEBIT</v>
      </c>
      <c r="B639" s="24">
        <f>'2025_Chase9335_Activity_2026062'!B639</f>
        <v>45743</v>
      </c>
      <c r="C639" s="8" t="str">
        <f>'2025_Chase9335_Activity_2026062'!C639</f>
        <v>FOREIGN EXCHANGE RATE ADJUSTMENT FEE         03/25ISHOP MAN</v>
      </c>
      <c r="D639" s="8">
        <f>'2025_Chase9335_Activity_2026062'!D639</f>
        <v>-0.72</v>
      </c>
      <c r="E639" s="8" t="str">
        <f>'2025_Chase9335_Activity_2026062'!E639</f>
        <v>FEE_TRANSACTION</v>
      </c>
      <c r="F639" s="8">
        <f>'2025_Chase9335_Activity_2026062'!F639</f>
        <v>358984.24</v>
      </c>
      <c r="G639" s="8" t="str">
        <f>'2025_Chase9335_Activity_2026062'!G639</f>
        <v>Personal - Travel (Costa Rica Trip #1)</v>
      </c>
      <c r="H639" s="26">
        <f t="shared" si="9"/>
        <v>45717</v>
      </c>
      <c r="I639" s="8" t="str">
        <f>IF($G639="","Uncategorized — Review",IFERROR(_xlfn.XLOOKUP($G639,Mapping!$A:$A,Mapping!$B:$B),"Uncategorized — Review"))</f>
        <v>Personal - Travel (Costa Rica Trip #1)</v>
      </c>
      <c r="J639" s="8" t="str">
        <f>IF($G639="","Uncategorized — Review",IFERROR(_xlfn.XLOOKUP($G639,Mapping!$A:$A,Mapping!$C:$C),"Uncategorized — Review"))</f>
        <v>Personal — Owner</v>
      </c>
    </row>
    <row r="640" spans="1:10" x14ac:dyDescent="0.25">
      <c r="A640" s="8" t="str">
        <f>'2025_Chase9335_Activity_2026062'!A640</f>
        <v>DEBIT</v>
      </c>
      <c r="B640" s="24">
        <f>'2025_Chase9335_Activity_2026062'!B640</f>
        <v>45743</v>
      </c>
      <c r="C640" s="8" t="str">
        <f>'2025_Chase9335_Activity_2026062'!C640</f>
        <v>FOREIGN EXCHANGE RATE ADJUSTMENT FEE         03/25KARMA CAF</v>
      </c>
      <c r="D640" s="8">
        <f>'2025_Chase9335_Activity_2026062'!D640</f>
        <v>-0.73</v>
      </c>
      <c r="E640" s="8" t="str">
        <f>'2025_Chase9335_Activity_2026062'!E640</f>
        <v>FEE_TRANSACTION</v>
      </c>
      <c r="F640" s="8">
        <f>'2025_Chase9335_Activity_2026062'!F640</f>
        <v>358984.96000000002</v>
      </c>
      <c r="G640" s="8" t="str">
        <f>'2025_Chase9335_Activity_2026062'!G640</f>
        <v>Personal - Travel (Costa Rica Trip #1)</v>
      </c>
      <c r="H640" s="26">
        <f t="shared" si="9"/>
        <v>45717</v>
      </c>
      <c r="I640" s="8" t="str">
        <f>IF($G640="","Uncategorized — Review",IFERROR(_xlfn.XLOOKUP($G640,Mapping!$A:$A,Mapping!$B:$B),"Uncategorized — Review"))</f>
        <v>Personal - Travel (Costa Rica Trip #1)</v>
      </c>
      <c r="J640" s="8" t="str">
        <f>IF($G640="","Uncategorized — Review",IFERROR(_xlfn.XLOOKUP($G640,Mapping!$A:$A,Mapping!$C:$C),"Uncategorized — Review"))</f>
        <v>Personal — Owner</v>
      </c>
    </row>
    <row r="641" spans="1:10" x14ac:dyDescent="0.25">
      <c r="A641" s="8" t="str">
        <f>'2025_Chase9335_Activity_2026062'!A641</f>
        <v>DEBIT</v>
      </c>
      <c r="B641" s="24">
        <f>'2025_Chase9335_Activity_2026062'!B641</f>
        <v>45743</v>
      </c>
      <c r="C641" s="8" t="str">
        <f>'2025_Chase9335_Activity_2026062'!C641</f>
        <v>FOREIGN EXCHANGE RATE ADJUSTMENT FEE         03/25RESTAURAN</v>
      </c>
      <c r="D641" s="8">
        <f>'2025_Chase9335_Activity_2026062'!D641</f>
        <v>-0.86</v>
      </c>
      <c r="E641" s="8" t="str">
        <f>'2025_Chase9335_Activity_2026062'!E641</f>
        <v>FEE_TRANSACTION</v>
      </c>
      <c r="F641" s="8">
        <f>'2025_Chase9335_Activity_2026062'!F641</f>
        <v>358985.69</v>
      </c>
      <c r="G641" s="8" t="str">
        <f>'2025_Chase9335_Activity_2026062'!G641</f>
        <v>Personal - Travel (Costa Rica Trip #1)</v>
      </c>
      <c r="H641" s="26">
        <f t="shared" si="9"/>
        <v>45717</v>
      </c>
      <c r="I641" s="8" t="str">
        <f>IF($G641="","Uncategorized — Review",IFERROR(_xlfn.XLOOKUP($G641,Mapping!$A:$A,Mapping!$B:$B),"Uncategorized — Review"))</f>
        <v>Personal - Travel (Costa Rica Trip #1)</v>
      </c>
      <c r="J641" s="8" t="str">
        <f>IF($G641="","Uncategorized — Review",IFERROR(_xlfn.XLOOKUP($G641,Mapping!$A:$A,Mapping!$C:$C),"Uncategorized — Review"))</f>
        <v>Personal — Owner</v>
      </c>
    </row>
    <row r="642" spans="1:10" x14ac:dyDescent="0.25">
      <c r="A642" s="8" t="str">
        <f>'2025_Chase9335_Activity_2026062'!A642</f>
        <v>DEBIT</v>
      </c>
      <c r="B642" s="24">
        <f>'2025_Chase9335_Activity_2026062'!B642</f>
        <v>45743</v>
      </c>
      <c r="C642" s="8" t="str">
        <f>'2025_Chase9335_Activity_2026062'!C642</f>
        <v>DELTA AIR   00601906358 ATLANTA GA           03/26</v>
      </c>
      <c r="D642" s="8">
        <f>'2025_Chase9335_Activity_2026062'!D642</f>
        <v>-14</v>
      </c>
      <c r="E642" s="8" t="str">
        <f>'2025_Chase9335_Activity_2026062'!E642</f>
        <v>DEBIT_CARD</v>
      </c>
      <c r="F642" s="8">
        <f>'2025_Chase9335_Activity_2026062'!F642</f>
        <v>358986.55</v>
      </c>
      <c r="G642" s="8" t="str">
        <f>'2025_Chase9335_Activity_2026062'!G642</f>
        <v>Personal - Travel (Costa Rica Trip #1)</v>
      </c>
      <c r="H642" s="26">
        <f t="shared" si="9"/>
        <v>45717</v>
      </c>
      <c r="I642" s="8" t="str">
        <f>IF($G642="","Uncategorized — Review",IFERROR(_xlfn.XLOOKUP($G642,Mapping!$A:$A,Mapping!$B:$B),"Uncategorized — Review"))</f>
        <v>Personal - Travel (Costa Rica Trip #1)</v>
      </c>
      <c r="J642" s="8" t="str">
        <f>IF($G642="","Uncategorized — Review",IFERROR(_xlfn.XLOOKUP($G642,Mapping!$A:$A,Mapping!$C:$C),"Uncategorized — Review"))</f>
        <v>Personal — Owner</v>
      </c>
    </row>
    <row r="643" spans="1:10" x14ac:dyDescent="0.25">
      <c r="A643" s="8" t="str">
        <f>'2025_Chase9335_Activity_2026062'!A643</f>
        <v>DEBIT</v>
      </c>
      <c r="B643" s="24">
        <f>'2025_Chase9335_Activity_2026062'!B643</f>
        <v>45743</v>
      </c>
      <c r="C643" s="8" t="str">
        <f>'2025_Chase9335_Activity_2026062'!C643</f>
        <v>GASTRO PUB 45 ALAJUELA                       03/26</v>
      </c>
      <c r="D643" s="8">
        <f>'2025_Chase9335_Activity_2026062'!D643</f>
        <v>-28</v>
      </c>
      <c r="E643" s="8" t="str">
        <f>'2025_Chase9335_Activity_2026062'!E643</f>
        <v>DEBIT_CARD</v>
      </c>
      <c r="F643" s="8">
        <f>'2025_Chase9335_Activity_2026062'!F643</f>
        <v>359000.55</v>
      </c>
      <c r="G643" s="8" t="str">
        <f>'2025_Chase9335_Activity_2026062'!G643</f>
        <v>Personal - Travel (Costa Rica Trip #1)</v>
      </c>
      <c r="H643" s="26">
        <f t="shared" ref="H643:H706" si="10">IF($B643="","",DATE(YEAR($B643),MONTH($B643),1))</f>
        <v>45717</v>
      </c>
      <c r="I643" s="8" t="str">
        <f>IF($G643="","Uncategorized — Review",IFERROR(_xlfn.XLOOKUP($G643,Mapping!$A:$A,Mapping!$B:$B),"Uncategorized — Review"))</f>
        <v>Personal - Travel (Costa Rica Trip #1)</v>
      </c>
      <c r="J643" s="8" t="str">
        <f>IF($G643="","Uncategorized — Review",IFERROR(_xlfn.XLOOKUP($G643,Mapping!$A:$A,Mapping!$C:$C),"Uncategorized — Review"))</f>
        <v>Personal — Owner</v>
      </c>
    </row>
    <row r="644" spans="1:10" x14ac:dyDescent="0.25">
      <c r="A644" s="8" t="str">
        <f>'2025_Chase9335_Activity_2026062'!A644</f>
        <v>DEBIT</v>
      </c>
      <c r="B644" s="24">
        <f>'2025_Chase9335_Activity_2026062'!B644</f>
        <v>45743</v>
      </c>
      <c r="C644" s="8" t="str">
        <f>'2025_Chase9335_Activity_2026062'!C644</f>
        <v>CASINO FIESTA ALAJUELA ALAJUELA              03/25 CR Colon   1600.00 X 0.002018750 (EXCHG RTE)</v>
      </c>
      <c r="D644" s="8">
        <f>'2025_Chase9335_Activity_2026062'!D644</f>
        <v>-3.23</v>
      </c>
      <c r="E644" s="8" t="str">
        <f>'2025_Chase9335_Activity_2026062'!E644</f>
        <v>DEBIT_CARD</v>
      </c>
      <c r="F644" s="8">
        <f>'2025_Chase9335_Activity_2026062'!F644</f>
        <v>359028.55</v>
      </c>
      <c r="G644" s="8" t="str">
        <f>'2025_Chase9335_Activity_2026062'!G644</f>
        <v>Personal - Travel (Costa Rica Trip #1)</v>
      </c>
      <c r="H644" s="26">
        <f t="shared" si="10"/>
        <v>45717</v>
      </c>
      <c r="I644" s="8" t="str">
        <f>IF($G644="","Uncategorized — Review",IFERROR(_xlfn.XLOOKUP($G644,Mapping!$A:$A,Mapping!$B:$B),"Uncategorized — Review"))</f>
        <v>Personal - Travel (Costa Rica Trip #1)</v>
      </c>
      <c r="J644" s="8" t="str">
        <f>IF($G644="","Uncategorized — Review",IFERROR(_xlfn.XLOOKUP($G644,Mapping!$A:$A,Mapping!$C:$C),"Uncategorized — Review"))</f>
        <v>Personal — Owner</v>
      </c>
    </row>
    <row r="645" spans="1:10" x14ac:dyDescent="0.25">
      <c r="A645" s="8" t="str">
        <f>'2025_Chase9335_Activity_2026062'!A645</f>
        <v>DEBIT</v>
      </c>
      <c r="B645" s="24">
        <f>'2025_Chase9335_Activity_2026062'!B645</f>
        <v>45743</v>
      </c>
      <c r="C645" s="8" t="str">
        <f>'2025_Chase9335_Activity_2026062'!C645</f>
        <v>RESTAURANTE DENNY S ALA ALAJUELA             03/25 CR Colon   14235.00 X 0.002018265 (EXCHG RTE)</v>
      </c>
      <c r="D645" s="8">
        <f>'2025_Chase9335_Activity_2026062'!D645</f>
        <v>-28.73</v>
      </c>
      <c r="E645" s="8" t="str">
        <f>'2025_Chase9335_Activity_2026062'!E645</f>
        <v>DEBIT_CARD</v>
      </c>
      <c r="F645" s="8">
        <f>'2025_Chase9335_Activity_2026062'!F645</f>
        <v>359031.78</v>
      </c>
      <c r="G645" s="8" t="str">
        <f>'2025_Chase9335_Activity_2026062'!G645</f>
        <v>Personal - Travel (Costa Rica Trip #1)</v>
      </c>
      <c r="H645" s="26">
        <f t="shared" si="10"/>
        <v>45717</v>
      </c>
      <c r="I645" s="8" t="str">
        <f>IF($G645="","Uncategorized — Review",IFERROR(_xlfn.XLOOKUP($G645,Mapping!$A:$A,Mapping!$B:$B),"Uncategorized — Review"))</f>
        <v>Personal - Travel (Costa Rica Trip #1)</v>
      </c>
      <c r="J645" s="8" t="str">
        <f>IF($G645="","Uncategorized — Review",IFERROR(_xlfn.XLOOKUP($G645,Mapping!$A:$A,Mapping!$C:$C),"Uncategorized — Review"))</f>
        <v>Personal — Owner</v>
      </c>
    </row>
    <row r="646" spans="1:10" x14ac:dyDescent="0.25">
      <c r="A646" s="8" t="str">
        <f>'2025_Chase9335_Activity_2026062'!A646</f>
        <v>DEBIT</v>
      </c>
      <c r="B646" s="24">
        <f>'2025_Chase9335_Activity_2026062'!B646</f>
        <v>45743</v>
      </c>
      <c r="C646" s="8" t="str">
        <f>'2025_Chase9335_Activity_2026062'!C646</f>
        <v>ISHOP MANGO PLAZA ALAJUELA                   03/25 CR Colon   12042.96 X 0.002018607 (EXCHG RTE)</v>
      </c>
      <c r="D646" s="8">
        <f>'2025_Chase9335_Activity_2026062'!D646</f>
        <v>-24.31</v>
      </c>
      <c r="E646" s="8" t="str">
        <f>'2025_Chase9335_Activity_2026062'!E646</f>
        <v>DEBIT_CARD</v>
      </c>
      <c r="F646" s="8">
        <f>'2025_Chase9335_Activity_2026062'!F646</f>
        <v>359060.51</v>
      </c>
      <c r="G646" s="8" t="str">
        <f>'2025_Chase9335_Activity_2026062'!G646</f>
        <v>Personal - Travel (Costa Rica Trip #1)</v>
      </c>
      <c r="H646" s="26">
        <f t="shared" si="10"/>
        <v>45717</v>
      </c>
      <c r="I646" s="8" t="str">
        <f>IF($G646="","Uncategorized — Review",IFERROR(_xlfn.XLOOKUP($G646,Mapping!$A:$A,Mapping!$B:$B),"Uncategorized — Review"))</f>
        <v>Personal - Travel (Costa Rica Trip #1)</v>
      </c>
      <c r="J646" s="8" t="str">
        <f>IF($G646="","Uncategorized — Review",IFERROR(_xlfn.XLOOKUP($G646,Mapping!$A:$A,Mapping!$C:$C),"Uncategorized — Review"))</f>
        <v>Personal — Owner</v>
      </c>
    </row>
    <row r="647" spans="1:10" x14ac:dyDescent="0.25">
      <c r="A647" s="8" t="str">
        <f>'2025_Chase9335_Activity_2026062'!A647</f>
        <v>DEBIT</v>
      </c>
      <c r="B647" s="24">
        <f>'2025_Chase9335_Activity_2026062'!B647</f>
        <v>45743</v>
      </c>
      <c r="C647" s="8" t="str">
        <f>'2025_Chase9335_Activity_2026062'!C647</f>
        <v>GLOBAL VIA RUTA 27 SAN JOSE                  03/25 CR Colon   620.00 X 0.002016129 (EXCHG RTE)</v>
      </c>
      <c r="D647" s="8">
        <f>'2025_Chase9335_Activity_2026062'!D647</f>
        <v>-1.25</v>
      </c>
      <c r="E647" s="8" t="str">
        <f>'2025_Chase9335_Activity_2026062'!E647</f>
        <v>DEBIT_CARD</v>
      </c>
      <c r="F647" s="8">
        <f>'2025_Chase9335_Activity_2026062'!F647</f>
        <v>359084.82</v>
      </c>
      <c r="G647" s="8" t="str">
        <f>'2025_Chase9335_Activity_2026062'!G647</f>
        <v>Personal - Travel (Costa Rica Trip #1)</v>
      </c>
      <c r="H647" s="26">
        <f t="shared" si="10"/>
        <v>45717</v>
      </c>
      <c r="I647" s="8" t="str">
        <f>IF($G647="","Uncategorized — Review",IFERROR(_xlfn.XLOOKUP($G647,Mapping!$A:$A,Mapping!$B:$B),"Uncategorized — Review"))</f>
        <v>Personal - Travel (Costa Rica Trip #1)</v>
      </c>
      <c r="J647" s="8" t="str">
        <f>IF($G647="","Uncategorized — Review",IFERROR(_xlfn.XLOOKUP($G647,Mapping!$A:$A,Mapping!$C:$C),"Uncategorized — Review"))</f>
        <v>Personal — Owner</v>
      </c>
    </row>
    <row r="648" spans="1:10" x14ac:dyDescent="0.25">
      <c r="A648" s="8" t="str">
        <f>'2025_Chase9335_Activity_2026062'!A648</f>
        <v>DEBIT</v>
      </c>
      <c r="B648" s="24">
        <f>'2025_Chase9335_Activity_2026062'!B648</f>
        <v>45743</v>
      </c>
      <c r="C648" s="8" t="str">
        <f>'2025_Chase9335_Activity_2026062'!C648</f>
        <v>GLOBAL VIA RUTA 27 SAN JOSE                  03/25 CR Colon   820.00 X 0.002012195 (EXCHG RTE)</v>
      </c>
      <c r="D648" s="8">
        <f>'2025_Chase9335_Activity_2026062'!D648</f>
        <v>-1.65</v>
      </c>
      <c r="E648" s="8" t="str">
        <f>'2025_Chase9335_Activity_2026062'!E648</f>
        <v>DEBIT_CARD</v>
      </c>
      <c r="F648" s="8">
        <f>'2025_Chase9335_Activity_2026062'!F648</f>
        <v>359086.07</v>
      </c>
      <c r="G648" s="8" t="str">
        <f>'2025_Chase9335_Activity_2026062'!G648</f>
        <v>Personal - Travel (Costa Rica Trip #1)</v>
      </c>
      <c r="H648" s="26">
        <f t="shared" si="10"/>
        <v>45717</v>
      </c>
      <c r="I648" s="8" t="str">
        <f>IF($G648="","Uncategorized — Review",IFERROR(_xlfn.XLOOKUP($G648,Mapping!$A:$A,Mapping!$B:$B),"Uncategorized — Review"))</f>
        <v>Personal - Travel (Costa Rica Trip #1)</v>
      </c>
      <c r="J648" s="8" t="str">
        <f>IF($G648="","Uncategorized — Review",IFERROR(_xlfn.XLOOKUP($G648,Mapping!$A:$A,Mapping!$C:$C),"Uncategorized — Review"))</f>
        <v>Personal — Owner</v>
      </c>
    </row>
    <row r="649" spans="1:10" x14ac:dyDescent="0.25">
      <c r="A649" s="8" t="str">
        <f>'2025_Chase9335_Activity_2026062'!A649</f>
        <v>DEBIT</v>
      </c>
      <c r="B649" s="24">
        <f>'2025_Chase9335_Activity_2026062'!B649</f>
        <v>45743</v>
      </c>
      <c r="C649" s="8" t="str">
        <f>'2025_Chase9335_Activity_2026062'!C649</f>
        <v>GLOBAL VIA RUTA 27 SAN JOSE                  03/25 CR Colon   620.00 X 0.002016129 (EXCHG RTE)</v>
      </c>
      <c r="D649" s="8">
        <f>'2025_Chase9335_Activity_2026062'!D649</f>
        <v>-1.25</v>
      </c>
      <c r="E649" s="8" t="str">
        <f>'2025_Chase9335_Activity_2026062'!E649</f>
        <v>DEBIT_CARD</v>
      </c>
      <c r="F649" s="8">
        <f>'2025_Chase9335_Activity_2026062'!F649</f>
        <v>359087.72</v>
      </c>
      <c r="G649" s="8" t="str">
        <f>'2025_Chase9335_Activity_2026062'!G649</f>
        <v>Personal - Travel (Costa Rica Trip #1)</v>
      </c>
      <c r="H649" s="26">
        <f t="shared" si="10"/>
        <v>45717</v>
      </c>
      <c r="I649" s="8" t="str">
        <f>IF($G649="","Uncategorized — Review",IFERROR(_xlfn.XLOOKUP($G649,Mapping!$A:$A,Mapping!$B:$B),"Uncategorized — Review"))</f>
        <v>Personal - Travel (Costa Rica Trip #1)</v>
      </c>
      <c r="J649" s="8" t="str">
        <f>IF($G649="","Uncategorized — Review",IFERROR(_xlfn.XLOOKUP($G649,Mapping!$A:$A,Mapping!$C:$C),"Uncategorized — Review"))</f>
        <v>Personal — Owner</v>
      </c>
    </row>
    <row r="650" spans="1:10" x14ac:dyDescent="0.25">
      <c r="A650" s="8" t="str">
        <f>'2025_Chase9335_Activity_2026062'!A650</f>
        <v>DEBIT</v>
      </c>
      <c r="B650" s="24">
        <f>'2025_Chase9335_Activity_2026062'!B650</f>
        <v>45743</v>
      </c>
      <c r="C650" s="8" t="str">
        <f>'2025_Chase9335_Activity_2026062'!C650</f>
        <v>KARMA CAFE Y RESTAURANT PUNTARENAS           03/25 CR Colon   12200.00 X 0.002009836 (EXCHG RTE)</v>
      </c>
      <c r="D650" s="8">
        <f>'2025_Chase9335_Activity_2026062'!D650</f>
        <v>-24.52</v>
      </c>
      <c r="E650" s="8" t="str">
        <f>'2025_Chase9335_Activity_2026062'!E650</f>
        <v>DEBIT_CARD</v>
      </c>
      <c r="F650" s="8">
        <f>'2025_Chase9335_Activity_2026062'!F650</f>
        <v>359088.97</v>
      </c>
      <c r="G650" s="8" t="str">
        <f>'2025_Chase9335_Activity_2026062'!G650</f>
        <v>Personal - Travel (Costa Rica Trip #1)</v>
      </c>
      <c r="H650" s="26">
        <f t="shared" si="10"/>
        <v>45717</v>
      </c>
      <c r="I650" s="8" t="str">
        <f>IF($G650="","Uncategorized — Review",IFERROR(_xlfn.XLOOKUP($G650,Mapping!$A:$A,Mapping!$B:$B),"Uncategorized — Review"))</f>
        <v>Personal - Travel (Costa Rica Trip #1)</v>
      </c>
      <c r="J650" s="8" t="str">
        <f>IF($G650="","Uncategorized — Review",IFERROR(_xlfn.XLOOKUP($G650,Mapping!$A:$A,Mapping!$C:$C),"Uncategorized — Review"))</f>
        <v>Personal — Owner</v>
      </c>
    </row>
    <row r="651" spans="1:10" x14ac:dyDescent="0.25">
      <c r="A651" s="8" t="str">
        <f>'2025_Chase9335_Activity_2026062'!A651</f>
        <v>DEBIT</v>
      </c>
      <c r="B651" s="24">
        <f>'2025_Chase9335_Activity_2026062'!B651</f>
        <v>45742</v>
      </c>
      <c r="C651" s="8" t="str">
        <f>'2025_Chase9335_Activity_2026062'!C651</f>
        <v>FOREIGN EXCHANGE RATE ADJUSTMENT FEE         03/24ELIXIR PA</v>
      </c>
      <c r="D651" s="8">
        <f>'2025_Chase9335_Activity_2026062'!D651</f>
        <v>-0.19</v>
      </c>
      <c r="E651" s="8" t="str">
        <f>'2025_Chase9335_Activity_2026062'!E651</f>
        <v>FEE_TRANSACTION</v>
      </c>
      <c r="F651" s="8">
        <f>'2025_Chase9335_Activity_2026062'!F651</f>
        <v>359113.49</v>
      </c>
      <c r="G651" s="8" t="str">
        <f>'2025_Chase9335_Activity_2026062'!G651</f>
        <v>Personal - Travel (Costa Rica Trip #1)</v>
      </c>
      <c r="H651" s="26">
        <f t="shared" si="10"/>
        <v>45717</v>
      </c>
      <c r="I651" s="8" t="str">
        <f>IF($G651="","Uncategorized — Review",IFERROR(_xlfn.XLOOKUP($G651,Mapping!$A:$A,Mapping!$B:$B),"Uncategorized — Review"))</f>
        <v>Personal - Travel (Costa Rica Trip #1)</v>
      </c>
      <c r="J651" s="8" t="str">
        <f>IF($G651="","Uncategorized — Review",IFERROR(_xlfn.XLOOKUP($G651,Mapping!$A:$A,Mapping!$C:$C),"Uncategorized — Review"))</f>
        <v>Personal — Owner</v>
      </c>
    </row>
    <row r="652" spans="1:10" x14ac:dyDescent="0.25">
      <c r="A652" s="8" t="str">
        <f>'2025_Chase9335_Activity_2026062'!A652</f>
        <v>DEBIT</v>
      </c>
      <c r="B652" s="24">
        <f>'2025_Chase9335_Activity_2026062'!B652</f>
        <v>45742</v>
      </c>
      <c r="C652" s="8" t="str">
        <f>'2025_Chase9335_Activity_2026062'!C652</f>
        <v>FOREIGN EXCHANGE RATE ADJUSTMENT FEE         03/24ELIXIR PA</v>
      </c>
      <c r="D652" s="8">
        <f>'2025_Chase9335_Activity_2026062'!D652</f>
        <v>-0.33</v>
      </c>
      <c r="E652" s="8" t="str">
        <f>'2025_Chase9335_Activity_2026062'!E652</f>
        <v>FEE_TRANSACTION</v>
      </c>
      <c r="F652" s="8">
        <f>'2025_Chase9335_Activity_2026062'!F652</f>
        <v>359113.68</v>
      </c>
      <c r="G652" s="8" t="str">
        <f>'2025_Chase9335_Activity_2026062'!G652</f>
        <v>Personal - Travel (Costa Rica Trip #1)</v>
      </c>
      <c r="H652" s="26">
        <f t="shared" si="10"/>
        <v>45717</v>
      </c>
      <c r="I652" s="8" t="str">
        <f>IF($G652="","Uncategorized — Review",IFERROR(_xlfn.XLOOKUP($G652,Mapping!$A:$A,Mapping!$B:$B),"Uncategorized — Review"))</f>
        <v>Personal - Travel (Costa Rica Trip #1)</v>
      </c>
      <c r="J652" s="8" t="str">
        <f>IF($G652="","Uncategorized — Review",IFERROR(_xlfn.XLOOKUP($G652,Mapping!$A:$A,Mapping!$C:$C),"Uncategorized — Review"))</f>
        <v>Personal — Owner</v>
      </c>
    </row>
    <row r="653" spans="1:10" x14ac:dyDescent="0.25">
      <c r="A653" s="8" t="str">
        <f>'2025_Chase9335_Activity_2026062'!A653</f>
        <v>DEBIT</v>
      </c>
      <c r="B653" s="24">
        <f>'2025_Chase9335_Activity_2026062'!B653</f>
        <v>45742</v>
      </c>
      <c r="C653" s="8" t="str">
        <f>'2025_Chase9335_Activity_2026062'!C653</f>
        <v>FOREIGN EXCHANGE RATE ADJUSTMENT FEE         03/24ORANGE LI</v>
      </c>
      <c r="D653" s="8">
        <f>'2025_Chase9335_Activity_2026062'!D653</f>
        <v>-1.1499999999999999</v>
      </c>
      <c r="E653" s="8" t="str">
        <f>'2025_Chase9335_Activity_2026062'!E653</f>
        <v>FEE_TRANSACTION</v>
      </c>
      <c r="F653" s="8">
        <f>'2025_Chase9335_Activity_2026062'!F653</f>
        <v>359114.01</v>
      </c>
      <c r="G653" s="8" t="str">
        <f>'2025_Chase9335_Activity_2026062'!G653</f>
        <v>Personal - Travel (Costa Rica Trip #1)</v>
      </c>
      <c r="H653" s="26">
        <f t="shared" si="10"/>
        <v>45717</v>
      </c>
      <c r="I653" s="8" t="str">
        <f>IF($G653="","Uncategorized — Review",IFERROR(_xlfn.XLOOKUP($G653,Mapping!$A:$A,Mapping!$B:$B),"Uncategorized — Review"))</f>
        <v>Personal - Travel (Costa Rica Trip #1)</v>
      </c>
      <c r="J653" s="8" t="str">
        <f>IF($G653="","Uncategorized — Review",IFERROR(_xlfn.XLOOKUP($G653,Mapping!$A:$A,Mapping!$C:$C),"Uncategorized — Review"))</f>
        <v>Personal — Owner</v>
      </c>
    </row>
    <row r="654" spans="1:10" x14ac:dyDescent="0.25">
      <c r="A654" s="8" t="str">
        <f>'2025_Chase9335_Activity_2026062'!A654</f>
        <v>DEBIT</v>
      </c>
      <c r="B654" s="24">
        <f>'2025_Chase9335_Activity_2026062'!B654</f>
        <v>45742</v>
      </c>
      <c r="C654" s="8" t="str">
        <f>'2025_Chase9335_Activity_2026062'!C654</f>
        <v>FOREIGN EXCHANGE RATE ADJUSTMENT FEE         03/24KARMA CAF</v>
      </c>
      <c r="D654" s="8">
        <f>'2025_Chase9335_Activity_2026062'!D654</f>
        <v>-1.69</v>
      </c>
      <c r="E654" s="8" t="str">
        <f>'2025_Chase9335_Activity_2026062'!E654</f>
        <v>FEE_TRANSACTION</v>
      </c>
      <c r="F654" s="8">
        <f>'2025_Chase9335_Activity_2026062'!F654</f>
        <v>359115.16</v>
      </c>
      <c r="G654" s="8" t="str">
        <f>'2025_Chase9335_Activity_2026062'!G654</f>
        <v>Personal - Travel (Costa Rica Trip #1)</v>
      </c>
      <c r="H654" s="26">
        <f t="shared" si="10"/>
        <v>45717</v>
      </c>
      <c r="I654" s="8" t="str">
        <f>IF($G654="","Uncategorized — Review",IFERROR(_xlfn.XLOOKUP($G654,Mapping!$A:$A,Mapping!$B:$B),"Uncategorized — Review"))</f>
        <v>Personal - Travel (Costa Rica Trip #1)</v>
      </c>
      <c r="J654" s="8" t="str">
        <f>IF($G654="","Uncategorized — Review",IFERROR(_xlfn.XLOOKUP($G654,Mapping!$A:$A,Mapping!$C:$C),"Uncategorized — Review"))</f>
        <v>Personal — Owner</v>
      </c>
    </row>
    <row r="655" spans="1:10" x14ac:dyDescent="0.25">
      <c r="A655" s="8" t="str">
        <f>'2025_Chase9335_Activity_2026062'!A655</f>
        <v>DEBIT</v>
      </c>
      <c r="B655" s="24">
        <f>'2025_Chase9335_Activity_2026062'!B655</f>
        <v>45742</v>
      </c>
      <c r="C655" s="8" t="str">
        <f>'2025_Chase9335_Activity_2026062'!C655</f>
        <v>ELIXIR PARRITA                               03/24 CR Colon   3300.00 X 0.002009091 (EXCHG RTE)</v>
      </c>
      <c r="D655" s="8">
        <f>'2025_Chase9335_Activity_2026062'!D655</f>
        <v>-6.63</v>
      </c>
      <c r="E655" s="8" t="str">
        <f>'2025_Chase9335_Activity_2026062'!E655</f>
        <v>DEBIT_CARD</v>
      </c>
      <c r="F655" s="8">
        <f>'2025_Chase9335_Activity_2026062'!F655</f>
        <v>359116.85</v>
      </c>
      <c r="G655" s="8" t="str">
        <f>'2025_Chase9335_Activity_2026062'!G655</f>
        <v>Personal - Travel (Costa Rica Trip #1)</v>
      </c>
      <c r="H655" s="26">
        <f t="shared" si="10"/>
        <v>45717</v>
      </c>
      <c r="I655" s="8" t="str">
        <f>IF($G655="","Uncategorized — Review",IFERROR(_xlfn.XLOOKUP($G655,Mapping!$A:$A,Mapping!$B:$B),"Uncategorized — Review"))</f>
        <v>Personal - Travel (Costa Rica Trip #1)</v>
      </c>
      <c r="J655" s="8" t="str">
        <f>IF($G655="","Uncategorized — Review",IFERROR(_xlfn.XLOOKUP($G655,Mapping!$A:$A,Mapping!$C:$C),"Uncategorized — Review"))</f>
        <v>Personal — Owner</v>
      </c>
    </row>
    <row r="656" spans="1:10" x14ac:dyDescent="0.25">
      <c r="A656" s="8" t="str">
        <f>'2025_Chase9335_Activity_2026062'!A656</f>
        <v>DEBIT</v>
      </c>
      <c r="B656" s="24">
        <f>'2025_Chase9335_Activity_2026062'!B656</f>
        <v>45742</v>
      </c>
      <c r="C656" s="8" t="str">
        <f>'2025_Chase9335_Activity_2026062'!C656</f>
        <v>ELIXIR PARRITA                               03/24 CR Colon   5500.00 X 0.002010909 (EXCHG RTE)</v>
      </c>
      <c r="D656" s="8">
        <f>'2025_Chase9335_Activity_2026062'!D656</f>
        <v>-11.06</v>
      </c>
      <c r="E656" s="8" t="str">
        <f>'2025_Chase9335_Activity_2026062'!E656</f>
        <v>DEBIT_CARD</v>
      </c>
      <c r="F656" s="8">
        <f>'2025_Chase9335_Activity_2026062'!F656</f>
        <v>359123.48</v>
      </c>
      <c r="G656" s="8" t="str">
        <f>'2025_Chase9335_Activity_2026062'!G656</f>
        <v>Personal - Travel (Costa Rica Trip #1)</v>
      </c>
      <c r="H656" s="26">
        <f t="shared" si="10"/>
        <v>45717</v>
      </c>
      <c r="I656" s="8" t="str">
        <f>IF($G656="","Uncategorized — Review",IFERROR(_xlfn.XLOOKUP($G656,Mapping!$A:$A,Mapping!$B:$B),"Uncategorized — Review"))</f>
        <v>Personal - Travel (Costa Rica Trip #1)</v>
      </c>
      <c r="J656" s="8" t="str">
        <f>IF($G656="","Uncategorized — Review",IFERROR(_xlfn.XLOOKUP($G656,Mapping!$A:$A,Mapping!$C:$C),"Uncategorized — Review"))</f>
        <v>Personal — Owner</v>
      </c>
    </row>
    <row r="657" spans="1:10" x14ac:dyDescent="0.25">
      <c r="A657" s="8" t="str">
        <f>'2025_Chase9335_Activity_2026062'!A657</f>
        <v>DEBIT</v>
      </c>
      <c r="B657" s="24">
        <f>'2025_Chase9335_Activity_2026062'!B657</f>
        <v>45742</v>
      </c>
      <c r="C657" s="8" t="str">
        <f>'2025_Chase9335_Activity_2026062'!C657</f>
        <v>ORANGE LIQUOR STORE PUNTARENAS               03/24 CR Colon   19200.00 X 0.002012500 (EXCHG RTE)</v>
      </c>
      <c r="D657" s="8">
        <f>'2025_Chase9335_Activity_2026062'!D657</f>
        <v>-38.64</v>
      </c>
      <c r="E657" s="8" t="str">
        <f>'2025_Chase9335_Activity_2026062'!E657</f>
        <v>DEBIT_CARD</v>
      </c>
      <c r="F657" s="8">
        <f>'2025_Chase9335_Activity_2026062'!F657</f>
        <v>359134.54</v>
      </c>
      <c r="G657" s="8" t="str">
        <f>'2025_Chase9335_Activity_2026062'!G657</f>
        <v>Personal - Travel (Costa Rica Trip #1)</v>
      </c>
      <c r="H657" s="26">
        <f t="shared" si="10"/>
        <v>45717</v>
      </c>
      <c r="I657" s="8" t="str">
        <f>IF($G657="","Uncategorized — Review",IFERROR(_xlfn.XLOOKUP($G657,Mapping!$A:$A,Mapping!$B:$B),"Uncategorized — Review"))</f>
        <v>Personal - Travel (Costa Rica Trip #1)</v>
      </c>
      <c r="J657" s="8" t="str">
        <f>IF($G657="","Uncategorized — Review",IFERROR(_xlfn.XLOOKUP($G657,Mapping!$A:$A,Mapping!$C:$C),"Uncategorized — Review"))</f>
        <v>Personal — Owner</v>
      </c>
    </row>
    <row r="658" spans="1:10" x14ac:dyDescent="0.25">
      <c r="A658" s="8" t="str">
        <f>'2025_Chase9335_Activity_2026062'!A658</f>
        <v>DEBIT</v>
      </c>
      <c r="B658" s="24">
        <f>'2025_Chase9335_Activity_2026062'!B658</f>
        <v>45742</v>
      </c>
      <c r="C658" s="8" t="str">
        <f>'2025_Chase9335_Activity_2026062'!C658</f>
        <v>KARMA CAFE Y RESTAURANT PUNTARENAS           03/24 CR Colon   28100.00 X 0.002012456 (EXCHG RTE)</v>
      </c>
      <c r="D658" s="8">
        <f>'2025_Chase9335_Activity_2026062'!D658</f>
        <v>-56.55</v>
      </c>
      <c r="E658" s="8" t="str">
        <f>'2025_Chase9335_Activity_2026062'!E658</f>
        <v>DEBIT_CARD</v>
      </c>
      <c r="F658" s="8">
        <f>'2025_Chase9335_Activity_2026062'!F658</f>
        <v>359173.18</v>
      </c>
      <c r="G658" s="8" t="str">
        <f>'2025_Chase9335_Activity_2026062'!G658</f>
        <v>Personal - Travel (Costa Rica Trip #1)</v>
      </c>
      <c r="H658" s="26">
        <f t="shared" si="10"/>
        <v>45717</v>
      </c>
      <c r="I658" s="8" t="str">
        <f>IF($G658="","Uncategorized — Review",IFERROR(_xlfn.XLOOKUP($G658,Mapping!$A:$A,Mapping!$B:$B),"Uncategorized — Review"))</f>
        <v>Personal - Travel (Costa Rica Trip #1)</v>
      </c>
      <c r="J658" s="8" t="str">
        <f>IF($G658="","Uncategorized — Review",IFERROR(_xlfn.XLOOKUP($G658,Mapping!$A:$A,Mapping!$C:$C),"Uncategorized — Review"))</f>
        <v>Personal — Owner</v>
      </c>
    </row>
    <row r="659" spans="1:10" x14ac:dyDescent="0.25">
      <c r="A659" s="8" t="str">
        <f>'2025_Chase9335_Activity_2026062'!A659</f>
        <v>DEBIT</v>
      </c>
      <c r="B659" s="24">
        <f>'2025_Chase9335_Activity_2026062'!B659</f>
        <v>45741</v>
      </c>
      <c r="C659" s="8" t="str">
        <f>'2025_Chase9335_Activity_2026062'!C659</f>
        <v>FOREIGN EXCHANGE RATE ADJUSTMENT FEE         03/23SUPER SOL</v>
      </c>
      <c r="D659" s="8">
        <f>'2025_Chase9335_Activity_2026062'!D659</f>
        <v>-0.25</v>
      </c>
      <c r="E659" s="8" t="str">
        <f>'2025_Chase9335_Activity_2026062'!E659</f>
        <v>FEE_TRANSACTION</v>
      </c>
      <c r="F659" s="8">
        <f>'2025_Chase9335_Activity_2026062'!F659</f>
        <v>359229.73</v>
      </c>
      <c r="G659" s="8" t="str">
        <f>'2025_Chase9335_Activity_2026062'!G659</f>
        <v>Personal - Travel (Costa Rica Trip #1)</v>
      </c>
      <c r="H659" s="26">
        <f t="shared" si="10"/>
        <v>45717</v>
      </c>
      <c r="I659" s="8" t="str">
        <f>IF($G659="","Uncategorized — Review",IFERROR(_xlfn.XLOOKUP($G659,Mapping!$A:$A,Mapping!$B:$B),"Uncategorized — Review"))</f>
        <v>Personal - Travel (Costa Rica Trip #1)</v>
      </c>
      <c r="J659" s="8" t="str">
        <f>IF($G659="","Uncategorized — Review",IFERROR(_xlfn.XLOOKUP($G659,Mapping!$A:$A,Mapping!$C:$C),"Uncategorized — Review"))</f>
        <v>Personal — Owner</v>
      </c>
    </row>
    <row r="660" spans="1:10" x14ac:dyDescent="0.25">
      <c r="A660" s="8" t="str">
        <f>'2025_Chase9335_Activity_2026062'!A660</f>
        <v>DEBIT</v>
      </c>
      <c r="B660" s="24">
        <f>'2025_Chase9335_Activity_2026062'!B660</f>
        <v>45741</v>
      </c>
      <c r="C660" s="8" t="str">
        <f>'2025_Chase9335_Activity_2026062'!C660</f>
        <v>FOREIGN EXCHANGE RATE ADJUSTMENT FEE         03/23ELIXIR PA</v>
      </c>
      <c r="D660" s="8">
        <f>'2025_Chase9335_Activity_2026062'!D660</f>
        <v>-0.39</v>
      </c>
      <c r="E660" s="8" t="str">
        <f>'2025_Chase9335_Activity_2026062'!E660</f>
        <v>FEE_TRANSACTION</v>
      </c>
      <c r="F660" s="8">
        <f>'2025_Chase9335_Activity_2026062'!F660</f>
        <v>359229.98</v>
      </c>
      <c r="G660" s="8" t="str">
        <f>'2025_Chase9335_Activity_2026062'!G660</f>
        <v>Personal - Travel (Costa Rica Trip #1)</v>
      </c>
      <c r="H660" s="26">
        <f t="shared" si="10"/>
        <v>45717</v>
      </c>
      <c r="I660" s="8" t="str">
        <f>IF($G660="","Uncategorized — Review",IFERROR(_xlfn.XLOOKUP($G660,Mapping!$A:$A,Mapping!$B:$B),"Uncategorized — Review"))</f>
        <v>Personal - Travel (Costa Rica Trip #1)</v>
      </c>
      <c r="J660" s="8" t="str">
        <f>IF($G660="","Uncategorized — Review",IFERROR(_xlfn.XLOOKUP($G660,Mapping!$A:$A,Mapping!$C:$C),"Uncategorized — Review"))</f>
        <v>Personal — Owner</v>
      </c>
    </row>
    <row r="661" spans="1:10" x14ac:dyDescent="0.25">
      <c r="A661" s="8" t="str">
        <f>'2025_Chase9335_Activity_2026062'!A661</f>
        <v>DEBIT</v>
      </c>
      <c r="B661" s="24">
        <f>'2025_Chase9335_Activity_2026062'!B661</f>
        <v>45741</v>
      </c>
      <c r="C661" s="8" t="str">
        <f>'2025_Chase9335_Activity_2026062'!C661</f>
        <v>FOREIGN EXCHANGE RATE ADJUSTMENT FEE         03/23KARMA CAF</v>
      </c>
      <c r="D661" s="8">
        <f>'2025_Chase9335_Activity_2026062'!D661</f>
        <v>-0.76</v>
      </c>
      <c r="E661" s="8" t="str">
        <f>'2025_Chase9335_Activity_2026062'!E661</f>
        <v>FEE_TRANSACTION</v>
      </c>
      <c r="F661" s="8">
        <f>'2025_Chase9335_Activity_2026062'!F661</f>
        <v>359230.37</v>
      </c>
      <c r="G661" s="8" t="str">
        <f>'2025_Chase9335_Activity_2026062'!G661</f>
        <v>Personal - Travel (Costa Rica Trip #1)</v>
      </c>
      <c r="H661" s="26">
        <f t="shared" si="10"/>
        <v>45717</v>
      </c>
      <c r="I661" s="8" t="str">
        <f>IF($G661="","Uncategorized — Review",IFERROR(_xlfn.XLOOKUP($G661,Mapping!$A:$A,Mapping!$B:$B),"Uncategorized — Review"))</f>
        <v>Personal - Travel (Costa Rica Trip #1)</v>
      </c>
      <c r="J661" s="8" t="str">
        <f>IF($G661="","Uncategorized — Review",IFERROR(_xlfn.XLOOKUP($G661,Mapping!$A:$A,Mapping!$C:$C),"Uncategorized — Review"))</f>
        <v>Personal — Owner</v>
      </c>
    </row>
    <row r="662" spans="1:10" x14ac:dyDescent="0.25">
      <c r="A662" s="8" t="str">
        <f>'2025_Chase9335_Activity_2026062'!A662</f>
        <v>DEBIT</v>
      </c>
      <c r="B662" s="24">
        <f>'2025_Chase9335_Activity_2026062'!B662</f>
        <v>45741</v>
      </c>
      <c r="C662" s="8" t="str">
        <f>'2025_Chase9335_Activity_2026062'!C662</f>
        <v>FOREIGN EXCHANGE RATE ADJUSTMENT FEE         03/24LINEUP GA</v>
      </c>
      <c r="D662" s="8">
        <f>'2025_Chase9335_Activity_2026062'!D662</f>
        <v>-0.99</v>
      </c>
      <c r="E662" s="8" t="str">
        <f>'2025_Chase9335_Activity_2026062'!E662</f>
        <v>FEE_TRANSACTION</v>
      </c>
      <c r="F662" s="8">
        <f>'2025_Chase9335_Activity_2026062'!F662</f>
        <v>359231.13</v>
      </c>
      <c r="G662" s="8" t="str">
        <f>'2025_Chase9335_Activity_2026062'!G662</f>
        <v>Personal - Travel (Costa Rica Trip #1)</v>
      </c>
      <c r="H662" s="26">
        <f t="shared" si="10"/>
        <v>45717</v>
      </c>
      <c r="I662" s="8" t="str">
        <f>IF($G662="","Uncategorized — Review",IFERROR(_xlfn.XLOOKUP($G662,Mapping!$A:$A,Mapping!$B:$B),"Uncategorized — Review"))</f>
        <v>Personal - Travel (Costa Rica Trip #1)</v>
      </c>
      <c r="J662" s="8" t="str">
        <f>IF($G662="","Uncategorized — Review",IFERROR(_xlfn.XLOOKUP($G662,Mapping!$A:$A,Mapping!$C:$C),"Uncategorized — Review"))</f>
        <v>Personal — Owner</v>
      </c>
    </row>
    <row r="663" spans="1:10" x14ac:dyDescent="0.25">
      <c r="A663" s="8" t="str">
        <f>'2025_Chase9335_Activity_2026062'!A663</f>
        <v>DEBIT</v>
      </c>
      <c r="B663" s="24">
        <f>'2025_Chase9335_Activity_2026062'!B663</f>
        <v>45741</v>
      </c>
      <c r="C663" s="8" t="str">
        <f>'2025_Chase9335_Activity_2026062'!C663</f>
        <v>NON-CHASE ATM FEE-WITH</v>
      </c>
      <c r="D663" s="8">
        <f>'2025_Chase9335_Activity_2026062'!D663</f>
        <v>-5</v>
      </c>
      <c r="E663" s="8" t="str">
        <f>'2025_Chase9335_Activity_2026062'!E663</f>
        <v>FEE_TRANSACTION</v>
      </c>
      <c r="F663" s="8">
        <f>'2025_Chase9335_Activity_2026062'!F663</f>
        <v>359232.12</v>
      </c>
      <c r="G663" s="8" t="str">
        <f>'2025_Chase9335_Activity_2026062'!G663</f>
        <v>Bank Fees</v>
      </c>
      <c r="H663" s="26">
        <f t="shared" si="10"/>
        <v>45717</v>
      </c>
      <c r="I663" s="8" t="str">
        <f>IF($G663="","Uncategorized — Review",IFERROR(_xlfn.XLOOKUP($G663,Mapping!$A:$A,Mapping!$B:$B),"Uncategorized — Review"))</f>
        <v>Bank Fees</v>
      </c>
      <c r="J663" s="8" t="str">
        <f>IF($G663="","Uncategorized — Review",IFERROR(_xlfn.XLOOKUP($G663,Mapping!$A:$A,Mapping!$C:$C),"Uncategorized — Review"))</f>
        <v>DWG Operating</v>
      </c>
    </row>
    <row r="664" spans="1:10" x14ac:dyDescent="0.25">
      <c r="A664" s="8" t="str">
        <f>'2025_Chase9335_Activity_2026062'!A664</f>
        <v>DEBIT</v>
      </c>
      <c r="B664" s="24">
        <f>'2025_Chase9335_Activity_2026062'!B664</f>
        <v>45741</v>
      </c>
      <c r="C664" s="8" t="str">
        <f>'2025_Chase9335_Activity_2026062'!C664</f>
        <v>FOREIGN EXCHANGE RATE ADJUSTMENT FEE 002498  03/25CASINO FI</v>
      </c>
      <c r="D664" s="8">
        <f>'2025_Chase9335_Activity_2026062'!D664</f>
        <v>-12.35</v>
      </c>
      <c r="E664" s="8" t="str">
        <f>'2025_Chase9335_Activity_2026062'!E664</f>
        <v>FEE_TRANSACTION</v>
      </c>
      <c r="F664" s="8">
        <f>'2025_Chase9335_Activity_2026062'!F664</f>
        <v>359237.12</v>
      </c>
      <c r="G664" s="8" t="str">
        <f>'2025_Chase9335_Activity_2026062'!G664</f>
        <v>Personal - Travel (Costa Rica Trip #1)</v>
      </c>
      <c r="H664" s="26">
        <f t="shared" si="10"/>
        <v>45717</v>
      </c>
      <c r="I664" s="8" t="str">
        <f>IF($G664="","Uncategorized — Review",IFERROR(_xlfn.XLOOKUP($G664,Mapping!$A:$A,Mapping!$B:$B),"Uncategorized — Review"))</f>
        <v>Personal - Travel (Costa Rica Trip #1)</v>
      </c>
      <c r="J664" s="8" t="str">
        <f>IF($G664="","Uncategorized — Review",IFERROR(_xlfn.XLOOKUP($G664,Mapping!$A:$A,Mapping!$C:$C),"Uncategorized — Review"))</f>
        <v>Personal — Owner</v>
      </c>
    </row>
    <row r="665" spans="1:10" x14ac:dyDescent="0.25">
      <c r="A665" s="8" t="str">
        <f>'2025_Chase9335_Activity_2026062'!A665</f>
        <v>DEBIT</v>
      </c>
      <c r="B665" s="24">
        <f>'2025_Chase9335_Activity_2026062'!B665</f>
        <v>45741</v>
      </c>
      <c r="C665" s="8" t="str">
        <f>'2025_Chase9335_Activity_2026062'!C665</f>
        <v>NON-CHASE ATM WITHDRAW               002498  03/25CASINO FI CR Colon   200000.00 X 0.002018284 (EXCHG RTE)</v>
      </c>
      <c r="D665" s="8">
        <f>'2025_Chase9335_Activity_2026062'!D665</f>
        <v>-411.73</v>
      </c>
      <c r="E665" s="8" t="str">
        <f>'2025_Chase9335_Activity_2026062'!E665</f>
        <v>ATM</v>
      </c>
      <c r="F665" s="8">
        <f>'2025_Chase9335_Activity_2026062'!F665</f>
        <v>359249.47</v>
      </c>
      <c r="G665" s="8" t="str">
        <f>'2025_Chase9335_Activity_2026062'!G665</f>
        <v>Personal - Travel (Costa Rica Trip #1)</v>
      </c>
      <c r="H665" s="26">
        <f t="shared" si="10"/>
        <v>45717</v>
      </c>
      <c r="I665" s="8" t="str">
        <f>IF($G665="","Uncategorized — Review",IFERROR(_xlfn.XLOOKUP($G665,Mapping!$A:$A,Mapping!$B:$B),"Uncategorized — Review"))</f>
        <v>Personal - Travel (Costa Rica Trip #1)</v>
      </c>
      <c r="J665" s="8" t="str">
        <f>IF($G665="","Uncategorized — Review",IFERROR(_xlfn.XLOOKUP($G665,Mapping!$A:$A,Mapping!$C:$C),"Uncategorized — Review"))</f>
        <v>Personal — Owner</v>
      </c>
    </row>
    <row r="666" spans="1:10" x14ac:dyDescent="0.25">
      <c r="A666" s="8" t="str">
        <f>'2025_Chase9335_Activity_2026062'!A666</f>
        <v>DEBIT</v>
      </c>
      <c r="B666" s="24">
        <f>'2025_Chase9335_Activity_2026062'!B666</f>
        <v>45741</v>
      </c>
      <c r="C666" s="8" t="str">
        <f>'2025_Chase9335_Activity_2026062'!C666</f>
        <v>LINEUP GARABITO                              03/24 CR Colon   16500.00 X 0.002012121 (EXCHG RTE)</v>
      </c>
      <c r="D666" s="8">
        <f>'2025_Chase9335_Activity_2026062'!D666</f>
        <v>-33.200000000000003</v>
      </c>
      <c r="E666" s="8" t="str">
        <f>'2025_Chase9335_Activity_2026062'!E666</f>
        <v>DEBIT_CARD</v>
      </c>
      <c r="F666" s="8">
        <f>'2025_Chase9335_Activity_2026062'!F666</f>
        <v>359661.2</v>
      </c>
      <c r="G666" s="8" t="str">
        <f>'2025_Chase9335_Activity_2026062'!G666</f>
        <v>Personal - Travel (Costa Rica Trip #1)</v>
      </c>
      <c r="H666" s="26">
        <f t="shared" si="10"/>
        <v>45717</v>
      </c>
      <c r="I666" s="8" t="str">
        <f>IF($G666="","Uncategorized — Review",IFERROR(_xlfn.XLOOKUP($G666,Mapping!$A:$A,Mapping!$B:$B),"Uncategorized — Review"))</f>
        <v>Personal - Travel (Costa Rica Trip #1)</v>
      </c>
      <c r="J666" s="8" t="str">
        <f>IF($G666="","Uncategorized — Review",IFERROR(_xlfn.XLOOKUP($G666,Mapping!$A:$A,Mapping!$C:$C),"Uncategorized — Review"))</f>
        <v>Personal — Owner</v>
      </c>
    </row>
    <row r="667" spans="1:10" x14ac:dyDescent="0.25">
      <c r="A667" s="8" t="str">
        <f>'2025_Chase9335_Activity_2026062'!A667</f>
        <v>DEBIT</v>
      </c>
      <c r="B667" s="24">
        <f>'2025_Chase9335_Activity_2026062'!B667</f>
        <v>45741</v>
      </c>
      <c r="C667" s="8" t="str">
        <f>'2025_Chase9335_Activity_2026062'!C667</f>
        <v>SUPER SOL PUNTARENAS                         03/23 CR Colon   4200.00 X 0.002011905 (EXCHG RTE)</v>
      </c>
      <c r="D667" s="8">
        <f>'2025_Chase9335_Activity_2026062'!D667</f>
        <v>-8.4499999999999993</v>
      </c>
      <c r="E667" s="8" t="str">
        <f>'2025_Chase9335_Activity_2026062'!E667</f>
        <v>DEBIT_CARD</v>
      </c>
      <c r="F667" s="8">
        <f>'2025_Chase9335_Activity_2026062'!F667</f>
        <v>359694.4</v>
      </c>
      <c r="G667" s="8" t="str">
        <f>'2025_Chase9335_Activity_2026062'!G667</f>
        <v>Personal - Travel (Costa Rica Trip #1)</v>
      </c>
      <c r="H667" s="26">
        <f t="shared" si="10"/>
        <v>45717</v>
      </c>
      <c r="I667" s="8" t="str">
        <f>IF($G667="","Uncategorized — Review",IFERROR(_xlfn.XLOOKUP($G667,Mapping!$A:$A,Mapping!$B:$B),"Uncategorized — Review"))</f>
        <v>Personal - Travel (Costa Rica Trip #1)</v>
      </c>
      <c r="J667" s="8" t="str">
        <f>IF($G667="","Uncategorized — Review",IFERROR(_xlfn.XLOOKUP($G667,Mapping!$A:$A,Mapping!$C:$C),"Uncategorized — Review"))</f>
        <v>Personal — Owner</v>
      </c>
    </row>
    <row r="668" spans="1:10" x14ac:dyDescent="0.25">
      <c r="A668" s="8" t="str">
        <f>'2025_Chase9335_Activity_2026062'!A668</f>
        <v>DEBIT</v>
      </c>
      <c r="B668" s="24">
        <f>'2025_Chase9335_Activity_2026062'!B668</f>
        <v>45741</v>
      </c>
      <c r="C668" s="8" t="str">
        <f>'2025_Chase9335_Activity_2026062'!C668</f>
        <v>ELIXIR PARRITA                               03/23 CR Colon   6600.00 X 0.002012121 (EXCHG RTE)</v>
      </c>
      <c r="D668" s="8">
        <f>'2025_Chase9335_Activity_2026062'!D668</f>
        <v>-13.28</v>
      </c>
      <c r="E668" s="8" t="str">
        <f>'2025_Chase9335_Activity_2026062'!E668</f>
        <v>DEBIT_CARD</v>
      </c>
      <c r="F668" s="8">
        <f>'2025_Chase9335_Activity_2026062'!F668</f>
        <v>359702.85</v>
      </c>
      <c r="G668" s="8" t="str">
        <f>'2025_Chase9335_Activity_2026062'!G668</f>
        <v>Personal - Travel (Costa Rica Trip #1)</v>
      </c>
      <c r="H668" s="26">
        <f t="shared" si="10"/>
        <v>45717</v>
      </c>
      <c r="I668" s="8" t="str">
        <f>IF($G668="","Uncategorized — Review",IFERROR(_xlfn.XLOOKUP($G668,Mapping!$A:$A,Mapping!$B:$B),"Uncategorized — Review"))</f>
        <v>Personal - Travel (Costa Rica Trip #1)</v>
      </c>
      <c r="J668" s="8" t="str">
        <f>IF($G668="","Uncategorized — Review",IFERROR(_xlfn.XLOOKUP($G668,Mapping!$A:$A,Mapping!$C:$C),"Uncategorized — Review"))</f>
        <v>Personal — Owner</v>
      </c>
    </row>
    <row r="669" spans="1:10" x14ac:dyDescent="0.25">
      <c r="A669" s="8" t="str">
        <f>'2025_Chase9335_Activity_2026062'!A669</f>
        <v>DEBIT</v>
      </c>
      <c r="B669" s="24">
        <f>'2025_Chase9335_Activity_2026062'!B669</f>
        <v>45741</v>
      </c>
      <c r="C669" s="8" t="str">
        <f>'2025_Chase9335_Activity_2026062'!C669</f>
        <v>KARMA CAFE Y RESTAURANT PUNTARENAS           03/23 CR Colon   12700.00 X 0.002012598 (EXCHG RTE)</v>
      </c>
      <c r="D669" s="8">
        <f>'2025_Chase9335_Activity_2026062'!D669</f>
        <v>-25.56</v>
      </c>
      <c r="E669" s="8" t="str">
        <f>'2025_Chase9335_Activity_2026062'!E669</f>
        <v>DEBIT_CARD</v>
      </c>
      <c r="F669" s="8">
        <f>'2025_Chase9335_Activity_2026062'!F669</f>
        <v>359716.13</v>
      </c>
      <c r="G669" s="8" t="str">
        <f>'2025_Chase9335_Activity_2026062'!G669</f>
        <v>Personal - Travel (Costa Rica Trip #1)</v>
      </c>
      <c r="H669" s="26">
        <f t="shared" si="10"/>
        <v>45717</v>
      </c>
      <c r="I669" s="8" t="str">
        <f>IF($G669="","Uncategorized — Review",IFERROR(_xlfn.XLOOKUP($G669,Mapping!$A:$A,Mapping!$B:$B),"Uncategorized — Review"))</f>
        <v>Personal - Travel (Costa Rica Trip #1)</v>
      </c>
      <c r="J669" s="8" t="str">
        <f>IF($G669="","Uncategorized — Review",IFERROR(_xlfn.XLOOKUP($G669,Mapping!$A:$A,Mapping!$C:$C),"Uncategorized — Review"))</f>
        <v>Personal — Owner</v>
      </c>
    </row>
    <row r="670" spans="1:10" x14ac:dyDescent="0.25">
      <c r="A670" s="8" t="str">
        <f>'2025_Chase9335_Activity_2026062'!A670</f>
        <v>DEBIT</v>
      </c>
      <c r="B670" s="24">
        <f>'2025_Chase9335_Activity_2026062'!B670</f>
        <v>45740</v>
      </c>
      <c r="C670" s="8" t="str">
        <f>'2025_Chase9335_Activity_2026062'!C670</f>
        <v>FOREIGN EXCHANGE RATE ADJUSTMENT FEE         03/21MINISUPER</v>
      </c>
      <c r="D670" s="8">
        <f>'2025_Chase9335_Activity_2026062'!D670</f>
        <v>-0.6</v>
      </c>
      <c r="E670" s="8" t="str">
        <f>'2025_Chase9335_Activity_2026062'!E670</f>
        <v>FEE_TRANSACTION</v>
      </c>
      <c r="F670" s="8">
        <f>'2025_Chase9335_Activity_2026062'!F670</f>
        <v>359741.69</v>
      </c>
      <c r="G670" s="8" t="str">
        <f>'2025_Chase9335_Activity_2026062'!G670</f>
        <v>Personal - Travel (Costa Rica Trip #1)</v>
      </c>
      <c r="H670" s="26">
        <f t="shared" si="10"/>
        <v>45717</v>
      </c>
      <c r="I670" s="8" t="str">
        <f>IF($G670="","Uncategorized — Review",IFERROR(_xlfn.XLOOKUP($G670,Mapping!$A:$A,Mapping!$B:$B),"Uncategorized — Review"))</f>
        <v>Personal - Travel (Costa Rica Trip #1)</v>
      </c>
      <c r="J670" s="8" t="str">
        <f>IF($G670="","Uncategorized — Review",IFERROR(_xlfn.XLOOKUP($G670,Mapping!$A:$A,Mapping!$C:$C),"Uncategorized — Review"))</f>
        <v>Personal — Owner</v>
      </c>
    </row>
    <row r="671" spans="1:10" x14ac:dyDescent="0.25">
      <c r="A671" s="8" t="str">
        <f>'2025_Chase9335_Activity_2026062'!A671</f>
        <v>DEBIT</v>
      </c>
      <c r="B671" s="24">
        <f>'2025_Chase9335_Activity_2026062'!B671</f>
        <v>45740</v>
      </c>
      <c r="C671" s="8" t="str">
        <f>'2025_Chase9335_Activity_2026062'!C671</f>
        <v>FOREIGN EXCHANGE RATE ADJUSTMENT FEE         03/21DOMINICAL</v>
      </c>
      <c r="D671" s="8">
        <f>'2025_Chase9335_Activity_2026062'!D671</f>
        <v>-0.64</v>
      </c>
      <c r="E671" s="8" t="str">
        <f>'2025_Chase9335_Activity_2026062'!E671</f>
        <v>FEE_TRANSACTION</v>
      </c>
      <c r="F671" s="8">
        <f>'2025_Chase9335_Activity_2026062'!F671</f>
        <v>359742.29</v>
      </c>
      <c r="G671" s="8" t="str">
        <f>'2025_Chase9335_Activity_2026062'!G671</f>
        <v>Personal - Travel (Costa Rica Trip #1)</v>
      </c>
      <c r="H671" s="26">
        <f t="shared" si="10"/>
        <v>45717</v>
      </c>
      <c r="I671" s="8" t="str">
        <f>IF($G671="","Uncategorized — Review",IFERROR(_xlfn.XLOOKUP($G671,Mapping!$A:$A,Mapping!$B:$B),"Uncategorized — Review"))</f>
        <v>Personal - Travel (Costa Rica Trip #1)</v>
      </c>
      <c r="J671" s="8" t="str">
        <f>IF($G671="","Uncategorized — Review",IFERROR(_xlfn.XLOOKUP($G671,Mapping!$A:$A,Mapping!$C:$C),"Uncategorized — Review"))</f>
        <v>Personal — Owner</v>
      </c>
    </row>
    <row r="672" spans="1:10" x14ac:dyDescent="0.25">
      <c r="A672" s="8" t="str">
        <f>'2025_Chase9335_Activity_2026062'!A672</f>
        <v>DEBIT</v>
      </c>
      <c r="B672" s="24">
        <f>'2025_Chase9335_Activity_2026062'!B672</f>
        <v>45740</v>
      </c>
      <c r="C672" s="8" t="str">
        <f>'2025_Chase9335_Activity_2026062'!C672</f>
        <v>FOREIGN EXCHANGE RATE ADJUSTMENT FEE         03/22KARMA CAF</v>
      </c>
      <c r="D672" s="8">
        <f>'2025_Chase9335_Activity_2026062'!D672</f>
        <v>-0.89</v>
      </c>
      <c r="E672" s="8" t="str">
        <f>'2025_Chase9335_Activity_2026062'!E672</f>
        <v>FEE_TRANSACTION</v>
      </c>
      <c r="F672" s="8">
        <f>'2025_Chase9335_Activity_2026062'!F672</f>
        <v>359742.93</v>
      </c>
      <c r="G672" s="8" t="str">
        <f>'2025_Chase9335_Activity_2026062'!G672</f>
        <v>Personal - Travel (Costa Rica Trip #1)</v>
      </c>
      <c r="H672" s="26">
        <f t="shared" si="10"/>
        <v>45717</v>
      </c>
      <c r="I672" s="8" t="str">
        <f>IF($G672="","Uncategorized — Review",IFERROR(_xlfn.XLOOKUP($G672,Mapping!$A:$A,Mapping!$B:$B),"Uncategorized — Review"))</f>
        <v>Personal - Travel (Costa Rica Trip #1)</v>
      </c>
      <c r="J672" s="8" t="str">
        <f>IF($G672="","Uncategorized — Review",IFERROR(_xlfn.XLOOKUP($G672,Mapping!$A:$A,Mapping!$C:$C),"Uncategorized — Review"))</f>
        <v>Personal — Owner</v>
      </c>
    </row>
    <row r="673" spans="1:10" x14ac:dyDescent="0.25">
      <c r="A673" s="8" t="str">
        <f>'2025_Chase9335_Activity_2026062'!A673</f>
        <v>DEBIT</v>
      </c>
      <c r="B673" s="24">
        <f>'2025_Chase9335_Activity_2026062'!B673</f>
        <v>45740</v>
      </c>
      <c r="C673" s="8" t="str">
        <f>'2025_Chase9335_Activity_2026062'!C673</f>
        <v>NON-CHASE ATM FEE-WITH</v>
      </c>
      <c r="D673" s="8">
        <f>'2025_Chase9335_Activity_2026062'!D673</f>
        <v>-5</v>
      </c>
      <c r="E673" s="8" t="str">
        <f>'2025_Chase9335_Activity_2026062'!E673</f>
        <v>FEE_TRANSACTION</v>
      </c>
      <c r="F673" s="8">
        <f>'2025_Chase9335_Activity_2026062'!F673</f>
        <v>359743.82</v>
      </c>
      <c r="G673" s="8" t="str">
        <f>'2025_Chase9335_Activity_2026062'!G673</f>
        <v>Bank Fees</v>
      </c>
      <c r="H673" s="26">
        <f t="shared" si="10"/>
        <v>45717</v>
      </c>
      <c r="I673" s="8" t="str">
        <f>IF($G673="","Uncategorized — Review",IFERROR(_xlfn.XLOOKUP($G673,Mapping!$A:$A,Mapping!$B:$B),"Uncategorized — Review"))</f>
        <v>Bank Fees</v>
      </c>
      <c r="J673" s="8" t="str">
        <f>IF($G673="","Uncategorized — Review",IFERROR(_xlfn.XLOOKUP($G673,Mapping!$A:$A,Mapping!$C:$C),"Uncategorized — Review"))</f>
        <v>DWG Operating</v>
      </c>
    </row>
    <row r="674" spans="1:10" x14ac:dyDescent="0.25">
      <c r="A674" s="8" t="str">
        <f>'2025_Chase9335_Activity_2026062'!A674</f>
        <v>DEBIT</v>
      </c>
      <c r="B674" s="24">
        <f>'2025_Chase9335_Activity_2026062'!B674</f>
        <v>45740</v>
      </c>
      <c r="C674" s="8" t="str">
        <f>'2025_Chase9335_Activity_2026062'!C674</f>
        <v>APPLE.COM/BILL 866-712-7753 CA               03/23</v>
      </c>
      <c r="D674" s="8">
        <f>'2025_Chase9335_Activity_2026062'!D674</f>
        <v>-30.89</v>
      </c>
      <c r="E674" s="8" t="str">
        <f>'2025_Chase9335_Activity_2026062'!E674</f>
        <v>DEBIT_CARD</v>
      </c>
      <c r="F674" s="8">
        <f>'2025_Chase9335_Activity_2026062'!F674</f>
        <v>359748.82</v>
      </c>
      <c r="G674" s="8" t="str">
        <f>'2025_Chase9335_Activity_2026062'!G674</f>
        <v>Personal - Subscriptions</v>
      </c>
      <c r="H674" s="26">
        <f t="shared" si="10"/>
        <v>45717</v>
      </c>
      <c r="I674" s="8" t="str">
        <f>IF($G674="","Uncategorized — Review",IFERROR(_xlfn.XLOOKUP($G674,Mapping!$A:$A,Mapping!$B:$B),"Uncategorized — Review"))</f>
        <v>Personal - Subscriptions</v>
      </c>
      <c r="J674" s="8" t="str">
        <f>IF($G674="","Uncategorized — Review",IFERROR(_xlfn.XLOOKUP($G674,Mapping!$A:$A,Mapping!$C:$C),"Uncategorized — Review"))</f>
        <v>Personal — Owner</v>
      </c>
    </row>
    <row r="675" spans="1:10" x14ac:dyDescent="0.25">
      <c r="A675" s="8" t="str">
        <f>'2025_Chase9335_Activity_2026062'!A675</f>
        <v>DEBIT</v>
      </c>
      <c r="B675" s="24">
        <f>'2025_Chase9335_Activity_2026062'!B675</f>
        <v>45740</v>
      </c>
      <c r="C675" s="8" t="str">
        <f>'2025_Chase9335_Activity_2026062'!C675</f>
        <v>NON-CHASE ATM WITHDRAW               005190  03/22PUN-BAC-</v>
      </c>
      <c r="D675" s="8">
        <f>'2025_Chase9335_Activity_2026062'!D675</f>
        <v>-407.8</v>
      </c>
      <c r="E675" s="8" t="str">
        <f>'2025_Chase9335_Activity_2026062'!E675</f>
        <v>ATM</v>
      </c>
      <c r="F675" s="8">
        <f>'2025_Chase9335_Activity_2026062'!F675</f>
        <v>359779.71</v>
      </c>
      <c r="G675" s="8" t="str">
        <f>'2025_Chase9335_Activity_2026062'!G675</f>
        <v>Personal - Travel (Costa Rica Trip #1)</v>
      </c>
      <c r="H675" s="26">
        <f t="shared" si="10"/>
        <v>45717</v>
      </c>
      <c r="I675" s="8" t="str">
        <f>IF($G675="","Uncategorized — Review",IFERROR(_xlfn.XLOOKUP($G675,Mapping!$A:$A,Mapping!$B:$B),"Uncategorized — Review"))</f>
        <v>Personal - Travel (Costa Rica Trip #1)</v>
      </c>
      <c r="J675" s="8" t="str">
        <f>IF($G675="","Uncategorized — Review",IFERROR(_xlfn.XLOOKUP($G675,Mapping!$A:$A,Mapping!$C:$C),"Uncategorized — Review"))</f>
        <v>Personal — Owner</v>
      </c>
    </row>
    <row r="676" spans="1:10" x14ac:dyDescent="0.25">
      <c r="A676" s="8" t="str">
        <f>'2025_Chase9335_Activity_2026062'!A676</f>
        <v>DEBIT</v>
      </c>
      <c r="B676" s="24">
        <f>'2025_Chase9335_Activity_2026062'!B676</f>
        <v>45740</v>
      </c>
      <c r="C676" s="8" t="str">
        <f>'2025_Chase9335_Activity_2026062'!C676</f>
        <v>KARMA CAFE Y RESTAURANT PUNTARENAS           03/22 CR Colon   14900.00 X 0.002012081 (EXCHG RTE)</v>
      </c>
      <c r="D676" s="8">
        <f>'2025_Chase9335_Activity_2026062'!D676</f>
        <v>-29.98</v>
      </c>
      <c r="E676" s="8" t="str">
        <f>'2025_Chase9335_Activity_2026062'!E676</f>
        <v>DEBIT_CARD</v>
      </c>
      <c r="F676" s="8">
        <f>'2025_Chase9335_Activity_2026062'!F676</f>
        <v>360187.51</v>
      </c>
      <c r="G676" s="8" t="str">
        <f>'2025_Chase9335_Activity_2026062'!G676</f>
        <v>Personal - Travel (Costa Rica Trip #1)</v>
      </c>
      <c r="H676" s="26">
        <f t="shared" si="10"/>
        <v>45717</v>
      </c>
      <c r="I676" s="8" t="str">
        <f>IF($G676="","Uncategorized — Review",IFERROR(_xlfn.XLOOKUP($G676,Mapping!$A:$A,Mapping!$B:$B),"Uncategorized — Review"))</f>
        <v>Personal - Travel (Costa Rica Trip #1)</v>
      </c>
      <c r="J676" s="8" t="str">
        <f>IF($G676="","Uncategorized — Review",IFERROR(_xlfn.XLOOKUP($G676,Mapping!$A:$A,Mapping!$C:$C),"Uncategorized — Review"))</f>
        <v>Personal — Owner</v>
      </c>
    </row>
    <row r="677" spans="1:10" x14ac:dyDescent="0.25">
      <c r="A677" s="8" t="str">
        <f>'2025_Chase9335_Activity_2026062'!A677</f>
        <v>DEBIT</v>
      </c>
      <c r="B677" s="24">
        <f>'2025_Chase9335_Activity_2026062'!B677</f>
        <v>45740</v>
      </c>
      <c r="C677" s="8" t="str">
        <f>'2025_Chase9335_Activity_2026062'!C677</f>
        <v>CRYSTAL DENTAL CARE PUNTARENAS               03/22</v>
      </c>
      <c r="D677" s="8">
        <f>'2025_Chase9335_Activity_2026062'!D677</f>
        <v>-18</v>
      </c>
      <c r="E677" s="8" t="str">
        <f>'2025_Chase9335_Activity_2026062'!E677</f>
        <v>DEBIT_CARD</v>
      </c>
      <c r="F677" s="8">
        <f>'2025_Chase9335_Activity_2026062'!F677</f>
        <v>360217.49</v>
      </c>
      <c r="G677" s="8" t="str">
        <f>'2025_Chase9335_Activity_2026062'!G677</f>
        <v>Personal - Travel (Costa Rica Trip #1)</v>
      </c>
      <c r="H677" s="26">
        <f t="shared" si="10"/>
        <v>45717</v>
      </c>
      <c r="I677" s="8" t="str">
        <f>IF($G677="","Uncategorized — Review",IFERROR(_xlfn.XLOOKUP($G677,Mapping!$A:$A,Mapping!$B:$B),"Uncategorized — Review"))</f>
        <v>Personal - Travel (Costa Rica Trip #1)</v>
      </c>
      <c r="J677" s="8" t="str">
        <f>IF($G677="","Uncategorized — Review",IFERROR(_xlfn.XLOOKUP($G677,Mapping!$A:$A,Mapping!$C:$C),"Uncategorized — Review"))</f>
        <v>Personal — Owner</v>
      </c>
    </row>
    <row r="678" spans="1:10" x14ac:dyDescent="0.25">
      <c r="A678" s="8" t="str">
        <f>'2025_Chase9335_Activity_2026062'!A678</f>
        <v>DEBIT</v>
      </c>
      <c r="B678" s="24">
        <f>'2025_Chase9335_Activity_2026062'!B678</f>
        <v>45740</v>
      </c>
      <c r="C678" s="8" t="str">
        <f>'2025_Chase9335_Activity_2026062'!C678</f>
        <v>DOMINICAL SUPER MARKET PUNTARENAS            03/21 CR Colon   10725.00 X 0.002013054 (EXCHG RTE)</v>
      </c>
      <c r="D678" s="8">
        <f>'2025_Chase9335_Activity_2026062'!D678</f>
        <v>-21.59</v>
      </c>
      <c r="E678" s="8" t="str">
        <f>'2025_Chase9335_Activity_2026062'!E678</f>
        <v>DEBIT_CARD</v>
      </c>
      <c r="F678" s="8">
        <f>'2025_Chase9335_Activity_2026062'!F678</f>
        <v>360235.49</v>
      </c>
      <c r="G678" s="8" t="str">
        <f>'2025_Chase9335_Activity_2026062'!G678</f>
        <v>Personal - Travel (Costa Rica Trip #1)</v>
      </c>
      <c r="H678" s="26">
        <f t="shared" si="10"/>
        <v>45717</v>
      </c>
      <c r="I678" s="8" t="str">
        <f>IF($G678="","Uncategorized — Review",IFERROR(_xlfn.XLOOKUP($G678,Mapping!$A:$A,Mapping!$B:$B),"Uncategorized — Review"))</f>
        <v>Personal - Travel (Costa Rica Trip #1)</v>
      </c>
      <c r="J678" s="8" t="str">
        <f>IF($G678="","Uncategorized — Review",IFERROR(_xlfn.XLOOKUP($G678,Mapping!$A:$A,Mapping!$C:$C),"Uncategorized — Review"))</f>
        <v>Personal — Owner</v>
      </c>
    </row>
    <row r="679" spans="1:10" x14ac:dyDescent="0.25">
      <c r="A679" s="8" t="str">
        <f>'2025_Chase9335_Activity_2026062'!A679</f>
        <v>DEBIT</v>
      </c>
      <c r="B679" s="24">
        <f>'2025_Chase9335_Activity_2026062'!B679</f>
        <v>45740</v>
      </c>
      <c r="C679" s="8" t="str">
        <f>'2025_Chase9335_Activity_2026062'!C679</f>
        <v>MINISUPER EL PARQUE PUNTARENAS               03/21 CR Colon   9950.00 X 0.002013065 (EXCHG RTE)</v>
      </c>
      <c r="D679" s="8">
        <f>'2025_Chase9335_Activity_2026062'!D679</f>
        <v>-20.03</v>
      </c>
      <c r="E679" s="8" t="str">
        <f>'2025_Chase9335_Activity_2026062'!E679</f>
        <v>DEBIT_CARD</v>
      </c>
      <c r="F679" s="8">
        <f>'2025_Chase9335_Activity_2026062'!F679</f>
        <v>360257.08</v>
      </c>
      <c r="G679" s="8" t="str">
        <f>'2025_Chase9335_Activity_2026062'!G679</f>
        <v>Personal - Travel (Costa Rica Trip #1)</v>
      </c>
      <c r="H679" s="26">
        <f t="shared" si="10"/>
        <v>45717</v>
      </c>
      <c r="I679" s="8" t="str">
        <f>IF($G679="","Uncategorized — Review",IFERROR(_xlfn.XLOOKUP($G679,Mapping!$A:$A,Mapping!$B:$B),"Uncategorized — Review"))</f>
        <v>Personal - Travel (Costa Rica Trip #1)</v>
      </c>
      <c r="J679" s="8" t="str">
        <f>IF($G679="","Uncategorized — Review",IFERROR(_xlfn.XLOOKUP($G679,Mapping!$A:$A,Mapping!$C:$C),"Uncategorized — Review"))</f>
        <v>Personal — Owner</v>
      </c>
    </row>
    <row r="680" spans="1:10" x14ac:dyDescent="0.25">
      <c r="A680" s="8" t="str">
        <f>'2025_Chase9335_Activity_2026062'!A680</f>
        <v>DEBIT</v>
      </c>
      <c r="B680" s="24">
        <f>'2025_Chase9335_Activity_2026062'!B680</f>
        <v>45737</v>
      </c>
      <c r="C680" s="8" t="str">
        <f>'2025_Chase9335_Activity_2026062'!C680</f>
        <v>FOREIGN EXCHANGE RATE ADJUSTMENT FEE         03/19GLOBAL VI</v>
      </c>
      <c r="D680" s="8">
        <f>'2025_Chase9335_Activity_2026062'!D680</f>
        <v>-0.04</v>
      </c>
      <c r="E680" s="8" t="str">
        <f>'2025_Chase9335_Activity_2026062'!E680</f>
        <v>FEE_TRANSACTION</v>
      </c>
      <c r="F680" s="8">
        <f>'2025_Chase9335_Activity_2026062'!F680</f>
        <v>360277.11</v>
      </c>
      <c r="G680" s="8" t="str">
        <f>'2025_Chase9335_Activity_2026062'!G680</f>
        <v>Personal - Travel (Costa Rica Trip #1)</v>
      </c>
      <c r="H680" s="26">
        <f t="shared" si="10"/>
        <v>45717</v>
      </c>
      <c r="I680" s="8" t="str">
        <f>IF($G680="","Uncategorized — Review",IFERROR(_xlfn.XLOOKUP($G680,Mapping!$A:$A,Mapping!$B:$B),"Uncategorized — Review"))</f>
        <v>Personal - Travel (Costa Rica Trip #1)</v>
      </c>
      <c r="J680" s="8" t="str">
        <f>IF($G680="","Uncategorized — Review",IFERROR(_xlfn.XLOOKUP($G680,Mapping!$A:$A,Mapping!$C:$C),"Uncategorized — Review"))</f>
        <v>Personal — Owner</v>
      </c>
    </row>
    <row r="681" spans="1:10" x14ac:dyDescent="0.25">
      <c r="A681" s="8" t="str">
        <f>'2025_Chase9335_Activity_2026062'!A681</f>
        <v>DEBIT</v>
      </c>
      <c r="B681" s="24">
        <f>'2025_Chase9335_Activity_2026062'!B681</f>
        <v>45737</v>
      </c>
      <c r="C681" s="8" t="str">
        <f>'2025_Chase9335_Activity_2026062'!C681</f>
        <v>Netflix 1 8445052993 CA                      03/21</v>
      </c>
      <c r="D681" s="8">
        <f>'2025_Chase9335_Activity_2026062'!D681</f>
        <v>-24.99</v>
      </c>
      <c r="E681" s="8" t="str">
        <f>'2025_Chase9335_Activity_2026062'!E681</f>
        <v>DEBIT_CARD</v>
      </c>
      <c r="F681" s="8">
        <f>'2025_Chase9335_Activity_2026062'!F681</f>
        <v>360277.15</v>
      </c>
      <c r="G681" s="8" t="str">
        <f>'2025_Chase9335_Activity_2026062'!G681</f>
        <v>Personal - Subscriptions</v>
      </c>
      <c r="H681" s="26">
        <f t="shared" si="10"/>
        <v>45717</v>
      </c>
      <c r="I681" s="8" t="str">
        <f>IF($G681="","Uncategorized — Review",IFERROR(_xlfn.XLOOKUP($G681,Mapping!$A:$A,Mapping!$B:$B),"Uncategorized — Review"))</f>
        <v>Personal - Subscriptions</v>
      </c>
      <c r="J681" s="8" t="str">
        <f>IF($G681="","Uncategorized — Review",IFERROR(_xlfn.XLOOKUP($G681,Mapping!$A:$A,Mapping!$C:$C),"Uncategorized — Review"))</f>
        <v>Personal — Owner</v>
      </c>
    </row>
    <row r="682" spans="1:10" x14ac:dyDescent="0.25">
      <c r="A682" s="8" t="str">
        <f>'2025_Chase9335_Activity_2026062'!A682</f>
        <v>DEBIT</v>
      </c>
      <c r="B682" s="24">
        <f>'2025_Chase9335_Activity_2026062'!B682</f>
        <v>45737</v>
      </c>
      <c r="C682" s="8" t="str">
        <f>'2025_Chase9335_Activity_2026062'!C682</f>
        <v>GLOBAL VIA RUTA 27 SAN JOSE                  03/19 CR Colon   820.00 X 0.002012195 (EXCHG RTE)</v>
      </c>
      <c r="D682" s="8">
        <f>'2025_Chase9335_Activity_2026062'!D682</f>
        <v>-1.65</v>
      </c>
      <c r="E682" s="8" t="str">
        <f>'2025_Chase9335_Activity_2026062'!E682</f>
        <v>DEBIT_CARD</v>
      </c>
      <c r="F682" s="8">
        <f>'2025_Chase9335_Activity_2026062'!F682</f>
        <v>360302.14</v>
      </c>
      <c r="G682" s="8" t="str">
        <f>'2025_Chase9335_Activity_2026062'!G682</f>
        <v>Personal - Travel (Costa Rica Trip #1)</v>
      </c>
      <c r="H682" s="26">
        <f t="shared" si="10"/>
        <v>45717</v>
      </c>
      <c r="I682" s="8" t="str">
        <f>IF($G682="","Uncategorized — Review",IFERROR(_xlfn.XLOOKUP($G682,Mapping!$A:$A,Mapping!$B:$B),"Uncategorized — Review"))</f>
        <v>Personal - Travel (Costa Rica Trip #1)</v>
      </c>
      <c r="J682" s="8" t="str">
        <f>IF($G682="","Uncategorized — Review",IFERROR(_xlfn.XLOOKUP($G682,Mapping!$A:$A,Mapping!$C:$C),"Uncategorized — Review"))</f>
        <v>Personal — Owner</v>
      </c>
    </row>
    <row r="683" spans="1:10" x14ac:dyDescent="0.25">
      <c r="A683" s="8" t="str">
        <f>'2025_Chase9335_Activity_2026062'!A683</f>
        <v>DEBIT</v>
      </c>
      <c r="B683" s="24">
        <f>'2025_Chase9335_Activity_2026062'!B683</f>
        <v>45737</v>
      </c>
      <c r="C683" s="8" t="str">
        <f>'2025_Chase9335_Activity_2026062'!C683</f>
        <v>GLOBAL EXCHANGE ALAJUEL CENTRAL              03/19</v>
      </c>
      <c r="D683" s="8">
        <f>'2025_Chase9335_Activity_2026062'!D683</f>
        <v>-300</v>
      </c>
      <c r="E683" s="8" t="str">
        <f>'2025_Chase9335_Activity_2026062'!E683</f>
        <v>DEBIT_CARD</v>
      </c>
      <c r="F683" s="8">
        <f>'2025_Chase9335_Activity_2026062'!F683</f>
        <v>360303.79</v>
      </c>
      <c r="G683" s="8" t="str">
        <f>'2025_Chase9335_Activity_2026062'!G683</f>
        <v>Personal - Travel (Costa Rica Trip #1)</v>
      </c>
      <c r="H683" s="26">
        <f t="shared" si="10"/>
        <v>45717</v>
      </c>
      <c r="I683" s="8" t="str">
        <f>IF($G683="","Uncategorized — Review",IFERROR(_xlfn.XLOOKUP($G683,Mapping!$A:$A,Mapping!$B:$B),"Uncategorized — Review"))</f>
        <v>Personal - Travel (Costa Rica Trip #1)</v>
      </c>
      <c r="J683" s="8" t="str">
        <f>IF($G683="","Uncategorized — Review",IFERROR(_xlfn.XLOOKUP($G683,Mapping!$A:$A,Mapping!$C:$C),"Uncategorized — Review"))</f>
        <v>Personal — Owner</v>
      </c>
    </row>
    <row r="684" spans="1:10" x14ac:dyDescent="0.25">
      <c r="A684" s="8" t="str">
        <f>'2025_Chase9335_Activity_2026062'!A684</f>
        <v>DEBIT</v>
      </c>
      <c r="B684" s="24">
        <f>'2025_Chase9335_Activity_2026062'!B684</f>
        <v>45736</v>
      </c>
      <c r="C684" s="8" t="str">
        <f>'2025_Chase9335_Activity_2026062'!C684</f>
        <v>FOREIGN EXCHANGE RATE ADJUSTMENT FEE         03/19RESTAURAN</v>
      </c>
      <c r="D684" s="8">
        <f>'2025_Chase9335_Activity_2026062'!D684</f>
        <v>-0.06</v>
      </c>
      <c r="E684" s="8" t="str">
        <f>'2025_Chase9335_Activity_2026062'!E684</f>
        <v>FEE_TRANSACTION</v>
      </c>
      <c r="F684" s="8">
        <f>'2025_Chase9335_Activity_2026062'!F684</f>
        <v>360603.79</v>
      </c>
      <c r="G684" s="8" t="str">
        <f>'2025_Chase9335_Activity_2026062'!G684</f>
        <v>Personal - Travel (Costa Rica Trip #1)</v>
      </c>
      <c r="H684" s="26">
        <f t="shared" si="10"/>
        <v>45717</v>
      </c>
      <c r="I684" s="8" t="str">
        <f>IF($G684="","Uncategorized — Review",IFERROR(_xlfn.XLOOKUP($G684,Mapping!$A:$A,Mapping!$B:$B),"Uncategorized — Review"))</f>
        <v>Personal - Travel (Costa Rica Trip #1)</v>
      </c>
      <c r="J684" s="8" t="str">
        <f>IF($G684="","Uncategorized — Review",IFERROR(_xlfn.XLOOKUP($G684,Mapping!$A:$A,Mapping!$C:$C),"Uncategorized — Review"))</f>
        <v>Personal — Owner</v>
      </c>
    </row>
    <row r="685" spans="1:10" x14ac:dyDescent="0.25">
      <c r="A685" s="8" t="str">
        <f>'2025_Chase9335_Activity_2026062'!A685</f>
        <v>DEBIT</v>
      </c>
      <c r="B685" s="24">
        <f>'2025_Chase9335_Activity_2026062'!B685</f>
        <v>45736</v>
      </c>
      <c r="C685" s="8" t="str">
        <f>'2025_Chase9335_Activity_2026062'!C685</f>
        <v>RESTAURANTE NEWREST Alajuela                 03/19 CR Colon   990.00 X 0.002020202 (EXCHG RTE)</v>
      </c>
      <c r="D685" s="8">
        <f>'2025_Chase9335_Activity_2026062'!D685</f>
        <v>-2</v>
      </c>
      <c r="E685" s="8" t="str">
        <f>'2025_Chase9335_Activity_2026062'!E685</f>
        <v>DEBIT_CARD</v>
      </c>
      <c r="F685" s="8">
        <f>'2025_Chase9335_Activity_2026062'!F685</f>
        <v>360603.85</v>
      </c>
      <c r="G685" s="8" t="str">
        <f>'2025_Chase9335_Activity_2026062'!G685</f>
        <v>Personal - Travel (Costa Rica Trip #1)</v>
      </c>
      <c r="H685" s="26">
        <f t="shared" si="10"/>
        <v>45717</v>
      </c>
      <c r="I685" s="8" t="str">
        <f>IF($G685="","Uncategorized — Review",IFERROR(_xlfn.XLOOKUP($G685,Mapping!$A:$A,Mapping!$B:$B),"Uncategorized — Review"))</f>
        <v>Personal - Travel (Costa Rica Trip #1)</v>
      </c>
      <c r="J685" s="8" t="str">
        <f>IF($G685="","Uncategorized — Review",IFERROR(_xlfn.XLOOKUP($G685,Mapping!$A:$A,Mapping!$C:$C),"Uncategorized — Review"))</f>
        <v>Personal — Owner</v>
      </c>
    </row>
    <row r="686" spans="1:10" x14ac:dyDescent="0.25">
      <c r="A686" s="8" t="str">
        <f>'2025_Chase9335_Activity_2026062'!A686</f>
        <v>DEBIT</v>
      </c>
      <c r="B686" s="24">
        <f>'2025_Chase9335_Activity_2026062'!B686</f>
        <v>45734</v>
      </c>
      <c r="C686" s="8" t="str">
        <f>'2025_Chase9335_Activity_2026062'!C686</f>
        <v>APPLE CASH SENT MONE 1INFINITELOOP CA        03/17</v>
      </c>
      <c r="D686" s="8">
        <f>'2025_Chase9335_Activity_2026062'!D686</f>
        <v>-100</v>
      </c>
      <c r="E686" s="8" t="str">
        <f>'2025_Chase9335_Activity_2026062'!E686</f>
        <v>DEBIT_CARD</v>
      </c>
      <c r="F686" s="8">
        <f>'2025_Chase9335_Activity_2026062'!F686</f>
        <v>360605.85</v>
      </c>
      <c r="G686" s="8" t="str">
        <f>'2025_Chase9335_Activity_2026062'!G686</f>
        <v>Apple Payment</v>
      </c>
      <c r="H686" s="26">
        <f t="shared" si="10"/>
        <v>45717</v>
      </c>
      <c r="I686" s="8" t="str">
        <f>IF($G686="","Uncategorized — Review",IFERROR(_xlfn.XLOOKUP($G686,Mapping!$A:$A,Mapping!$B:$B),"Uncategorized — Review"))</f>
        <v>Apple Payment</v>
      </c>
      <c r="J686" s="8" t="str">
        <f>IF($G686="","Uncategorized — Review",IFERROR(_xlfn.XLOOKUP($G686,Mapping!$A:$A,Mapping!$C:$C),"Uncategorized — Review"))</f>
        <v>P2P Payments (Zelle/Venmo/PayPal)</v>
      </c>
    </row>
    <row r="687" spans="1:10" x14ac:dyDescent="0.25">
      <c r="A687" s="8" t="str">
        <f>'2025_Chase9335_Activity_2026062'!A687</f>
        <v>DEBIT</v>
      </c>
      <c r="B687" s="24">
        <f>'2025_Chase9335_Activity_2026062'!B687</f>
        <v>45733</v>
      </c>
      <c r="C687" s="8" t="str">
        <f>'2025_Chase9335_Activity_2026062'!C687</f>
        <v>ONLINE DOMESTIC WIRE FEE</v>
      </c>
      <c r="D687" s="8">
        <f>'2025_Chase9335_Activity_2026062'!D687</f>
        <v>-25</v>
      </c>
      <c r="E687" s="8" t="str">
        <f>'2025_Chase9335_Activity_2026062'!E687</f>
        <v>FEE_TRANSACTION</v>
      </c>
      <c r="F687" s="8">
        <f>'2025_Chase9335_Activity_2026062'!F687</f>
        <v>360705.85</v>
      </c>
      <c r="G687" s="8" t="str">
        <f>'2025_Chase9335_Activity_2026062'!G687</f>
        <v>Bank Fees</v>
      </c>
      <c r="H687" s="26">
        <f t="shared" si="10"/>
        <v>45717</v>
      </c>
      <c r="I687" s="8" t="str">
        <f>IF($G687="","Uncategorized — Review",IFERROR(_xlfn.XLOOKUP($G687,Mapping!$A:$A,Mapping!$B:$B),"Uncategorized — Review"))</f>
        <v>Bank Fees</v>
      </c>
      <c r="J687" s="8" t="str">
        <f>IF($G687="","Uncategorized — Review",IFERROR(_xlfn.XLOOKUP($G687,Mapping!$A:$A,Mapping!$C:$C),"Uncategorized — Review"))</f>
        <v>DWG Operating</v>
      </c>
    </row>
    <row r="688" spans="1:10" x14ac:dyDescent="0.25">
      <c r="A688" s="8" t="str">
        <f>'2025_Chase9335_Activity_2026062'!A688</f>
        <v>DEBIT</v>
      </c>
      <c r="B688" s="24">
        <f>'2025_Chase9335_Activity_2026062'!B688</f>
        <v>45733</v>
      </c>
      <c r="C688" s="8" t="str">
        <f>'2025_Chase9335_Activity_2026062'!C688</f>
        <v>ONLINE DOMESTIC WIRE TRANSFER VIA: CY NATL BK LA/122016066 A/C: THE BINDER FAMILY TRUST LOS ANGELES CA 90210 US REF: MAGAMEN/TIME/08:05 IMAD: 0317MMQFMP2M008171 TRN: 3140455076ES 03/17</v>
      </c>
      <c r="D688" s="8">
        <f>'2025_Chase9335_Activity_2026062'!D688</f>
        <v>-6000</v>
      </c>
      <c r="E688" s="8" t="str">
        <f>'2025_Chase9335_Activity_2026062'!E688</f>
        <v>WIRE_OUTGOING</v>
      </c>
      <c r="F688" s="8">
        <f>'2025_Chase9335_Activity_2026062'!F688</f>
        <v>360730.85</v>
      </c>
      <c r="G688" s="8" t="str">
        <f>'2025_Chase9335_Activity_2026062'!G688</f>
        <v>Wire to Binder Family Trust - TBD</v>
      </c>
      <c r="H688" s="26">
        <f t="shared" si="10"/>
        <v>45717</v>
      </c>
      <c r="I688" s="8" t="str">
        <f>IF($G688="","Uncategorized — Review",IFERROR(_xlfn.XLOOKUP($G688,Mapping!$A:$A,Mapping!$B:$B),"Uncategorized — Review"))</f>
        <v>Wire to Binder Family Trust - TBD</v>
      </c>
      <c r="J688" s="8" t="str">
        <f>IF($G688="","Uncategorized — Review",IFERROR(_xlfn.XLOOKUP($G688,Mapping!$A:$A,Mapping!$C:$C),"Uncategorized — Review"))</f>
        <v>Wire Transfers — Outgoing</v>
      </c>
    </row>
    <row r="689" spans="1:10" x14ac:dyDescent="0.25">
      <c r="A689" s="8" t="str">
        <f>'2025_Chase9335_Activity_2026062'!A689</f>
        <v>DEBIT</v>
      </c>
      <c r="B689" s="24">
        <f>'2025_Chase9335_Activity_2026062'!B689</f>
        <v>45733</v>
      </c>
      <c r="C689" s="8" t="str">
        <f>'2025_Chase9335_Activity_2026062'!C689</f>
        <v>Audible*1E90Q30L3 Amzn.com/bill NJ           03/16</v>
      </c>
      <c r="D689" s="8">
        <f>'2025_Chase9335_Activity_2026062'!D689</f>
        <v>-16.18</v>
      </c>
      <c r="E689" s="8" t="str">
        <f>'2025_Chase9335_Activity_2026062'!E689</f>
        <v>DEBIT_CARD</v>
      </c>
      <c r="F689" s="8">
        <f>'2025_Chase9335_Activity_2026062'!F689</f>
        <v>366730.85</v>
      </c>
      <c r="G689" s="8" t="str">
        <f>'2025_Chase9335_Activity_2026062'!G689</f>
        <v>Amazon</v>
      </c>
      <c r="H689" s="26">
        <f t="shared" si="10"/>
        <v>45717</v>
      </c>
      <c r="I689" s="8" t="str">
        <f>IF($G689="","Uncategorized — Review",IFERROR(_xlfn.XLOOKUP($G689,Mapping!$A:$A,Mapping!$B:$B),"Uncategorized — Review"))</f>
        <v>Amazon</v>
      </c>
      <c r="J689" s="8" t="str">
        <f>IF($G689="","Uncategorized — Review",IFERROR(_xlfn.XLOOKUP($G689,Mapping!$A:$A,Mapping!$C:$C),"Uncategorized — Review"))</f>
        <v>Personal — Owner</v>
      </c>
    </row>
    <row r="690" spans="1:10" x14ac:dyDescent="0.25">
      <c r="A690" s="8" t="str">
        <f>'2025_Chase9335_Activity_2026062'!A690</f>
        <v>DEBIT</v>
      </c>
      <c r="B690" s="24">
        <f>'2025_Chase9335_Activity_2026062'!B690</f>
        <v>45733</v>
      </c>
      <c r="C690" s="8" t="str">
        <f>'2025_Chase9335_Activity_2026062'!C690</f>
        <v>APPLE.COM/BILL 866-712-7753 CA               03/16</v>
      </c>
      <c r="D690" s="8">
        <f>'2025_Chase9335_Activity_2026062'!D690</f>
        <v>-30.89</v>
      </c>
      <c r="E690" s="8" t="str">
        <f>'2025_Chase9335_Activity_2026062'!E690</f>
        <v>DEBIT_CARD</v>
      </c>
      <c r="F690" s="8">
        <f>'2025_Chase9335_Activity_2026062'!F690</f>
        <v>366747.03</v>
      </c>
      <c r="G690" s="8" t="str">
        <f>'2025_Chase9335_Activity_2026062'!G690</f>
        <v>Personal - Subscriptions</v>
      </c>
      <c r="H690" s="26">
        <f t="shared" si="10"/>
        <v>45717</v>
      </c>
      <c r="I690" s="8" t="str">
        <f>IF($G690="","Uncategorized — Review",IFERROR(_xlfn.XLOOKUP($G690,Mapping!$A:$A,Mapping!$B:$B),"Uncategorized — Review"))</f>
        <v>Personal - Subscriptions</v>
      </c>
      <c r="J690" s="8" t="str">
        <f>IF($G690="","Uncategorized — Review",IFERROR(_xlfn.XLOOKUP($G690,Mapping!$A:$A,Mapping!$C:$C),"Uncategorized — Review"))</f>
        <v>Personal — Owner</v>
      </c>
    </row>
    <row r="691" spans="1:10" x14ac:dyDescent="0.25">
      <c r="A691" s="8" t="str">
        <f>'2025_Chase9335_Activity_2026062'!A691</f>
        <v>DEBIT</v>
      </c>
      <c r="B691" s="24">
        <f>'2025_Chase9335_Activity_2026062'!B691</f>
        <v>45729</v>
      </c>
      <c r="C691" s="8" t="str">
        <f>'2025_Chase9335_Activity_2026062'!C691</f>
        <v>Online Transfer to CHK ...3922 transaction#: 24044292950 03/13</v>
      </c>
      <c r="D691" s="8">
        <f>'2025_Chase9335_Activity_2026062'!D691</f>
        <v>-40000</v>
      </c>
      <c r="E691" s="8" t="str">
        <f>'2025_Chase9335_Activity_2026062'!E691</f>
        <v>ACCT_XFER</v>
      </c>
      <c r="F691" s="8">
        <f>'2025_Chase9335_Activity_2026062'!F691</f>
        <v>366777.92</v>
      </c>
      <c r="G691" s="8" t="str">
        <f>'2025_Chase9335_Activity_2026062'!G691</f>
        <v>Transfer to DWG Capital Partners</v>
      </c>
      <c r="H691" s="26">
        <f t="shared" si="10"/>
        <v>45717</v>
      </c>
      <c r="I691" s="8" t="str">
        <f>IF($G691="","Uncategorized — Review",IFERROR(_xlfn.XLOOKUP($G691,Mapping!$A:$A,Mapping!$B:$B),"Uncategorized — Review"))</f>
        <v>Transfer to DWG Capital Partners</v>
      </c>
      <c r="J691" s="8" t="str">
        <f>IF($G691="","Uncategorized — Review",IFERROR(_xlfn.XLOOKUP($G691,Mapping!$A:$A,Mapping!$C:$C),"Uncategorized — Review"))</f>
        <v>Intercompany &amp; Savings Transfers</v>
      </c>
    </row>
    <row r="692" spans="1:10" x14ac:dyDescent="0.25">
      <c r="A692" s="8" t="str">
        <f>'2025_Chase9335_Activity_2026062'!A692</f>
        <v>DEBIT</v>
      </c>
      <c r="B692" s="24">
        <f>'2025_Chase9335_Activity_2026062'!B692</f>
        <v>45728</v>
      </c>
      <c r="C692" s="8" t="str">
        <f>'2025_Chase9335_Activity_2026062'!C692</f>
        <v>Online Transfer to CHK ...1168 transaction#: 24030865047 03/12</v>
      </c>
      <c r="D692" s="8">
        <f>'2025_Chase9335_Activity_2026062'!D692</f>
        <v>-20000</v>
      </c>
      <c r="E692" s="8" t="str">
        <f>'2025_Chase9335_Activity_2026062'!E692</f>
        <v>ACCT_XFER</v>
      </c>
      <c r="F692" s="8">
        <f>'2025_Chase9335_Activity_2026062'!F692</f>
        <v>406777.92</v>
      </c>
      <c r="G692" s="8" t="str">
        <f>'2025_Chase9335_Activity_2026062'!G692</f>
        <v>Transfer to DWG Capital Group</v>
      </c>
      <c r="H692" s="26">
        <f t="shared" si="10"/>
        <v>45717</v>
      </c>
      <c r="I692" s="8" t="str">
        <f>IF($G692="","Uncategorized — Review",IFERROR(_xlfn.XLOOKUP($G692,Mapping!$A:$A,Mapping!$B:$B),"Uncategorized — Review"))</f>
        <v>Transfer to DWG Capital Group</v>
      </c>
      <c r="J692" s="8" t="str">
        <f>IF($G692="","Uncategorized — Review",IFERROR(_xlfn.XLOOKUP($G692,Mapping!$A:$A,Mapping!$C:$C),"Uncategorized — Review"))</f>
        <v>Intercompany &amp; Savings Transfers</v>
      </c>
    </row>
    <row r="693" spans="1:10" x14ac:dyDescent="0.25">
      <c r="A693" s="8" t="str">
        <f>'2025_Chase9335_Activity_2026062'!A693</f>
        <v>DEBIT</v>
      </c>
      <c r="B693" s="24">
        <f>'2025_Chase9335_Activity_2026062'!B693</f>
        <v>45728</v>
      </c>
      <c r="C693" s="8" t="str">
        <f>'2025_Chase9335_Activity_2026062'!C693</f>
        <v>BLOOMBERG* 37033964 BLOOMBERG.COM NY         03/12</v>
      </c>
      <c r="D693" s="8">
        <f>'2025_Chase9335_Activity_2026062'!D693</f>
        <v>-19.989999999999998</v>
      </c>
      <c r="E693" s="8" t="str">
        <f>'2025_Chase9335_Activity_2026062'!E693</f>
        <v>DEBIT_CARD</v>
      </c>
      <c r="F693" s="8">
        <f>'2025_Chase9335_Activity_2026062'!F693</f>
        <v>426777.92</v>
      </c>
      <c r="G693" s="8" t="str">
        <f>'2025_Chase9335_Activity_2026062'!G693</f>
        <v>Personal - Subscriptions</v>
      </c>
      <c r="H693" s="26">
        <f t="shared" si="10"/>
        <v>45717</v>
      </c>
      <c r="I693" s="8" t="str">
        <f>IF($G693="","Uncategorized — Review",IFERROR(_xlfn.XLOOKUP($G693,Mapping!$A:$A,Mapping!$B:$B),"Uncategorized — Review"))</f>
        <v>Personal - Subscriptions</v>
      </c>
      <c r="J693" s="8" t="str">
        <f>IF($G693="","Uncategorized — Review",IFERROR(_xlfn.XLOOKUP($G693,Mapping!$A:$A,Mapping!$C:$C),"Uncategorized — Review"))</f>
        <v>Personal — Owner</v>
      </c>
    </row>
    <row r="694" spans="1:10" x14ac:dyDescent="0.25">
      <c r="A694" s="8" t="str">
        <f>'2025_Chase9335_Activity_2026062'!A694</f>
        <v>DEBIT</v>
      </c>
      <c r="B694" s="24">
        <f>'2025_Chase9335_Activity_2026062'!B694</f>
        <v>45728</v>
      </c>
      <c r="C694" s="8" t="str">
        <f>'2025_Chase9335_Activity_2026062'!C694</f>
        <v>Prime Video *G22OL98H 888-802-3080 WA        03/12</v>
      </c>
      <c r="D694" s="8">
        <f>'2025_Chase9335_Activity_2026062'!D694</f>
        <v>-4.26</v>
      </c>
      <c r="E694" s="8" t="str">
        <f>'2025_Chase9335_Activity_2026062'!E694</f>
        <v>DEBIT_CARD</v>
      </c>
      <c r="F694" s="8">
        <f>'2025_Chase9335_Activity_2026062'!F694</f>
        <v>426797.91</v>
      </c>
      <c r="G694" s="8" t="str">
        <f>'2025_Chase9335_Activity_2026062'!G694</f>
        <v>Amazon Prime Video</v>
      </c>
      <c r="H694" s="26">
        <f t="shared" si="10"/>
        <v>45717</v>
      </c>
      <c r="I694" s="8" t="str">
        <f>IF($G694="","Uncategorized — Review",IFERROR(_xlfn.XLOOKUP($G694,Mapping!$A:$A,Mapping!$B:$B),"Uncategorized — Review"))</f>
        <v>Amazon Prime Video</v>
      </c>
      <c r="J694" s="8" t="str">
        <f>IF($G694="","Uncategorized — Review",IFERROR(_xlfn.XLOOKUP($G694,Mapping!$A:$A,Mapping!$C:$C),"Uncategorized — Review"))</f>
        <v>Personal — Owner</v>
      </c>
    </row>
    <row r="695" spans="1:10" x14ac:dyDescent="0.25">
      <c r="A695" s="8" t="str">
        <f>'2025_Chase9335_Activity_2026062'!A695</f>
        <v>DEBIT</v>
      </c>
      <c r="B695" s="24">
        <f>'2025_Chase9335_Activity_2026062'!B695</f>
        <v>45726</v>
      </c>
      <c r="C695" s="8" t="str">
        <f>'2025_Chase9335_Activity_2026062'!C695</f>
        <v>APPLE.COM/BILL 866-712-7753 CA               03/08</v>
      </c>
      <c r="D695" s="8">
        <f>'2025_Chase9335_Activity_2026062'!D695</f>
        <v>-30.89</v>
      </c>
      <c r="E695" s="8" t="str">
        <f>'2025_Chase9335_Activity_2026062'!E695</f>
        <v>DEBIT_CARD</v>
      </c>
      <c r="F695" s="8">
        <f>'2025_Chase9335_Activity_2026062'!F695</f>
        <v>426802.17</v>
      </c>
      <c r="G695" s="8" t="str">
        <f>'2025_Chase9335_Activity_2026062'!G695</f>
        <v>Personal - Subscriptions</v>
      </c>
      <c r="H695" s="26">
        <f t="shared" si="10"/>
        <v>45717</v>
      </c>
      <c r="I695" s="8" t="str">
        <f>IF($G695="","Uncategorized — Review",IFERROR(_xlfn.XLOOKUP($G695,Mapping!$A:$A,Mapping!$B:$B),"Uncategorized — Review"))</f>
        <v>Personal - Subscriptions</v>
      </c>
      <c r="J695" s="8" t="str">
        <f>IF($G695="","Uncategorized — Review",IFERROR(_xlfn.XLOOKUP($G695,Mapping!$A:$A,Mapping!$C:$C),"Uncategorized — Review"))</f>
        <v>Personal — Owner</v>
      </c>
    </row>
    <row r="696" spans="1:10" x14ac:dyDescent="0.25">
      <c r="A696" s="8" t="str">
        <f>'2025_Chase9335_Activity_2026062'!A696</f>
        <v>CREDIT</v>
      </c>
      <c r="B696" s="24">
        <f>'2025_Chase9335_Activity_2026062'!B696</f>
        <v>45726</v>
      </c>
      <c r="C696" s="8" t="str">
        <f>'2025_Chase9335_Activity_2026062'!C696</f>
        <v>ORIG CO NAME:MRM Industrial P       ORIG ID:945440567  DESC DATE:       CO ENTRY DESCR:PAYMENT   SEC:PPD    TRACE#:273976368147576 EED:250310   IND ID:                             IND NAME:John Dunning TRN: 0698147576TC</v>
      </c>
      <c r="D696" s="8">
        <f>'2025_Chase9335_Activity_2026062'!D696</f>
        <v>236.37</v>
      </c>
      <c r="E696" s="8" t="str">
        <f>'2025_Chase9335_Activity_2026062'!E696</f>
        <v>ACH_CREDIT</v>
      </c>
      <c r="F696" s="8">
        <f>'2025_Chase9335_Activity_2026062'!F696</f>
        <v>426833.06</v>
      </c>
      <c r="G696" s="8" t="str">
        <f>'2025_Chase9335_Activity_2026062'!G696</f>
        <v>Deal Specific: MRM</v>
      </c>
      <c r="H696" s="26">
        <f t="shared" si="10"/>
        <v>45717</v>
      </c>
      <c r="I696" s="8" t="str">
        <f>IF($G696="","Uncategorized — Review",IFERROR(_xlfn.XLOOKUP($G696,Mapping!$A:$A,Mapping!$B:$B),"Uncategorized — Review"))</f>
        <v>Deal Specific: MRM</v>
      </c>
      <c r="J696" s="8" t="str">
        <f>IF($G696="","Uncategorized — Review",IFERROR(_xlfn.XLOOKUP($G696,Mapping!$A:$A,Mapping!$C:$C),"Uncategorized — Review"))</f>
        <v>Deal-Specific</v>
      </c>
    </row>
    <row r="697" spans="1:10" x14ac:dyDescent="0.25">
      <c r="A697" s="8" t="str">
        <f>'2025_Chase9335_Activity_2026062'!A697</f>
        <v>CREDIT</v>
      </c>
      <c r="B697" s="24">
        <f>'2025_Chase9335_Activity_2026062'!B697</f>
        <v>45726</v>
      </c>
      <c r="C697" s="8" t="str">
        <f>'2025_Chase9335_Activity_2026062'!C697</f>
        <v>ORIG CO NAME:Austin Iron Hold       ORIG ID:945440567  DESC DATE:       CO ENTRY DESCR:PAYMENT   SEC:PPD    TRACE#:273976368147680 EED:250310   IND ID:                             IND NAME:John Dunning TRN: 0698147680TC</v>
      </c>
      <c r="D697" s="8">
        <f>'2025_Chase9335_Activity_2026062'!D697</f>
        <v>350</v>
      </c>
      <c r="E697" s="8" t="str">
        <f>'2025_Chase9335_Activity_2026062'!E697</f>
        <v>ACH_CREDIT</v>
      </c>
      <c r="F697" s="8">
        <f>'2025_Chase9335_Activity_2026062'!F697</f>
        <v>426596.69</v>
      </c>
      <c r="G697" s="8" t="str">
        <f>'2025_Chase9335_Activity_2026062'!G697</f>
        <v>Deal Specific: Austin Iron</v>
      </c>
      <c r="H697" s="26">
        <f t="shared" si="10"/>
        <v>45717</v>
      </c>
      <c r="I697" s="8" t="str">
        <f>IF($G697="","Uncategorized — Review",IFERROR(_xlfn.XLOOKUP($G697,Mapping!$A:$A,Mapping!$B:$B),"Uncategorized — Review"))</f>
        <v>Deal Specific: Austin Iron</v>
      </c>
      <c r="J697" s="8" t="str">
        <f>IF($G697="","Uncategorized — Review",IFERROR(_xlfn.XLOOKUP($G697,Mapping!$A:$A,Mapping!$C:$C),"Uncategorized — Review"))</f>
        <v>Deal-Specific</v>
      </c>
    </row>
    <row r="698" spans="1:10" x14ac:dyDescent="0.25">
      <c r="A698" s="8" t="str">
        <f>'2025_Chase9335_Activity_2026062'!A698</f>
        <v>CREDIT</v>
      </c>
      <c r="B698" s="24">
        <f>'2025_Chase9335_Activity_2026062'!B698</f>
        <v>45726</v>
      </c>
      <c r="C698" s="8" t="str">
        <f>'2025_Chase9335_Activity_2026062'!C698</f>
        <v>ORIG CO NAME:T and T Machine        ORIG ID:945440567  DESC DATE:       CO ENTRY DESCR:PAYMENT   SEC:PPD    TRACE#:273976368146923 EED:250310   IND ID:                             IND NAME:John Dunning TRN: 0698146923TC</v>
      </c>
      <c r="D698" s="8">
        <f>'2025_Chase9335_Activity_2026062'!D698</f>
        <v>356.38</v>
      </c>
      <c r="E698" s="8" t="str">
        <f>'2025_Chase9335_Activity_2026062'!E698</f>
        <v>ACH_CREDIT</v>
      </c>
      <c r="F698" s="8">
        <f>'2025_Chase9335_Activity_2026062'!F698</f>
        <v>426246.69</v>
      </c>
      <c r="G698" s="8" t="str">
        <f>'2025_Chase9335_Activity_2026062'!G698</f>
        <v>Deal Specific: T&amp;T Machine</v>
      </c>
      <c r="H698" s="26">
        <f t="shared" si="10"/>
        <v>45717</v>
      </c>
      <c r="I698" s="8" t="str">
        <f>IF($G698="","Uncategorized — Review",IFERROR(_xlfn.XLOOKUP($G698,Mapping!$A:$A,Mapping!$B:$B),"Uncategorized — Review"))</f>
        <v>Deal Specific: T&amp;T Machine</v>
      </c>
      <c r="J698" s="8" t="str">
        <f>IF($G698="","Uncategorized — Review",IFERROR(_xlfn.XLOOKUP($G698,Mapping!$A:$A,Mapping!$C:$C),"Uncategorized — Review"))</f>
        <v>Deal-Specific</v>
      </c>
    </row>
    <row r="699" spans="1:10" x14ac:dyDescent="0.25">
      <c r="A699" s="8" t="str">
        <f>'2025_Chase9335_Activity_2026062'!A699</f>
        <v>CREDIT</v>
      </c>
      <c r="B699" s="24">
        <f>'2025_Chase9335_Activity_2026062'!B699</f>
        <v>45726</v>
      </c>
      <c r="C699" s="8" t="str">
        <f>'2025_Chase9335_Activity_2026062'!C699</f>
        <v>ORIG CO NAME:Merit-Lancaster        ORIG ID:945440567  DESC DATE:       CO ENTRY DESCR:PAYMENT   SEC:PPD    TRACE#:273976368146712 EED:250310   IND ID:                             IND NAME:John Dunning TRN: 0698146712TC</v>
      </c>
      <c r="D699" s="8">
        <f>'2025_Chase9335_Activity_2026062'!D699</f>
        <v>476.41</v>
      </c>
      <c r="E699" s="8" t="str">
        <f>'2025_Chase9335_Activity_2026062'!E699</f>
        <v>ACH_CREDIT</v>
      </c>
      <c r="F699" s="8">
        <f>'2025_Chase9335_Activity_2026062'!F699</f>
        <v>425890.31</v>
      </c>
      <c r="G699" s="8" t="str">
        <f>'2025_Chase9335_Activity_2026062'!G699</f>
        <v>Deal Specific: Merit-Lancaster</v>
      </c>
      <c r="H699" s="26">
        <f t="shared" si="10"/>
        <v>45717</v>
      </c>
      <c r="I699" s="8" t="str">
        <f>IF($G699="","Uncategorized — Review",IFERROR(_xlfn.XLOOKUP($G699,Mapping!$A:$A,Mapping!$B:$B),"Uncategorized — Review"))</f>
        <v>Deal Specific: Merit-Lancaster</v>
      </c>
      <c r="J699" s="8" t="str">
        <f>IF($G699="","Uncategorized — Review",IFERROR(_xlfn.XLOOKUP($G699,Mapping!$A:$A,Mapping!$C:$C),"Uncategorized — Review"))</f>
        <v>Deal-Specific</v>
      </c>
    </row>
    <row r="700" spans="1:10" x14ac:dyDescent="0.25">
      <c r="A700" s="8" t="str">
        <f>'2025_Chase9335_Activity_2026062'!A700</f>
        <v>DEBIT</v>
      </c>
      <c r="B700" s="24">
        <f>'2025_Chase9335_Activity_2026062'!B700</f>
        <v>45723</v>
      </c>
      <c r="C700" s="8" t="str">
        <f>'2025_Chase9335_Activity_2026062'!C700</f>
        <v>APPLE.COM/BILL 866-712-7753 CA               03/07</v>
      </c>
      <c r="D700" s="8">
        <f>'2025_Chase9335_Activity_2026062'!D700</f>
        <v>-9.99</v>
      </c>
      <c r="E700" s="8" t="str">
        <f>'2025_Chase9335_Activity_2026062'!E700</f>
        <v>DEBIT_CARD</v>
      </c>
      <c r="F700" s="8">
        <f>'2025_Chase9335_Activity_2026062'!F700</f>
        <v>425413.9</v>
      </c>
      <c r="G700" s="8" t="str">
        <f>'2025_Chase9335_Activity_2026062'!G700</f>
        <v>Personal - Subscriptions</v>
      </c>
      <c r="H700" s="26">
        <f t="shared" si="10"/>
        <v>45717</v>
      </c>
      <c r="I700" s="8" t="str">
        <f>IF($G700="","Uncategorized — Review",IFERROR(_xlfn.XLOOKUP($G700,Mapping!$A:$A,Mapping!$B:$B),"Uncategorized — Review"))</f>
        <v>Personal - Subscriptions</v>
      </c>
      <c r="J700" s="8" t="str">
        <f>IF($G700="","Uncategorized — Review",IFERROR(_xlfn.XLOOKUP($G700,Mapping!$A:$A,Mapping!$C:$C),"Uncategorized — Review"))</f>
        <v>Personal — Owner</v>
      </c>
    </row>
    <row r="701" spans="1:10" x14ac:dyDescent="0.25">
      <c r="A701" s="8" t="str">
        <f>'2025_Chase9335_Activity_2026062'!A701</f>
        <v>DEBIT</v>
      </c>
      <c r="B701" s="24">
        <f>'2025_Chase9335_Activity_2026062'!B701</f>
        <v>45722</v>
      </c>
      <c r="C701" s="8" t="str">
        <f>'2025_Chase9335_Activity_2026062'!C701</f>
        <v>Online Transfer to CHK ...1168 transaction#: 23962559557 03/06</v>
      </c>
      <c r="D701" s="8">
        <f>'2025_Chase9335_Activity_2026062'!D701</f>
        <v>-20000</v>
      </c>
      <c r="E701" s="8" t="str">
        <f>'2025_Chase9335_Activity_2026062'!E701</f>
        <v>ACCT_XFER</v>
      </c>
      <c r="F701" s="8">
        <f>'2025_Chase9335_Activity_2026062'!F701</f>
        <v>425423.89</v>
      </c>
      <c r="G701" s="8" t="str">
        <f>'2025_Chase9335_Activity_2026062'!G701</f>
        <v>Transfer to DWG Capital Group</v>
      </c>
      <c r="H701" s="26">
        <f t="shared" si="10"/>
        <v>45717</v>
      </c>
      <c r="I701" s="8" t="str">
        <f>IF($G701="","Uncategorized — Review",IFERROR(_xlfn.XLOOKUP($G701,Mapping!$A:$A,Mapping!$B:$B),"Uncategorized — Review"))</f>
        <v>Transfer to DWG Capital Group</v>
      </c>
      <c r="J701" s="8" t="str">
        <f>IF($G701="","Uncategorized — Review",IFERROR(_xlfn.XLOOKUP($G701,Mapping!$A:$A,Mapping!$C:$C),"Uncategorized — Review"))</f>
        <v>Intercompany &amp; Savings Transfers</v>
      </c>
    </row>
    <row r="702" spans="1:10" x14ac:dyDescent="0.25">
      <c r="A702" s="8" t="str">
        <f>'2025_Chase9335_Activity_2026062'!A702</f>
        <v>DEBIT</v>
      </c>
      <c r="B702" s="24">
        <f>'2025_Chase9335_Activity_2026062'!B702</f>
        <v>45721</v>
      </c>
      <c r="C702" s="8" t="str">
        <f>'2025_Chase9335_Activity_2026062'!C702</f>
        <v>AMAZON MKTPL*PZ7DC4D Amzn.com/bill WA        03/05</v>
      </c>
      <c r="D702" s="8">
        <f>'2025_Chase9335_Activity_2026062'!D702</f>
        <v>-30.6</v>
      </c>
      <c r="E702" s="8" t="str">
        <f>'2025_Chase9335_Activity_2026062'!E702</f>
        <v>DEBIT_CARD</v>
      </c>
      <c r="F702" s="8">
        <f>'2025_Chase9335_Activity_2026062'!F702</f>
        <v>445423.89</v>
      </c>
      <c r="G702" s="8" t="str">
        <f>'2025_Chase9335_Activity_2026062'!G702</f>
        <v>Amazon</v>
      </c>
      <c r="H702" s="26">
        <f t="shared" si="10"/>
        <v>45717</v>
      </c>
      <c r="I702" s="8" t="str">
        <f>IF($G702="","Uncategorized — Review",IFERROR(_xlfn.XLOOKUP($G702,Mapping!$A:$A,Mapping!$B:$B),"Uncategorized — Review"))</f>
        <v>Amazon</v>
      </c>
      <c r="J702" s="8" t="str">
        <f>IF($G702="","Uncategorized — Review",IFERROR(_xlfn.XLOOKUP($G702,Mapping!$A:$A,Mapping!$C:$C),"Uncategorized — Review"))</f>
        <v>Personal — Owner</v>
      </c>
    </row>
    <row r="703" spans="1:10" x14ac:dyDescent="0.25">
      <c r="A703" s="8" t="str">
        <f>'2025_Chase9335_Activity_2026062'!A703</f>
        <v>DEBIT</v>
      </c>
      <c r="B703" s="24">
        <f>'2025_Chase9335_Activity_2026062'!B703</f>
        <v>45721</v>
      </c>
      <c r="C703" s="8" t="str">
        <f>'2025_Chase9335_Activity_2026062'!C703</f>
        <v>Amazon.com*0V5Z14ZC3 Amzn.com/bill WA        03/05</v>
      </c>
      <c r="D703" s="8">
        <f>'2025_Chase9335_Activity_2026062'!D703</f>
        <v>-16.16</v>
      </c>
      <c r="E703" s="8" t="str">
        <f>'2025_Chase9335_Activity_2026062'!E703</f>
        <v>DEBIT_CARD</v>
      </c>
      <c r="F703" s="8">
        <f>'2025_Chase9335_Activity_2026062'!F703</f>
        <v>445454.49</v>
      </c>
      <c r="G703" s="8" t="str">
        <f>'2025_Chase9335_Activity_2026062'!G703</f>
        <v>Amazon</v>
      </c>
      <c r="H703" s="26">
        <f t="shared" si="10"/>
        <v>45717</v>
      </c>
      <c r="I703" s="8" t="str">
        <f>IF($G703="","Uncategorized — Review",IFERROR(_xlfn.XLOOKUP($G703,Mapping!$A:$A,Mapping!$B:$B),"Uncategorized — Review"))</f>
        <v>Amazon</v>
      </c>
      <c r="J703" s="8" t="str">
        <f>IF($G703="","Uncategorized — Review",IFERROR(_xlfn.XLOOKUP($G703,Mapping!$A:$A,Mapping!$C:$C),"Uncategorized — Review"))</f>
        <v>Personal — Owner</v>
      </c>
    </row>
    <row r="704" spans="1:10" x14ac:dyDescent="0.25">
      <c r="A704" s="8" t="str">
        <f>'2025_Chase9335_Activity_2026062'!A704</f>
        <v>DEBIT</v>
      </c>
      <c r="B704" s="24">
        <f>'2025_Chase9335_Activity_2026062'!B704</f>
        <v>45719</v>
      </c>
      <c r="C704" s="8" t="str">
        <f>'2025_Chase9335_Activity_2026062'!C704</f>
        <v>DOMESTIC INCOMING WIRE FEE</v>
      </c>
      <c r="D704" s="8">
        <f>'2025_Chase9335_Activity_2026062'!D704</f>
        <v>-15</v>
      </c>
      <c r="E704" s="8" t="str">
        <f>'2025_Chase9335_Activity_2026062'!E704</f>
        <v>FEE_TRANSACTION</v>
      </c>
      <c r="F704" s="8">
        <f>'2025_Chase9335_Activity_2026062'!F704</f>
        <v>445470.65</v>
      </c>
      <c r="G704" s="8" t="str">
        <f>'2025_Chase9335_Activity_2026062'!G704</f>
        <v>Bank Fees</v>
      </c>
      <c r="H704" s="26">
        <f t="shared" si="10"/>
        <v>45717</v>
      </c>
      <c r="I704" s="8" t="str">
        <f>IF($G704="","Uncategorized — Review",IFERROR(_xlfn.XLOOKUP($G704,Mapping!$A:$A,Mapping!$B:$B),"Uncategorized — Review"))</f>
        <v>Bank Fees</v>
      </c>
      <c r="J704" s="8" t="str">
        <f>IF($G704="","Uncategorized — Review",IFERROR(_xlfn.XLOOKUP($G704,Mapping!$A:$A,Mapping!$C:$C),"Uncategorized — Review"))</f>
        <v>DWG Operating</v>
      </c>
    </row>
    <row r="705" spans="1:10" x14ac:dyDescent="0.25">
      <c r="A705" s="8" t="str">
        <f>'2025_Chase9335_Activity_2026062'!A705</f>
        <v>DEBIT</v>
      </c>
      <c r="B705" s="24">
        <f>'2025_Chase9335_Activity_2026062'!B705</f>
        <v>45719</v>
      </c>
      <c r="C705" s="8" t="str">
        <f>'2025_Chase9335_Activity_2026062'!C705</f>
        <v>DOMESTIC INCOMING WIRE FEE</v>
      </c>
      <c r="D705" s="8">
        <f>'2025_Chase9335_Activity_2026062'!D705</f>
        <v>-15</v>
      </c>
      <c r="E705" s="8" t="str">
        <f>'2025_Chase9335_Activity_2026062'!E705</f>
        <v>FEE_TRANSACTION</v>
      </c>
      <c r="F705" s="8">
        <f>'2025_Chase9335_Activity_2026062'!F705</f>
        <v>445485.65</v>
      </c>
      <c r="G705" s="8" t="str">
        <f>'2025_Chase9335_Activity_2026062'!G705</f>
        <v>Bank Fees</v>
      </c>
      <c r="H705" s="26">
        <f t="shared" si="10"/>
        <v>45717</v>
      </c>
      <c r="I705" s="8" t="str">
        <f>IF($G705="","Uncategorized — Review",IFERROR(_xlfn.XLOOKUP($G705,Mapping!$A:$A,Mapping!$B:$B),"Uncategorized — Review"))</f>
        <v>Bank Fees</v>
      </c>
      <c r="J705" s="8" t="str">
        <f>IF($G705="","Uncategorized — Review",IFERROR(_xlfn.XLOOKUP($G705,Mapping!$A:$A,Mapping!$C:$C),"Uncategorized — Review"))</f>
        <v>DWG Operating</v>
      </c>
    </row>
    <row r="706" spans="1:10" x14ac:dyDescent="0.25">
      <c r="A706" s="8" t="str">
        <f>'2025_Chase9335_Activity_2026062'!A706</f>
        <v>DEBIT</v>
      </c>
      <c r="B706" s="24">
        <f>'2025_Chase9335_Activity_2026062'!B706</f>
        <v>45719</v>
      </c>
      <c r="C706" s="8" t="str">
        <f>'2025_Chase9335_Activity_2026062'!C706</f>
        <v>Experian* Credit Repor 479-3436237 CA        03/01</v>
      </c>
      <c r="D706" s="8">
        <f>'2025_Chase9335_Activity_2026062'!D706</f>
        <v>-27.05</v>
      </c>
      <c r="E706" s="8" t="str">
        <f>'2025_Chase9335_Activity_2026062'!E706</f>
        <v>DEBIT_CARD</v>
      </c>
      <c r="F706" s="8">
        <f>'2025_Chase9335_Activity_2026062'!F706</f>
        <v>445500.65</v>
      </c>
      <c r="G706" s="8" t="str">
        <f>'2025_Chase9335_Activity_2026062'!G706</f>
        <v>Personal - Subscriptions</v>
      </c>
      <c r="H706" s="26">
        <f t="shared" si="10"/>
        <v>45717</v>
      </c>
      <c r="I706" s="8" t="str">
        <f>IF($G706="","Uncategorized — Review",IFERROR(_xlfn.XLOOKUP($G706,Mapping!$A:$A,Mapping!$B:$B),"Uncategorized — Review"))</f>
        <v>Personal - Subscriptions</v>
      </c>
      <c r="J706" s="8" t="str">
        <f>IF($G706="","Uncategorized — Review",IFERROR(_xlfn.XLOOKUP($G706,Mapping!$A:$A,Mapping!$C:$C),"Uncategorized — Review"))</f>
        <v>Personal — Owner</v>
      </c>
    </row>
    <row r="707" spans="1:10" x14ac:dyDescent="0.25">
      <c r="A707" s="8" t="str">
        <f>'2025_Chase9335_Activity_2026062'!A707</f>
        <v>DEBIT</v>
      </c>
      <c r="B707" s="24">
        <f>'2025_Chase9335_Activity_2026062'!B707</f>
        <v>45719</v>
      </c>
      <c r="C707" s="8" t="str">
        <f>'2025_Chase9335_Activity_2026062'!C707</f>
        <v>APPLE.COM/BILL 866-712-7753 CA               02/28</v>
      </c>
      <c r="D707" s="8">
        <f>'2025_Chase9335_Activity_2026062'!D707</f>
        <v>-51.45</v>
      </c>
      <c r="E707" s="8" t="str">
        <f>'2025_Chase9335_Activity_2026062'!E707</f>
        <v>DEBIT_CARD</v>
      </c>
      <c r="F707" s="8">
        <f>'2025_Chase9335_Activity_2026062'!F707</f>
        <v>445527.7</v>
      </c>
      <c r="G707" s="8" t="str">
        <f>'2025_Chase9335_Activity_2026062'!G707</f>
        <v>Personal - Subscriptions</v>
      </c>
      <c r="H707" s="26">
        <f t="shared" ref="H707:H770" si="11">IF($B707="","",DATE(YEAR($B707),MONTH($B707),1))</f>
        <v>45717</v>
      </c>
      <c r="I707" s="8" t="str">
        <f>IF($G707="","Uncategorized — Review",IFERROR(_xlfn.XLOOKUP($G707,Mapping!$A:$A,Mapping!$B:$B),"Uncategorized — Review"))</f>
        <v>Personal - Subscriptions</v>
      </c>
      <c r="J707" s="8" t="str">
        <f>IF($G707="","Uncategorized — Review",IFERROR(_xlfn.XLOOKUP($G707,Mapping!$A:$A,Mapping!$C:$C),"Uncategorized — Review"))</f>
        <v>Personal — Owner</v>
      </c>
    </row>
    <row r="708" spans="1:10" x14ac:dyDescent="0.25">
      <c r="A708" s="8" t="str">
        <f>'2025_Chase9335_Activity_2026062'!A708</f>
        <v>CREDIT</v>
      </c>
      <c r="B708" s="24">
        <f>'2025_Chase9335_Activity_2026062'!B708</f>
        <v>45719</v>
      </c>
      <c r="C708" s="8" t="str">
        <f>'2025_Chase9335_Activity_2026062'!C708</f>
        <v>FEDWIRE CREDIT VIA: BANK OF AMERICA, N.A./026009593 B/O: CT SOCAL COMM FBSC/CT BS FXBC RIVERSIDE CA 92505 US REF: CHASE NYC/CTR/BNF=POSEIDON ASSET GROUP, LLC LOS ANGELES CA 90066-3638 US/AC-000000007200 RFB=1-18699994 O BI=FN-FBSC2404478 LOAN FINANCING F/EE 1 200 INDUSTRIAL BLVD. PROPADDR/-1 200 &amp; 1279 IN IMAD: 0303B6B7HU4R021630 TRN: 1548351062FF</v>
      </c>
      <c r="D708" s="8">
        <f>'2025_Chase9335_Activity_2026062'!D708</f>
        <v>32830</v>
      </c>
      <c r="E708" s="8" t="str">
        <f>'2025_Chase9335_Activity_2026062'!E708</f>
        <v>WIRE_INCOMING</v>
      </c>
      <c r="F708" s="8">
        <f>'2025_Chase9335_Activity_2026062'!F708</f>
        <v>445579.15</v>
      </c>
      <c r="G708" s="8" t="str">
        <f>'2025_Chase9335_Activity_2026062'!G708</f>
        <v>Incoming Commission: Butler Weldments</v>
      </c>
      <c r="H708" s="26">
        <f t="shared" si="11"/>
        <v>45717</v>
      </c>
      <c r="I708" s="8" t="str">
        <f>IF($G708="","Uncategorized — Review",IFERROR(_xlfn.XLOOKUP($G708,Mapping!$A:$A,Mapping!$B:$B),"Uncategorized — Review"))</f>
        <v>Incoming Commission: Butler Weldments</v>
      </c>
      <c r="J708" s="8" t="str">
        <f>IF($G708="","Uncategorized — Review",IFERROR(_xlfn.XLOOKUP($G708,Mapping!$A:$A,Mapping!$C:$C),"Uncategorized — Review"))</f>
        <v>Commissions — Incoming</v>
      </c>
    </row>
    <row r="709" spans="1:10" x14ac:dyDescent="0.25">
      <c r="A709" s="8" t="str">
        <f>'2025_Chase9335_Activity_2026062'!A709</f>
        <v>CREDIT</v>
      </c>
      <c r="B709" s="24">
        <f>'2025_Chase9335_Activity_2026062'!B709</f>
        <v>45719</v>
      </c>
      <c r="C709" s="8" t="str">
        <f>'2025_Chase9335_Activity_2026062'!C709</f>
        <v>FEDWIRE CREDIT VIA: BANK OF AMERICA, N.A./026009593 B/O: CT SOCAL COMM FBSC/CT BS FXBC RIVERSIDE CA 92505 US REF: CHASE NYC/CTR/BNF=POSEIDON ASSET GROUP, LLC LOS ANGELES CA 90066-3638 US/AC-000000007200 RFB=1-18699985 O BI=FN-FBSC2404478 COMMISSION - BRO/KE RA GE FEE BUTLER WELDMENTS PROPA/DD R-12 00 &amp; 12 IMAD: 0303B6B7HU4R021620 TRN: 1548181062FF</v>
      </c>
      <c r="D709" s="8">
        <f>'2025_Chase9335_Activity_2026062'!D709</f>
        <v>131320.5</v>
      </c>
      <c r="E709" s="8" t="str">
        <f>'2025_Chase9335_Activity_2026062'!E709</f>
        <v>WIRE_INCOMING</v>
      </c>
      <c r="F709" s="8">
        <f>'2025_Chase9335_Activity_2026062'!F709</f>
        <v>412749.15</v>
      </c>
      <c r="G709" s="8" t="str">
        <f>'2025_Chase9335_Activity_2026062'!G709</f>
        <v>Incoming Commission: Butler Weldments</v>
      </c>
      <c r="H709" s="26">
        <f t="shared" si="11"/>
        <v>45717</v>
      </c>
      <c r="I709" s="8" t="str">
        <f>IF($G709="","Uncategorized — Review",IFERROR(_xlfn.XLOOKUP($G709,Mapping!$A:$A,Mapping!$B:$B),"Uncategorized — Review"))</f>
        <v>Incoming Commission: Butler Weldments</v>
      </c>
      <c r="J709" s="8" t="str">
        <f>IF($G709="","Uncategorized — Review",IFERROR(_xlfn.XLOOKUP($G709,Mapping!$A:$A,Mapping!$C:$C),"Uncategorized — Review"))</f>
        <v>Commissions — Incoming</v>
      </c>
    </row>
    <row r="710" spans="1:10" x14ac:dyDescent="0.25">
      <c r="A710" s="8" t="str">
        <f>'2025_Chase9335_Activity_2026062'!A710</f>
        <v>DEBIT</v>
      </c>
      <c r="B710" s="24">
        <f>'2025_Chase9335_Activity_2026062'!B710</f>
        <v>45716</v>
      </c>
      <c r="C710" s="8" t="str">
        <f>'2025_Chase9335_Activity_2026062'!C710</f>
        <v>ONLINE DOMESTIC WIRE FEE</v>
      </c>
      <c r="D710" s="8">
        <f>'2025_Chase9335_Activity_2026062'!D710</f>
        <v>-25</v>
      </c>
      <c r="E710" s="8" t="str">
        <f>'2025_Chase9335_Activity_2026062'!E710</f>
        <v>FEE_TRANSACTION</v>
      </c>
      <c r="F710" s="8">
        <f>'2025_Chase9335_Activity_2026062'!F710</f>
        <v>281428.65000000002</v>
      </c>
      <c r="G710" s="8" t="str">
        <f>'2025_Chase9335_Activity_2026062'!G710</f>
        <v>Bank Fees</v>
      </c>
      <c r="H710" s="26">
        <f t="shared" si="11"/>
        <v>45689</v>
      </c>
      <c r="I710" s="8" t="str">
        <f>IF($G710="","Uncategorized — Review",IFERROR(_xlfn.XLOOKUP($G710,Mapping!$A:$A,Mapping!$B:$B),"Uncategorized — Review"))</f>
        <v>Bank Fees</v>
      </c>
      <c r="J710" s="8" t="str">
        <f>IF($G710="","Uncategorized — Review",IFERROR(_xlfn.XLOOKUP($G710,Mapping!$A:$A,Mapping!$C:$C),"Uncategorized — Review"))</f>
        <v>DWG Operating</v>
      </c>
    </row>
    <row r="711" spans="1:10" x14ac:dyDescent="0.25">
      <c r="A711" s="8" t="str">
        <f>'2025_Chase9335_Activity_2026062'!A711</f>
        <v>DEBIT</v>
      </c>
      <c r="B711" s="24">
        <f>'2025_Chase9335_Activity_2026062'!B711</f>
        <v>45716</v>
      </c>
      <c r="C711" s="8" t="str">
        <f>'2025_Chase9335_Activity_2026062'!C711</f>
        <v>ONLINE DOMESTIC WIRE TRANSFER A/C: ADMEER ADVISORY, LLC DANA POINT CA 92629-3313 US REF: CANDY BARS TRN: 4066615059ES 02/28</v>
      </c>
      <c r="D711" s="8">
        <f>'2025_Chase9335_Activity_2026062'!D711</f>
        <v>-5000</v>
      </c>
      <c r="E711" s="8" t="str">
        <f>'2025_Chase9335_Activity_2026062'!E711</f>
        <v>WIRE_OUTGOING</v>
      </c>
      <c r="F711" s="8">
        <f>'2025_Chase9335_Activity_2026062'!F711</f>
        <v>281453.65000000002</v>
      </c>
      <c r="G711" s="8" t="str">
        <f>'2025_Chase9335_Activity_2026062'!G711</f>
        <v>MAG - Admeer Advisory Transfer</v>
      </c>
      <c r="H711" s="26">
        <f t="shared" si="11"/>
        <v>45689</v>
      </c>
      <c r="I711" s="8" t="str">
        <f>IF($G711="","Uncategorized — Review",IFERROR(_xlfn.XLOOKUP($G711,Mapping!$A:$A,Mapping!$B:$B),"Uncategorized — Review"))</f>
        <v>MAG - Admeer Advisory Transfer</v>
      </c>
      <c r="J711" s="8" t="str">
        <f>IF($G711="","Uncategorized — Review",IFERROR(_xlfn.XLOOKUP($G711,Mapping!$A:$A,Mapping!$C:$C),"Uncategorized — Review"))</f>
        <v>MAG Pass-Through</v>
      </c>
    </row>
    <row r="712" spans="1:10" x14ac:dyDescent="0.25">
      <c r="A712" s="8" t="str">
        <f>'2025_Chase9335_Activity_2026062'!A712</f>
        <v>CREDIT</v>
      </c>
      <c r="B712" s="24">
        <f>'2025_Chase9335_Activity_2026062'!B712</f>
        <v>45716</v>
      </c>
      <c r="C712" s="8" t="str">
        <f>'2025_Chase9335_Activity_2026062'!C712</f>
        <v>BOOK TRANSFER B/O: MITCHELL ASSET GROUP INC DALLAS TX 75219-3928 US REF: MARKETING REIMBURSEMENT TRN: 1448200059ES</v>
      </c>
      <c r="D712" s="8">
        <f>'2025_Chase9335_Activity_2026062'!D712</f>
        <v>5000</v>
      </c>
      <c r="E712" s="8" t="str">
        <f>'2025_Chase9335_Activity_2026062'!E712</f>
        <v>WIRE_INCOMING</v>
      </c>
      <c r="F712" s="8">
        <f>'2025_Chase9335_Activity_2026062'!F712</f>
        <v>286453.65000000002</v>
      </c>
      <c r="G712" s="8" t="str">
        <f>'2025_Chase9335_Activity_2026062'!G712</f>
        <v>MAG - Admeer Advisory Reimbursement</v>
      </c>
      <c r="H712" s="26">
        <f t="shared" si="11"/>
        <v>45689</v>
      </c>
      <c r="I712" s="8" t="str">
        <f>IF($G712="","Uncategorized — Review",IFERROR(_xlfn.XLOOKUP($G712,Mapping!$A:$A,Mapping!$B:$B),"Uncategorized — Review"))</f>
        <v>MAG - Admeer Advisory Reimbursement</v>
      </c>
      <c r="J712" s="8" t="str">
        <f>IF($G712="","Uncategorized — Review",IFERROR(_xlfn.XLOOKUP($G712,Mapping!$A:$A,Mapping!$C:$C),"Uncategorized — Review"))</f>
        <v>MAG Pass-Through</v>
      </c>
    </row>
    <row r="713" spans="1:10" x14ac:dyDescent="0.25">
      <c r="A713" s="8" t="str">
        <f>'2025_Chase9335_Activity_2026062'!A713</f>
        <v>DEBIT</v>
      </c>
      <c r="B713" s="24">
        <f>'2025_Chase9335_Activity_2026062'!B713</f>
        <v>45715</v>
      </c>
      <c r="C713" s="8" t="str">
        <f>'2025_Chase9335_Activity_2026062'!C713</f>
        <v>Online Transfer to CHK ...1168 transaction#: 23870501813 02/27</v>
      </c>
      <c r="D713" s="8">
        <f>'2025_Chase9335_Activity_2026062'!D713</f>
        <v>-20000</v>
      </c>
      <c r="E713" s="8" t="str">
        <f>'2025_Chase9335_Activity_2026062'!E713</f>
        <v>ACCT_XFER</v>
      </c>
      <c r="F713" s="8">
        <f>'2025_Chase9335_Activity_2026062'!F713</f>
        <v>281453.65000000002</v>
      </c>
      <c r="G713" s="8" t="str">
        <f>'2025_Chase9335_Activity_2026062'!G713</f>
        <v>Transfer to DWG Capital Group</v>
      </c>
      <c r="H713" s="26">
        <f t="shared" si="11"/>
        <v>45689</v>
      </c>
      <c r="I713" s="8" t="str">
        <f>IF($G713="","Uncategorized — Review",IFERROR(_xlfn.XLOOKUP($G713,Mapping!$A:$A,Mapping!$B:$B),"Uncategorized — Review"))</f>
        <v>Transfer to DWG Capital Group</v>
      </c>
      <c r="J713" s="8" t="str">
        <f>IF($G713="","Uncategorized — Review",IFERROR(_xlfn.XLOOKUP($G713,Mapping!$A:$A,Mapping!$C:$C),"Uncategorized — Review"))</f>
        <v>Intercompany &amp; Savings Transfers</v>
      </c>
    </row>
    <row r="714" spans="1:10" x14ac:dyDescent="0.25">
      <c r="A714" s="8" t="str">
        <f>'2025_Chase9335_Activity_2026062'!A714</f>
        <v>DEBIT</v>
      </c>
      <c r="B714" s="24">
        <f>'2025_Chase9335_Activity_2026062'!B714</f>
        <v>45713</v>
      </c>
      <c r="C714" s="8" t="str">
        <f>'2025_Chase9335_Activity_2026062'!C714</f>
        <v>Prime Video *Y82KQ9NO 888-802-3080 WA        02/25</v>
      </c>
      <c r="D714" s="8">
        <f>'2025_Chase9335_Activity_2026062'!D714</f>
        <v>-4.26</v>
      </c>
      <c r="E714" s="8" t="str">
        <f>'2025_Chase9335_Activity_2026062'!E714</f>
        <v>DEBIT_CARD</v>
      </c>
      <c r="F714" s="8">
        <f>'2025_Chase9335_Activity_2026062'!F714</f>
        <v>301453.65000000002</v>
      </c>
      <c r="G714" s="8" t="str">
        <f>'2025_Chase9335_Activity_2026062'!G714</f>
        <v>Amazon Prime Video</v>
      </c>
      <c r="H714" s="26">
        <f t="shared" si="11"/>
        <v>45689</v>
      </c>
      <c r="I714" s="8" t="str">
        <f>IF($G714="","Uncategorized — Review",IFERROR(_xlfn.XLOOKUP($G714,Mapping!$A:$A,Mapping!$B:$B),"Uncategorized — Review"))</f>
        <v>Amazon Prime Video</v>
      </c>
      <c r="J714" s="8" t="str">
        <f>IF($G714="","Uncategorized — Review",IFERROR(_xlfn.XLOOKUP($G714,Mapping!$A:$A,Mapping!$C:$C),"Uncategorized — Review"))</f>
        <v>Personal — Owner</v>
      </c>
    </row>
    <row r="715" spans="1:10" x14ac:dyDescent="0.25">
      <c r="A715" s="8" t="str">
        <f>'2025_Chase9335_Activity_2026062'!A715</f>
        <v>DEBIT</v>
      </c>
      <c r="B715" s="24">
        <f>'2025_Chase9335_Activity_2026062'!B715</f>
        <v>45712</v>
      </c>
      <c r="C715" s="8" t="str">
        <f>'2025_Chase9335_Activity_2026062'!C715</f>
        <v>APPLE.COM/BILL 866-712-7753 CA               02/22</v>
      </c>
      <c r="D715" s="8">
        <f>'2025_Chase9335_Activity_2026062'!D715</f>
        <v>-30.89</v>
      </c>
      <c r="E715" s="8" t="str">
        <f>'2025_Chase9335_Activity_2026062'!E715</f>
        <v>DEBIT_CARD</v>
      </c>
      <c r="F715" s="8">
        <f>'2025_Chase9335_Activity_2026062'!F715</f>
        <v>301457.90999999997</v>
      </c>
      <c r="G715" s="8" t="str">
        <f>'2025_Chase9335_Activity_2026062'!G715</f>
        <v>Personal - Subscriptions</v>
      </c>
      <c r="H715" s="26">
        <f t="shared" si="11"/>
        <v>45689</v>
      </c>
      <c r="I715" s="8" t="str">
        <f>IF($G715="","Uncategorized — Review",IFERROR(_xlfn.XLOOKUP($G715,Mapping!$A:$A,Mapping!$B:$B),"Uncategorized — Review"))</f>
        <v>Personal - Subscriptions</v>
      </c>
      <c r="J715" s="8" t="str">
        <f>IF($G715="","Uncategorized — Review",IFERROR(_xlfn.XLOOKUP($G715,Mapping!$A:$A,Mapping!$C:$C),"Uncategorized — Review"))</f>
        <v>Personal — Owner</v>
      </c>
    </row>
    <row r="716" spans="1:10" x14ac:dyDescent="0.25">
      <c r="A716" s="8" t="str">
        <f>'2025_Chase9335_Activity_2026062'!A716</f>
        <v>DEBIT</v>
      </c>
      <c r="B716" s="24">
        <f>'2025_Chase9335_Activity_2026062'!B716</f>
        <v>45709</v>
      </c>
      <c r="C716" s="8" t="str">
        <f>'2025_Chase9335_Activity_2026062'!C716</f>
        <v>Netflix 1 8445052993 CA                      02/21</v>
      </c>
      <c r="D716" s="8">
        <f>'2025_Chase9335_Activity_2026062'!D716</f>
        <v>-22.99</v>
      </c>
      <c r="E716" s="8" t="str">
        <f>'2025_Chase9335_Activity_2026062'!E716</f>
        <v>DEBIT_CARD</v>
      </c>
      <c r="F716" s="8">
        <f>'2025_Chase9335_Activity_2026062'!F716</f>
        <v>301488.8</v>
      </c>
      <c r="G716" s="8" t="str">
        <f>'2025_Chase9335_Activity_2026062'!G716</f>
        <v>Personal - Subscriptions</v>
      </c>
      <c r="H716" s="26">
        <f t="shared" si="11"/>
        <v>45689</v>
      </c>
      <c r="I716" s="8" t="str">
        <f>IF($G716="","Uncategorized — Review",IFERROR(_xlfn.XLOOKUP($G716,Mapping!$A:$A,Mapping!$B:$B),"Uncategorized — Review"))</f>
        <v>Personal - Subscriptions</v>
      </c>
      <c r="J716" s="8" t="str">
        <f>IF($G716="","Uncategorized — Review",IFERROR(_xlfn.XLOOKUP($G716,Mapping!$A:$A,Mapping!$C:$C),"Uncategorized — Review"))</f>
        <v>Personal — Owner</v>
      </c>
    </row>
    <row r="717" spans="1:10" x14ac:dyDescent="0.25">
      <c r="A717" s="8" t="str">
        <f>'2025_Chase9335_Activity_2026062'!A717</f>
        <v>DEBIT</v>
      </c>
      <c r="B717" s="24">
        <f>'2025_Chase9335_Activity_2026062'!B717</f>
        <v>45706</v>
      </c>
      <c r="C717" s="8" t="str">
        <f>'2025_Chase9335_Activity_2026062'!C717</f>
        <v>Online Transfer to CHK ...1168 transaction#: 23753572002 02/18</v>
      </c>
      <c r="D717" s="8">
        <f>'2025_Chase9335_Activity_2026062'!D717</f>
        <v>-20000</v>
      </c>
      <c r="E717" s="8" t="str">
        <f>'2025_Chase9335_Activity_2026062'!E717</f>
        <v>ACCT_XFER</v>
      </c>
      <c r="F717" s="8">
        <f>'2025_Chase9335_Activity_2026062'!F717</f>
        <v>301511.78999999998</v>
      </c>
      <c r="G717" s="8" t="str">
        <f>'2025_Chase9335_Activity_2026062'!G717</f>
        <v>Transfer to DWG Capital Group</v>
      </c>
      <c r="H717" s="26">
        <f t="shared" si="11"/>
        <v>45689</v>
      </c>
      <c r="I717" s="8" t="str">
        <f>IF($G717="","Uncategorized — Review",IFERROR(_xlfn.XLOOKUP($G717,Mapping!$A:$A,Mapping!$B:$B),"Uncategorized — Review"))</f>
        <v>Transfer to DWG Capital Group</v>
      </c>
      <c r="J717" s="8" t="str">
        <f>IF($G717="","Uncategorized — Review",IFERROR(_xlfn.XLOOKUP($G717,Mapping!$A:$A,Mapping!$C:$C),"Uncategorized — Review"))</f>
        <v>Intercompany &amp; Savings Transfers</v>
      </c>
    </row>
    <row r="718" spans="1:10" x14ac:dyDescent="0.25">
      <c r="A718" s="8" t="str">
        <f>'2025_Chase9335_Activity_2026062'!A718</f>
        <v>DEBIT</v>
      </c>
      <c r="B718" s="24">
        <f>'2025_Chase9335_Activity_2026062'!B718</f>
        <v>45706</v>
      </c>
      <c r="C718" s="8" t="str">
        <f>'2025_Chase9335_Activity_2026062'!C718</f>
        <v>AMAZON MKTPL*430UE5C Amzn.com/bill WA        02/16</v>
      </c>
      <c r="D718" s="8">
        <f>'2025_Chase9335_Activity_2026062'!D718</f>
        <v>-5.46</v>
      </c>
      <c r="E718" s="8" t="str">
        <f>'2025_Chase9335_Activity_2026062'!E718</f>
        <v>DEBIT_CARD</v>
      </c>
      <c r="F718" s="8">
        <f>'2025_Chase9335_Activity_2026062'!F718</f>
        <v>321511.78999999998</v>
      </c>
      <c r="G718" s="8" t="str">
        <f>'2025_Chase9335_Activity_2026062'!G718</f>
        <v>Amazon</v>
      </c>
      <c r="H718" s="26">
        <f t="shared" si="11"/>
        <v>45689</v>
      </c>
      <c r="I718" s="8" t="str">
        <f>IF($G718="","Uncategorized — Review",IFERROR(_xlfn.XLOOKUP($G718,Mapping!$A:$A,Mapping!$B:$B),"Uncategorized — Review"))</f>
        <v>Amazon</v>
      </c>
      <c r="J718" s="8" t="str">
        <f>IF($G718="","Uncategorized — Review",IFERROR(_xlfn.XLOOKUP($G718,Mapping!$A:$A,Mapping!$C:$C),"Uncategorized — Review"))</f>
        <v>Personal — Owner</v>
      </c>
    </row>
    <row r="719" spans="1:10" x14ac:dyDescent="0.25">
      <c r="A719" s="8" t="str">
        <f>'2025_Chase9335_Activity_2026062'!A719</f>
        <v>DEBIT</v>
      </c>
      <c r="B719" s="24">
        <f>'2025_Chase9335_Activity_2026062'!B719</f>
        <v>45706</v>
      </c>
      <c r="C719" s="8" t="str">
        <f>'2025_Chase9335_Activity_2026062'!C719</f>
        <v>Audible*JS1RR41Y3 Amzn.com/bill NJ           02/16</v>
      </c>
      <c r="D719" s="8">
        <f>'2025_Chase9335_Activity_2026062'!D719</f>
        <v>-16.18</v>
      </c>
      <c r="E719" s="8" t="str">
        <f>'2025_Chase9335_Activity_2026062'!E719</f>
        <v>DEBIT_CARD</v>
      </c>
      <c r="F719" s="8">
        <f>'2025_Chase9335_Activity_2026062'!F719</f>
        <v>321517.25</v>
      </c>
      <c r="G719" s="8" t="str">
        <f>'2025_Chase9335_Activity_2026062'!G719</f>
        <v>Amazon</v>
      </c>
      <c r="H719" s="26">
        <f t="shared" si="11"/>
        <v>45689</v>
      </c>
      <c r="I719" s="8" t="str">
        <f>IF($G719="","Uncategorized — Review",IFERROR(_xlfn.XLOOKUP($G719,Mapping!$A:$A,Mapping!$B:$B),"Uncategorized — Review"))</f>
        <v>Amazon</v>
      </c>
      <c r="J719" s="8" t="str">
        <f>IF($G719="","Uncategorized — Review",IFERROR(_xlfn.XLOOKUP($G719,Mapping!$A:$A,Mapping!$C:$C),"Uncategorized — Review"))</f>
        <v>Personal — Owner</v>
      </c>
    </row>
    <row r="720" spans="1:10" x14ac:dyDescent="0.25">
      <c r="A720" s="8" t="str">
        <f>'2025_Chase9335_Activity_2026062'!A720</f>
        <v>DEBIT</v>
      </c>
      <c r="B720" s="24">
        <f>'2025_Chase9335_Activity_2026062'!B720</f>
        <v>45706</v>
      </c>
      <c r="C720" s="8" t="str">
        <f>'2025_Chase9335_Activity_2026062'!C720</f>
        <v>Amazon.com*HF84G0Y93 Amzn.com/bill WA        02/14</v>
      </c>
      <c r="D720" s="8">
        <f>'2025_Chase9335_Activity_2026062'!D720</f>
        <v>-19.03</v>
      </c>
      <c r="E720" s="8" t="str">
        <f>'2025_Chase9335_Activity_2026062'!E720</f>
        <v>DEBIT_CARD</v>
      </c>
      <c r="F720" s="8">
        <f>'2025_Chase9335_Activity_2026062'!F720</f>
        <v>321533.43</v>
      </c>
      <c r="G720" s="8" t="str">
        <f>'2025_Chase9335_Activity_2026062'!G720</f>
        <v>Amazon</v>
      </c>
      <c r="H720" s="26">
        <f t="shared" si="11"/>
        <v>45689</v>
      </c>
      <c r="I720" s="8" t="str">
        <f>IF($G720="","Uncategorized — Review",IFERROR(_xlfn.XLOOKUP($G720,Mapping!$A:$A,Mapping!$B:$B),"Uncategorized — Review"))</f>
        <v>Amazon</v>
      </c>
      <c r="J720" s="8" t="str">
        <f>IF($G720="","Uncategorized — Review",IFERROR(_xlfn.XLOOKUP($G720,Mapping!$A:$A,Mapping!$C:$C),"Uncategorized — Review"))</f>
        <v>Personal — Owner</v>
      </c>
    </row>
    <row r="721" spans="1:10" x14ac:dyDescent="0.25">
      <c r="A721" s="8" t="str">
        <f>'2025_Chase9335_Activity_2026062'!A721</f>
        <v>DEBIT</v>
      </c>
      <c r="B721" s="24">
        <f>'2025_Chase9335_Activity_2026062'!B721</f>
        <v>45700</v>
      </c>
      <c r="C721" s="8" t="str">
        <f>'2025_Chase9335_Activity_2026062'!C721</f>
        <v>BLOOMBERG* 37033964 BLOOMBERG.COM NY         02/12</v>
      </c>
      <c r="D721" s="8">
        <f>'2025_Chase9335_Activity_2026062'!D721</f>
        <v>-19.989999999999998</v>
      </c>
      <c r="E721" s="8" t="str">
        <f>'2025_Chase9335_Activity_2026062'!E721</f>
        <v>DEBIT_CARD</v>
      </c>
      <c r="F721" s="8">
        <f>'2025_Chase9335_Activity_2026062'!F721</f>
        <v>321552.46000000002</v>
      </c>
      <c r="G721" s="8" t="str">
        <f>'2025_Chase9335_Activity_2026062'!G721</f>
        <v>Personal - Subscriptions</v>
      </c>
      <c r="H721" s="26">
        <f t="shared" si="11"/>
        <v>45689</v>
      </c>
      <c r="I721" s="8" t="str">
        <f>IF($G721="","Uncategorized — Review",IFERROR(_xlfn.XLOOKUP($G721,Mapping!$A:$A,Mapping!$B:$B),"Uncategorized — Review"))</f>
        <v>Personal - Subscriptions</v>
      </c>
      <c r="J721" s="8" t="str">
        <f>IF($G721="","Uncategorized — Review",IFERROR(_xlfn.XLOOKUP($G721,Mapping!$A:$A,Mapping!$C:$C),"Uncategorized — Review"))</f>
        <v>Personal — Owner</v>
      </c>
    </row>
    <row r="722" spans="1:10" x14ac:dyDescent="0.25">
      <c r="A722" s="8" t="str">
        <f>'2025_Chase9335_Activity_2026062'!A722</f>
        <v>DEBIT</v>
      </c>
      <c r="B722" s="24">
        <f>'2025_Chase9335_Activity_2026062'!B722</f>
        <v>45700</v>
      </c>
      <c r="C722" s="8" t="str">
        <f>'2025_Chase9335_Activity_2026062'!C722</f>
        <v>Prime Video *N845X6RQ 888-802-3080 WA        02/12</v>
      </c>
      <c r="D722" s="8">
        <f>'2025_Chase9335_Activity_2026062'!D722</f>
        <v>-6.39</v>
      </c>
      <c r="E722" s="8" t="str">
        <f>'2025_Chase9335_Activity_2026062'!E722</f>
        <v>DEBIT_CARD</v>
      </c>
      <c r="F722" s="8">
        <f>'2025_Chase9335_Activity_2026062'!F722</f>
        <v>321572.45</v>
      </c>
      <c r="G722" s="8" t="str">
        <f>'2025_Chase9335_Activity_2026062'!G722</f>
        <v>Amazon Prime Video</v>
      </c>
      <c r="H722" s="26">
        <f t="shared" si="11"/>
        <v>45689</v>
      </c>
      <c r="I722" s="8" t="str">
        <f>IF($G722="","Uncategorized — Review",IFERROR(_xlfn.XLOOKUP($G722,Mapping!$A:$A,Mapping!$B:$B),"Uncategorized — Review"))</f>
        <v>Amazon Prime Video</v>
      </c>
      <c r="J722" s="8" t="str">
        <f>IF($G722="","Uncategorized — Review",IFERROR(_xlfn.XLOOKUP($G722,Mapping!$A:$A,Mapping!$C:$C),"Uncategorized — Review"))</f>
        <v>Personal — Owner</v>
      </c>
    </row>
    <row r="723" spans="1:10" x14ac:dyDescent="0.25">
      <c r="A723" s="8" t="str">
        <f>'2025_Chase9335_Activity_2026062'!A723</f>
        <v>DEBIT</v>
      </c>
      <c r="B723" s="24">
        <f>'2025_Chase9335_Activity_2026062'!B723</f>
        <v>45700</v>
      </c>
      <c r="C723" s="8" t="str">
        <f>'2025_Chase9335_Activity_2026062'!C723</f>
        <v>APPLE.COM/BILL 866-712-7753 CA               02/12</v>
      </c>
      <c r="D723" s="8">
        <f>'2025_Chase9335_Activity_2026062'!D723</f>
        <v>-30.89</v>
      </c>
      <c r="E723" s="8" t="str">
        <f>'2025_Chase9335_Activity_2026062'!E723</f>
        <v>DEBIT_CARD</v>
      </c>
      <c r="F723" s="8">
        <f>'2025_Chase9335_Activity_2026062'!F723</f>
        <v>321578.84000000003</v>
      </c>
      <c r="G723" s="8" t="str">
        <f>'2025_Chase9335_Activity_2026062'!G723</f>
        <v>Personal - Subscriptions</v>
      </c>
      <c r="H723" s="26">
        <f t="shared" si="11"/>
        <v>45689</v>
      </c>
      <c r="I723" s="8" t="str">
        <f>IF($G723="","Uncategorized — Review",IFERROR(_xlfn.XLOOKUP($G723,Mapping!$A:$A,Mapping!$B:$B),"Uncategorized — Review"))</f>
        <v>Personal - Subscriptions</v>
      </c>
      <c r="J723" s="8" t="str">
        <f>IF($G723="","Uncategorized — Review",IFERROR(_xlfn.XLOOKUP($G723,Mapping!$A:$A,Mapping!$C:$C),"Uncategorized — Review"))</f>
        <v>Personal — Owner</v>
      </c>
    </row>
    <row r="724" spans="1:10" x14ac:dyDescent="0.25">
      <c r="A724" s="8" t="str">
        <f>'2025_Chase9335_Activity_2026062'!A724</f>
        <v>DEBIT</v>
      </c>
      <c r="B724" s="24">
        <f>'2025_Chase9335_Activity_2026062'!B724</f>
        <v>45699</v>
      </c>
      <c r="C724" s="8" t="str">
        <f>'2025_Chase9335_Activity_2026062'!C724</f>
        <v>Prime Video *VE5X91GY 888-802-3080 WA        02/11</v>
      </c>
      <c r="D724" s="8">
        <f>'2025_Chase9335_Activity_2026062'!D724</f>
        <v>-2.12</v>
      </c>
      <c r="E724" s="8" t="str">
        <f>'2025_Chase9335_Activity_2026062'!E724</f>
        <v>DEBIT_CARD</v>
      </c>
      <c r="F724" s="8">
        <f>'2025_Chase9335_Activity_2026062'!F724</f>
        <v>321609.73</v>
      </c>
      <c r="G724" s="8" t="str">
        <f>'2025_Chase9335_Activity_2026062'!G724</f>
        <v>Amazon Prime Video</v>
      </c>
      <c r="H724" s="26">
        <f t="shared" si="11"/>
        <v>45689</v>
      </c>
      <c r="I724" s="8" t="str">
        <f>IF($G724="","Uncategorized — Review",IFERROR(_xlfn.XLOOKUP($G724,Mapping!$A:$A,Mapping!$B:$B),"Uncategorized — Review"))</f>
        <v>Amazon Prime Video</v>
      </c>
      <c r="J724" s="8" t="str">
        <f>IF($G724="","Uncategorized — Review",IFERROR(_xlfn.XLOOKUP($G724,Mapping!$A:$A,Mapping!$C:$C),"Uncategorized — Review"))</f>
        <v>Personal — Owner</v>
      </c>
    </row>
    <row r="725" spans="1:10" x14ac:dyDescent="0.25">
      <c r="A725" s="8" t="str">
        <f>'2025_Chase9335_Activity_2026062'!A725</f>
        <v>DEBIT</v>
      </c>
      <c r="B725" s="24">
        <f>'2025_Chase9335_Activity_2026062'!B725</f>
        <v>45699</v>
      </c>
      <c r="C725" s="8" t="str">
        <f>'2025_Chase9335_Activity_2026062'!C725</f>
        <v>Prime Video *TT8SF0GF 888-802-3080 WA        02/10</v>
      </c>
      <c r="D725" s="8">
        <f>'2025_Chase9335_Activity_2026062'!D725</f>
        <v>-2.12</v>
      </c>
      <c r="E725" s="8" t="str">
        <f>'2025_Chase9335_Activity_2026062'!E725</f>
        <v>DEBIT_CARD</v>
      </c>
      <c r="F725" s="8">
        <f>'2025_Chase9335_Activity_2026062'!F725</f>
        <v>321611.84999999998</v>
      </c>
      <c r="G725" s="8" t="str">
        <f>'2025_Chase9335_Activity_2026062'!G725</f>
        <v>Amazon Prime Video</v>
      </c>
      <c r="H725" s="26">
        <f t="shared" si="11"/>
        <v>45689</v>
      </c>
      <c r="I725" s="8" t="str">
        <f>IF($G725="","Uncategorized — Review",IFERROR(_xlfn.XLOOKUP($G725,Mapping!$A:$A,Mapping!$B:$B),"Uncategorized — Review"))</f>
        <v>Amazon Prime Video</v>
      </c>
      <c r="J725" s="8" t="str">
        <f>IF($G725="","Uncategorized — Review",IFERROR(_xlfn.XLOOKUP($G725,Mapping!$A:$A,Mapping!$C:$C),"Uncategorized — Review"))</f>
        <v>Personal — Owner</v>
      </c>
    </row>
    <row r="726" spans="1:10" x14ac:dyDescent="0.25">
      <c r="A726" s="8" t="str">
        <f>'2025_Chase9335_Activity_2026062'!A726</f>
        <v>DEBIT</v>
      </c>
      <c r="B726" s="24">
        <f>'2025_Chase9335_Activity_2026062'!B726</f>
        <v>45699</v>
      </c>
      <c r="C726" s="8" t="str">
        <f>'2025_Chase9335_Activity_2026062'!C726</f>
        <v>Prime Video *NZ0B704H 888-802-3080 WA        02/10</v>
      </c>
      <c r="D726" s="8">
        <f>'2025_Chase9335_Activity_2026062'!D726</f>
        <v>-2.12</v>
      </c>
      <c r="E726" s="8" t="str">
        <f>'2025_Chase9335_Activity_2026062'!E726</f>
        <v>DEBIT_CARD</v>
      </c>
      <c r="F726" s="8">
        <f>'2025_Chase9335_Activity_2026062'!F726</f>
        <v>321613.96999999997</v>
      </c>
      <c r="G726" s="8" t="str">
        <f>'2025_Chase9335_Activity_2026062'!G726</f>
        <v>Amazon Prime Video</v>
      </c>
      <c r="H726" s="26">
        <f t="shared" si="11"/>
        <v>45689</v>
      </c>
      <c r="I726" s="8" t="str">
        <f>IF($G726="","Uncategorized — Review",IFERROR(_xlfn.XLOOKUP($G726,Mapping!$A:$A,Mapping!$B:$B),"Uncategorized — Review"))</f>
        <v>Amazon Prime Video</v>
      </c>
      <c r="J726" s="8" t="str">
        <f>IF($G726="","Uncategorized — Review",IFERROR(_xlfn.XLOOKUP($G726,Mapping!$A:$A,Mapping!$C:$C),"Uncategorized — Review"))</f>
        <v>Personal — Owner</v>
      </c>
    </row>
    <row r="727" spans="1:10" x14ac:dyDescent="0.25">
      <c r="A727" s="8" t="str">
        <f>'2025_Chase9335_Activity_2026062'!A727</f>
        <v>DEBIT</v>
      </c>
      <c r="B727" s="24">
        <f>'2025_Chase9335_Activity_2026062'!B727</f>
        <v>45698</v>
      </c>
      <c r="C727" s="8" t="str">
        <f>'2025_Chase9335_Activity_2026062'!C727</f>
        <v>Prime Video *DO1AX6JG 888-802-3080 WA        02/09</v>
      </c>
      <c r="D727" s="8">
        <f>'2025_Chase9335_Activity_2026062'!D727</f>
        <v>-16.059999999999999</v>
      </c>
      <c r="E727" s="8" t="str">
        <f>'2025_Chase9335_Activity_2026062'!E727</f>
        <v>DEBIT_CARD</v>
      </c>
      <c r="F727" s="8">
        <f>'2025_Chase9335_Activity_2026062'!F727</f>
        <v>321616.09000000003</v>
      </c>
      <c r="G727" s="8" t="str">
        <f>'2025_Chase9335_Activity_2026062'!G727</f>
        <v>Amazon Prime Video</v>
      </c>
      <c r="H727" s="26">
        <f t="shared" si="11"/>
        <v>45689</v>
      </c>
      <c r="I727" s="8" t="str">
        <f>IF($G727="","Uncategorized — Review",IFERROR(_xlfn.XLOOKUP($G727,Mapping!$A:$A,Mapping!$B:$B),"Uncategorized — Review"))</f>
        <v>Amazon Prime Video</v>
      </c>
      <c r="J727" s="8" t="str">
        <f>IF($G727="","Uncategorized — Review",IFERROR(_xlfn.XLOOKUP($G727,Mapping!$A:$A,Mapping!$C:$C),"Uncategorized — Review"))</f>
        <v>Personal — Owner</v>
      </c>
    </row>
    <row r="728" spans="1:10" x14ac:dyDescent="0.25">
      <c r="A728" s="8" t="str">
        <f>'2025_Chase9335_Activity_2026062'!A728</f>
        <v>DEBIT</v>
      </c>
      <c r="B728" s="24">
        <f>'2025_Chase9335_Activity_2026062'!B728</f>
        <v>45698</v>
      </c>
      <c r="C728" s="8" t="str">
        <f>'2025_Chase9335_Activity_2026062'!C728</f>
        <v>Prime Video *Z74BK092 888-802-3080 WA        02/09</v>
      </c>
      <c r="D728" s="8">
        <f>'2025_Chase9335_Activity_2026062'!D728</f>
        <v>-2.12</v>
      </c>
      <c r="E728" s="8" t="str">
        <f>'2025_Chase9335_Activity_2026062'!E728</f>
        <v>DEBIT_CARD</v>
      </c>
      <c r="F728" s="8">
        <f>'2025_Chase9335_Activity_2026062'!F728</f>
        <v>321632.15000000002</v>
      </c>
      <c r="G728" s="8" t="str">
        <f>'2025_Chase9335_Activity_2026062'!G728</f>
        <v>Amazon Prime Video</v>
      </c>
      <c r="H728" s="26">
        <f t="shared" si="11"/>
        <v>45689</v>
      </c>
      <c r="I728" s="8" t="str">
        <f>IF($G728="","Uncategorized — Review",IFERROR(_xlfn.XLOOKUP($G728,Mapping!$A:$A,Mapping!$B:$B),"Uncategorized — Review"))</f>
        <v>Amazon Prime Video</v>
      </c>
      <c r="J728" s="8" t="str">
        <f>IF($G728="","Uncategorized — Review",IFERROR(_xlfn.XLOOKUP($G728,Mapping!$A:$A,Mapping!$C:$C),"Uncategorized — Review"))</f>
        <v>Personal — Owner</v>
      </c>
    </row>
    <row r="729" spans="1:10" x14ac:dyDescent="0.25">
      <c r="A729" s="8" t="str">
        <f>'2025_Chase9335_Activity_2026062'!A729</f>
        <v>DEBIT</v>
      </c>
      <c r="B729" s="24">
        <f>'2025_Chase9335_Activity_2026062'!B729</f>
        <v>45698</v>
      </c>
      <c r="C729" s="8" t="str">
        <f>'2025_Chase9335_Activity_2026062'!C729</f>
        <v>Amazon.com*Z77TD07Q1 Amzn.com/bill WA        02/08</v>
      </c>
      <c r="D729" s="8">
        <f>'2025_Chase9335_Activity_2026062'!D729</f>
        <v>-12.14</v>
      </c>
      <c r="E729" s="8" t="str">
        <f>'2025_Chase9335_Activity_2026062'!E729</f>
        <v>DEBIT_CARD</v>
      </c>
      <c r="F729" s="8">
        <f>'2025_Chase9335_Activity_2026062'!F729</f>
        <v>321634.27</v>
      </c>
      <c r="G729" s="8" t="str">
        <f>'2025_Chase9335_Activity_2026062'!G729</f>
        <v>Amazon</v>
      </c>
      <c r="H729" s="26">
        <f t="shared" si="11"/>
        <v>45689</v>
      </c>
      <c r="I729" s="8" t="str">
        <f>IF($G729="","Uncategorized — Review",IFERROR(_xlfn.XLOOKUP($G729,Mapping!$A:$A,Mapping!$B:$B),"Uncategorized — Review"))</f>
        <v>Amazon</v>
      </c>
      <c r="J729" s="8" t="str">
        <f>IF($G729="","Uncategorized — Review",IFERROR(_xlfn.XLOOKUP($G729,Mapping!$A:$A,Mapping!$C:$C),"Uncategorized — Review"))</f>
        <v>Personal — Owner</v>
      </c>
    </row>
    <row r="730" spans="1:10" x14ac:dyDescent="0.25">
      <c r="A730" s="8" t="str">
        <f>'2025_Chase9335_Activity_2026062'!A730</f>
        <v>DEBIT</v>
      </c>
      <c r="B730" s="24">
        <f>'2025_Chase9335_Activity_2026062'!B730</f>
        <v>45698</v>
      </c>
      <c r="C730" s="8" t="str">
        <f>'2025_Chase9335_Activity_2026062'!C730</f>
        <v>AMAZON MKTPL*6F97U56 Amzn.com/bill WA        02/08</v>
      </c>
      <c r="D730" s="8">
        <f>'2025_Chase9335_Activity_2026062'!D730</f>
        <v>-63.48</v>
      </c>
      <c r="E730" s="8" t="str">
        <f>'2025_Chase9335_Activity_2026062'!E730</f>
        <v>DEBIT_CARD</v>
      </c>
      <c r="F730" s="8">
        <f>'2025_Chase9335_Activity_2026062'!F730</f>
        <v>321646.40999999997</v>
      </c>
      <c r="G730" s="8" t="str">
        <f>'2025_Chase9335_Activity_2026062'!G730</f>
        <v>Amazon</v>
      </c>
      <c r="H730" s="26">
        <f t="shared" si="11"/>
        <v>45689</v>
      </c>
      <c r="I730" s="8" t="str">
        <f>IF($G730="","Uncategorized — Review",IFERROR(_xlfn.XLOOKUP($G730,Mapping!$A:$A,Mapping!$B:$B),"Uncategorized — Review"))</f>
        <v>Amazon</v>
      </c>
      <c r="J730" s="8" t="str">
        <f>IF($G730="","Uncategorized — Review",IFERROR(_xlfn.XLOOKUP($G730,Mapping!$A:$A,Mapping!$C:$C),"Uncategorized — Review"))</f>
        <v>Personal — Owner</v>
      </c>
    </row>
    <row r="731" spans="1:10" x14ac:dyDescent="0.25">
      <c r="A731" s="8" t="str">
        <f>'2025_Chase9335_Activity_2026062'!A731</f>
        <v>DEBIT</v>
      </c>
      <c r="B731" s="24">
        <f>'2025_Chase9335_Activity_2026062'!B731</f>
        <v>45695</v>
      </c>
      <c r="C731" s="8" t="str">
        <f>'2025_Chase9335_Activity_2026062'!C731</f>
        <v>Prime Video *Z706D29U 888-802-3080 WA        02/06</v>
      </c>
      <c r="D731" s="8">
        <f>'2025_Chase9335_Activity_2026062'!D731</f>
        <v>-2.12</v>
      </c>
      <c r="E731" s="8" t="str">
        <f>'2025_Chase9335_Activity_2026062'!E731</f>
        <v>DEBIT_CARD</v>
      </c>
      <c r="F731" s="8">
        <f>'2025_Chase9335_Activity_2026062'!F731</f>
        <v>321709.89</v>
      </c>
      <c r="G731" s="8" t="str">
        <f>'2025_Chase9335_Activity_2026062'!G731</f>
        <v>Amazon Prime Video</v>
      </c>
      <c r="H731" s="26">
        <f t="shared" si="11"/>
        <v>45689</v>
      </c>
      <c r="I731" s="8" t="str">
        <f>IF($G731="","Uncategorized — Review",IFERROR(_xlfn.XLOOKUP($G731,Mapping!$A:$A,Mapping!$B:$B),"Uncategorized — Review"))</f>
        <v>Amazon Prime Video</v>
      </c>
      <c r="J731" s="8" t="str">
        <f>IF($G731="","Uncategorized — Review",IFERROR(_xlfn.XLOOKUP($G731,Mapping!$A:$A,Mapping!$C:$C),"Uncategorized — Review"))</f>
        <v>Personal — Owner</v>
      </c>
    </row>
    <row r="732" spans="1:10" x14ac:dyDescent="0.25">
      <c r="A732" s="8" t="str">
        <f>'2025_Chase9335_Activity_2026062'!A732</f>
        <v>DEBIT</v>
      </c>
      <c r="B732" s="24">
        <f>'2025_Chase9335_Activity_2026062'!B732</f>
        <v>45695</v>
      </c>
      <c r="C732" s="8" t="str">
        <f>'2025_Chase9335_Activity_2026062'!C732</f>
        <v>Prime Video *Z75532MS 888-802-3080 WA        02/06</v>
      </c>
      <c r="D732" s="8">
        <f>'2025_Chase9335_Activity_2026062'!D732</f>
        <v>-2.12</v>
      </c>
      <c r="E732" s="8" t="str">
        <f>'2025_Chase9335_Activity_2026062'!E732</f>
        <v>DEBIT_CARD</v>
      </c>
      <c r="F732" s="8">
        <f>'2025_Chase9335_Activity_2026062'!F732</f>
        <v>321712.01</v>
      </c>
      <c r="G732" s="8" t="str">
        <f>'2025_Chase9335_Activity_2026062'!G732</f>
        <v>Amazon Prime Video</v>
      </c>
      <c r="H732" s="26">
        <f t="shared" si="11"/>
        <v>45689</v>
      </c>
      <c r="I732" s="8" t="str">
        <f>IF($G732="","Uncategorized — Review",IFERROR(_xlfn.XLOOKUP($G732,Mapping!$A:$A,Mapping!$B:$B),"Uncategorized — Review"))</f>
        <v>Amazon Prime Video</v>
      </c>
      <c r="J732" s="8" t="str">
        <f>IF($G732="","Uncategorized — Review",IFERROR(_xlfn.XLOOKUP($G732,Mapping!$A:$A,Mapping!$C:$C),"Uncategorized — Review"))</f>
        <v>Personal — Owner</v>
      </c>
    </row>
    <row r="733" spans="1:10" x14ac:dyDescent="0.25">
      <c r="A733" s="8" t="str">
        <f>'2025_Chase9335_Activity_2026062'!A733</f>
        <v>DEBIT</v>
      </c>
      <c r="B733" s="24">
        <f>'2025_Chase9335_Activity_2026062'!B733</f>
        <v>45695</v>
      </c>
      <c r="C733" s="8" t="str">
        <f>'2025_Chase9335_Activity_2026062'!C733</f>
        <v>APPLE.COM/BILL 866-712-7753 CA               02/06</v>
      </c>
      <c r="D733" s="8">
        <f>'2025_Chase9335_Activity_2026062'!D733</f>
        <v>-9.99</v>
      </c>
      <c r="E733" s="8" t="str">
        <f>'2025_Chase9335_Activity_2026062'!E733</f>
        <v>DEBIT_CARD</v>
      </c>
      <c r="F733" s="8">
        <f>'2025_Chase9335_Activity_2026062'!F733</f>
        <v>321714.13</v>
      </c>
      <c r="G733" s="8" t="str">
        <f>'2025_Chase9335_Activity_2026062'!G733</f>
        <v>Personal - Subscriptions</v>
      </c>
      <c r="H733" s="26">
        <f t="shared" si="11"/>
        <v>45689</v>
      </c>
      <c r="I733" s="8" t="str">
        <f>IF($G733="","Uncategorized — Review",IFERROR(_xlfn.XLOOKUP($G733,Mapping!$A:$A,Mapping!$B:$B),"Uncategorized — Review"))</f>
        <v>Personal - Subscriptions</v>
      </c>
      <c r="J733" s="8" t="str">
        <f>IF($G733="","Uncategorized — Review",IFERROR(_xlfn.XLOOKUP($G733,Mapping!$A:$A,Mapping!$C:$C),"Uncategorized — Review"))</f>
        <v>Personal — Owner</v>
      </c>
    </row>
    <row r="734" spans="1:10" x14ac:dyDescent="0.25">
      <c r="A734" s="8" t="str">
        <f>'2025_Chase9335_Activity_2026062'!A734</f>
        <v>DEBIT</v>
      </c>
      <c r="B734" s="24">
        <f>'2025_Chase9335_Activity_2026062'!B734</f>
        <v>45694</v>
      </c>
      <c r="C734" s="8" t="str">
        <f>'2025_Chase9335_Activity_2026062'!C734</f>
        <v>Prime Video *Z76WL1SV 888-802-3080 WA        02/06</v>
      </c>
      <c r="D734" s="8">
        <f>'2025_Chase9335_Activity_2026062'!D734</f>
        <v>-2.12</v>
      </c>
      <c r="E734" s="8" t="str">
        <f>'2025_Chase9335_Activity_2026062'!E734</f>
        <v>DEBIT_CARD</v>
      </c>
      <c r="F734" s="8">
        <f>'2025_Chase9335_Activity_2026062'!F734</f>
        <v>321724.12</v>
      </c>
      <c r="G734" s="8" t="str">
        <f>'2025_Chase9335_Activity_2026062'!G734</f>
        <v>Amazon Prime Video</v>
      </c>
      <c r="H734" s="26">
        <f t="shared" si="11"/>
        <v>45689</v>
      </c>
      <c r="I734" s="8" t="str">
        <f>IF($G734="","Uncategorized — Review",IFERROR(_xlfn.XLOOKUP($G734,Mapping!$A:$A,Mapping!$B:$B),"Uncategorized — Review"))</f>
        <v>Amazon Prime Video</v>
      </c>
      <c r="J734" s="8" t="str">
        <f>IF($G734="","Uncategorized — Review",IFERROR(_xlfn.XLOOKUP($G734,Mapping!$A:$A,Mapping!$C:$C),"Uncategorized — Review"))</f>
        <v>Personal — Owner</v>
      </c>
    </row>
    <row r="735" spans="1:10" x14ac:dyDescent="0.25">
      <c r="A735" s="8" t="str">
        <f>'2025_Chase9335_Activity_2026062'!A735</f>
        <v>CREDIT</v>
      </c>
      <c r="B735" s="24">
        <f>'2025_Chase9335_Activity_2026062'!B735</f>
        <v>45694</v>
      </c>
      <c r="C735" s="8" t="str">
        <f>'2025_Chase9335_Activity_2026062'!C735</f>
        <v>ORIG CO NAME:MRM Industrial P       ORIG ID:945440567  DESC DATE:       CO ENTRY DESCR:PAYMENT   SEC:PPD    TRACE#:273976365173893 EED:250206   IND ID:                             IND NAME:John Dunning TRN: 0375173893TC</v>
      </c>
      <c r="D735" s="8">
        <f>'2025_Chase9335_Activity_2026062'!D735</f>
        <v>236.37</v>
      </c>
      <c r="E735" s="8" t="str">
        <f>'2025_Chase9335_Activity_2026062'!E735</f>
        <v>ACH_CREDIT</v>
      </c>
      <c r="F735" s="8">
        <f>'2025_Chase9335_Activity_2026062'!F735</f>
        <v>321726.24</v>
      </c>
      <c r="G735" s="8" t="str">
        <f>'2025_Chase9335_Activity_2026062'!G735</f>
        <v>Deal Specific: MRM</v>
      </c>
      <c r="H735" s="26">
        <f t="shared" si="11"/>
        <v>45689</v>
      </c>
      <c r="I735" s="8" t="str">
        <f>IF($G735="","Uncategorized — Review",IFERROR(_xlfn.XLOOKUP($G735,Mapping!$A:$A,Mapping!$B:$B),"Uncategorized — Review"))</f>
        <v>Deal Specific: MRM</v>
      </c>
      <c r="J735" s="8" t="str">
        <f>IF($G735="","Uncategorized — Review",IFERROR(_xlfn.XLOOKUP($G735,Mapping!$A:$A,Mapping!$C:$C),"Uncategorized — Review"))</f>
        <v>Deal-Specific</v>
      </c>
    </row>
    <row r="736" spans="1:10" x14ac:dyDescent="0.25">
      <c r="A736" s="8" t="str">
        <f>'2025_Chase9335_Activity_2026062'!A736</f>
        <v>CREDIT</v>
      </c>
      <c r="B736" s="24">
        <f>'2025_Chase9335_Activity_2026062'!B736</f>
        <v>45694</v>
      </c>
      <c r="C736" s="8" t="str">
        <f>'2025_Chase9335_Activity_2026062'!C736</f>
        <v>ORIG CO NAME:Austin Iron Hold       ORIG ID:945440567  DESC DATE:       CO ENTRY DESCR:PAYMENT   SEC:PPD    TRACE#:273976365172830 EED:250206   IND ID:                             IND NAME:John Dunning TRN: 0375172830TC</v>
      </c>
      <c r="D736" s="8">
        <f>'2025_Chase9335_Activity_2026062'!D736</f>
        <v>350</v>
      </c>
      <c r="E736" s="8" t="str">
        <f>'2025_Chase9335_Activity_2026062'!E736</f>
        <v>ACH_CREDIT</v>
      </c>
      <c r="F736" s="8">
        <f>'2025_Chase9335_Activity_2026062'!F736</f>
        <v>321489.87</v>
      </c>
      <c r="G736" s="8" t="str">
        <f>'2025_Chase9335_Activity_2026062'!G736</f>
        <v>Deal Specific: Austin Iron</v>
      </c>
      <c r="H736" s="26">
        <f t="shared" si="11"/>
        <v>45689</v>
      </c>
      <c r="I736" s="8" t="str">
        <f>IF($G736="","Uncategorized — Review",IFERROR(_xlfn.XLOOKUP($G736,Mapping!$A:$A,Mapping!$B:$B),"Uncategorized — Review"))</f>
        <v>Deal Specific: Austin Iron</v>
      </c>
      <c r="J736" s="8" t="str">
        <f>IF($G736="","Uncategorized — Review",IFERROR(_xlfn.XLOOKUP($G736,Mapping!$A:$A,Mapping!$C:$C),"Uncategorized — Review"))</f>
        <v>Deal-Specific</v>
      </c>
    </row>
    <row r="737" spans="1:10" x14ac:dyDescent="0.25">
      <c r="A737" s="8" t="str">
        <f>'2025_Chase9335_Activity_2026062'!A737</f>
        <v>CREDIT</v>
      </c>
      <c r="B737" s="24">
        <f>'2025_Chase9335_Activity_2026062'!B737</f>
        <v>45694</v>
      </c>
      <c r="C737" s="8" t="str">
        <f>'2025_Chase9335_Activity_2026062'!C737</f>
        <v>ORIG CO NAME:Merit-Lancaster        ORIG ID:945440567  DESC DATE:       CO ENTRY DESCR:PAYMENT   SEC:PPD    TRACE#:273976365172082 EED:250206   IND ID:                             IND NAME:John Dunning TRN: 0375172082TC</v>
      </c>
      <c r="D737" s="8">
        <f>'2025_Chase9335_Activity_2026062'!D737</f>
        <v>461.52</v>
      </c>
      <c r="E737" s="8" t="str">
        <f>'2025_Chase9335_Activity_2026062'!E737</f>
        <v>ACH_CREDIT</v>
      </c>
      <c r="F737" s="8">
        <f>'2025_Chase9335_Activity_2026062'!F737</f>
        <v>321139.87</v>
      </c>
      <c r="G737" s="8" t="str">
        <f>'2025_Chase9335_Activity_2026062'!G737</f>
        <v>Deal Specific: Merit-Lancaster</v>
      </c>
      <c r="H737" s="26">
        <f t="shared" si="11"/>
        <v>45689</v>
      </c>
      <c r="I737" s="8" t="str">
        <f>IF($G737="","Uncategorized — Review",IFERROR(_xlfn.XLOOKUP($G737,Mapping!$A:$A,Mapping!$B:$B),"Uncategorized — Review"))</f>
        <v>Deal Specific: Merit-Lancaster</v>
      </c>
      <c r="J737" s="8" t="str">
        <f>IF($G737="","Uncategorized — Review",IFERROR(_xlfn.XLOOKUP($G737,Mapping!$A:$A,Mapping!$C:$C),"Uncategorized — Review"))</f>
        <v>Deal-Specific</v>
      </c>
    </row>
    <row r="738" spans="1:10" x14ac:dyDescent="0.25">
      <c r="A738" s="8" t="str">
        <f>'2025_Chase9335_Activity_2026062'!A738</f>
        <v>DEBIT</v>
      </c>
      <c r="B738" s="24">
        <f>'2025_Chase9335_Activity_2026062'!B738</f>
        <v>45693</v>
      </c>
      <c r="C738" s="8" t="str">
        <f>'2025_Chase9335_Activity_2026062'!C738</f>
        <v>Prime Video *Z763Y5NS 888-802-3080 WA        02/05</v>
      </c>
      <c r="D738" s="8">
        <f>'2025_Chase9335_Activity_2026062'!D738</f>
        <v>-2.12</v>
      </c>
      <c r="E738" s="8" t="str">
        <f>'2025_Chase9335_Activity_2026062'!E738</f>
        <v>DEBIT_CARD</v>
      </c>
      <c r="F738" s="8">
        <f>'2025_Chase9335_Activity_2026062'!F738</f>
        <v>320678.34999999998</v>
      </c>
      <c r="G738" s="8" t="str">
        <f>'2025_Chase9335_Activity_2026062'!G738</f>
        <v>Amazon Prime Video</v>
      </c>
      <c r="H738" s="26">
        <f t="shared" si="11"/>
        <v>45689</v>
      </c>
      <c r="I738" s="8" t="str">
        <f>IF($G738="","Uncategorized — Review",IFERROR(_xlfn.XLOOKUP($G738,Mapping!$A:$A,Mapping!$B:$B),"Uncategorized — Review"))</f>
        <v>Amazon Prime Video</v>
      </c>
      <c r="J738" s="8" t="str">
        <f>IF($G738="","Uncategorized — Review",IFERROR(_xlfn.XLOOKUP($G738,Mapping!$A:$A,Mapping!$C:$C),"Uncategorized — Review"))</f>
        <v>Personal — Owner</v>
      </c>
    </row>
    <row r="739" spans="1:10" x14ac:dyDescent="0.25">
      <c r="A739" s="8" t="str">
        <f>'2025_Chase9335_Activity_2026062'!A739</f>
        <v>DEBIT</v>
      </c>
      <c r="B739" s="24">
        <f>'2025_Chase9335_Activity_2026062'!B739</f>
        <v>45693</v>
      </c>
      <c r="C739" s="8" t="str">
        <f>'2025_Chase9335_Activity_2026062'!C739</f>
        <v>APPLE.COM/BILL 866-712-7753 CA               02/05</v>
      </c>
      <c r="D739" s="8">
        <f>'2025_Chase9335_Activity_2026062'!D739</f>
        <v>-30.89</v>
      </c>
      <c r="E739" s="8" t="str">
        <f>'2025_Chase9335_Activity_2026062'!E739</f>
        <v>DEBIT_CARD</v>
      </c>
      <c r="F739" s="8">
        <f>'2025_Chase9335_Activity_2026062'!F739</f>
        <v>320680.46999999997</v>
      </c>
      <c r="G739" s="8" t="str">
        <f>'2025_Chase9335_Activity_2026062'!G739</f>
        <v>Personal - Subscriptions</v>
      </c>
      <c r="H739" s="26">
        <f t="shared" si="11"/>
        <v>45689</v>
      </c>
      <c r="I739" s="8" t="str">
        <f>IF($G739="","Uncategorized — Review",IFERROR(_xlfn.XLOOKUP($G739,Mapping!$A:$A,Mapping!$B:$B),"Uncategorized — Review"))</f>
        <v>Personal - Subscriptions</v>
      </c>
      <c r="J739" s="8" t="str">
        <f>IF($G739="","Uncategorized — Review",IFERROR(_xlfn.XLOOKUP($G739,Mapping!$A:$A,Mapping!$C:$C),"Uncategorized — Review"))</f>
        <v>Personal — Owner</v>
      </c>
    </row>
    <row r="740" spans="1:10" x14ac:dyDescent="0.25">
      <c r="A740" s="8" t="str">
        <f>'2025_Chase9335_Activity_2026062'!A740</f>
        <v>CREDIT</v>
      </c>
      <c r="B740" s="24">
        <f>'2025_Chase9335_Activity_2026062'!B740</f>
        <v>45693</v>
      </c>
      <c r="C740" s="8" t="str">
        <f>'2025_Chase9335_Activity_2026062'!C740</f>
        <v>ORIG CO NAME:T and T Machine        ORIG ID:945440567  DESC DATE:       CO ENTRY DESCR:PAYMENT   SEC:PPD    TRACE#:273976365708059 EED:250205   IND ID:                             IND NAME:John Dunning TRN: 0365708059TC</v>
      </c>
      <c r="D740" s="8">
        <f>'2025_Chase9335_Activity_2026062'!D740</f>
        <v>356.38</v>
      </c>
      <c r="E740" s="8" t="str">
        <f>'2025_Chase9335_Activity_2026062'!E740</f>
        <v>ACH_CREDIT</v>
      </c>
      <c r="F740" s="8">
        <f>'2025_Chase9335_Activity_2026062'!F740</f>
        <v>320711.36</v>
      </c>
      <c r="G740" s="8" t="str">
        <f>'2025_Chase9335_Activity_2026062'!G740</f>
        <v>Deal Specific: T&amp;T Machine</v>
      </c>
      <c r="H740" s="26">
        <f t="shared" si="11"/>
        <v>45689</v>
      </c>
      <c r="I740" s="8" t="str">
        <f>IF($G740="","Uncategorized — Review",IFERROR(_xlfn.XLOOKUP($G740,Mapping!$A:$A,Mapping!$B:$B),"Uncategorized — Review"))</f>
        <v>Deal Specific: T&amp;T Machine</v>
      </c>
      <c r="J740" s="8" t="str">
        <f>IF($G740="","Uncategorized — Review",IFERROR(_xlfn.XLOOKUP($G740,Mapping!$A:$A,Mapping!$C:$C),"Uncategorized — Review"))</f>
        <v>Deal-Specific</v>
      </c>
    </row>
    <row r="741" spans="1:10" x14ac:dyDescent="0.25">
      <c r="A741" s="8" t="str">
        <f>'2025_Chase9335_Activity_2026062'!A741</f>
        <v>CREDIT</v>
      </c>
      <c r="B741" s="24">
        <f>'2025_Chase9335_Activity_2026062'!B741</f>
        <v>45693</v>
      </c>
      <c r="C741" s="8" t="str">
        <f>'2025_Chase9335_Activity_2026062'!C741</f>
        <v>BOOK TRANSFER B/O: MITCHELL ASSET GROUP INC DALLAS TX 75219-3928 US REF: MARKETING REIMBURSEMENT TRN: 1017000036ES</v>
      </c>
      <c r="D741" s="8">
        <f>'2025_Chase9335_Activity_2026062'!D741</f>
        <v>15000</v>
      </c>
      <c r="E741" s="8" t="str">
        <f>'2025_Chase9335_Activity_2026062'!E741</f>
        <v>WIRE_INCOMING</v>
      </c>
      <c r="F741" s="8">
        <f>'2025_Chase9335_Activity_2026062'!F741</f>
        <v>320354.98</v>
      </c>
      <c r="G741" s="8" t="str">
        <f>'2025_Chase9335_Activity_2026062'!G741</f>
        <v>MAG - Admeer Advisory Reimbursement</v>
      </c>
      <c r="H741" s="26">
        <f t="shared" si="11"/>
        <v>45689</v>
      </c>
      <c r="I741" s="8" t="str">
        <f>IF($G741="","Uncategorized — Review",IFERROR(_xlfn.XLOOKUP($G741,Mapping!$A:$A,Mapping!$B:$B),"Uncategorized — Review"))</f>
        <v>MAG - Admeer Advisory Reimbursement</v>
      </c>
      <c r="J741" s="8" t="str">
        <f>IF($G741="","Uncategorized — Review",IFERROR(_xlfn.XLOOKUP($G741,Mapping!$A:$A,Mapping!$C:$C),"Uncategorized — Review"))</f>
        <v>MAG Pass-Through</v>
      </c>
    </row>
    <row r="742" spans="1:10" x14ac:dyDescent="0.25">
      <c r="A742" s="8" t="str">
        <f>'2025_Chase9335_Activity_2026062'!A742</f>
        <v>DEBIT</v>
      </c>
      <c r="B742" s="24">
        <f>'2025_Chase9335_Activity_2026062'!B742</f>
        <v>45692</v>
      </c>
      <c r="C742" s="8" t="str">
        <f>'2025_Chase9335_Activity_2026062'!C742</f>
        <v>ONLINE DOMESTIC WIRE FEE</v>
      </c>
      <c r="D742" s="8">
        <f>'2025_Chase9335_Activity_2026062'!D742</f>
        <v>-25</v>
      </c>
      <c r="E742" s="8" t="str">
        <f>'2025_Chase9335_Activity_2026062'!E742</f>
        <v>FEE_TRANSACTION</v>
      </c>
      <c r="F742" s="8">
        <f>'2025_Chase9335_Activity_2026062'!F742</f>
        <v>305354.98</v>
      </c>
      <c r="G742" s="8" t="str">
        <f>'2025_Chase9335_Activity_2026062'!G742</f>
        <v>Bank Fees</v>
      </c>
      <c r="H742" s="26">
        <f t="shared" si="11"/>
        <v>45689</v>
      </c>
      <c r="I742" s="8" t="str">
        <f>IF($G742="","Uncategorized — Review",IFERROR(_xlfn.XLOOKUP($G742,Mapping!$A:$A,Mapping!$B:$B),"Uncategorized — Review"))</f>
        <v>Bank Fees</v>
      </c>
      <c r="J742" s="8" t="str">
        <f>IF($G742="","Uncategorized — Review",IFERROR(_xlfn.XLOOKUP($G742,Mapping!$A:$A,Mapping!$C:$C),"Uncategorized — Review"))</f>
        <v>DWG Operating</v>
      </c>
    </row>
    <row r="743" spans="1:10" x14ac:dyDescent="0.25">
      <c r="A743" s="8" t="str">
        <f>'2025_Chase9335_Activity_2026062'!A743</f>
        <v>DEBIT</v>
      </c>
      <c r="B743" s="24">
        <f>'2025_Chase9335_Activity_2026062'!B743</f>
        <v>45692</v>
      </c>
      <c r="C743" s="8" t="str">
        <f>'2025_Chase9335_Activity_2026062'!C743</f>
        <v>ONLINE DOMESTIC WIRE TRANSFER A/C: ADMEER ADVISORY, LLC DANA POINT CA 92629-3313 US REF: ADVISORY TRN: 3582645035ES 02/04</v>
      </c>
      <c r="D743" s="8">
        <f>'2025_Chase9335_Activity_2026062'!D743</f>
        <v>-10000</v>
      </c>
      <c r="E743" s="8" t="str">
        <f>'2025_Chase9335_Activity_2026062'!E743</f>
        <v>WIRE_OUTGOING</v>
      </c>
      <c r="F743" s="8">
        <f>'2025_Chase9335_Activity_2026062'!F743</f>
        <v>305379.98</v>
      </c>
      <c r="G743" s="8" t="str">
        <f>'2025_Chase9335_Activity_2026062'!G743</f>
        <v>MAG - Admeer Advisory Transfer</v>
      </c>
      <c r="H743" s="26">
        <f t="shared" si="11"/>
        <v>45689</v>
      </c>
      <c r="I743" s="8" t="str">
        <f>IF($G743="","Uncategorized — Review",IFERROR(_xlfn.XLOOKUP($G743,Mapping!$A:$A,Mapping!$B:$B),"Uncategorized — Review"))</f>
        <v>MAG - Admeer Advisory Transfer</v>
      </c>
      <c r="J743" s="8" t="str">
        <f>IF($G743="","Uncategorized — Review",IFERROR(_xlfn.XLOOKUP($G743,Mapping!$A:$A,Mapping!$C:$C),"Uncategorized — Review"))</f>
        <v>MAG Pass-Through</v>
      </c>
    </row>
    <row r="744" spans="1:10" x14ac:dyDescent="0.25">
      <c r="A744" s="8" t="str">
        <f>'2025_Chase9335_Activity_2026062'!A744</f>
        <v>DEBIT</v>
      </c>
      <c r="B744" s="24">
        <f>'2025_Chase9335_Activity_2026062'!B744</f>
        <v>45692</v>
      </c>
      <c r="C744" s="8" t="str">
        <f>'2025_Chase9335_Activity_2026062'!C744</f>
        <v>Prime Video *0W8G00Z4 888-802-3080 WA        02/04</v>
      </c>
      <c r="D744" s="8">
        <f>'2025_Chase9335_Activity_2026062'!D744</f>
        <v>-6.39</v>
      </c>
      <c r="E744" s="8" t="str">
        <f>'2025_Chase9335_Activity_2026062'!E744</f>
        <v>DEBIT_CARD</v>
      </c>
      <c r="F744" s="8">
        <f>'2025_Chase9335_Activity_2026062'!F744</f>
        <v>315379.98</v>
      </c>
      <c r="G744" s="8" t="str">
        <f>'2025_Chase9335_Activity_2026062'!G744</f>
        <v>Amazon Prime Video</v>
      </c>
      <c r="H744" s="26">
        <f t="shared" si="11"/>
        <v>45689</v>
      </c>
      <c r="I744" s="8" t="str">
        <f>IF($G744="","Uncategorized — Review",IFERROR(_xlfn.XLOOKUP($G744,Mapping!$A:$A,Mapping!$B:$B),"Uncategorized — Review"))</f>
        <v>Amazon Prime Video</v>
      </c>
      <c r="J744" s="8" t="str">
        <f>IF($G744="","Uncategorized — Review",IFERROR(_xlfn.XLOOKUP($G744,Mapping!$A:$A,Mapping!$C:$C),"Uncategorized — Review"))</f>
        <v>Personal — Owner</v>
      </c>
    </row>
    <row r="745" spans="1:10" x14ac:dyDescent="0.25">
      <c r="A745" s="8" t="str">
        <f>'2025_Chase9335_Activity_2026062'!A745</f>
        <v>DEBIT</v>
      </c>
      <c r="B745" s="24">
        <f>'2025_Chase9335_Activity_2026062'!B745</f>
        <v>45691</v>
      </c>
      <c r="C745" s="8" t="str">
        <f>'2025_Chase9335_Activity_2026062'!C745</f>
        <v>Online Transfer to CHK ...1168 transaction#: 23608750104 02/03</v>
      </c>
      <c r="D745" s="8">
        <f>'2025_Chase9335_Activity_2026062'!D745</f>
        <v>-10000</v>
      </c>
      <c r="E745" s="8" t="str">
        <f>'2025_Chase9335_Activity_2026062'!E745</f>
        <v>ACCT_XFER</v>
      </c>
      <c r="F745" s="8">
        <f>'2025_Chase9335_Activity_2026062'!F745</f>
        <v>315386.37</v>
      </c>
      <c r="G745" s="8" t="str">
        <f>'2025_Chase9335_Activity_2026062'!G745</f>
        <v>Transfer to DWG Capital Group</v>
      </c>
      <c r="H745" s="26">
        <f t="shared" si="11"/>
        <v>45689</v>
      </c>
      <c r="I745" s="8" t="str">
        <f>IF($G745="","Uncategorized — Review",IFERROR(_xlfn.XLOOKUP($G745,Mapping!$A:$A,Mapping!$B:$B),"Uncategorized — Review"))</f>
        <v>Transfer to DWG Capital Group</v>
      </c>
      <c r="J745" s="8" t="str">
        <f>IF($G745="","Uncategorized — Review",IFERROR(_xlfn.XLOOKUP($G745,Mapping!$A:$A,Mapping!$C:$C),"Uncategorized — Review"))</f>
        <v>Intercompany &amp; Savings Transfers</v>
      </c>
    </row>
    <row r="746" spans="1:10" x14ac:dyDescent="0.25">
      <c r="A746" s="8" t="str">
        <f>'2025_Chase9335_Activity_2026062'!A746</f>
        <v>DEBIT</v>
      </c>
      <c r="B746" s="24">
        <f>'2025_Chase9335_Activity_2026062'!B746</f>
        <v>45691</v>
      </c>
      <c r="C746" s="8" t="str">
        <f>'2025_Chase9335_Activity_2026062'!C746</f>
        <v>Prime Video *ZC5AO2Q7 888-802-3080 WA        02/02</v>
      </c>
      <c r="D746" s="8">
        <f>'2025_Chase9335_Activity_2026062'!D746</f>
        <v>-6.39</v>
      </c>
      <c r="E746" s="8" t="str">
        <f>'2025_Chase9335_Activity_2026062'!E746</f>
        <v>DEBIT_CARD</v>
      </c>
      <c r="F746" s="8">
        <f>'2025_Chase9335_Activity_2026062'!F746</f>
        <v>325386.37</v>
      </c>
      <c r="G746" s="8" t="str">
        <f>'2025_Chase9335_Activity_2026062'!G746</f>
        <v>Amazon Prime Video</v>
      </c>
      <c r="H746" s="26">
        <f t="shared" si="11"/>
        <v>45689</v>
      </c>
      <c r="I746" s="8" t="str">
        <f>IF($G746="","Uncategorized — Review",IFERROR(_xlfn.XLOOKUP($G746,Mapping!$A:$A,Mapping!$B:$B),"Uncategorized — Review"))</f>
        <v>Amazon Prime Video</v>
      </c>
      <c r="J746" s="8" t="str">
        <f>IF($G746="","Uncategorized — Review",IFERROR(_xlfn.XLOOKUP($G746,Mapping!$A:$A,Mapping!$C:$C),"Uncategorized — Review"))</f>
        <v>Personal — Owner</v>
      </c>
    </row>
    <row r="747" spans="1:10" x14ac:dyDescent="0.25">
      <c r="A747" s="8" t="str">
        <f>'2025_Chase9335_Activity_2026062'!A747</f>
        <v>DEBIT</v>
      </c>
      <c r="B747" s="24">
        <f>'2025_Chase9335_Activity_2026062'!B747</f>
        <v>45691</v>
      </c>
      <c r="C747" s="8" t="str">
        <f>'2025_Chase9335_Activity_2026062'!C747</f>
        <v>VENMO  *PRAGERUNIVE 8558124430 CA            02/01</v>
      </c>
      <c r="D747" s="8">
        <f>'2025_Chase9335_Activity_2026062'!D747</f>
        <v>-21.27</v>
      </c>
      <c r="E747" s="8" t="str">
        <f>'2025_Chase9335_Activity_2026062'!E747</f>
        <v>DEBIT_CARD</v>
      </c>
      <c r="F747" s="8">
        <f>'2025_Chase9335_Activity_2026062'!F747</f>
        <v>325392.76</v>
      </c>
      <c r="G747" s="8" t="str">
        <f>'2025_Chase9335_Activity_2026062'!G747</f>
        <v>Personal - Subscriptions</v>
      </c>
      <c r="H747" s="26">
        <f t="shared" si="11"/>
        <v>45689</v>
      </c>
      <c r="I747" s="8" t="str">
        <f>IF($G747="","Uncategorized — Review",IFERROR(_xlfn.XLOOKUP($G747,Mapping!$A:$A,Mapping!$B:$B),"Uncategorized — Review"))</f>
        <v>Personal - Subscriptions</v>
      </c>
      <c r="J747" s="8" t="str">
        <f>IF($G747="","Uncategorized — Review",IFERROR(_xlfn.XLOOKUP($G747,Mapping!$A:$A,Mapping!$C:$C),"Uncategorized — Review"))</f>
        <v>Personal — Owner</v>
      </c>
    </row>
    <row r="748" spans="1:10" x14ac:dyDescent="0.25">
      <c r="A748" s="8" t="str">
        <f>'2025_Chase9335_Activity_2026062'!A748</f>
        <v>DEBIT</v>
      </c>
      <c r="B748" s="24">
        <f>'2025_Chase9335_Activity_2026062'!B748</f>
        <v>45687</v>
      </c>
      <c r="C748" s="8" t="str">
        <f>'2025_Chase9335_Activity_2026062'!C748</f>
        <v>Online Transfer to CHK ...1168 transaction#: 23551739213 01/30</v>
      </c>
      <c r="D748" s="8">
        <f>'2025_Chase9335_Activity_2026062'!D748</f>
        <v>-10000</v>
      </c>
      <c r="E748" s="8" t="str">
        <f>'2025_Chase9335_Activity_2026062'!E748</f>
        <v>ACCT_XFER</v>
      </c>
      <c r="F748" s="8">
        <f>'2025_Chase9335_Activity_2026062'!F748</f>
        <v>325414.03000000003</v>
      </c>
      <c r="G748" s="8" t="str">
        <f>'2025_Chase9335_Activity_2026062'!G748</f>
        <v>Transfer to DWG Capital Group</v>
      </c>
      <c r="H748" s="26">
        <f t="shared" si="11"/>
        <v>45658</v>
      </c>
      <c r="I748" s="8" t="str">
        <f>IF($G748="","Uncategorized — Review",IFERROR(_xlfn.XLOOKUP($G748,Mapping!$A:$A,Mapping!$B:$B),"Uncategorized — Review"))</f>
        <v>Transfer to DWG Capital Group</v>
      </c>
      <c r="J748" s="8" t="str">
        <f>IF($G748="","Uncategorized — Review",IFERROR(_xlfn.XLOOKUP($G748,Mapping!$A:$A,Mapping!$C:$C),"Uncategorized — Review"))</f>
        <v>Intercompany &amp; Savings Transfers</v>
      </c>
    </row>
    <row r="749" spans="1:10" x14ac:dyDescent="0.25">
      <c r="A749" s="8" t="str">
        <f>'2025_Chase9335_Activity_2026062'!A749</f>
        <v>DEBIT</v>
      </c>
      <c r="B749" s="24">
        <f>'2025_Chase9335_Activity_2026062'!B749</f>
        <v>45686</v>
      </c>
      <c r="C749" s="8" t="str">
        <f>'2025_Chase9335_Activity_2026062'!C749</f>
        <v>APPLE COM BILL CUPERTINO CA          479868  01/29</v>
      </c>
      <c r="D749" s="8">
        <f>'2025_Chase9335_Activity_2026062'!D749</f>
        <v>-20.56</v>
      </c>
      <c r="E749" s="8" t="str">
        <f>'2025_Chase9335_Activity_2026062'!E749</f>
        <v>DEBIT_CARD</v>
      </c>
      <c r="F749" s="8">
        <f>'2025_Chase9335_Activity_2026062'!F749</f>
        <v>335414.03000000003</v>
      </c>
      <c r="G749" s="8" t="str">
        <f>'2025_Chase9335_Activity_2026062'!G749</f>
        <v>Personal - Subscriptions</v>
      </c>
      <c r="H749" s="26">
        <f t="shared" si="11"/>
        <v>45658</v>
      </c>
      <c r="I749" s="8" t="str">
        <f>IF($G749="","Uncategorized — Review",IFERROR(_xlfn.XLOOKUP($G749,Mapping!$A:$A,Mapping!$B:$B),"Uncategorized — Review"))</f>
        <v>Personal - Subscriptions</v>
      </c>
      <c r="J749" s="8" t="str">
        <f>IF($G749="","Uncategorized — Review",IFERROR(_xlfn.XLOOKUP($G749,Mapping!$A:$A,Mapping!$C:$C),"Uncategorized — Review"))</f>
        <v>Personal — Owner</v>
      </c>
    </row>
    <row r="750" spans="1:10" x14ac:dyDescent="0.25">
      <c r="A750" s="8" t="str">
        <f>'2025_Chase9335_Activity_2026062'!A750</f>
        <v>DEBIT</v>
      </c>
      <c r="B750" s="24">
        <f>'2025_Chase9335_Activity_2026062'!B750</f>
        <v>45685</v>
      </c>
      <c r="C750" s="8" t="str">
        <f>'2025_Chase9335_Activity_2026062'!C750</f>
        <v>ORIG CO NAME:AMERICAN EXPRESS       ORIG ID:2005032111 DESC DATE:250128 CO ENTRY DESCR:ACH PMT   SEC:CCD    TRACE#:021000024926207 EED:250128   IND ID:W2166                        IND NAME:JOHN DUNNING                                                                                                 ER AM TRN: 0284926207TC</v>
      </c>
      <c r="D750" s="8">
        <f>'2025_Chase9335_Activity_2026062'!D750</f>
        <v>-26459.41</v>
      </c>
      <c r="E750" s="8" t="str">
        <f>'2025_Chase9335_Activity_2026062'!E750</f>
        <v>ACH_DEBIT</v>
      </c>
      <c r="F750" s="8">
        <f>'2025_Chase9335_Activity_2026062'!F750</f>
        <v>335434.59000000003</v>
      </c>
      <c r="G750" s="8" t="str">
        <f>'2025_Chase9335_Activity_2026062'!G750</f>
        <v>American Express Credit Card PMT</v>
      </c>
      <c r="H750" s="26">
        <f t="shared" si="11"/>
        <v>45658</v>
      </c>
      <c r="I750" s="8" t="str">
        <f>IF($G750="","Uncategorized — Review",IFERROR(_xlfn.XLOOKUP($G750,Mapping!$A:$A,Mapping!$B:$B),"Uncategorized — Review"))</f>
        <v>American Express Credit Card PMT</v>
      </c>
      <c r="J750" s="8" t="str">
        <f>IF($G750="","Uncategorized — Review",IFERROR(_xlfn.XLOOKUP($G750,Mapping!$A:$A,Mapping!$C:$C),"Uncategorized — Review"))</f>
        <v>Credit Card &amp; Loan Payments</v>
      </c>
    </row>
    <row r="751" spans="1:10" x14ac:dyDescent="0.25">
      <c r="A751" s="8" t="str">
        <f>'2025_Chase9335_Activity_2026062'!A751</f>
        <v>DEBIT</v>
      </c>
      <c r="B751" s="24">
        <f>'2025_Chase9335_Activity_2026062'!B751</f>
        <v>45685</v>
      </c>
      <c r="C751" s="8" t="str">
        <f>'2025_Chase9335_Activity_2026062'!C751</f>
        <v>APPLE COM BILL CUPERTINO CA          015837  01/28</v>
      </c>
      <c r="D751" s="8">
        <f>'2025_Chase9335_Activity_2026062'!D751</f>
        <v>-20.239999999999998</v>
      </c>
      <c r="E751" s="8" t="str">
        <f>'2025_Chase9335_Activity_2026062'!E751</f>
        <v>DEBIT_CARD</v>
      </c>
      <c r="F751" s="8">
        <f>'2025_Chase9335_Activity_2026062'!F751</f>
        <v>361894</v>
      </c>
      <c r="G751" s="8" t="str">
        <f>'2025_Chase9335_Activity_2026062'!G751</f>
        <v>Personal - Subscriptions</v>
      </c>
      <c r="H751" s="26">
        <f t="shared" si="11"/>
        <v>45658</v>
      </c>
      <c r="I751" s="8" t="str">
        <f>IF($G751="","Uncategorized — Review",IFERROR(_xlfn.XLOOKUP($G751,Mapping!$A:$A,Mapping!$B:$B),"Uncategorized — Review"))</f>
        <v>Personal - Subscriptions</v>
      </c>
      <c r="J751" s="8" t="str">
        <f>IF($G751="","Uncategorized — Review",IFERROR(_xlfn.XLOOKUP($G751,Mapping!$A:$A,Mapping!$C:$C),"Uncategorized — Review"))</f>
        <v>Personal — Owner</v>
      </c>
    </row>
    <row r="752" spans="1:10" x14ac:dyDescent="0.25">
      <c r="A752" s="8" t="str">
        <f>'2025_Chase9335_Activity_2026062'!A752</f>
        <v>DEBIT</v>
      </c>
      <c r="B752" s="24">
        <f>'2025_Chase9335_Activity_2026062'!B752</f>
        <v>45685</v>
      </c>
      <c r="C752" s="8" t="str">
        <f>'2025_Chase9335_Activity_2026062'!C752</f>
        <v>ORIG CO NAME:AMERICAN EXPRESS       ORIG ID:2005032111 DESC DATE:250128 CO ENTRY DESCR:ACH PMT   SEC:CCD    TRACE#:021000027389476 EED:250128   IND ID:W8478                        IND NAME:JOHN DUNNING                                                                                                 ER AM TRN: 0287389476TC</v>
      </c>
      <c r="D752" s="8">
        <f>'2025_Chase9335_Activity_2026062'!D752</f>
        <v>-1000</v>
      </c>
      <c r="E752" s="8" t="str">
        <f>'2025_Chase9335_Activity_2026062'!E752</f>
        <v>ACH_DEBIT</v>
      </c>
      <c r="F752" s="8">
        <f>'2025_Chase9335_Activity_2026062'!F752</f>
        <v>361914.24</v>
      </c>
      <c r="G752" s="8" t="str">
        <f>'2025_Chase9335_Activity_2026062'!G752</f>
        <v>American Express Credit Card PMT</v>
      </c>
      <c r="H752" s="26">
        <f t="shared" si="11"/>
        <v>45658</v>
      </c>
      <c r="I752" s="8" t="str">
        <f>IF($G752="","Uncategorized — Review",IFERROR(_xlfn.XLOOKUP($G752,Mapping!$A:$A,Mapping!$B:$B),"Uncategorized — Review"))</f>
        <v>American Express Credit Card PMT</v>
      </c>
      <c r="J752" s="8" t="str">
        <f>IF($G752="","Uncategorized — Review",IFERROR(_xlfn.XLOOKUP($G752,Mapping!$A:$A,Mapping!$C:$C),"Uncategorized — Review"))</f>
        <v>Credit Card &amp; Loan Payments</v>
      </c>
    </row>
    <row r="753" spans="1:10" x14ac:dyDescent="0.25">
      <c r="A753" s="8" t="str">
        <f>'2025_Chase9335_Activity_2026062'!A753</f>
        <v>DEBIT</v>
      </c>
      <c r="B753" s="24">
        <f>'2025_Chase9335_Activity_2026062'!B753</f>
        <v>45685</v>
      </c>
      <c r="C753" s="8" t="str">
        <f>'2025_Chase9335_Activity_2026062'!C753</f>
        <v>APPLE COM BILL CUPERTINO CA          261572  01/28</v>
      </c>
      <c r="D753" s="8">
        <f>'2025_Chase9335_Activity_2026062'!D753</f>
        <v>-15.98</v>
      </c>
      <c r="E753" s="8" t="str">
        <f>'2025_Chase9335_Activity_2026062'!E753</f>
        <v>DEBIT_CARD</v>
      </c>
      <c r="F753" s="8">
        <f>'2025_Chase9335_Activity_2026062'!F753</f>
        <v>362914.24</v>
      </c>
      <c r="G753" s="8" t="str">
        <f>'2025_Chase9335_Activity_2026062'!G753</f>
        <v>Personal - Subscriptions</v>
      </c>
      <c r="H753" s="26">
        <f t="shared" si="11"/>
        <v>45658</v>
      </c>
      <c r="I753" s="8" t="str">
        <f>IF($G753="","Uncategorized — Review",IFERROR(_xlfn.XLOOKUP($G753,Mapping!$A:$A,Mapping!$B:$B),"Uncategorized — Review"))</f>
        <v>Personal - Subscriptions</v>
      </c>
      <c r="J753" s="8" t="str">
        <f>IF($G753="","Uncategorized — Review",IFERROR(_xlfn.XLOOKUP($G753,Mapping!$A:$A,Mapping!$C:$C),"Uncategorized — Review"))</f>
        <v>Personal — Owner</v>
      </c>
    </row>
    <row r="754" spans="1:10" x14ac:dyDescent="0.25">
      <c r="A754" s="8" t="str">
        <f>'2025_Chase9335_Activity_2026062'!A754</f>
        <v>DEBIT</v>
      </c>
      <c r="B754" s="24">
        <f>'2025_Chase9335_Activity_2026062'!B754</f>
        <v>45684</v>
      </c>
      <c r="C754" s="8" t="str">
        <f>'2025_Chase9335_Activity_2026062'!C754</f>
        <v>Online Transfer to CHK ...1168 transaction#: 23523543484 01/27</v>
      </c>
      <c r="D754" s="8">
        <f>'2025_Chase9335_Activity_2026062'!D754</f>
        <v>-20000</v>
      </c>
      <c r="E754" s="8" t="str">
        <f>'2025_Chase9335_Activity_2026062'!E754</f>
        <v>ACCT_XFER</v>
      </c>
      <c r="F754" s="8">
        <f>'2025_Chase9335_Activity_2026062'!F754</f>
        <v>362930.22</v>
      </c>
      <c r="G754" s="8" t="str">
        <f>'2025_Chase9335_Activity_2026062'!G754</f>
        <v>Transfer to DWG Capital Group</v>
      </c>
      <c r="H754" s="26">
        <f t="shared" si="11"/>
        <v>45658</v>
      </c>
      <c r="I754" s="8" t="str">
        <f>IF($G754="","Uncategorized — Review",IFERROR(_xlfn.XLOOKUP($G754,Mapping!$A:$A,Mapping!$B:$B),"Uncategorized — Review"))</f>
        <v>Transfer to DWG Capital Group</v>
      </c>
      <c r="J754" s="8" t="str">
        <f>IF($G754="","Uncategorized — Review",IFERROR(_xlfn.XLOOKUP($G754,Mapping!$A:$A,Mapping!$C:$C),"Uncategorized — Review"))</f>
        <v>Intercompany &amp; Savings Transfers</v>
      </c>
    </row>
    <row r="755" spans="1:10" x14ac:dyDescent="0.25">
      <c r="A755" s="8" t="str">
        <f>'2025_Chase9335_Activity_2026062'!A755</f>
        <v>DEBIT</v>
      </c>
      <c r="B755" s="24">
        <f>'2025_Chase9335_Activity_2026062'!B755</f>
        <v>45684</v>
      </c>
      <c r="C755" s="8" t="str">
        <f>'2025_Chase9335_Activity_2026062'!C755</f>
        <v>APPLE COM BILL CUPERTINO CA          054888  01/25</v>
      </c>
      <c r="D755" s="8">
        <f>'2025_Chase9335_Activity_2026062'!D755</f>
        <v>-20.239999999999998</v>
      </c>
      <c r="E755" s="8" t="str">
        <f>'2025_Chase9335_Activity_2026062'!E755</f>
        <v>DEBIT_CARD</v>
      </c>
      <c r="F755" s="8">
        <f>'2025_Chase9335_Activity_2026062'!F755</f>
        <v>382930.22</v>
      </c>
      <c r="G755" s="8" t="str">
        <f>'2025_Chase9335_Activity_2026062'!G755</f>
        <v>Personal - Subscriptions</v>
      </c>
      <c r="H755" s="26">
        <f t="shared" si="11"/>
        <v>45658</v>
      </c>
      <c r="I755" s="8" t="str">
        <f>IF($G755="","Uncategorized — Review",IFERROR(_xlfn.XLOOKUP($G755,Mapping!$A:$A,Mapping!$B:$B),"Uncategorized — Review"))</f>
        <v>Personal - Subscriptions</v>
      </c>
      <c r="J755" s="8" t="str">
        <f>IF($G755="","Uncategorized — Review",IFERROR(_xlfn.XLOOKUP($G755,Mapping!$A:$A,Mapping!$C:$C),"Uncategorized — Review"))</f>
        <v>Personal — Owner</v>
      </c>
    </row>
    <row r="756" spans="1:10" x14ac:dyDescent="0.25">
      <c r="A756" s="8" t="str">
        <f>'2025_Chase9335_Activity_2026062'!A756</f>
        <v>CREDIT</v>
      </c>
      <c r="B756" s="24">
        <f>'2025_Chase9335_Activity_2026062'!B756</f>
        <v>45679</v>
      </c>
      <c r="C756" s="8" t="str">
        <f>'2025_Chase9335_Activity_2026062'!C756</f>
        <v>BOOK TRANSFER B/O: MITCHELL ASSET GROUP INC DALLAS TX 75219-3928 US REF: MARKETING REIMBURSEMENT TRN: 1363700022ES</v>
      </c>
      <c r="D756" s="8">
        <f>'2025_Chase9335_Activity_2026062'!D756</f>
        <v>5000</v>
      </c>
      <c r="E756" s="8" t="str">
        <f>'2025_Chase9335_Activity_2026062'!E756</f>
        <v>WIRE_INCOMING</v>
      </c>
      <c r="F756" s="8">
        <f>'2025_Chase9335_Activity_2026062'!F756</f>
        <v>382950.46</v>
      </c>
      <c r="G756" s="8" t="str">
        <f>'2025_Chase9335_Activity_2026062'!G756</f>
        <v>MAG - Admeer Advisory Reimbursement</v>
      </c>
      <c r="H756" s="26">
        <f t="shared" si="11"/>
        <v>45658</v>
      </c>
      <c r="I756" s="8" t="str">
        <f>IF($G756="","Uncategorized — Review",IFERROR(_xlfn.XLOOKUP($G756,Mapping!$A:$A,Mapping!$B:$B),"Uncategorized — Review"))</f>
        <v>MAG - Admeer Advisory Reimbursement</v>
      </c>
      <c r="J756" s="8" t="str">
        <f>IF($G756="","Uncategorized — Review",IFERROR(_xlfn.XLOOKUP($G756,Mapping!$A:$A,Mapping!$C:$C),"Uncategorized — Review"))</f>
        <v>MAG Pass-Through</v>
      </c>
    </row>
    <row r="757" spans="1:10" x14ac:dyDescent="0.25">
      <c r="A757" s="8" t="str">
        <f>'2025_Chase9335_Activity_2026062'!A757</f>
        <v>DEBIT</v>
      </c>
      <c r="B757" s="24">
        <f>'2025_Chase9335_Activity_2026062'!B757</f>
        <v>45678</v>
      </c>
      <c r="C757" s="8" t="str">
        <f>'2025_Chase9335_Activity_2026062'!C757</f>
        <v>APPLE COM BILL CUPERTINO CA          035811  01/21</v>
      </c>
      <c r="D757" s="8">
        <f>'2025_Chase9335_Activity_2026062'!D757</f>
        <v>-15.98</v>
      </c>
      <c r="E757" s="8" t="str">
        <f>'2025_Chase9335_Activity_2026062'!E757</f>
        <v>DEBIT_CARD</v>
      </c>
      <c r="F757" s="8">
        <f>'2025_Chase9335_Activity_2026062'!F757</f>
        <v>377950.46</v>
      </c>
      <c r="G757" s="8" t="str">
        <f>'2025_Chase9335_Activity_2026062'!G757</f>
        <v>Personal - Subscriptions</v>
      </c>
      <c r="H757" s="26">
        <f t="shared" si="11"/>
        <v>45658</v>
      </c>
      <c r="I757" s="8" t="str">
        <f>IF($G757="","Uncategorized — Review",IFERROR(_xlfn.XLOOKUP($G757,Mapping!$A:$A,Mapping!$B:$B),"Uncategorized — Review"))</f>
        <v>Personal - Subscriptions</v>
      </c>
      <c r="J757" s="8" t="str">
        <f>IF($G757="","Uncategorized — Review",IFERROR(_xlfn.XLOOKUP($G757,Mapping!$A:$A,Mapping!$C:$C),"Uncategorized — Review"))</f>
        <v>Personal — Owner</v>
      </c>
    </row>
    <row r="758" spans="1:10" x14ac:dyDescent="0.25">
      <c r="A758" s="8" t="str">
        <f>'2025_Chase9335_Activity_2026062'!A758</f>
        <v>DEBIT</v>
      </c>
      <c r="B758" s="24">
        <f>'2025_Chase9335_Activity_2026062'!B758</f>
        <v>45678</v>
      </c>
      <c r="C758" s="8" t="str">
        <f>'2025_Chase9335_Activity_2026062'!C758</f>
        <v>Netflix 1 8445052993 CA                      01/21</v>
      </c>
      <c r="D758" s="8">
        <f>'2025_Chase9335_Activity_2026062'!D758</f>
        <v>-22.99</v>
      </c>
      <c r="E758" s="8" t="str">
        <f>'2025_Chase9335_Activity_2026062'!E758</f>
        <v>DEBIT_CARD</v>
      </c>
      <c r="F758" s="8">
        <f>'2025_Chase9335_Activity_2026062'!F758</f>
        <v>377966.44</v>
      </c>
      <c r="G758" s="8" t="str">
        <f>'2025_Chase9335_Activity_2026062'!G758</f>
        <v>Personal - Subscriptions</v>
      </c>
      <c r="H758" s="26">
        <f t="shared" si="11"/>
        <v>45658</v>
      </c>
      <c r="I758" s="8" t="str">
        <f>IF($G758="","Uncategorized — Review",IFERROR(_xlfn.XLOOKUP($G758,Mapping!$A:$A,Mapping!$B:$B),"Uncategorized — Review"))</f>
        <v>Personal - Subscriptions</v>
      </c>
      <c r="J758" s="8" t="str">
        <f>IF($G758="","Uncategorized — Review",IFERROR(_xlfn.XLOOKUP($G758,Mapping!$A:$A,Mapping!$C:$C),"Uncategorized — Review"))</f>
        <v>Personal — Owner</v>
      </c>
    </row>
    <row r="759" spans="1:10" x14ac:dyDescent="0.25">
      <c r="A759" s="8" t="str">
        <f>'2025_Chase9335_Activity_2026062'!A759</f>
        <v>DEBIT</v>
      </c>
      <c r="B759" s="24">
        <f>'2025_Chase9335_Activity_2026062'!B759</f>
        <v>45678</v>
      </c>
      <c r="C759" s="8" t="str">
        <f>'2025_Chase9335_Activity_2026062'!C759</f>
        <v>Prime Video *ZC4A80FH 888-802-3080 WA        01/20</v>
      </c>
      <c r="D759" s="8">
        <f>'2025_Chase9335_Activity_2026062'!D759</f>
        <v>-4.26</v>
      </c>
      <c r="E759" s="8" t="str">
        <f>'2025_Chase9335_Activity_2026062'!E759</f>
        <v>DEBIT_CARD</v>
      </c>
      <c r="F759" s="8">
        <f>'2025_Chase9335_Activity_2026062'!F759</f>
        <v>377989.43</v>
      </c>
      <c r="G759" s="8" t="str">
        <f>'2025_Chase9335_Activity_2026062'!G759</f>
        <v>Amazon Prime Video</v>
      </c>
      <c r="H759" s="26">
        <f t="shared" si="11"/>
        <v>45658</v>
      </c>
      <c r="I759" s="8" t="str">
        <f>IF($G759="","Uncategorized — Review",IFERROR(_xlfn.XLOOKUP($G759,Mapping!$A:$A,Mapping!$B:$B),"Uncategorized — Review"))</f>
        <v>Amazon Prime Video</v>
      </c>
      <c r="J759" s="8" t="str">
        <f>IF($G759="","Uncategorized — Review",IFERROR(_xlfn.XLOOKUP($G759,Mapping!$A:$A,Mapping!$C:$C),"Uncategorized — Review"))</f>
        <v>Personal — Owner</v>
      </c>
    </row>
    <row r="760" spans="1:10" x14ac:dyDescent="0.25">
      <c r="A760" s="8" t="str">
        <f>'2025_Chase9335_Activity_2026062'!A760</f>
        <v>DEBIT</v>
      </c>
      <c r="B760" s="24">
        <f>'2025_Chase9335_Activity_2026062'!B760</f>
        <v>45678</v>
      </c>
      <c r="C760" s="8" t="str">
        <f>'2025_Chase9335_Activity_2026062'!C760</f>
        <v>Prime Video *Z50A351X 888-802-3080 WA        01/19</v>
      </c>
      <c r="D760" s="8">
        <f>'2025_Chase9335_Activity_2026062'!D760</f>
        <v>-4.26</v>
      </c>
      <c r="E760" s="8" t="str">
        <f>'2025_Chase9335_Activity_2026062'!E760</f>
        <v>DEBIT_CARD</v>
      </c>
      <c r="F760" s="8">
        <f>'2025_Chase9335_Activity_2026062'!F760</f>
        <v>377993.69</v>
      </c>
      <c r="G760" s="8" t="str">
        <f>'2025_Chase9335_Activity_2026062'!G760</f>
        <v>Amazon Prime Video</v>
      </c>
      <c r="H760" s="26">
        <f t="shared" si="11"/>
        <v>45658</v>
      </c>
      <c r="I760" s="8" t="str">
        <f>IF($G760="","Uncategorized — Review",IFERROR(_xlfn.XLOOKUP($G760,Mapping!$A:$A,Mapping!$B:$B),"Uncategorized — Review"))</f>
        <v>Amazon Prime Video</v>
      </c>
      <c r="J760" s="8" t="str">
        <f>IF($G760="","Uncategorized — Review",IFERROR(_xlfn.XLOOKUP($G760,Mapping!$A:$A,Mapping!$C:$C),"Uncategorized — Review"))</f>
        <v>Personal — Owner</v>
      </c>
    </row>
    <row r="761" spans="1:10" x14ac:dyDescent="0.25">
      <c r="A761" s="8" t="str">
        <f>'2025_Chase9335_Activity_2026062'!A761</f>
        <v>DEBIT</v>
      </c>
      <c r="B761" s="24">
        <f>'2025_Chase9335_Activity_2026062'!B761</f>
        <v>45678</v>
      </c>
      <c r="C761" s="8" t="str">
        <f>'2025_Chase9335_Activity_2026062'!C761</f>
        <v>AMAZON DIGI* Z573G63 HTTPSWWW.LINK WA        01/18</v>
      </c>
      <c r="D761" s="8">
        <f>'2025_Chase9335_Activity_2026062'!D761</f>
        <v>-4.05</v>
      </c>
      <c r="E761" s="8" t="str">
        <f>'2025_Chase9335_Activity_2026062'!E761</f>
        <v>DEBIT_CARD</v>
      </c>
      <c r="F761" s="8">
        <f>'2025_Chase9335_Activity_2026062'!F761</f>
        <v>377997.95</v>
      </c>
      <c r="G761" s="8" t="str">
        <f>'2025_Chase9335_Activity_2026062'!G761</f>
        <v>Amazon Prime Video</v>
      </c>
      <c r="H761" s="26">
        <f t="shared" si="11"/>
        <v>45658</v>
      </c>
      <c r="I761" s="8" t="str">
        <f>IF($G761="","Uncategorized — Review",IFERROR(_xlfn.XLOOKUP($G761,Mapping!$A:$A,Mapping!$B:$B),"Uncategorized — Review"))</f>
        <v>Amazon Prime Video</v>
      </c>
      <c r="J761" s="8" t="str">
        <f>IF($G761="","Uncategorized — Review",IFERROR(_xlfn.XLOOKUP($G761,Mapping!$A:$A,Mapping!$C:$C),"Uncategorized — Review"))</f>
        <v>Personal — Owner</v>
      </c>
    </row>
    <row r="762" spans="1:10" x14ac:dyDescent="0.25">
      <c r="A762" s="8" t="str">
        <f>'2025_Chase9335_Activity_2026062'!A762</f>
        <v>DEBIT</v>
      </c>
      <c r="B762" s="24">
        <f>'2025_Chase9335_Activity_2026062'!B762</f>
        <v>45678</v>
      </c>
      <c r="C762" s="8" t="str">
        <f>'2025_Chase9335_Activity_2026062'!C762</f>
        <v>AMAZON DIGI* Z550Q3N HTTPSWWW.LINK WA        01/17</v>
      </c>
      <c r="D762" s="8">
        <f>'2025_Chase9335_Activity_2026062'!D762</f>
        <v>-3.83</v>
      </c>
      <c r="E762" s="8" t="str">
        <f>'2025_Chase9335_Activity_2026062'!E762</f>
        <v>DEBIT_CARD</v>
      </c>
      <c r="F762" s="8">
        <f>'2025_Chase9335_Activity_2026062'!F762</f>
        <v>378002</v>
      </c>
      <c r="G762" s="8" t="str">
        <f>'2025_Chase9335_Activity_2026062'!G762</f>
        <v>Amazon Prime Video</v>
      </c>
      <c r="H762" s="26">
        <f t="shared" si="11"/>
        <v>45658</v>
      </c>
      <c r="I762" s="8" t="str">
        <f>IF($G762="","Uncategorized — Review",IFERROR(_xlfn.XLOOKUP($G762,Mapping!$A:$A,Mapping!$B:$B),"Uncategorized — Review"))</f>
        <v>Amazon Prime Video</v>
      </c>
      <c r="J762" s="8" t="str">
        <f>IF($G762="","Uncategorized — Review",IFERROR(_xlfn.XLOOKUP($G762,Mapping!$A:$A,Mapping!$C:$C),"Uncategorized — Review"))</f>
        <v>Personal — Owner</v>
      </c>
    </row>
    <row r="763" spans="1:10" x14ac:dyDescent="0.25">
      <c r="A763" s="8" t="str">
        <f>'2025_Chase9335_Activity_2026062'!A763</f>
        <v>DEBIT</v>
      </c>
      <c r="B763" s="24">
        <f>'2025_Chase9335_Activity_2026062'!B763</f>
        <v>45673</v>
      </c>
      <c r="C763" s="8" t="str">
        <f>'2025_Chase9335_Activity_2026062'!C763</f>
        <v>Audible*ZD8VH0WU1 Amzn.com/bill NJ           01/16</v>
      </c>
      <c r="D763" s="8">
        <f>'2025_Chase9335_Activity_2026062'!D763</f>
        <v>-16.18</v>
      </c>
      <c r="E763" s="8" t="str">
        <f>'2025_Chase9335_Activity_2026062'!E763</f>
        <v>DEBIT_CARD</v>
      </c>
      <c r="F763" s="8">
        <f>'2025_Chase9335_Activity_2026062'!F763</f>
        <v>378005.83</v>
      </c>
      <c r="G763" s="8" t="str">
        <f>'2025_Chase9335_Activity_2026062'!G763</f>
        <v>Amazon</v>
      </c>
      <c r="H763" s="26">
        <f t="shared" si="11"/>
        <v>45658</v>
      </c>
      <c r="I763" s="8" t="str">
        <f>IF($G763="","Uncategorized — Review",IFERROR(_xlfn.XLOOKUP($G763,Mapping!$A:$A,Mapping!$B:$B),"Uncategorized — Review"))</f>
        <v>Amazon</v>
      </c>
      <c r="J763" s="8" t="str">
        <f>IF($G763="","Uncategorized — Review",IFERROR(_xlfn.XLOOKUP($G763,Mapping!$A:$A,Mapping!$C:$C),"Uncategorized — Review"))</f>
        <v>Personal — Owner</v>
      </c>
    </row>
    <row r="764" spans="1:10" x14ac:dyDescent="0.25">
      <c r="A764" s="8" t="str">
        <f>'2025_Chase9335_Activity_2026062'!A764</f>
        <v>DEBIT</v>
      </c>
      <c r="B764" s="24">
        <f>'2025_Chase9335_Activity_2026062'!B764</f>
        <v>45672</v>
      </c>
      <c r="C764" s="8" t="str">
        <f>'2025_Chase9335_Activity_2026062'!C764</f>
        <v>ONLINE DOMESTIC WIRE FEE</v>
      </c>
      <c r="D764" s="8">
        <f>'2025_Chase9335_Activity_2026062'!D764</f>
        <v>-25</v>
      </c>
      <c r="E764" s="8" t="str">
        <f>'2025_Chase9335_Activity_2026062'!E764</f>
        <v>FEE_TRANSACTION</v>
      </c>
      <c r="F764" s="8">
        <f>'2025_Chase9335_Activity_2026062'!F764</f>
        <v>378022.01</v>
      </c>
      <c r="G764" s="8" t="str">
        <f>'2025_Chase9335_Activity_2026062'!G764</f>
        <v>Bank Fees</v>
      </c>
      <c r="H764" s="26">
        <f t="shared" si="11"/>
        <v>45658</v>
      </c>
      <c r="I764" s="8" t="str">
        <f>IF($G764="","Uncategorized — Review",IFERROR(_xlfn.XLOOKUP($G764,Mapping!$A:$A,Mapping!$B:$B),"Uncategorized — Review"))</f>
        <v>Bank Fees</v>
      </c>
      <c r="J764" s="8" t="str">
        <f>IF($G764="","Uncategorized — Review",IFERROR(_xlfn.XLOOKUP($G764,Mapping!$A:$A,Mapping!$C:$C),"Uncategorized — Review"))</f>
        <v>DWG Operating</v>
      </c>
    </row>
    <row r="765" spans="1:10" x14ac:dyDescent="0.25">
      <c r="A765" s="8" t="str">
        <f>'2025_Chase9335_Activity_2026062'!A765</f>
        <v>DEBIT</v>
      </c>
      <c r="B765" s="24">
        <f>'2025_Chase9335_Activity_2026062'!B765</f>
        <v>45672</v>
      </c>
      <c r="C765" s="8" t="str">
        <f>'2025_Chase9335_Activity_2026062'!C765</f>
        <v>ONLINE DOMESTIC WIRE TRANSFER A/C: ADMEER ADVISORY, LLC DANA POINT CA 92629-3313 US REF: CANDY BARS TRN: 3557045015ES 01/15</v>
      </c>
      <c r="D765" s="8">
        <f>'2025_Chase9335_Activity_2026062'!D765</f>
        <v>-9950</v>
      </c>
      <c r="E765" s="8" t="str">
        <f>'2025_Chase9335_Activity_2026062'!E765</f>
        <v>WIRE_OUTGOING</v>
      </c>
      <c r="F765" s="8">
        <f>'2025_Chase9335_Activity_2026062'!F765</f>
        <v>378047.01</v>
      </c>
      <c r="G765" s="8" t="str">
        <f>'2025_Chase9335_Activity_2026062'!G765</f>
        <v>MAG - Admeer Advisory Transfer</v>
      </c>
      <c r="H765" s="26">
        <f t="shared" si="11"/>
        <v>45658</v>
      </c>
      <c r="I765" s="8" t="str">
        <f>IF($G765="","Uncategorized — Review",IFERROR(_xlfn.XLOOKUP($G765,Mapping!$A:$A,Mapping!$B:$B),"Uncategorized — Review"))</f>
        <v>MAG - Admeer Advisory Transfer</v>
      </c>
      <c r="J765" s="8" t="str">
        <f>IF($G765="","Uncategorized — Review",IFERROR(_xlfn.XLOOKUP($G765,Mapping!$A:$A,Mapping!$C:$C),"Uncategorized — Review"))</f>
        <v>MAG Pass-Through</v>
      </c>
    </row>
    <row r="766" spans="1:10" x14ac:dyDescent="0.25">
      <c r="A766" s="8" t="str">
        <f>'2025_Chase9335_Activity_2026062'!A766</f>
        <v>DEBIT</v>
      </c>
      <c r="B766" s="24">
        <f>'2025_Chase9335_Activity_2026062'!B766</f>
        <v>45672</v>
      </c>
      <c r="C766" s="8" t="str">
        <f>'2025_Chase9335_Activity_2026062'!C766</f>
        <v>APPLE.COM/BILL 866-712-7753 CA               01/15</v>
      </c>
      <c r="D766" s="8">
        <f>'2025_Chase9335_Activity_2026062'!D766</f>
        <v>-20.239999999999998</v>
      </c>
      <c r="E766" s="8" t="str">
        <f>'2025_Chase9335_Activity_2026062'!E766</f>
        <v>DEBIT_CARD</v>
      </c>
      <c r="F766" s="8">
        <f>'2025_Chase9335_Activity_2026062'!F766</f>
        <v>387997.01</v>
      </c>
      <c r="G766" s="8" t="str">
        <f>'2025_Chase9335_Activity_2026062'!G766</f>
        <v>Personal - Subscriptions</v>
      </c>
      <c r="H766" s="26">
        <f t="shared" si="11"/>
        <v>45658</v>
      </c>
      <c r="I766" s="8" t="str">
        <f>IF($G766="","Uncategorized — Review",IFERROR(_xlfn.XLOOKUP($G766,Mapping!$A:$A,Mapping!$B:$B),"Uncategorized — Review"))</f>
        <v>Personal - Subscriptions</v>
      </c>
      <c r="J766" s="8" t="str">
        <f>IF($G766="","Uncategorized — Review",IFERROR(_xlfn.XLOOKUP($G766,Mapping!$A:$A,Mapping!$C:$C),"Uncategorized — Review"))</f>
        <v>Personal — Owner</v>
      </c>
    </row>
    <row r="767" spans="1:10" x14ac:dyDescent="0.25">
      <c r="A767" s="8" t="str">
        <f>'2025_Chase9335_Activity_2026062'!A767</f>
        <v>CREDIT</v>
      </c>
      <c r="B767" s="24">
        <f>'2025_Chase9335_Activity_2026062'!B767</f>
        <v>45672</v>
      </c>
      <c r="C767" s="8" t="str">
        <f>'2025_Chase9335_Activity_2026062'!C767</f>
        <v>BOOK TRANSFER B/O: MITCHELL ASSET GROUP INC DALLAS TX 75219-3928 US REF: MARKETING REIMBURSEMENT TRN: 1315000015ES</v>
      </c>
      <c r="D767" s="8">
        <f>'2025_Chase9335_Activity_2026062'!D767</f>
        <v>10000</v>
      </c>
      <c r="E767" s="8" t="str">
        <f>'2025_Chase9335_Activity_2026062'!E767</f>
        <v>WIRE_INCOMING</v>
      </c>
      <c r="F767" s="8">
        <f>'2025_Chase9335_Activity_2026062'!F767</f>
        <v>388017.25</v>
      </c>
      <c r="G767" s="8" t="str">
        <f>'2025_Chase9335_Activity_2026062'!G767</f>
        <v>MAG - Admeer Advisory Reimbursement</v>
      </c>
      <c r="H767" s="26">
        <f t="shared" si="11"/>
        <v>45658</v>
      </c>
      <c r="I767" s="8" t="str">
        <f>IF($G767="","Uncategorized — Review",IFERROR(_xlfn.XLOOKUP($G767,Mapping!$A:$A,Mapping!$B:$B),"Uncategorized — Review"))</f>
        <v>MAG - Admeer Advisory Reimbursement</v>
      </c>
      <c r="J767" s="8" t="str">
        <f>IF($G767="","Uncategorized — Review",IFERROR(_xlfn.XLOOKUP($G767,Mapping!$A:$A,Mapping!$C:$C),"Uncategorized — Review"))</f>
        <v>MAG Pass-Through</v>
      </c>
    </row>
    <row r="768" spans="1:10" x14ac:dyDescent="0.25">
      <c r="A768" s="8" t="str">
        <f>'2025_Chase9335_Activity_2026062'!A768</f>
        <v>DEBIT</v>
      </c>
      <c r="B768" s="24">
        <f>'2025_Chase9335_Activity_2026062'!B768</f>
        <v>45671</v>
      </c>
      <c r="C768" s="8" t="str">
        <f>'2025_Chase9335_Activity_2026062'!C768</f>
        <v>APPLE COM BILL CUPERTINO CA          073424  01/14</v>
      </c>
      <c r="D768" s="8">
        <f>'2025_Chase9335_Activity_2026062'!D768</f>
        <v>-15.98</v>
      </c>
      <c r="E768" s="8" t="str">
        <f>'2025_Chase9335_Activity_2026062'!E768</f>
        <v>DEBIT_CARD</v>
      </c>
      <c r="F768" s="8">
        <f>'2025_Chase9335_Activity_2026062'!F768</f>
        <v>378017.25</v>
      </c>
      <c r="G768" s="8" t="str">
        <f>'2025_Chase9335_Activity_2026062'!G768</f>
        <v>Personal - Subscriptions</v>
      </c>
      <c r="H768" s="26">
        <f t="shared" si="11"/>
        <v>45658</v>
      </c>
      <c r="I768" s="8" t="str">
        <f>IF($G768="","Uncategorized — Review",IFERROR(_xlfn.XLOOKUP($G768,Mapping!$A:$A,Mapping!$B:$B),"Uncategorized — Review"))</f>
        <v>Personal - Subscriptions</v>
      </c>
      <c r="J768" s="8" t="str">
        <f>IF($G768="","Uncategorized — Review",IFERROR(_xlfn.XLOOKUP($G768,Mapping!$A:$A,Mapping!$C:$C),"Uncategorized — Review"))</f>
        <v>Personal — Owner</v>
      </c>
    </row>
    <row r="769" spans="1:10" x14ac:dyDescent="0.25">
      <c r="A769" s="8" t="str">
        <f>'2025_Chase9335_Activity_2026062'!A769</f>
        <v>DEBIT</v>
      </c>
      <c r="B769" s="24">
        <f>'2025_Chase9335_Activity_2026062'!B769</f>
        <v>45671</v>
      </c>
      <c r="C769" s="8" t="str">
        <f>'2025_Chase9335_Activity_2026062'!C769</f>
        <v>Online Transfer to CHK ...9905 transaction#: 23382915949 01/14</v>
      </c>
      <c r="D769" s="8">
        <f>'2025_Chase9335_Activity_2026062'!D769</f>
        <v>-50000</v>
      </c>
      <c r="E769" s="8" t="str">
        <f>'2025_Chase9335_Activity_2026062'!E769</f>
        <v>ACCT_XFER</v>
      </c>
      <c r="F769" s="8">
        <f>'2025_Chase9335_Activity_2026062'!F769</f>
        <v>378033.23</v>
      </c>
      <c r="G769" s="8" t="str">
        <f>'2025_Chase9335_Activity_2026062'!G769</f>
        <v>Transfer to Edgebuilders</v>
      </c>
      <c r="H769" s="26">
        <f t="shared" si="11"/>
        <v>45658</v>
      </c>
      <c r="I769" s="8" t="str">
        <f>IF($G769="","Uncategorized — Review",IFERROR(_xlfn.XLOOKUP($G769,Mapping!$A:$A,Mapping!$B:$B),"Uncategorized — Review"))</f>
        <v>Transfer to Edgebuilders</v>
      </c>
      <c r="J769" s="8" t="str">
        <f>IF($G769="","Uncategorized — Review",IFERROR(_xlfn.XLOOKUP($G769,Mapping!$A:$A,Mapping!$C:$C),"Uncategorized — Review"))</f>
        <v>Intercompany &amp; Savings Transfers</v>
      </c>
    </row>
    <row r="770" spans="1:10" x14ac:dyDescent="0.25">
      <c r="A770" s="8" t="str">
        <f>'2025_Chase9335_Activity_2026062'!A770</f>
        <v>DEBIT</v>
      </c>
      <c r="B770" s="24">
        <f>'2025_Chase9335_Activity_2026062'!B770</f>
        <v>45670</v>
      </c>
      <c r="C770" s="8" t="str">
        <f>'2025_Chase9335_Activity_2026062'!C770</f>
        <v>BLOOMBERG* 37033964 BLOOMBERG.COM NY         01/12</v>
      </c>
      <c r="D770" s="8">
        <f>'2025_Chase9335_Activity_2026062'!D770</f>
        <v>-19.989999999999998</v>
      </c>
      <c r="E770" s="8" t="str">
        <f>'2025_Chase9335_Activity_2026062'!E770</f>
        <v>DEBIT_CARD</v>
      </c>
      <c r="F770" s="8">
        <f>'2025_Chase9335_Activity_2026062'!F770</f>
        <v>428033.23</v>
      </c>
      <c r="G770" s="8" t="str">
        <f>'2025_Chase9335_Activity_2026062'!G770</f>
        <v>Personal - Subscriptions</v>
      </c>
      <c r="H770" s="26">
        <f t="shared" si="11"/>
        <v>45658</v>
      </c>
      <c r="I770" s="8" t="str">
        <f>IF($G770="","Uncategorized — Review",IFERROR(_xlfn.XLOOKUP($G770,Mapping!$A:$A,Mapping!$B:$B),"Uncategorized — Review"))</f>
        <v>Personal - Subscriptions</v>
      </c>
      <c r="J770" s="8" t="str">
        <f>IF($G770="","Uncategorized — Review",IFERROR(_xlfn.XLOOKUP($G770,Mapping!$A:$A,Mapping!$C:$C),"Uncategorized — Review"))</f>
        <v>Personal — Owner</v>
      </c>
    </row>
    <row r="771" spans="1:10" x14ac:dyDescent="0.25">
      <c r="A771" s="8" t="str">
        <f>'2025_Chase9335_Activity_2026062'!A771</f>
        <v>CREDIT</v>
      </c>
      <c r="B771" s="24">
        <f>'2025_Chase9335_Activity_2026062'!B771</f>
        <v>45670</v>
      </c>
      <c r="C771" s="8" t="str">
        <f>'2025_Chase9335_Activity_2026062'!C771</f>
        <v>ORIG CO NAME:T and T Machine        ORIG ID:945440567  DESC DATE:       CO ENTRY DESCR:PAYMENT   SEC:PPD    TRACE#:273976368980695 EED:250113   IND ID:                             IND NAME:John Dunning TRN: 0138980695TC</v>
      </c>
      <c r="D771" s="8">
        <f>'2025_Chase9335_Activity_2026062'!D771</f>
        <v>345.24</v>
      </c>
      <c r="E771" s="8" t="str">
        <f>'2025_Chase9335_Activity_2026062'!E771</f>
        <v>ACH_CREDIT</v>
      </c>
      <c r="F771" s="8">
        <f>'2025_Chase9335_Activity_2026062'!F771</f>
        <v>428053.22</v>
      </c>
      <c r="G771" s="8" t="str">
        <f>'2025_Chase9335_Activity_2026062'!G771</f>
        <v>Deal Specific: T&amp;T Machine</v>
      </c>
      <c r="H771" s="26">
        <f t="shared" ref="H771:H790" si="12">IF($B771="","",DATE(YEAR($B771),MONTH($B771),1))</f>
        <v>45658</v>
      </c>
      <c r="I771" s="8" t="str">
        <f>IF($G771="","Uncategorized — Review",IFERROR(_xlfn.XLOOKUP($G771,Mapping!$A:$A,Mapping!$B:$B),"Uncategorized — Review"))</f>
        <v>Deal Specific: T&amp;T Machine</v>
      </c>
      <c r="J771" s="8" t="str">
        <f>IF($G771="","Uncategorized — Review",IFERROR(_xlfn.XLOOKUP($G771,Mapping!$A:$A,Mapping!$C:$C),"Uncategorized — Review"))</f>
        <v>Deal-Specific</v>
      </c>
    </row>
    <row r="772" spans="1:10" x14ac:dyDescent="0.25">
      <c r="A772" s="8" t="str">
        <f>'2025_Chase9335_Activity_2026062'!A772</f>
        <v>CREDIT</v>
      </c>
      <c r="B772" s="24">
        <f>'2025_Chase9335_Activity_2026062'!B772</f>
        <v>45670</v>
      </c>
      <c r="C772" s="8" t="str">
        <f>'2025_Chase9335_Activity_2026062'!C772</f>
        <v>ORIG CO NAME:Merit-Lancaster        ORIG ID:945440567  DESC DATE:       CO ENTRY DESCR:PAYMENT   SEC:PPD    TRACE#:273976368981184 EED:250113   IND ID:                             IND NAME:John Dunning TRN: 0138981184TC</v>
      </c>
      <c r="D772" s="8">
        <f>'2025_Chase9335_Activity_2026062'!D772</f>
        <v>461.52</v>
      </c>
      <c r="E772" s="8" t="str">
        <f>'2025_Chase9335_Activity_2026062'!E772</f>
        <v>ACH_CREDIT</v>
      </c>
      <c r="F772" s="8">
        <f>'2025_Chase9335_Activity_2026062'!F772</f>
        <v>427707.98</v>
      </c>
      <c r="G772" s="8" t="str">
        <f>'2025_Chase9335_Activity_2026062'!G772</f>
        <v>Deal Specific: Merit-Lancaster</v>
      </c>
      <c r="H772" s="26">
        <f t="shared" si="12"/>
        <v>45658</v>
      </c>
      <c r="I772" s="8" t="str">
        <f>IF($G772="","Uncategorized — Review",IFERROR(_xlfn.XLOOKUP($G772,Mapping!$A:$A,Mapping!$B:$B),"Uncategorized — Review"))</f>
        <v>Deal Specific: Merit-Lancaster</v>
      </c>
      <c r="J772" s="8" t="str">
        <f>IF($G772="","Uncategorized — Review",IFERROR(_xlfn.XLOOKUP($G772,Mapping!$A:$A,Mapping!$C:$C),"Uncategorized — Review"))</f>
        <v>Deal-Specific</v>
      </c>
    </row>
    <row r="773" spans="1:10" x14ac:dyDescent="0.25">
      <c r="A773" s="8" t="str">
        <f>'2025_Chase9335_Activity_2026062'!A773</f>
        <v>CREDIT</v>
      </c>
      <c r="B773" s="24">
        <f>'2025_Chase9335_Activity_2026062'!B773</f>
        <v>45667</v>
      </c>
      <c r="C773" s="8" t="str">
        <f>'2025_Chase9335_Activity_2026062'!C773</f>
        <v>ORIG CO NAME:MRM Industrial P       ORIG ID:945440567  DESC DATE:       CO ENTRY DESCR:PAYMENT   SEC:PPD    TRACE#:273976360824258 EED:250110   IND ID:                             IND NAME:John Dunning TRN: 0100824258TC</v>
      </c>
      <c r="D773" s="8">
        <f>'2025_Chase9335_Activity_2026062'!D773</f>
        <v>236.37</v>
      </c>
      <c r="E773" s="8" t="str">
        <f>'2025_Chase9335_Activity_2026062'!E773</f>
        <v>ACH_CREDIT</v>
      </c>
      <c r="F773" s="8">
        <f>'2025_Chase9335_Activity_2026062'!F773</f>
        <v>427246.46</v>
      </c>
      <c r="G773" s="8" t="str">
        <f>'2025_Chase9335_Activity_2026062'!G773</f>
        <v>Deal Specific: MRM</v>
      </c>
      <c r="H773" s="26">
        <f t="shared" si="12"/>
        <v>45658</v>
      </c>
      <c r="I773" s="8" t="str">
        <f>IF($G773="","Uncategorized — Review",IFERROR(_xlfn.XLOOKUP($G773,Mapping!$A:$A,Mapping!$B:$B),"Uncategorized — Review"))</f>
        <v>Deal Specific: MRM</v>
      </c>
      <c r="J773" s="8" t="str">
        <f>IF($G773="","Uncategorized — Review",IFERROR(_xlfn.XLOOKUP($G773,Mapping!$A:$A,Mapping!$C:$C),"Uncategorized — Review"))</f>
        <v>Deal-Specific</v>
      </c>
    </row>
    <row r="774" spans="1:10" x14ac:dyDescent="0.25">
      <c r="A774" s="8" t="str">
        <f>'2025_Chase9335_Activity_2026062'!A774</f>
        <v>CREDIT</v>
      </c>
      <c r="B774" s="24">
        <f>'2025_Chase9335_Activity_2026062'!B774</f>
        <v>45667</v>
      </c>
      <c r="C774" s="8" t="str">
        <f>'2025_Chase9335_Activity_2026062'!C774</f>
        <v>ORIG CO NAME:Austin Iron Hold       ORIG ID:945440567  DESC DATE:       CO ENTRY DESCR:PAYMENT   SEC:PPD    TRACE#:273976360824794 EED:250110   IND ID:                             IND NAME:John Dunning TRN: 0100824794TC</v>
      </c>
      <c r="D774" s="8">
        <f>'2025_Chase9335_Activity_2026062'!D774</f>
        <v>350</v>
      </c>
      <c r="E774" s="8" t="str">
        <f>'2025_Chase9335_Activity_2026062'!E774</f>
        <v>ACH_CREDIT</v>
      </c>
      <c r="F774" s="8">
        <f>'2025_Chase9335_Activity_2026062'!F774</f>
        <v>427010.09</v>
      </c>
      <c r="G774" s="8" t="str">
        <f>'2025_Chase9335_Activity_2026062'!G774</f>
        <v>Deal Specific: Austin Iron</v>
      </c>
      <c r="H774" s="26">
        <f t="shared" si="12"/>
        <v>45658</v>
      </c>
      <c r="I774" s="8" t="str">
        <f>IF($G774="","Uncategorized — Review",IFERROR(_xlfn.XLOOKUP($G774,Mapping!$A:$A,Mapping!$B:$B),"Uncategorized — Review"))</f>
        <v>Deal Specific: Austin Iron</v>
      </c>
      <c r="J774" s="8" t="str">
        <f>IF($G774="","Uncategorized — Review",IFERROR(_xlfn.XLOOKUP($G774,Mapping!$A:$A,Mapping!$C:$C),"Uncategorized — Review"))</f>
        <v>Deal-Specific</v>
      </c>
    </row>
    <row r="775" spans="1:10" x14ac:dyDescent="0.25">
      <c r="A775" s="8" t="str">
        <f>'2025_Chase9335_Activity_2026062'!A775</f>
        <v>DEBIT</v>
      </c>
      <c r="B775" s="24">
        <f>'2025_Chase9335_Activity_2026062'!B775</f>
        <v>45665</v>
      </c>
      <c r="C775" s="8" t="str">
        <f>'2025_Chase9335_Activity_2026062'!C775</f>
        <v>APPLE.COM/BILL 866-712-7753 CA               01/08</v>
      </c>
      <c r="D775" s="8">
        <f>'2025_Chase9335_Activity_2026062'!D775</f>
        <v>-36.22</v>
      </c>
      <c r="E775" s="8" t="str">
        <f>'2025_Chase9335_Activity_2026062'!E775</f>
        <v>DEBIT_CARD</v>
      </c>
      <c r="F775" s="8">
        <f>'2025_Chase9335_Activity_2026062'!F775</f>
        <v>426660.09</v>
      </c>
      <c r="G775" s="8" t="str">
        <f>'2025_Chase9335_Activity_2026062'!G775</f>
        <v>Personal - Subscriptions</v>
      </c>
      <c r="H775" s="26">
        <f t="shared" si="12"/>
        <v>45658</v>
      </c>
      <c r="I775" s="8" t="str">
        <f>IF($G775="","Uncategorized — Review",IFERROR(_xlfn.XLOOKUP($G775,Mapping!$A:$A,Mapping!$B:$B),"Uncategorized — Review"))</f>
        <v>Personal - Subscriptions</v>
      </c>
      <c r="J775" s="8" t="str">
        <f>IF($G775="","Uncategorized — Review",IFERROR(_xlfn.XLOOKUP($G775,Mapping!$A:$A,Mapping!$C:$C),"Uncategorized — Review"))</f>
        <v>Personal — Owner</v>
      </c>
    </row>
    <row r="776" spans="1:10" x14ac:dyDescent="0.25">
      <c r="A776" s="8" t="str">
        <f>'2025_Chase9335_Activity_2026062'!A776</f>
        <v>DEBIT</v>
      </c>
      <c r="B776" s="24">
        <f>'2025_Chase9335_Activity_2026062'!B776</f>
        <v>45664</v>
      </c>
      <c r="C776" s="8" t="str">
        <f>'2025_Chase9335_Activity_2026062'!C776</f>
        <v>Prime Video *ZD6U27NI 888-802-3080 WA        01/07</v>
      </c>
      <c r="D776" s="8">
        <f>'2025_Chase9335_Activity_2026062'!D776</f>
        <v>-4.26</v>
      </c>
      <c r="E776" s="8" t="str">
        <f>'2025_Chase9335_Activity_2026062'!E776</f>
        <v>DEBIT_CARD</v>
      </c>
      <c r="F776" s="8">
        <f>'2025_Chase9335_Activity_2026062'!F776</f>
        <v>426696.31</v>
      </c>
      <c r="G776" s="8" t="str">
        <f>'2025_Chase9335_Activity_2026062'!G776</f>
        <v>Amazon Prime Video</v>
      </c>
      <c r="H776" s="26">
        <f t="shared" si="12"/>
        <v>45658</v>
      </c>
      <c r="I776" s="8" t="str">
        <f>IF($G776="","Uncategorized — Review",IFERROR(_xlfn.XLOOKUP($G776,Mapping!$A:$A,Mapping!$B:$B),"Uncategorized — Review"))</f>
        <v>Amazon Prime Video</v>
      </c>
      <c r="J776" s="8" t="str">
        <f>IF($G776="","Uncategorized — Review",IFERROR(_xlfn.XLOOKUP($G776,Mapping!$A:$A,Mapping!$C:$C),"Uncategorized — Review"))</f>
        <v>Personal — Owner</v>
      </c>
    </row>
    <row r="777" spans="1:10" x14ac:dyDescent="0.25">
      <c r="A777" s="8" t="str">
        <f>'2025_Chase9335_Activity_2026062'!A777</f>
        <v>DEBIT</v>
      </c>
      <c r="B777" s="24">
        <f>'2025_Chase9335_Activity_2026062'!B777</f>
        <v>45664</v>
      </c>
      <c r="C777" s="8" t="str">
        <f>'2025_Chase9335_Activity_2026062'!C777</f>
        <v>APPLE.COM/BILL 866-712-7753 CA               01/06</v>
      </c>
      <c r="D777" s="8">
        <f>'2025_Chase9335_Activity_2026062'!D777</f>
        <v>-9.99</v>
      </c>
      <c r="E777" s="8" t="str">
        <f>'2025_Chase9335_Activity_2026062'!E777</f>
        <v>DEBIT_CARD</v>
      </c>
      <c r="F777" s="8">
        <f>'2025_Chase9335_Activity_2026062'!F777</f>
        <v>426700.57</v>
      </c>
      <c r="G777" s="8" t="str">
        <f>'2025_Chase9335_Activity_2026062'!G777</f>
        <v>Personal - Subscriptions</v>
      </c>
      <c r="H777" s="26">
        <f t="shared" si="12"/>
        <v>45658</v>
      </c>
      <c r="I777" s="8" t="str">
        <f>IF($G777="","Uncategorized — Review",IFERROR(_xlfn.XLOOKUP($G777,Mapping!$A:$A,Mapping!$B:$B),"Uncategorized — Review"))</f>
        <v>Personal - Subscriptions</v>
      </c>
      <c r="J777" s="8" t="str">
        <f>IF($G777="","Uncategorized — Review",IFERROR(_xlfn.XLOOKUP($G777,Mapping!$A:$A,Mapping!$C:$C),"Uncategorized — Review"))</f>
        <v>Personal — Owner</v>
      </c>
    </row>
    <row r="778" spans="1:10" x14ac:dyDescent="0.25">
      <c r="A778" s="8" t="str">
        <f>'2025_Chase9335_Activity_2026062'!A778</f>
        <v>DEBIT</v>
      </c>
      <c r="B778" s="24">
        <f>'2025_Chase9335_Activity_2026062'!B778</f>
        <v>45664</v>
      </c>
      <c r="C778" s="8" t="str">
        <f>'2025_Chase9335_Activity_2026062'!C778</f>
        <v>AMAZON MKTPL*ZP8K99B Amzn.com/bill WA        01/07</v>
      </c>
      <c r="D778" s="8">
        <f>'2025_Chase9335_Activity_2026062'!D778</f>
        <v>-51.06</v>
      </c>
      <c r="E778" s="8" t="str">
        <f>'2025_Chase9335_Activity_2026062'!E778</f>
        <v>DEBIT_CARD</v>
      </c>
      <c r="F778" s="8">
        <f>'2025_Chase9335_Activity_2026062'!F778</f>
        <v>426710.56</v>
      </c>
      <c r="G778" s="8" t="str">
        <f>'2025_Chase9335_Activity_2026062'!G778</f>
        <v>Amazon</v>
      </c>
      <c r="H778" s="26">
        <f t="shared" si="12"/>
        <v>45658</v>
      </c>
      <c r="I778" s="8" t="str">
        <f>IF($G778="","Uncategorized — Review",IFERROR(_xlfn.XLOOKUP($G778,Mapping!$A:$A,Mapping!$B:$B),"Uncategorized — Review"))</f>
        <v>Amazon</v>
      </c>
      <c r="J778" s="8" t="str">
        <f>IF($G778="","Uncategorized — Review",IFERROR(_xlfn.XLOOKUP($G778,Mapping!$A:$A,Mapping!$C:$C),"Uncategorized — Review"))</f>
        <v>Personal — Owner</v>
      </c>
    </row>
    <row r="779" spans="1:10" x14ac:dyDescent="0.25">
      <c r="A779" s="8" t="str">
        <f>'2025_Chase9335_Activity_2026062'!A779</f>
        <v>DEBIT</v>
      </c>
      <c r="B779" s="24">
        <f>'2025_Chase9335_Activity_2026062'!B779</f>
        <v>45663</v>
      </c>
      <c r="C779" s="8" t="str">
        <f>'2025_Chase9335_Activity_2026062'!C779</f>
        <v>Prime Video *ZP81J6PM 888-802-3080 WA        01/05</v>
      </c>
      <c r="D779" s="8">
        <f>'2025_Chase9335_Activity_2026062'!D779</f>
        <v>-4.26</v>
      </c>
      <c r="E779" s="8" t="str">
        <f>'2025_Chase9335_Activity_2026062'!E779</f>
        <v>DEBIT_CARD</v>
      </c>
      <c r="F779" s="8">
        <f>'2025_Chase9335_Activity_2026062'!F779</f>
        <v>426761.62</v>
      </c>
      <c r="G779" s="8" t="str">
        <f>'2025_Chase9335_Activity_2026062'!G779</f>
        <v>Amazon Prime Video</v>
      </c>
      <c r="H779" s="26">
        <f t="shared" si="12"/>
        <v>45658</v>
      </c>
      <c r="I779" s="8" t="str">
        <f>IF($G779="","Uncategorized — Review",IFERROR(_xlfn.XLOOKUP($G779,Mapping!$A:$A,Mapping!$B:$B),"Uncategorized — Review"))</f>
        <v>Amazon Prime Video</v>
      </c>
      <c r="J779" s="8" t="str">
        <f>IF($G779="","Uncategorized — Review",IFERROR(_xlfn.XLOOKUP($G779,Mapping!$A:$A,Mapping!$C:$C),"Uncategorized — Review"))</f>
        <v>Personal — Owner</v>
      </c>
    </row>
    <row r="780" spans="1:10" x14ac:dyDescent="0.25">
      <c r="A780" s="8" t="str">
        <f>'2025_Chase9335_Activity_2026062'!A780</f>
        <v>DEBIT</v>
      </c>
      <c r="B780" s="24">
        <f>'2025_Chase9335_Activity_2026062'!B780</f>
        <v>45663</v>
      </c>
      <c r="C780" s="8" t="str">
        <f>'2025_Chase9335_Activity_2026062'!C780</f>
        <v>Prime Video *ZP47L0A9 888-802-3080 WA        01/05</v>
      </c>
      <c r="D780" s="8">
        <f>'2025_Chase9335_Activity_2026062'!D780</f>
        <v>-4.26</v>
      </c>
      <c r="E780" s="8" t="str">
        <f>'2025_Chase9335_Activity_2026062'!E780</f>
        <v>DEBIT_CARD</v>
      </c>
      <c r="F780" s="8">
        <f>'2025_Chase9335_Activity_2026062'!F780</f>
        <v>426765.88</v>
      </c>
      <c r="G780" s="8" t="str">
        <f>'2025_Chase9335_Activity_2026062'!G780</f>
        <v>Amazon Prime Video</v>
      </c>
      <c r="H780" s="26">
        <f t="shared" si="12"/>
        <v>45658</v>
      </c>
      <c r="I780" s="8" t="str">
        <f>IF($G780="","Uncategorized — Review",IFERROR(_xlfn.XLOOKUP($G780,Mapping!$A:$A,Mapping!$B:$B),"Uncategorized — Review"))</f>
        <v>Amazon Prime Video</v>
      </c>
      <c r="J780" s="8" t="str">
        <f>IF($G780="","Uncategorized — Review",IFERROR(_xlfn.XLOOKUP($G780,Mapping!$A:$A,Mapping!$C:$C),"Uncategorized — Review"))</f>
        <v>Personal — Owner</v>
      </c>
    </row>
    <row r="781" spans="1:10" x14ac:dyDescent="0.25">
      <c r="A781" s="8" t="str">
        <f>'2025_Chase9335_Activity_2026062'!A781</f>
        <v>DEBIT</v>
      </c>
      <c r="B781" s="24">
        <f>'2025_Chase9335_Activity_2026062'!B781</f>
        <v>45663</v>
      </c>
      <c r="C781" s="8" t="str">
        <f>'2025_Chase9335_Activity_2026062'!C781</f>
        <v>Prime Video *ZP7BZ36K 888-802-3080 WA        01/04</v>
      </c>
      <c r="D781" s="8">
        <f>'2025_Chase9335_Activity_2026062'!D781</f>
        <v>-3.19</v>
      </c>
      <c r="E781" s="8" t="str">
        <f>'2025_Chase9335_Activity_2026062'!E781</f>
        <v>DEBIT_CARD</v>
      </c>
      <c r="F781" s="8">
        <f>'2025_Chase9335_Activity_2026062'!F781</f>
        <v>426770.14</v>
      </c>
      <c r="G781" s="8" t="str">
        <f>'2025_Chase9335_Activity_2026062'!G781</f>
        <v>Amazon Prime Video</v>
      </c>
      <c r="H781" s="26">
        <f t="shared" si="12"/>
        <v>45658</v>
      </c>
      <c r="I781" s="8" t="str">
        <f>IF($G781="","Uncategorized — Review",IFERROR(_xlfn.XLOOKUP($G781,Mapping!$A:$A,Mapping!$B:$B),"Uncategorized — Review"))</f>
        <v>Amazon Prime Video</v>
      </c>
      <c r="J781" s="8" t="str">
        <f>IF($G781="","Uncategorized — Review",IFERROR(_xlfn.XLOOKUP($G781,Mapping!$A:$A,Mapping!$C:$C),"Uncategorized — Review"))</f>
        <v>Personal — Owner</v>
      </c>
    </row>
    <row r="782" spans="1:10" x14ac:dyDescent="0.25">
      <c r="A782" s="8" t="str">
        <f>'2025_Chase9335_Activity_2026062'!A782</f>
        <v>DEBIT</v>
      </c>
      <c r="B782" s="24">
        <f>'2025_Chase9335_Activity_2026062'!B782</f>
        <v>45663</v>
      </c>
      <c r="C782" s="8" t="str">
        <f>'2025_Chase9335_Activity_2026062'!C782</f>
        <v>Prime Video *ZD7IV7PA 888-802-3080 WA        01/04</v>
      </c>
      <c r="D782" s="8">
        <f>'2025_Chase9335_Activity_2026062'!D782</f>
        <v>-3.19</v>
      </c>
      <c r="E782" s="8" t="str">
        <f>'2025_Chase9335_Activity_2026062'!E782</f>
        <v>DEBIT_CARD</v>
      </c>
      <c r="F782" s="8">
        <f>'2025_Chase9335_Activity_2026062'!F782</f>
        <v>426773.33</v>
      </c>
      <c r="G782" s="8" t="str">
        <f>'2025_Chase9335_Activity_2026062'!G782</f>
        <v>Amazon Prime Video</v>
      </c>
      <c r="H782" s="26">
        <f t="shared" si="12"/>
        <v>45658</v>
      </c>
      <c r="I782" s="8" t="str">
        <f>IF($G782="","Uncategorized — Review",IFERROR(_xlfn.XLOOKUP($G782,Mapping!$A:$A,Mapping!$B:$B),"Uncategorized — Review"))</f>
        <v>Amazon Prime Video</v>
      </c>
      <c r="J782" s="8" t="str">
        <f>IF($G782="","Uncategorized — Review",IFERROR(_xlfn.XLOOKUP($G782,Mapping!$A:$A,Mapping!$C:$C),"Uncategorized — Review"))</f>
        <v>Personal — Owner</v>
      </c>
    </row>
    <row r="783" spans="1:10" x14ac:dyDescent="0.25">
      <c r="A783" s="8" t="str">
        <f>'2025_Chase9335_Activity_2026062'!A783</f>
        <v>DEBIT</v>
      </c>
      <c r="B783" s="24">
        <f>'2025_Chase9335_Activity_2026062'!B783</f>
        <v>45660</v>
      </c>
      <c r="C783" s="8" t="str">
        <f>'2025_Chase9335_Activity_2026062'!C783</f>
        <v>ONLINE DOMESTIC WIRE FEE</v>
      </c>
      <c r="D783" s="8">
        <f>'2025_Chase9335_Activity_2026062'!D783</f>
        <v>-25</v>
      </c>
      <c r="E783" s="8" t="str">
        <f>'2025_Chase9335_Activity_2026062'!E783</f>
        <v>FEE_TRANSACTION</v>
      </c>
      <c r="F783" s="8">
        <f>'2025_Chase9335_Activity_2026062'!F783</f>
        <v>426776.52</v>
      </c>
      <c r="G783" s="8" t="str">
        <f>'2025_Chase9335_Activity_2026062'!G783</f>
        <v>Bank Fees</v>
      </c>
      <c r="H783" s="26">
        <f t="shared" si="12"/>
        <v>45658</v>
      </c>
      <c r="I783" s="8" t="str">
        <f>IF($G783="","Uncategorized — Review",IFERROR(_xlfn.XLOOKUP($G783,Mapping!$A:$A,Mapping!$B:$B),"Uncategorized — Review"))</f>
        <v>Bank Fees</v>
      </c>
      <c r="J783" s="8" t="str">
        <f>IF($G783="","Uncategorized — Review",IFERROR(_xlfn.XLOOKUP($G783,Mapping!$A:$A,Mapping!$C:$C),"Uncategorized — Review"))</f>
        <v>DWG Operating</v>
      </c>
    </row>
    <row r="784" spans="1:10" x14ac:dyDescent="0.25">
      <c r="A784" s="8" t="str">
        <f>'2025_Chase9335_Activity_2026062'!A784</f>
        <v>DEBIT</v>
      </c>
      <c r="B784" s="24">
        <f>'2025_Chase9335_Activity_2026062'!B784</f>
        <v>45660</v>
      </c>
      <c r="C784" s="8" t="str">
        <f>'2025_Chase9335_Activity_2026062'!C784</f>
        <v>ONLINE DOMESTIC WIRE TRANSFER VIA: WELLS FARGO NA/121000248 A/C: RYAN BILLINGS SHADOW HILLS CA 91040 US REF: DECEMBER BONUS PLUS JANUARY BONUS PLUS META ADS REIMBURSEMENT/TIME/15: 44 IMAD: 0103MMQFMP2L033217 TRN: 3714055003ES 01/03</v>
      </c>
      <c r="D784" s="8">
        <f>'2025_Chase9335_Activity_2026062'!D784</f>
        <v>-23830</v>
      </c>
      <c r="E784" s="8" t="str">
        <f>'2025_Chase9335_Activity_2026062'!E784</f>
        <v>WIRE_OUTGOING</v>
      </c>
      <c r="F784" s="8">
        <f>'2025_Chase9335_Activity_2026062'!F784</f>
        <v>426801.52</v>
      </c>
      <c r="G784" s="8" t="str">
        <f>'2025_Chase9335_Activity_2026062'!G784</f>
        <v>Wire Out — Edge Builder Commission Payments</v>
      </c>
      <c r="H784" s="26">
        <f t="shared" si="12"/>
        <v>45658</v>
      </c>
      <c r="I784" s="8" t="str">
        <f>IF($G784="","Uncategorized — Review",IFERROR(_xlfn.XLOOKUP($G784,Mapping!$A:$A,Mapping!$B:$B),"Uncategorized — Review"))</f>
        <v>Wire Out — Edge Builder Commission Payments</v>
      </c>
      <c r="J784" s="8" t="str">
        <f>IF($G784="","Uncategorized — Review",IFERROR(_xlfn.XLOOKUP($G784,Mapping!$A:$A,Mapping!$C:$C),"Uncategorized — Review"))</f>
        <v>Commissions — Outgoing</v>
      </c>
    </row>
    <row r="785" spans="1:10" x14ac:dyDescent="0.25">
      <c r="A785" s="8" t="str">
        <f>'2025_Chase9335_Activity_2026062'!A785</f>
        <v>DEBIT</v>
      </c>
      <c r="B785" s="24">
        <f>'2025_Chase9335_Activity_2026062'!B785</f>
        <v>45660</v>
      </c>
      <c r="C785" s="8" t="str">
        <f>'2025_Chase9335_Activity_2026062'!C785</f>
        <v>Prime Video *ZD05R4NU 888-802-3080 WA        01/03</v>
      </c>
      <c r="D785" s="8">
        <f>'2025_Chase9335_Activity_2026062'!D785</f>
        <v>-3.83</v>
      </c>
      <c r="E785" s="8" t="str">
        <f>'2025_Chase9335_Activity_2026062'!E785</f>
        <v>DEBIT_CARD</v>
      </c>
      <c r="F785" s="8">
        <f>'2025_Chase9335_Activity_2026062'!F785</f>
        <v>450631.52</v>
      </c>
      <c r="G785" s="8" t="str">
        <f>'2025_Chase9335_Activity_2026062'!G785</f>
        <v>Amazon Prime Video</v>
      </c>
      <c r="H785" s="26">
        <f t="shared" si="12"/>
        <v>45658</v>
      </c>
      <c r="I785" s="8" t="str">
        <f>IF($G785="","Uncategorized — Review",IFERROR(_xlfn.XLOOKUP($G785,Mapping!$A:$A,Mapping!$B:$B),"Uncategorized — Review"))</f>
        <v>Amazon Prime Video</v>
      </c>
      <c r="J785" s="8" t="str">
        <f>IF($G785="","Uncategorized — Review",IFERROR(_xlfn.XLOOKUP($G785,Mapping!$A:$A,Mapping!$C:$C),"Uncategorized — Review"))</f>
        <v>Personal — Owner</v>
      </c>
    </row>
    <row r="786" spans="1:10" x14ac:dyDescent="0.25">
      <c r="A786" s="8" t="str">
        <f>'2025_Chase9335_Activity_2026062'!A786</f>
        <v>DEBIT</v>
      </c>
      <c r="B786" s="24">
        <f>'2025_Chase9335_Activity_2026062'!B786</f>
        <v>45660</v>
      </c>
      <c r="C786" s="8" t="str">
        <f>'2025_Chase9335_Activity_2026062'!C786</f>
        <v>Prime Video *ZE1W29W1 888-802-3080 WA        01/02</v>
      </c>
      <c r="D786" s="8">
        <f>'2025_Chase9335_Activity_2026062'!D786</f>
        <v>-4.26</v>
      </c>
      <c r="E786" s="8" t="str">
        <f>'2025_Chase9335_Activity_2026062'!E786</f>
        <v>DEBIT_CARD</v>
      </c>
      <c r="F786" s="8">
        <f>'2025_Chase9335_Activity_2026062'!F786</f>
        <v>450635.35</v>
      </c>
      <c r="G786" s="8" t="str">
        <f>'2025_Chase9335_Activity_2026062'!G786</f>
        <v>Amazon Prime Video</v>
      </c>
      <c r="H786" s="26">
        <f t="shared" si="12"/>
        <v>45658</v>
      </c>
      <c r="I786" s="8" t="str">
        <f>IF($G786="","Uncategorized — Review",IFERROR(_xlfn.XLOOKUP($G786,Mapping!$A:$A,Mapping!$B:$B),"Uncategorized — Review"))</f>
        <v>Amazon Prime Video</v>
      </c>
      <c r="J786" s="8" t="str">
        <f>IF($G786="","Uncategorized — Review",IFERROR(_xlfn.XLOOKUP($G786,Mapping!$A:$A,Mapping!$C:$C),"Uncategorized — Review"))</f>
        <v>Personal — Owner</v>
      </c>
    </row>
    <row r="787" spans="1:10" x14ac:dyDescent="0.25">
      <c r="A787" s="8" t="str">
        <f>'2025_Chase9335_Activity_2026062'!A787</f>
        <v>DEBIT</v>
      </c>
      <c r="B787" s="24">
        <f>'2025_Chase9335_Activity_2026062'!B787</f>
        <v>45659</v>
      </c>
      <c r="C787" s="8" t="str">
        <f>'2025_Chase9335_Activity_2026062'!C787</f>
        <v>DOMESTIC INCOMING WIRE FEE</v>
      </c>
      <c r="D787" s="8">
        <f>'2025_Chase9335_Activity_2026062'!D787</f>
        <v>-15</v>
      </c>
      <c r="E787" s="8" t="str">
        <f>'2025_Chase9335_Activity_2026062'!E787</f>
        <v>FEE_TRANSACTION</v>
      </c>
      <c r="F787" s="8">
        <f>'2025_Chase9335_Activity_2026062'!F787</f>
        <v>450639.61</v>
      </c>
      <c r="G787" s="8" t="str">
        <f>'2025_Chase9335_Activity_2026062'!G787</f>
        <v>Bank Fees</v>
      </c>
      <c r="H787" s="26">
        <f t="shared" si="12"/>
        <v>45658</v>
      </c>
      <c r="I787" s="8" t="str">
        <f>IF($G787="","Uncategorized — Review",IFERROR(_xlfn.XLOOKUP($G787,Mapping!$A:$A,Mapping!$B:$B),"Uncategorized — Review"))</f>
        <v>Bank Fees</v>
      </c>
      <c r="J787" s="8" t="str">
        <f>IF($G787="","Uncategorized — Review",IFERROR(_xlfn.XLOOKUP($G787,Mapping!$A:$A,Mapping!$C:$C),"Uncategorized — Review"))</f>
        <v>DWG Operating</v>
      </c>
    </row>
    <row r="788" spans="1:10" x14ac:dyDescent="0.25">
      <c r="A788" s="8" t="str">
        <f>'2025_Chase9335_Activity_2026062'!A788</f>
        <v>DEBIT</v>
      </c>
      <c r="B788" s="24">
        <f>'2025_Chase9335_Activity_2026062'!B788</f>
        <v>45659</v>
      </c>
      <c r="C788" s="8" t="str">
        <f>'2025_Chase9335_Activity_2026062'!C788</f>
        <v>DOMESTIC INCOMING WIRE FEE</v>
      </c>
      <c r="D788" s="8">
        <f>'2025_Chase9335_Activity_2026062'!D788</f>
        <v>-15</v>
      </c>
      <c r="E788" s="8" t="str">
        <f>'2025_Chase9335_Activity_2026062'!E788</f>
        <v>FEE_TRANSACTION</v>
      </c>
      <c r="F788" s="8">
        <f>'2025_Chase9335_Activity_2026062'!F788</f>
        <v>450654.61</v>
      </c>
      <c r="G788" s="8" t="str">
        <f>'2025_Chase9335_Activity_2026062'!G788</f>
        <v>Bank Fees</v>
      </c>
      <c r="H788" s="26">
        <f t="shared" si="12"/>
        <v>45658</v>
      </c>
      <c r="I788" s="8" t="str">
        <f>IF($G788="","Uncategorized — Review",IFERROR(_xlfn.XLOOKUP($G788,Mapping!$A:$A,Mapping!$B:$B),"Uncategorized — Review"))</f>
        <v>Bank Fees</v>
      </c>
      <c r="J788" s="8" t="str">
        <f>IF($G788="","Uncategorized — Review",IFERROR(_xlfn.XLOOKUP($G788,Mapping!$A:$A,Mapping!$C:$C),"Uncategorized — Review"))</f>
        <v>DWG Operating</v>
      </c>
    </row>
    <row r="789" spans="1:10" x14ac:dyDescent="0.25">
      <c r="A789" s="8" t="str">
        <f>'2025_Chase9335_Activity_2026062'!A789</f>
        <v>CREDIT</v>
      </c>
      <c r="B789" s="24">
        <f>'2025_Chase9335_Activity_2026062'!B789</f>
        <v>45659</v>
      </c>
      <c r="C789" s="8" t="str">
        <f>'2025_Chase9335_Activity_2026062'!C789</f>
        <v>FEDWIRE CREDIT VIA: BANK OF AMERICA, N.A./026009593 B/O: CT SOCAL COMM FBSC/CT BS FXBC RIVERSIDE CA 92505 US REF: CHASE NYC/CTR/BNF=POSEIDON ASSET GROUP, LLC LOS ANGELES CA 90066-3638 US/AC-000000007200 RFB=1-18462074 O BI=FN-FBSC2403516 LOAN BROKER FEE/A ND DEPOSIT REIMB EDGE BUUILDERS P/R OP AD DR-1607  IMAD: 0102B6B7HU2R020214 TRN: 1195521002FF</v>
      </c>
      <c r="D789" s="8">
        <f>'2025_Chase9335_Activity_2026062'!D789</f>
        <v>69650</v>
      </c>
      <c r="E789" s="8" t="str">
        <f>'2025_Chase9335_Activity_2026062'!E789</f>
        <v>WIRE_INCOMING</v>
      </c>
      <c r="F789" s="8">
        <f>'2025_Chase9335_Activity_2026062'!F789</f>
        <v>450669.61</v>
      </c>
      <c r="G789" s="8" t="str">
        <f>'2025_Chase9335_Activity_2026062'!G789</f>
        <v>Incoming Commission: Edge Builder</v>
      </c>
      <c r="H789" s="26">
        <f t="shared" si="12"/>
        <v>45658</v>
      </c>
      <c r="I789" s="8" t="str">
        <f>IF($G789="","Uncategorized — Review",IFERROR(_xlfn.XLOOKUP($G789,Mapping!$A:$A,Mapping!$B:$B),"Uncategorized — Review"))</f>
        <v>Incoming Commission: Edge Builder</v>
      </c>
      <c r="J789" s="8" t="str">
        <f>IF($G789="","Uncategorized — Review",IFERROR(_xlfn.XLOOKUP($G789,Mapping!$A:$A,Mapping!$C:$C),"Uncategorized — Review"))</f>
        <v>Commissions — Incoming</v>
      </c>
    </row>
    <row r="790" spans="1:10" x14ac:dyDescent="0.25">
      <c r="A790" s="8" t="str">
        <f>'2025_Chase9335_Activity_2026062'!A790</f>
        <v>CREDIT</v>
      </c>
      <c r="B790" s="24">
        <f>'2025_Chase9335_Activity_2026062'!B790</f>
        <v>45659</v>
      </c>
      <c r="C790" s="8" t="str">
        <f>'2025_Chase9335_Activity_2026062'!C790</f>
        <v>FEDWIRE CREDIT VIA: BANK OF AMERICA, N.A./026009593 B/O: CT SOCAL COMM FBSC/CT BS FXBC RIVERSIDE CA 92505 US REF: CHASE NYC/CTR/BNF=POSEIDON ASSET GROUP, LLC LOS ANGELES CA 90066-3638 US/AC-000000007200 RFB=1-18462071 O BI=FN-FBSC2403516 SELLING BROKER C/OM MI SSION PROPADDR-1607 PINE STRE/ET , PR ESCOTT, IMAD: 0102B6B7HU2R020217 TRN: 1195751002FF</v>
      </c>
      <c r="D790" s="8">
        <f>'2025_Chase9335_Activity_2026062'!D790</f>
        <v>78600</v>
      </c>
      <c r="E790" s="8" t="str">
        <f>'2025_Chase9335_Activity_2026062'!E790</f>
        <v>WIRE_INCOMING</v>
      </c>
      <c r="F790" s="8">
        <f>'2025_Chase9335_Activity_2026062'!F790</f>
        <v>381019.61</v>
      </c>
      <c r="G790" s="8" t="str">
        <f>'2025_Chase9335_Activity_2026062'!G790</f>
        <v>Incoming Commission: Edge Builder</v>
      </c>
      <c r="H790" s="26">
        <f t="shared" si="12"/>
        <v>45658</v>
      </c>
      <c r="I790" s="8" t="str">
        <f>IF($G790="","Uncategorized — Review",IFERROR(_xlfn.XLOOKUP($G790,Mapping!$A:$A,Mapping!$B:$B),"Uncategorized — Review"))</f>
        <v>Incoming Commission: Edge Builder</v>
      </c>
      <c r="J790" s="8" t="str">
        <f>IF($G790="","Uncategorized — Review",IFERROR(_xlfn.XLOOKUP($G790,Mapping!$A:$A,Mapping!$C:$C),"Uncategorized — Review"))</f>
        <v>Commissions — Incoming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01186-B4DD-4665-A2D2-8F6118EB0735}">
  <dimension ref="A1:C79"/>
  <sheetViews>
    <sheetView workbookViewId="0"/>
  </sheetViews>
  <sheetFormatPr defaultRowHeight="15" x14ac:dyDescent="0.25"/>
  <cols>
    <col min="1" max="2" width="48.7109375" bestFit="1" customWidth="1"/>
    <col min="3" max="3" width="33.5703125" bestFit="1" customWidth="1"/>
  </cols>
  <sheetData>
    <row r="1" spans="1:3" x14ac:dyDescent="0.25">
      <c r="A1" s="10" t="s">
        <v>841</v>
      </c>
      <c r="B1" s="10" t="s">
        <v>842</v>
      </c>
      <c r="C1" s="10" t="s">
        <v>843</v>
      </c>
    </row>
    <row r="2" spans="1:3" x14ac:dyDescent="0.25">
      <c r="A2" s="8" t="s">
        <v>808</v>
      </c>
      <c r="B2" s="8" t="s">
        <v>808</v>
      </c>
      <c r="C2" s="8" t="s">
        <v>844</v>
      </c>
    </row>
    <row r="3" spans="1:3" x14ac:dyDescent="0.25">
      <c r="A3" s="8" t="s">
        <v>781</v>
      </c>
      <c r="B3" s="8" t="s">
        <v>781</v>
      </c>
      <c r="C3" s="8" t="s">
        <v>844</v>
      </c>
    </row>
    <row r="4" spans="1:3" x14ac:dyDescent="0.25">
      <c r="A4" s="8" t="s">
        <v>823</v>
      </c>
      <c r="B4" s="8" t="s">
        <v>823</v>
      </c>
      <c r="C4" s="8" t="s">
        <v>845</v>
      </c>
    </row>
    <row r="5" spans="1:3" x14ac:dyDescent="0.25">
      <c r="A5" s="8" t="s">
        <v>766</v>
      </c>
      <c r="B5" s="8" t="s">
        <v>766</v>
      </c>
      <c r="C5" s="8" t="s">
        <v>845</v>
      </c>
    </row>
    <row r="6" spans="1:3" x14ac:dyDescent="0.25">
      <c r="A6" s="8" t="s">
        <v>792</v>
      </c>
      <c r="B6" s="8" t="s">
        <v>792</v>
      </c>
      <c r="C6" s="8" t="s">
        <v>845</v>
      </c>
    </row>
    <row r="7" spans="1:3" x14ac:dyDescent="0.25">
      <c r="A7" s="8" t="s">
        <v>767</v>
      </c>
      <c r="B7" s="8" t="s">
        <v>767</v>
      </c>
      <c r="C7" s="8" t="s">
        <v>846</v>
      </c>
    </row>
    <row r="8" spans="1:3" x14ac:dyDescent="0.25">
      <c r="A8" s="8" t="s">
        <v>779</v>
      </c>
      <c r="B8" s="8" t="s">
        <v>779</v>
      </c>
      <c r="C8" s="8" t="s">
        <v>847</v>
      </c>
    </row>
    <row r="9" spans="1:3" x14ac:dyDescent="0.25">
      <c r="A9" s="8" t="s">
        <v>784</v>
      </c>
      <c r="B9" s="8" t="s">
        <v>784</v>
      </c>
      <c r="C9" s="8" t="s">
        <v>844</v>
      </c>
    </row>
    <row r="10" spans="1:3" x14ac:dyDescent="0.25">
      <c r="A10" s="8" t="s">
        <v>837</v>
      </c>
      <c r="B10" s="8" t="s">
        <v>837</v>
      </c>
      <c r="C10" s="8" t="s">
        <v>848</v>
      </c>
    </row>
    <row r="11" spans="1:3" x14ac:dyDescent="0.25">
      <c r="A11" s="8" t="s">
        <v>774</v>
      </c>
      <c r="B11" s="8" t="s">
        <v>774</v>
      </c>
      <c r="C11" s="8" t="s">
        <v>849</v>
      </c>
    </row>
    <row r="12" spans="1:3" x14ac:dyDescent="0.25">
      <c r="A12" s="8" t="s">
        <v>836</v>
      </c>
      <c r="B12" s="8" t="s">
        <v>836</v>
      </c>
      <c r="C12" s="8" t="s">
        <v>849</v>
      </c>
    </row>
    <row r="13" spans="1:3" x14ac:dyDescent="0.25">
      <c r="A13" s="8" t="s">
        <v>828</v>
      </c>
      <c r="B13" s="8" t="s">
        <v>828</v>
      </c>
      <c r="C13" s="8" t="s">
        <v>849</v>
      </c>
    </row>
    <row r="14" spans="1:3" x14ac:dyDescent="0.25">
      <c r="A14" s="8" t="s">
        <v>799</v>
      </c>
      <c r="B14" s="8" t="s">
        <v>799</v>
      </c>
      <c r="C14" s="8" t="s">
        <v>849</v>
      </c>
    </row>
    <row r="15" spans="1:3" x14ac:dyDescent="0.25">
      <c r="A15" s="8" t="s">
        <v>775</v>
      </c>
      <c r="B15" s="8" t="s">
        <v>775</v>
      </c>
      <c r="C15" s="8" t="s">
        <v>849</v>
      </c>
    </row>
    <row r="16" spans="1:3" x14ac:dyDescent="0.25">
      <c r="A16" s="8" t="s">
        <v>825</v>
      </c>
      <c r="B16" s="8" t="s">
        <v>825</v>
      </c>
      <c r="C16" s="8" t="s">
        <v>849</v>
      </c>
    </row>
    <row r="17" spans="1:3" x14ac:dyDescent="0.25">
      <c r="A17" s="8" t="s">
        <v>773</v>
      </c>
      <c r="B17" s="8" t="s">
        <v>773</v>
      </c>
      <c r="C17" s="8" t="s">
        <v>849</v>
      </c>
    </row>
    <row r="18" spans="1:3" x14ac:dyDescent="0.25">
      <c r="A18" s="8" t="s">
        <v>772</v>
      </c>
      <c r="B18" s="8" t="s">
        <v>772</v>
      </c>
      <c r="C18" s="8" t="s">
        <v>849</v>
      </c>
    </row>
    <row r="19" spans="1:3" x14ac:dyDescent="0.25">
      <c r="A19" s="8" t="s">
        <v>769</v>
      </c>
      <c r="B19" s="8" t="s">
        <v>769</v>
      </c>
      <c r="C19" s="8" t="s">
        <v>849</v>
      </c>
    </row>
    <row r="20" spans="1:3" x14ac:dyDescent="0.25">
      <c r="A20" s="8" t="s">
        <v>816</v>
      </c>
      <c r="B20" s="8" t="s">
        <v>816</v>
      </c>
      <c r="C20" s="8" t="s">
        <v>850</v>
      </c>
    </row>
    <row r="21" spans="1:3" x14ac:dyDescent="0.25">
      <c r="A21" s="8" t="s">
        <v>834</v>
      </c>
      <c r="B21" s="8" t="s">
        <v>834</v>
      </c>
      <c r="C21" s="8" t="s">
        <v>851</v>
      </c>
    </row>
    <row r="22" spans="1:3" x14ac:dyDescent="0.25">
      <c r="A22" s="8" t="s">
        <v>835</v>
      </c>
      <c r="B22" s="8" t="s">
        <v>835</v>
      </c>
      <c r="C22" s="8" t="s">
        <v>851</v>
      </c>
    </row>
    <row r="23" spans="1:3" x14ac:dyDescent="0.25">
      <c r="A23" s="8" t="s">
        <v>838</v>
      </c>
      <c r="B23" s="8" t="s">
        <v>838</v>
      </c>
      <c r="C23" s="8" t="s">
        <v>844</v>
      </c>
    </row>
    <row r="24" spans="1:3" x14ac:dyDescent="0.25">
      <c r="A24" s="8" t="s">
        <v>830</v>
      </c>
      <c r="B24" s="8" t="s">
        <v>830</v>
      </c>
      <c r="C24" s="8" t="s">
        <v>848</v>
      </c>
    </row>
    <row r="25" spans="1:3" x14ac:dyDescent="0.25">
      <c r="A25" s="8" t="s">
        <v>806</v>
      </c>
      <c r="B25" s="8" t="s">
        <v>806</v>
      </c>
      <c r="C25" s="8" t="s">
        <v>852</v>
      </c>
    </row>
    <row r="26" spans="1:3" x14ac:dyDescent="0.25">
      <c r="A26" s="8" t="s">
        <v>794</v>
      </c>
      <c r="B26" s="8" t="s">
        <v>794</v>
      </c>
      <c r="C26" s="8" t="s">
        <v>852</v>
      </c>
    </row>
    <row r="27" spans="1:3" x14ac:dyDescent="0.25">
      <c r="A27" s="8" t="s">
        <v>790</v>
      </c>
      <c r="B27" s="8" t="s">
        <v>790</v>
      </c>
      <c r="C27" s="8" t="s">
        <v>852</v>
      </c>
    </row>
    <row r="28" spans="1:3" x14ac:dyDescent="0.25">
      <c r="A28" s="8" t="s">
        <v>798</v>
      </c>
      <c r="B28" s="8" t="s">
        <v>798</v>
      </c>
      <c r="C28" s="8" t="s">
        <v>852</v>
      </c>
    </row>
    <row r="29" spans="1:3" x14ac:dyDescent="0.25">
      <c r="A29" s="8" t="s">
        <v>827</v>
      </c>
      <c r="B29" s="8" t="s">
        <v>827</v>
      </c>
      <c r="C29" s="8" t="s">
        <v>852</v>
      </c>
    </row>
    <row r="30" spans="1:3" x14ac:dyDescent="0.25">
      <c r="A30" s="8" t="s">
        <v>804</v>
      </c>
      <c r="B30" s="8" t="s">
        <v>804</v>
      </c>
      <c r="C30" s="8" t="s">
        <v>853</v>
      </c>
    </row>
    <row r="31" spans="1:3" x14ac:dyDescent="0.25">
      <c r="A31" s="8" t="s">
        <v>815</v>
      </c>
      <c r="B31" s="8" t="s">
        <v>815</v>
      </c>
      <c r="C31" s="8" t="s">
        <v>853</v>
      </c>
    </row>
    <row r="32" spans="1:3" x14ac:dyDescent="0.25">
      <c r="A32" s="8" t="s">
        <v>822</v>
      </c>
      <c r="B32" s="8" t="s">
        <v>822</v>
      </c>
      <c r="C32" s="8" t="s">
        <v>844</v>
      </c>
    </row>
    <row r="33" spans="1:3" x14ac:dyDescent="0.25">
      <c r="A33" s="8" t="s">
        <v>793</v>
      </c>
      <c r="B33" s="8" t="s">
        <v>793</v>
      </c>
      <c r="C33" s="8" t="s">
        <v>851</v>
      </c>
    </row>
    <row r="34" spans="1:3" x14ac:dyDescent="0.25">
      <c r="A34" s="8" t="s">
        <v>786</v>
      </c>
      <c r="B34" s="8" t="s">
        <v>786</v>
      </c>
      <c r="C34" s="8" t="s">
        <v>851</v>
      </c>
    </row>
    <row r="35" spans="1:3" x14ac:dyDescent="0.25">
      <c r="A35" s="8" t="s">
        <v>833</v>
      </c>
      <c r="B35" s="8" t="s">
        <v>833</v>
      </c>
      <c r="C35" s="8" t="s">
        <v>851</v>
      </c>
    </row>
    <row r="36" spans="1:3" x14ac:dyDescent="0.25">
      <c r="A36" s="8" t="s">
        <v>780</v>
      </c>
      <c r="B36" s="8" t="s">
        <v>780</v>
      </c>
      <c r="C36" s="8" t="s">
        <v>851</v>
      </c>
    </row>
    <row r="37" spans="1:3" x14ac:dyDescent="0.25">
      <c r="A37" s="8" t="s">
        <v>770</v>
      </c>
      <c r="B37" s="8" t="s">
        <v>770</v>
      </c>
      <c r="C37" s="8" t="s">
        <v>848</v>
      </c>
    </row>
    <row r="38" spans="1:3" x14ac:dyDescent="0.25">
      <c r="A38" s="8" t="s">
        <v>805</v>
      </c>
      <c r="B38" s="8" t="s">
        <v>805</v>
      </c>
      <c r="C38" s="8" t="s">
        <v>854</v>
      </c>
    </row>
    <row r="39" spans="1:3" x14ac:dyDescent="0.25">
      <c r="A39" s="8" t="s">
        <v>814</v>
      </c>
      <c r="B39" s="8" t="s">
        <v>814</v>
      </c>
      <c r="C39" s="8" t="s">
        <v>854</v>
      </c>
    </row>
    <row r="40" spans="1:3" x14ac:dyDescent="0.25">
      <c r="A40" s="8" t="s">
        <v>783</v>
      </c>
      <c r="B40" s="8" t="s">
        <v>855</v>
      </c>
      <c r="C40" s="8" t="s">
        <v>845</v>
      </c>
    </row>
    <row r="41" spans="1:3" x14ac:dyDescent="0.25">
      <c r="A41" s="8" t="s">
        <v>832</v>
      </c>
      <c r="B41" s="8" t="s">
        <v>832</v>
      </c>
      <c r="C41" s="8" t="s">
        <v>845</v>
      </c>
    </row>
    <row r="42" spans="1:3" x14ac:dyDescent="0.25">
      <c r="A42" s="8" t="s">
        <v>826</v>
      </c>
      <c r="B42" s="8" t="s">
        <v>826</v>
      </c>
      <c r="C42" s="8" t="s">
        <v>845</v>
      </c>
    </row>
    <row r="43" spans="1:3" x14ac:dyDescent="0.25">
      <c r="A43" s="8" t="s">
        <v>802</v>
      </c>
      <c r="B43" s="8" t="s">
        <v>802</v>
      </c>
      <c r="C43" s="8" t="s">
        <v>845</v>
      </c>
    </row>
    <row r="44" spans="1:3" x14ac:dyDescent="0.25">
      <c r="A44" s="8" t="s">
        <v>782</v>
      </c>
      <c r="B44" s="8" t="s">
        <v>782</v>
      </c>
      <c r="C44" s="8" t="s">
        <v>845</v>
      </c>
    </row>
    <row r="45" spans="1:3" x14ac:dyDescent="0.25">
      <c r="A45" s="8" t="s">
        <v>824</v>
      </c>
      <c r="B45" s="8" t="s">
        <v>824</v>
      </c>
      <c r="C45" s="8" t="s">
        <v>845</v>
      </c>
    </row>
    <row r="46" spans="1:3" x14ac:dyDescent="0.25">
      <c r="A46" s="8" t="s">
        <v>778</v>
      </c>
      <c r="B46" s="8" t="s">
        <v>778</v>
      </c>
      <c r="C46" s="8" t="s">
        <v>845</v>
      </c>
    </row>
    <row r="47" spans="1:3" x14ac:dyDescent="0.25">
      <c r="A47" s="8" t="s">
        <v>829</v>
      </c>
      <c r="B47" s="8" t="s">
        <v>829</v>
      </c>
      <c r="C47" s="8" t="s">
        <v>845</v>
      </c>
    </row>
    <row r="48" spans="1:3" x14ac:dyDescent="0.25">
      <c r="A48" s="8" t="s">
        <v>765</v>
      </c>
      <c r="B48" s="8" t="s">
        <v>765</v>
      </c>
      <c r="C48" s="8" t="s">
        <v>845</v>
      </c>
    </row>
    <row r="49" spans="1:3" x14ac:dyDescent="0.25">
      <c r="A49" s="8" t="s">
        <v>771</v>
      </c>
      <c r="B49" s="8" t="s">
        <v>771</v>
      </c>
      <c r="C49" s="8" t="s">
        <v>845</v>
      </c>
    </row>
    <row r="50" spans="1:3" x14ac:dyDescent="0.25">
      <c r="A50" s="8" t="s">
        <v>789</v>
      </c>
      <c r="B50" s="8" t="s">
        <v>789</v>
      </c>
      <c r="C50" s="8" t="s">
        <v>845</v>
      </c>
    </row>
    <row r="51" spans="1:3" x14ac:dyDescent="0.25">
      <c r="A51" s="8" t="s">
        <v>796</v>
      </c>
      <c r="B51" s="8" t="s">
        <v>796</v>
      </c>
      <c r="C51" s="8" t="s">
        <v>845</v>
      </c>
    </row>
    <row r="52" spans="1:3" x14ac:dyDescent="0.25">
      <c r="A52" s="8" t="s">
        <v>817</v>
      </c>
      <c r="B52" s="8" t="s">
        <v>817</v>
      </c>
      <c r="C52" s="8" t="s">
        <v>845</v>
      </c>
    </row>
    <row r="53" spans="1:3" x14ac:dyDescent="0.25">
      <c r="A53" s="8" t="s">
        <v>797</v>
      </c>
      <c r="B53" s="8" t="s">
        <v>797</v>
      </c>
      <c r="C53" s="8" t="s">
        <v>845</v>
      </c>
    </row>
    <row r="54" spans="1:3" x14ac:dyDescent="0.25">
      <c r="A54" s="8" t="s">
        <v>807</v>
      </c>
      <c r="B54" s="8" t="s">
        <v>807</v>
      </c>
      <c r="C54" s="8" t="s">
        <v>856</v>
      </c>
    </row>
    <row r="55" spans="1:3" x14ac:dyDescent="0.25">
      <c r="A55" s="8" t="s">
        <v>788</v>
      </c>
      <c r="B55" s="8" t="s">
        <v>788</v>
      </c>
      <c r="C55" s="8" t="s">
        <v>856</v>
      </c>
    </row>
    <row r="56" spans="1:3" x14ac:dyDescent="0.25">
      <c r="A56" s="8" t="s">
        <v>801</v>
      </c>
      <c r="B56" s="8" t="s">
        <v>801</v>
      </c>
      <c r="C56" s="8" t="s">
        <v>856</v>
      </c>
    </row>
    <row r="57" spans="1:3" x14ac:dyDescent="0.25">
      <c r="A57" s="8" t="s">
        <v>821</v>
      </c>
      <c r="B57" s="8" t="s">
        <v>821</v>
      </c>
      <c r="C57" s="8" t="s">
        <v>856</v>
      </c>
    </row>
    <row r="58" spans="1:3" x14ac:dyDescent="0.25">
      <c r="A58" s="8" t="s">
        <v>785</v>
      </c>
      <c r="B58" s="8" t="s">
        <v>785</v>
      </c>
      <c r="C58" s="8" t="s">
        <v>857</v>
      </c>
    </row>
    <row r="59" spans="1:3" x14ac:dyDescent="0.25">
      <c r="A59" s="8" t="s">
        <v>818</v>
      </c>
      <c r="B59" s="8" t="s">
        <v>818</v>
      </c>
      <c r="C59" s="8" t="s">
        <v>857</v>
      </c>
    </row>
    <row r="60" spans="1:3" x14ac:dyDescent="0.25">
      <c r="A60" s="8" t="s">
        <v>776</v>
      </c>
      <c r="B60" s="8" t="s">
        <v>776</v>
      </c>
      <c r="C60" s="8" t="s">
        <v>856</v>
      </c>
    </row>
    <row r="61" spans="1:3" x14ac:dyDescent="0.25">
      <c r="A61" s="8" t="s">
        <v>777</v>
      </c>
      <c r="B61" s="8" t="s">
        <v>777</v>
      </c>
      <c r="C61" s="8" t="s">
        <v>856</v>
      </c>
    </row>
    <row r="62" spans="1:3" x14ac:dyDescent="0.25">
      <c r="A62" s="8" t="s">
        <v>768</v>
      </c>
      <c r="B62" s="8" t="s">
        <v>768</v>
      </c>
      <c r="C62" s="8" t="s">
        <v>856</v>
      </c>
    </row>
    <row r="63" spans="1:3" x14ac:dyDescent="0.25">
      <c r="A63" s="8" t="s">
        <v>787</v>
      </c>
      <c r="B63" s="8" t="s">
        <v>787</v>
      </c>
      <c r="C63" s="8" t="s">
        <v>856</v>
      </c>
    </row>
    <row r="64" spans="1:3" x14ac:dyDescent="0.25">
      <c r="A64" s="8" t="s">
        <v>800</v>
      </c>
      <c r="B64" s="8" t="s">
        <v>800</v>
      </c>
      <c r="C64" s="8" t="s">
        <v>856</v>
      </c>
    </row>
    <row r="65" spans="1:3" x14ac:dyDescent="0.25">
      <c r="A65" s="8" t="s">
        <v>764</v>
      </c>
      <c r="B65" s="8" t="s">
        <v>764</v>
      </c>
      <c r="C65" s="8" t="s">
        <v>856</v>
      </c>
    </row>
    <row r="66" spans="1:3" x14ac:dyDescent="0.25">
      <c r="A66" s="8" t="s">
        <v>819</v>
      </c>
      <c r="B66" s="8" t="s">
        <v>819</v>
      </c>
      <c r="C66" s="8" t="s">
        <v>856</v>
      </c>
    </row>
    <row r="67" spans="1:3" x14ac:dyDescent="0.25">
      <c r="A67" s="8" t="s">
        <v>840</v>
      </c>
      <c r="B67" s="8" t="s">
        <v>840</v>
      </c>
      <c r="C67" s="8" t="s">
        <v>856</v>
      </c>
    </row>
    <row r="68" spans="1:3" x14ac:dyDescent="0.25">
      <c r="A68" s="8" t="s">
        <v>820</v>
      </c>
      <c r="B68" s="8" t="s">
        <v>820</v>
      </c>
      <c r="C68" s="8" t="s">
        <v>856</v>
      </c>
    </row>
    <row r="69" spans="1:3" x14ac:dyDescent="0.25">
      <c r="A69" s="8" t="s">
        <v>803</v>
      </c>
      <c r="B69" s="8" t="s">
        <v>803</v>
      </c>
      <c r="C69" s="8" t="s">
        <v>856</v>
      </c>
    </row>
    <row r="70" spans="1:3" x14ac:dyDescent="0.25">
      <c r="A70" s="8" t="s">
        <v>791</v>
      </c>
      <c r="B70" s="8" t="s">
        <v>791</v>
      </c>
      <c r="C70" s="8" t="s">
        <v>858</v>
      </c>
    </row>
    <row r="71" spans="1:3" x14ac:dyDescent="0.25">
      <c r="A71" s="8" t="s">
        <v>831</v>
      </c>
      <c r="B71" s="8" t="s">
        <v>831</v>
      </c>
      <c r="C71" s="8" t="s">
        <v>858</v>
      </c>
    </row>
    <row r="72" spans="1:3" x14ac:dyDescent="0.25">
      <c r="A72" s="8" t="s">
        <v>795</v>
      </c>
      <c r="B72" s="8" t="s">
        <v>795</v>
      </c>
      <c r="C72" s="8" t="s">
        <v>854</v>
      </c>
    </row>
    <row r="73" spans="1:3" x14ac:dyDescent="0.25">
      <c r="A73" s="8" t="s">
        <v>839</v>
      </c>
      <c r="B73" s="8" t="s">
        <v>839</v>
      </c>
      <c r="C73" s="8" t="s">
        <v>854</v>
      </c>
    </row>
    <row r="74" spans="1:3" x14ac:dyDescent="0.25">
      <c r="A74" s="8" t="s">
        <v>809</v>
      </c>
      <c r="B74" s="8" t="s">
        <v>809</v>
      </c>
      <c r="C74" s="8" t="s">
        <v>847</v>
      </c>
    </row>
    <row r="75" spans="1:3" x14ac:dyDescent="0.25">
      <c r="A75" s="8" t="s">
        <v>811</v>
      </c>
      <c r="B75" s="8" t="s">
        <v>811</v>
      </c>
      <c r="C75" s="8" t="s">
        <v>847</v>
      </c>
    </row>
    <row r="76" spans="1:3" x14ac:dyDescent="0.25">
      <c r="A76" s="8" t="s">
        <v>812</v>
      </c>
      <c r="B76" s="8" t="s">
        <v>812</v>
      </c>
      <c r="C76" s="8" t="s">
        <v>847</v>
      </c>
    </row>
    <row r="77" spans="1:3" x14ac:dyDescent="0.25">
      <c r="A77" s="8" t="s">
        <v>859</v>
      </c>
      <c r="B77" s="8" t="s">
        <v>859</v>
      </c>
      <c r="C77" s="8" t="s">
        <v>847</v>
      </c>
    </row>
    <row r="78" spans="1:3" x14ac:dyDescent="0.25">
      <c r="A78" s="8" t="s">
        <v>810</v>
      </c>
      <c r="B78" s="8" t="s">
        <v>810</v>
      </c>
      <c r="C78" s="8" t="s">
        <v>847</v>
      </c>
    </row>
    <row r="79" spans="1:3" x14ac:dyDescent="0.25">
      <c r="A79" s="8" t="s">
        <v>813</v>
      </c>
      <c r="B79" s="8" t="s">
        <v>813</v>
      </c>
      <c r="C79" s="8" t="s">
        <v>847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3ACA-A619-4AFF-8D8C-C304A175CC35}">
  <dimension ref="A1:G790"/>
  <sheetViews>
    <sheetView topLeftCell="A595" workbookViewId="0">
      <selection activeCell="G601" sqref="G601"/>
    </sheetView>
  </sheetViews>
  <sheetFormatPr defaultRowHeight="15" x14ac:dyDescent="0.25"/>
  <cols>
    <col min="2" max="2" width="16.85546875" customWidth="1"/>
    <col min="3" max="3" width="104.42578125" customWidth="1"/>
    <col min="5" max="5" width="19.42578125" customWidth="1"/>
    <col min="7" max="7" width="49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763</v>
      </c>
    </row>
    <row r="2" spans="1:7" x14ac:dyDescent="0.25">
      <c r="A2" t="s">
        <v>6</v>
      </c>
      <c r="B2" s="1">
        <v>46022</v>
      </c>
      <c r="C2" t="s">
        <v>7</v>
      </c>
      <c r="D2">
        <v>-33349</v>
      </c>
      <c r="E2" t="s">
        <v>8</v>
      </c>
      <c r="F2">
        <v>263614.45</v>
      </c>
      <c r="G2" t="s">
        <v>764</v>
      </c>
    </row>
    <row r="3" spans="1:7" x14ac:dyDescent="0.25">
      <c r="A3" t="s">
        <v>6</v>
      </c>
      <c r="B3" s="1">
        <v>46022</v>
      </c>
      <c r="C3" t="s">
        <v>9</v>
      </c>
      <c r="D3">
        <v>-51.45</v>
      </c>
      <c r="E3" t="s">
        <v>10</v>
      </c>
      <c r="F3">
        <v>296963.45</v>
      </c>
      <c r="G3" t="s">
        <v>765</v>
      </c>
    </row>
    <row r="4" spans="1:7" x14ac:dyDescent="0.25">
      <c r="A4" t="s">
        <v>11</v>
      </c>
      <c r="B4" s="1">
        <v>46022</v>
      </c>
      <c r="C4" t="s">
        <v>12</v>
      </c>
      <c r="D4">
        <v>23350</v>
      </c>
      <c r="E4" t="s">
        <v>8</v>
      </c>
      <c r="F4">
        <v>297014.90000000002</v>
      </c>
      <c r="G4" t="s">
        <v>788</v>
      </c>
    </row>
    <row r="5" spans="1:7" x14ac:dyDescent="0.25">
      <c r="A5" t="s">
        <v>6</v>
      </c>
      <c r="B5" s="1">
        <v>46021</v>
      </c>
      <c r="C5" t="s">
        <v>13</v>
      </c>
      <c r="D5">
        <v>-0.17</v>
      </c>
      <c r="E5" t="s">
        <v>14</v>
      </c>
      <c r="F5">
        <v>273664.90000000002</v>
      </c>
      <c r="G5" t="s">
        <v>789</v>
      </c>
    </row>
    <row r="6" spans="1:7" x14ac:dyDescent="0.25">
      <c r="A6" t="s">
        <v>6</v>
      </c>
      <c r="B6" s="1">
        <v>46021</v>
      </c>
      <c r="C6" t="s">
        <v>15</v>
      </c>
      <c r="D6">
        <v>-5.86</v>
      </c>
      <c r="E6" t="s">
        <v>10</v>
      </c>
      <c r="F6">
        <v>273665.07</v>
      </c>
      <c r="G6" t="s">
        <v>789</v>
      </c>
    </row>
    <row r="7" spans="1:7" x14ac:dyDescent="0.25">
      <c r="A7" t="s">
        <v>6</v>
      </c>
      <c r="B7" s="1">
        <v>46020</v>
      </c>
      <c r="C7" t="s">
        <v>16</v>
      </c>
      <c r="D7">
        <v>-3.96</v>
      </c>
      <c r="E7" t="s">
        <v>14</v>
      </c>
      <c r="F7">
        <v>273670.93</v>
      </c>
      <c r="G7" t="s">
        <v>789</v>
      </c>
    </row>
    <row r="8" spans="1:7" x14ac:dyDescent="0.25">
      <c r="A8" t="s">
        <v>6</v>
      </c>
      <c r="B8" s="1">
        <v>46020</v>
      </c>
      <c r="C8" t="s">
        <v>17</v>
      </c>
      <c r="D8">
        <v>-4.21</v>
      </c>
      <c r="E8" t="s">
        <v>14</v>
      </c>
      <c r="F8">
        <v>273674.89</v>
      </c>
      <c r="G8" t="s">
        <v>789</v>
      </c>
    </row>
    <row r="9" spans="1:7" x14ac:dyDescent="0.25">
      <c r="A9" t="s">
        <v>6</v>
      </c>
      <c r="B9" s="1">
        <v>46020</v>
      </c>
      <c r="C9" t="s">
        <v>18</v>
      </c>
      <c r="D9">
        <v>-16</v>
      </c>
      <c r="E9" t="s">
        <v>10</v>
      </c>
      <c r="F9">
        <v>273679.09999999998</v>
      </c>
      <c r="G9" t="s">
        <v>792</v>
      </c>
    </row>
    <row r="10" spans="1:7" x14ac:dyDescent="0.25">
      <c r="A10" t="s">
        <v>6</v>
      </c>
      <c r="B10" s="1">
        <v>46020</v>
      </c>
      <c r="C10" t="s">
        <v>19</v>
      </c>
      <c r="D10">
        <v>-30.89</v>
      </c>
      <c r="E10" t="s">
        <v>10</v>
      </c>
      <c r="F10">
        <v>273695.09999999998</v>
      </c>
      <c r="G10" t="s">
        <v>765</v>
      </c>
    </row>
    <row r="11" spans="1:7" x14ac:dyDescent="0.25">
      <c r="A11" t="s">
        <v>6</v>
      </c>
      <c r="B11" s="1">
        <v>46020</v>
      </c>
      <c r="C11" t="s">
        <v>20</v>
      </c>
      <c r="D11">
        <v>-22.87</v>
      </c>
      <c r="E11" t="s">
        <v>10</v>
      </c>
      <c r="F11">
        <v>273725.99</v>
      </c>
      <c r="G11" t="s">
        <v>766</v>
      </c>
    </row>
    <row r="12" spans="1:7" x14ac:dyDescent="0.25">
      <c r="A12" t="s">
        <v>6</v>
      </c>
      <c r="B12" s="1">
        <v>46020</v>
      </c>
      <c r="C12" t="s">
        <v>21</v>
      </c>
      <c r="D12">
        <v>-140.37</v>
      </c>
      <c r="E12" t="s">
        <v>10</v>
      </c>
      <c r="F12">
        <v>273748.86</v>
      </c>
      <c r="G12" t="s">
        <v>789</v>
      </c>
    </row>
    <row r="13" spans="1:7" x14ac:dyDescent="0.25">
      <c r="A13" t="s">
        <v>6</v>
      </c>
      <c r="B13" s="1">
        <v>46020</v>
      </c>
      <c r="C13" t="s">
        <v>22</v>
      </c>
      <c r="D13">
        <v>-132.01</v>
      </c>
      <c r="E13" t="s">
        <v>10</v>
      </c>
      <c r="F13">
        <v>273889.23</v>
      </c>
      <c r="G13" t="s">
        <v>789</v>
      </c>
    </row>
    <row r="14" spans="1:7" x14ac:dyDescent="0.25">
      <c r="A14" t="s">
        <v>6</v>
      </c>
      <c r="B14" s="1">
        <v>46017</v>
      </c>
      <c r="C14" t="s">
        <v>23</v>
      </c>
      <c r="D14">
        <v>-21.34</v>
      </c>
      <c r="E14" t="s">
        <v>10</v>
      </c>
      <c r="F14">
        <v>274021.24</v>
      </c>
      <c r="G14" t="s">
        <v>792</v>
      </c>
    </row>
    <row r="15" spans="1:7" x14ac:dyDescent="0.25">
      <c r="A15" t="s">
        <v>6</v>
      </c>
      <c r="B15" s="1">
        <v>46017</v>
      </c>
      <c r="C15" t="s">
        <v>24</v>
      </c>
      <c r="D15">
        <v>-21.34</v>
      </c>
      <c r="E15" t="s">
        <v>10</v>
      </c>
      <c r="F15">
        <v>274042.58</v>
      </c>
      <c r="G15" t="s">
        <v>792</v>
      </c>
    </row>
    <row r="16" spans="1:7" x14ac:dyDescent="0.25">
      <c r="A16" t="s">
        <v>6</v>
      </c>
      <c r="B16" s="1">
        <v>46015</v>
      </c>
      <c r="C16" t="s">
        <v>25</v>
      </c>
      <c r="D16">
        <v>-2.3199999999999998</v>
      </c>
      <c r="E16" t="s">
        <v>14</v>
      </c>
      <c r="F16">
        <v>274063.92</v>
      </c>
      <c r="G16" t="s">
        <v>789</v>
      </c>
    </row>
    <row r="17" spans="1:7" x14ac:dyDescent="0.25">
      <c r="A17" t="s">
        <v>6</v>
      </c>
      <c r="B17" s="1">
        <v>46015</v>
      </c>
      <c r="C17" t="s">
        <v>26</v>
      </c>
      <c r="D17">
        <v>-2.7</v>
      </c>
      <c r="E17" t="s">
        <v>14</v>
      </c>
      <c r="F17">
        <v>274066.24</v>
      </c>
      <c r="G17" t="s">
        <v>789</v>
      </c>
    </row>
    <row r="18" spans="1:7" x14ac:dyDescent="0.25">
      <c r="A18" t="s">
        <v>6</v>
      </c>
      <c r="B18" s="1">
        <v>46015</v>
      </c>
      <c r="C18" t="s">
        <v>27</v>
      </c>
      <c r="D18">
        <v>-90.17</v>
      </c>
      <c r="E18" t="s">
        <v>10</v>
      </c>
      <c r="F18">
        <v>274068.94</v>
      </c>
      <c r="G18" t="s">
        <v>789</v>
      </c>
    </row>
    <row r="19" spans="1:7" x14ac:dyDescent="0.25">
      <c r="A19" t="s">
        <v>6</v>
      </c>
      <c r="B19" s="1">
        <v>46015</v>
      </c>
      <c r="C19" t="s">
        <v>28</v>
      </c>
      <c r="D19">
        <v>-77.52</v>
      </c>
      <c r="E19" t="s">
        <v>10</v>
      </c>
      <c r="F19">
        <v>274159.11</v>
      </c>
      <c r="G19" t="s">
        <v>789</v>
      </c>
    </row>
    <row r="20" spans="1:7" x14ac:dyDescent="0.25">
      <c r="A20" t="s">
        <v>6</v>
      </c>
      <c r="B20" s="1">
        <v>46014</v>
      </c>
      <c r="C20" t="s">
        <v>29</v>
      </c>
      <c r="D20">
        <v>-1.0900000000000001</v>
      </c>
      <c r="E20" t="s">
        <v>14</v>
      </c>
      <c r="F20">
        <v>274236.63</v>
      </c>
      <c r="G20" t="s">
        <v>789</v>
      </c>
    </row>
    <row r="21" spans="1:7" x14ac:dyDescent="0.25">
      <c r="A21" t="s">
        <v>6</v>
      </c>
      <c r="B21" s="1">
        <v>46014</v>
      </c>
      <c r="C21" t="s">
        <v>30</v>
      </c>
      <c r="D21">
        <v>-36.61</v>
      </c>
      <c r="E21" t="s">
        <v>10</v>
      </c>
      <c r="F21">
        <v>274237.71999999997</v>
      </c>
      <c r="G21" t="s">
        <v>789</v>
      </c>
    </row>
    <row r="22" spans="1:7" x14ac:dyDescent="0.25">
      <c r="A22" t="s">
        <v>6</v>
      </c>
      <c r="B22" s="1">
        <v>46013</v>
      </c>
      <c r="C22" t="s">
        <v>31</v>
      </c>
      <c r="D22">
        <v>-1.67</v>
      </c>
      <c r="E22" t="s">
        <v>14</v>
      </c>
      <c r="F22">
        <v>274274.33</v>
      </c>
      <c r="G22" t="s">
        <v>789</v>
      </c>
    </row>
    <row r="23" spans="1:7" x14ac:dyDescent="0.25">
      <c r="A23" t="s">
        <v>6</v>
      </c>
      <c r="B23" s="1">
        <v>46013</v>
      </c>
      <c r="C23" t="s">
        <v>32</v>
      </c>
      <c r="D23">
        <v>-2.0099999999999998</v>
      </c>
      <c r="E23" t="s">
        <v>14</v>
      </c>
      <c r="F23">
        <v>274276</v>
      </c>
      <c r="G23" t="s">
        <v>789</v>
      </c>
    </row>
    <row r="24" spans="1:7" x14ac:dyDescent="0.25">
      <c r="A24" t="s">
        <v>6</v>
      </c>
      <c r="B24" s="1">
        <v>46013</v>
      </c>
      <c r="C24" t="s">
        <v>33</v>
      </c>
      <c r="D24">
        <v>-2.54</v>
      </c>
      <c r="E24" t="s">
        <v>14</v>
      </c>
      <c r="F24">
        <v>274278.01</v>
      </c>
      <c r="G24" t="s">
        <v>789</v>
      </c>
    </row>
    <row r="25" spans="1:7" x14ac:dyDescent="0.25">
      <c r="A25" t="s">
        <v>6</v>
      </c>
      <c r="B25" s="1">
        <v>46013</v>
      </c>
      <c r="C25" t="s">
        <v>34</v>
      </c>
      <c r="D25">
        <v>-84.92</v>
      </c>
      <c r="E25" t="s">
        <v>10</v>
      </c>
      <c r="F25">
        <v>274280.55</v>
      </c>
      <c r="G25" t="s">
        <v>789</v>
      </c>
    </row>
    <row r="26" spans="1:7" x14ac:dyDescent="0.25">
      <c r="A26" t="s">
        <v>6</v>
      </c>
      <c r="B26" s="1">
        <v>46013</v>
      </c>
      <c r="C26" t="s">
        <v>35</v>
      </c>
      <c r="D26">
        <v>-24.99</v>
      </c>
      <c r="E26" t="s">
        <v>10</v>
      </c>
      <c r="F26">
        <v>274365.46999999997</v>
      </c>
      <c r="G26" t="s">
        <v>765</v>
      </c>
    </row>
    <row r="27" spans="1:7" x14ac:dyDescent="0.25">
      <c r="A27" t="s">
        <v>6</v>
      </c>
      <c r="B27" s="1">
        <v>46013</v>
      </c>
      <c r="C27" t="s">
        <v>36</v>
      </c>
      <c r="D27">
        <v>-4.1500000000000004</v>
      </c>
      <c r="E27" t="s">
        <v>10</v>
      </c>
      <c r="F27">
        <v>274390.46000000002</v>
      </c>
      <c r="G27" t="s">
        <v>792</v>
      </c>
    </row>
    <row r="28" spans="1:7" x14ac:dyDescent="0.25">
      <c r="A28" t="s">
        <v>6</v>
      </c>
      <c r="B28" s="1">
        <v>46013</v>
      </c>
      <c r="C28" t="s">
        <v>37</v>
      </c>
      <c r="D28">
        <v>-55.85</v>
      </c>
      <c r="E28" t="s">
        <v>10</v>
      </c>
      <c r="F28">
        <v>274394.61</v>
      </c>
      <c r="G28" t="s">
        <v>789</v>
      </c>
    </row>
    <row r="29" spans="1:7" x14ac:dyDescent="0.25">
      <c r="A29" t="s">
        <v>6</v>
      </c>
      <c r="B29" s="1">
        <v>46013</v>
      </c>
      <c r="C29" t="s">
        <v>38</v>
      </c>
      <c r="D29">
        <v>-30.89</v>
      </c>
      <c r="E29" t="s">
        <v>10</v>
      </c>
      <c r="F29">
        <v>274450.46000000002</v>
      </c>
      <c r="G29" t="s">
        <v>765</v>
      </c>
    </row>
    <row r="30" spans="1:7" x14ac:dyDescent="0.25">
      <c r="A30" t="s">
        <v>6</v>
      </c>
      <c r="B30" s="1">
        <v>46013</v>
      </c>
      <c r="C30" t="s">
        <v>39</v>
      </c>
      <c r="D30">
        <v>-3.19</v>
      </c>
      <c r="E30" t="s">
        <v>10</v>
      </c>
      <c r="F30">
        <v>274481.34999999998</v>
      </c>
      <c r="G30" t="s">
        <v>792</v>
      </c>
    </row>
    <row r="31" spans="1:7" x14ac:dyDescent="0.25">
      <c r="A31" t="s">
        <v>6</v>
      </c>
      <c r="B31" s="1">
        <v>46013</v>
      </c>
      <c r="C31" t="s">
        <v>40</v>
      </c>
      <c r="D31">
        <v>-20</v>
      </c>
      <c r="E31" t="s">
        <v>10</v>
      </c>
      <c r="F31">
        <v>274484.53999999998</v>
      </c>
      <c r="G31" t="s">
        <v>765</v>
      </c>
    </row>
    <row r="32" spans="1:7" x14ac:dyDescent="0.25">
      <c r="A32" t="s">
        <v>6</v>
      </c>
      <c r="B32" s="1">
        <v>46013</v>
      </c>
      <c r="C32" t="s">
        <v>41</v>
      </c>
      <c r="D32">
        <v>-67.010000000000005</v>
      </c>
      <c r="E32" t="s">
        <v>10</v>
      </c>
      <c r="F32">
        <v>274504.53999999998</v>
      </c>
      <c r="G32" t="s">
        <v>789</v>
      </c>
    </row>
    <row r="33" spans="1:7" x14ac:dyDescent="0.25">
      <c r="A33" t="s">
        <v>11</v>
      </c>
      <c r="B33" s="1">
        <v>46013</v>
      </c>
      <c r="C33" t="s">
        <v>42</v>
      </c>
      <c r="D33">
        <v>90000</v>
      </c>
      <c r="E33" t="s">
        <v>8</v>
      </c>
      <c r="F33">
        <v>274571.55</v>
      </c>
      <c r="G33" t="s">
        <v>788</v>
      </c>
    </row>
    <row r="34" spans="1:7" x14ac:dyDescent="0.25">
      <c r="A34" t="s">
        <v>6</v>
      </c>
      <c r="B34" s="1">
        <v>46009</v>
      </c>
      <c r="C34" t="s">
        <v>43</v>
      </c>
      <c r="D34">
        <v>-35</v>
      </c>
      <c r="E34" t="s">
        <v>14</v>
      </c>
      <c r="F34">
        <v>184571.55</v>
      </c>
      <c r="G34" t="s">
        <v>784</v>
      </c>
    </row>
    <row r="35" spans="1:7" x14ac:dyDescent="0.25">
      <c r="A35" t="s">
        <v>6</v>
      </c>
      <c r="B35" s="1">
        <v>46009</v>
      </c>
      <c r="C35" t="s">
        <v>44</v>
      </c>
      <c r="D35">
        <v>-1625.86</v>
      </c>
      <c r="E35" t="s">
        <v>45</v>
      </c>
      <c r="F35">
        <v>184606.55</v>
      </c>
      <c r="G35" t="s">
        <v>767</v>
      </c>
    </row>
    <row r="36" spans="1:7" x14ac:dyDescent="0.25">
      <c r="A36" t="s">
        <v>6</v>
      </c>
      <c r="B36" s="1">
        <v>46009</v>
      </c>
      <c r="C36" t="s">
        <v>46</v>
      </c>
      <c r="D36">
        <v>-620000</v>
      </c>
      <c r="E36" t="s">
        <v>47</v>
      </c>
      <c r="F36">
        <v>186232.41</v>
      </c>
      <c r="G36" t="s">
        <v>825</v>
      </c>
    </row>
    <row r="37" spans="1:7" x14ac:dyDescent="0.25">
      <c r="A37" t="s">
        <v>6</v>
      </c>
      <c r="B37" s="1">
        <v>46008</v>
      </c>
      <c r="C37" t="s">
        <v>48</v>
      </c>
      <c r="D37">
        <v>-20000</v>
      </c>
      <c r="E37" t="s">
        <v>8</v>
      </c>
      <c r="F37">
        <v>806232.41</v>
      </c>
      <c r="G37" t="s">
        <v>768</v>
      </c>
    </row>
    <row r="38" spans="1:7" x14ac:dyDescent="0.25">
      <c r="A38" t="s">
        <v>11</v>
      </c>
      <c r="B38" s="1">
        <v>46008</v>
      </c>
      <c r="C38" t="s">
        <v>49</v>
      </c>
      <c r="D38">
        <v>356.38</v>
      </c>
      <c r="E38" t="s">
        <v>50</v>
      </c>
      <c r="F38">
        <v>826232.41</v>
      </c>
      <c r="G38" t="s">
        <v>769</v>
      </c>
    </row>
    <row r="39" spans="1:7" x14ac:dyDescent="0.25">
      <c r="A39" t="s">
        <v>11</v>
      </c>
      <c r="B39" s="1">
        <v>46008</v>
      </c>
      <c r="C39" t="s">
        <v>51</v>
      </c>
      <c r="D39">
        <v>625000</v>
      </c>
      <c r="E39" t="s">
        <v>52</v>
      </c>
      <c r="F39">
        <v>825876.03</v>
      </c>
      <c r="G39" t="s">
        <v>825</v>
      </c>
    </row>
    <row r="40" spans="1:7" x14ac:dyDescent="0.25">
      <c r="A40" t="s">
        <v>6</v>
      </c>
      <c r="B40" s="1">
        <v>46007</v>
      </c>
      <c r="C40" t="s">
        <v>53</v>
      </c>
      <c r="D40">
        <v>-25</v>
      </c>
      <c r="E40" t="s">
        <v>14</v>
      </c>
      <c r="F40">
        <v>200876.03</v>
      </c>
      <c r="G40" t="s">
        <v>784</v>
      </c>
    </row>
    <row r="41" spans="1:7" x14ac:dyDescent="0.25">
      <c r="A41" t="s">
        <v>6</v>
      </c>
      <c r="B41" s="1">
        <v>46007</v>
      </c>
      <c r="C41" t="s">
        <v>53</v>
      </c>
      <c r="D41">
        <v>-25</v>
      </c>
      <c r="E41" t="s">
        <v>14</v>
      </c>
      <c r="F41">
        <v>200901.03</v>
      </c>
      <c r="G41" t="s">
        <v>784</v>
      </c>
    </row>
    <row r="42" spans="1:7" x14ac:dyDescent="0.25">
      <c r="A42" t="s">
        <v>6</v>
      </c>
      <c r="B42" s="1">
        <v>46007</v>
      </c>
      <c r="C42" t="s">
        <v>54</v>
      </c>
      <c r="D42">
        <v>-8000</v>
      </c>
      <c r="E42" t="s">
        <v>8</v>
      </c>
      <c r="F42">
        <v>200926.03</v>
      </c>
      <c r="G42" t="s">
        <v>800</v>
      </c>
    </row>
    <row r="43" spans="1:7" x14ac:dyDescent="0.25">
      <c r="A43" t="s">
        <v>6</v>
      </c>
      <c r="B43" s="1">
        <v>46007</v>
      </c>
      <c r="C43" t="s">
        <v>55</v>
      </c>
      <c r="D43">
        <v>-39000</v>
      </c>
      <c r="E43" t="s">
        <v>47</v>
      </c>
      <c r="F43">
        <v>208926.03</v>
      </c>
      <c r="G43" s="2" t="s">
        <v>835</v>
      </c>
    </row>
    <row r="44" spans="1:7" x14ac:dyDescent="0.25">
      <c r="A44" t="s">
        <v>6</v>
      </c>
      <c r="B44" s="1">
        <v>46007</v>
      </c>
      <c r="C44" t="s">
        <v>56</v>
      </c>
      <c r="D44">
        <v>-21000</v>
      </c>
      <c r="E44" t="s">
        <v>47</v>
      </c>
      <c r="F44">
        <v>247926.03</v>
      </c>
      <c r="G44" s="2" t="s">
        <v>834</v>
      </c>
    </row>
    <row r="45" spans="1:7" x14ac:dyDescent="0.25">
      <c r="A45" t="s">
        <v>6</v>
      </c>
      <c r="B45" s="1">
        <v>46007</v>
      </c>
      <c r="C45" t="s">
        <v>57</v>
      </c>
      <c r="D45">
        <v>-65</v>
      </c>
      <c r="E45" t="s">
        <v>58</v>
      </c>
      <c r="F45">
        <v>268926.03000000003</v>
      </c>
      <c r="G45" t="s">
        <v>770</v>
      </c>
    </row>
    <row r="46" spans="1:7" x14ac:dyDescent="0.25">
      <c r="A46" t="s">
        <v>6</v>
      </c>
      <c r="B46" s="1">
        <v>46007</v>
      </c>
      <c r="C46" t="s">
        <v>59</v>
      </c>
      <c r="D46">
        <v>-10.96</v>
      </c>
      <c r="E46" t="s">
        <v>10</v>
      </c>
      <c r="F46">
        <v>268991.03000000003</v>
      </c>
      <c r="G46" t="s">
        <v>766</v>
      </c>
    </row>
    <row r="47" spans="1:7" x14ac:dyDescent="0.25">
      <c r="A47" t="s">
        <v>6</v>
      </c>
      <c r="B47" s="1">
        <v>46006</v>
      </c>
      <c r="C47" t="s">
        <v>43</v>
      </c>
      <c r="D47">
        <v>-35</v>
      </c>
      <c r="E47" t="s">
        <v>14</v>
      </c>
      <c r="F47">
        <v>269001.99</v>
      </c>
      <c r="G47" t="s">
        <v>784</v>
      </c>
    </row>
    <row r="48" spans="1:7" x14ac:dyDescent="0.25">
      <c r="A48" t="s">
        <v>6</v>
      </c>
      <c r="B48" s="1">
        <v>46006</v>
      </c>
      <c r="C48" t="s">
        <v>60</v>
      </c>
      <c r="D48">
        <v>-5000</v>
      </c>
      <c r="E48" t="s">
        <v>61</v>
      </c>
      <c r="F48">
        <v>269036.99</v>
      </c>
      <c r="G48" t="s">
        <v>837</v>
      </c>
    </row>
    <row r="49" spans="1:7" x14ac:dyDescent="0.25">
      <c r="A49" t="s">
        <v>6</v>
      </c>
      <c r="B49" s="1">
        <v>46006</v>
      </c>
      <c r="C49" t="s">
        <v>62</v>
      </c>
      <c r="D49">
        <v>-100000</v>
      </c>
      <c r="E49" t="s">
        <v>47</v>
      </c>
      <c r="F49">
        <v>274036.99</v>
      </c>
      <c r="G49" t="s">
        <v>836</v>
      </c>
    </row>
    <row r="50" spans="1:7" x14ac:dyDescent="0.25">
      <c r="A50" t="s">
        <v>6</v>
      </c>
      <c r="B50" s="1">
        <v>46006</v>
      </c>
      <c r="C50" t="s">
        <v>63</v>
      </c>
      <c r="D50">
        <v>-4.05</v>
      </c>
      <c r="E50" t="s">
        <v>10</v>
      </c>
      <c r="F50">
        <v>374036.99</v>
      </c>
      <c r="G50" t="s">
        <v>792</v>
      </c>
    </row>
    <row r="51" spans="1:7" x14ac:dyDescent="0.25">
      <c r="A51" t="s">
        <v>6</v>
      </c>
      <c r="B51" s="1">
        <v>46006</v>
      </c>
      <c r="C51" t="s">
        <v>64</v>
      </c>
      <c r="D51">
        <v>-5</v>
      </c>
      <c r="E51" t="s">
        <v>10</v>
      </c>
      <c r="F51">
        <v>374041.04</v>
      </c>
      <c r="G51" t="s">
        <v>826</v>
      </c>
    </row>
    <row r="52" spans="1:7" x14ac:dyDescent="0.25">
      <c r="A52" t="s">
        <v>6</v>
      </c>
      <c r="B52" s="1">
        <v>46006</v>
      </c>
      <c r="C52" t="s">
        <v>65</v>
      </c>
      <c r="D52">
        <v>-4.05</v>
      </c>
      <c r="E52" t="s">
        <v>10</v>
      </c>
      <c r="F52">
        <v>374046.04</v>
      </c>
      <c r="G52" t="s">
        <v>792</v>
      </c>
    </row>
    <row r="53" spans="1:7" x14ac:dyDescent="0.25">
      <c r="A53" t="s">
        <v>6</v>
      </c>
      <c r="B53" s="1">
        <v>46006</v>
      </c>
      <c r="C53" t="s">
        <v>66</v>
      </c>
      <c r="D53">
        <v>-52.53</v>
      </c>
      <c r="E53" t="s">
        <v>10</v>
      </c>
      <c r="F53">
        <v>374050.09</v>
      </c>
      <c r="G53" t="s">
        <v>765</v>
      </c>
    </row>
    <row r="54" spans="1:7" x14ac:dyDescent="0.25">
      <c r="A54" t="s">
        <v>6</v>
      </c>
      <c r="B54" s="1">
        <v>46006</v>
      </c>
      <c r="C54" t="s">
        <v>67</v>
      </c>
      <c r="D54">
        <v>-4.47</v>
      </c>
      <c r="E54" t="s">
        <v>10</v>
      </c>
      <c r="F54">
        <v>374102.62</v>
      </c>
      <c r="G54" t="s">
        <v>792</v>
      </c>
    </row>
    <row r="55" spans="1:7" x14ac:dyDescent="0.25">
      <c r="A55" t="s">
        <v>11</v>
      </c>
      <c r="B55" s="1">
        <v>46006</v>
      </c>
      <c r="C55" t="s">
        <v>68</v>
      </c>
      <c r="D55">
        <v>100000</v>
      </c>
      <c r="E55" t="s">
        <v>8</v>
      </c>
      <c r="F55">
        <v>374107.09</v>
      </c>
      <c r="G55" t="s">
        <v>801</v>
      </c>
    </row>
    <row r="56" spans="1:7" x14ac:dyDescent="0.25">
      <c r="A56" t="s">
        <v>6</v>
      </c>
      <c r="B56" s="1">
        <v>46003</v>
      </c>
      <c r="C56" t="s">
        <v>69</v>
      </c>
      <c r="D56">
        <v>-15</v>
      </c>
      <c r="E56" t="s">
        <v>14</v>
      </c>
      <c r="F56">
        <v>274107.09000000003</v>
      </c>
      <c r="G56" t="s">
        <v>784</v>
      </c>
    </row>
    <row r="57" spans="1:7" x14ac:dyDescent="0.25">
      <c r="A57" t="s">
        <v>6</v>
      </c>
      <c r="B57" s="1">
        <v>46003</v>
      </c>
      <c r="C57" t="s">
        <v>70</v>
      </c>
      <c r="D57">
        <v>-5000</v>
      </c>
      <c r="E57" t="s">
        <v>8</v>
      </c>
      <c r="F57">
        <v>274122.09000000003</v>
      </c>
      <c r="G57" t="s">
        <v>768</v>
      </c>
    </row>
    <row r="58" spans="1:7" x14ac:dyDescent="0.25">
      <c r="A58" t="s">
        <v>6</v>
      </c>
      <c r="B58" s="1">
        <v>46003</v>
      </c>
      <c r="C58" t="s">
        <v>71</v>
      </c>
      <c r="D58">
        <v>-34.99</v>
      </c>
      <c r="E58" t="s">
        <v>10</v>
      </c>
      <c r="F58">
        <v>279122.09000000003</v>
      </c>
      <c r="G58" t="s">
        <v>765</v>
      </c>
    </row>
    <row r="59" spans="1:7" x14ac:dyDescent="0.25">
      <c r="A59" t="s">
        <v>6</v>
      </c>
      <c r="B59" s="1">
        <v>46003</v>
      </c>
      <c r="C59" t="s">
        <v>72</v>
      </c>
      <c r="D59">
        <v>-95.46</v>
      </c>
      <c r="E59" t="s">
        <v>10</v>
      </c>
      <c r="F59">
        <v>279157.08</v>
      </c>
      <c r="G59" t="s">
        <v>766</v>
      </c>
    </row>
    <row r="60" spans="1:7" x14ac:dyDescent="0.25">
      <c r="A60" t="s">
        <v>11</v>
      </c>
      <c r="B60" s="1">
        <v>46003</v>
      </c>
      <c r="C60" t="s">
        <v>73</v>
      </c>
      <c r="D60">
        <v>75000</v>
      </c>
      <c r="E60" t="s">
        <v>52</v>
      </c>
      <c r="F60">
        <v>279252.53999999998</v>
      </c>
      <c r="G60" s="2" t="s">
        <v>833</v>
      </c>
    </row>
    <row r="61" spans="1:7" x14ac:dyDescent="0.25">
      <c r="A61" t="s">
        <v>6</v>
      </c>
      <c r="B61" s="1">
        <v>46002</v>
      </c>
      <c r="C61" t="s">
        <v>74</v>
      </c>
      <c r="D61">
        <v>-20000</v>
      </c>
      <c r="E61" t="s">
        <v>8</v>
      </c>
      <c r="F61">
        <v>204252.54</v>
      </c>
      <c r="G61" t="s">
        <v>800</v>
      </c>
    </row>
    <row r="62" spans="1:7" x14ac:dyDescent="0.25">
      <c r="A62" t="s">
        <v>6</v>
      </c>
      <c r="B62" s="1">
        <v>46002</v>
      </c>
      <c r="C62" t="s">
        <v>75</v>
      </c>
      <c r="D62">
        <v>-17000</v>
      </c>
      <c r="E62" t="s">
        <v>8</v>
      </c>
      <c r="F62">
        <v>224252.54</v>
      </c>
      <c r="G62" t="s">
        <v>840</v>
      </c>
    </row>
    <row r="63" spans="1:7" x14ac:dyDescent="0.25">
      <c r="A63" t="s">
        <v>6</v>
      </c>
      <c r="B63" s="1">
        <v>46002</v>
      </c>
      <c r="C63" t="s">
        <v>76</v>
      </c>
      <c r="D63">
        <v>-14000</v>
      </c>
      <c r="E63" t="s">
        <v>8</v>
      </c>
      <c r="F63">
        <v>241252.54</v>
      </c>
      <c r="G63" t="s">
        <v>764</v>
      </c>
    </row>
    <row r="64" spans="1:7" x14ac:dyDescent="0.25">
      <c r="A64" t="s">
        <v>6</v>
      </c>
      <c r="B64" s="1">
        <v>46002</v>
      </c>
      <c r="C64" t="s">
        <v>77</v>
      </c>
      <c r="D64">
        <v>-12</v>
      </c>
      <c r="E64" t="s">
        <v>10</v>
      </c>
      <c r="F64">
        <v>255252.54</v>
      </c>
      <c r="G64" t="s">
        <v>771</v>
      </c>
    </row>
    <row r="65" spans="1:7" x14ac:dyDescent="0.25">
      <c r="A65" t="s">
        <v>6</v>
      </c>
      <c r="B65" s="1">
        <v>46002</v>
      </c>
      <c r="C65" t="s">
        <v>78</v>
      </c>
      <c r="D65">
        <v>-35.590000000000003</v>
      </c>
      <c r="E65" t="s">
        <v>10</v>
      </c>
      <c r="F65">
        <v>255264.54</v>
      </c>
      <c r="G65" t="s">
        <v>766</v>
      </c>
    </row>
    <row r="66" spans="1:7" x14ac:dyDescent="0.25">
      <c r="A66" t="s">
        <v>11</v>
      </c>
      <c r="B66" s="1">
        <v>46001</v>
      </c>
      <c r="C66" t="s">
        <v>79</v>
      </c>
      <c r="D66">
        <v>233.33</v>
      </c>
      <c r="E66" t="s">
        <v>50</v>
      </c>
      <c r="F66">
        <v>255300.13</v>
      </c>
      <c r="G66" t="s">
        <v>772</v>
      </c>
    </row>
    <row r="67" spans="1:7" x14ac:dyDescent="0.25">
      <c r="A67" t="s">
        <v>11</v>
      </c>
      <c r="B67" s="1">
        <v>46001</v>
      </c>
      <c r="C67" t="s">
        <v>80</v>
      </c>
      <c r="D67">
        <v>241.87</v>
      </c>
      <c r="E67" t="s">
        <v>50</v>
      </c>
      <c r="F67">
        <v>255066.8</v>
      </c>
      <c r="G67" t="s">
        <v>773</v>
      </c>
    </row>
    <row r="68" spans="1:7" x14ac:dyDescent="0.25">
      <c r="A68" t="s">
        <v>11</v>
      </c>
      <c r="B68" s="1">
        <v>46001</v>
      </c>
      <c r="C68" t="s">
        <v>81</v>
      </c>
      <c r="D68">
        <v>350</v>
      </c>
      <c r="E68" t="s">
        <v>50</v>
      </c>
      <c r="F68">
        <v>254824.93</v>
      </c>
      <c r="G68" t="s">
        <v>774</v>
      </c>
    </row>
    <row r="69" spans="1:7" x14ac:dyDescent="0.25">
      <c r="A69" t="s">
        <v>11</v>
      </c>
      <c r="B69" s="1">
        <v>46001</v>
      </c>
      <c r="C69" t="s">
        <v>82</v>
      </c>
      <c r="D69">
        <v>476.41</v>
      </c>
      <c r="E69" t="s">
        <v>50</v>
      </c>
      <c r="F69">
        <v>254474.93</v>
      </c>
      <c r="G69" t="s">
        <v>775</v>
      </c>
    </row>
    <row r="70" spans="1:7" x14ac:dyDescent="0.25">
      <c r="A70" t="s">
        <v>6</v>
      </c>
      <c r="B70" s="1">
        <v>46000</v>
      </c>
      <c r="C70" t="s">
        <v>83</v>
      </c>
      <c r="D70">
        <v>-25000</v>
      </c>
      <c r="E70" t="s">
        <v>84</v>
      </c>
      <c r="F70">
        <v>253998.52</v>
      </c>
      <c r="G70" t="s">
        <v>836</v>
      </c>
    </row>
    <row r="71" spans="1:7" x14ac:dyDescent="0.25">
      <c r="A71" t="s">
        <v>6</v>
      </c>
      <c r="B71" s="1">
        <v>46000</v>
      </c>
      <c r="C71" t="s">
        <v>85</v>
      </c>
      <c r="D71">
        <v>-25000</v>
      </c>
      <c r="E71" t="s">
        <v>84</v>
      </c>
      <c r="F71">
        <v>278998.52</v>
      </c>
      <c r="G71" t="s">
        <v>836</v>
      </c>
    </row>
    <row r="72" spans="1:7" x14ac:dyDescent="0.25">
      <c r="A72" t="s">
        <v>6</v>
      </c>
      <c r="B72" s="1">
        <v>46000</v>
      </c>
      <c r="C72" t="s">
        <v>86</v>
      </c>
      <c r="D72">
        <v>-65.42</v>
      </c>
      <c r="E72" t="s">
        <v>10</v>
      </c>
      <c r="F72">
        <v>303998.52</v>
      </c>
      <c r="G72" t="s">
        <v>765</v>
      </c>
    </row>
    <row r="73" spans="1:7" x14ac:dyDescent="0.25">
      <c r="A73" t="s">
        <v>6</v>
      </c>
      <c r="B73" s="1">
        <v>46000</v>
      </c>
      <c r="C73" t="s">
        <v>87</v>
      </c>
      <c r="D73">
        <v>-4.05</v>
      </c>
      <c r="E73" t="s">
        <v>10</v>
      </c>
      <c r="F73">
        <v>304063.94</v>
      </c>
      <c r="G73" t="s">
        <v>792</v>
      </c>
    </row>
    <row r="74" spans="1:7" x14ac:dyDescent="0.25">
      <c r="A74" t="s">
        <v>6</v>
      </c>
      <c r="B74" s="1">
        <v>46000</v>
      </c>
      <c r="C74" t="s">
        <v>88</v>
      </c>
      <c r="D74">
        <v>-4143.72</v>
      </c>
      <c r="E74" t="s">
        <v>10</v>
      </c>
      <c r="F74">
        <v>304067.99</v>
      </c>
      <c r="G74" t="s">
        <v>838</v>
      </c>
    </row>
    <row r="75" spans="1:7" x14ac:dyDescent="0.25">
      <c r="A75" t="s">
        <v>6</v>
      </c>
      <c r="B75" s="1">
        <v>45999</v>
      </c>
      <c r="C75" t="s">
        <v>89</v>
      </c>
      <c r="D75">
        <v>-5000</v>
      </c>
      <c r="E75" t="s">
        <v>84</v>
      </c>
      <c r="F75">
        <v>308211.71000000002</v>
      </c>
      <c r="G75" t="s">
        <v>836</v>
      </c>
    </row>
    <row r="76" spans="1:7" x14ac:dyDescent="0.25">
      <c r="A76" t="s">
        <v>6</v>
      </c>
      <c r="B76" s="1">
        <v>45999</v>
      </c>
      <c r="C76" t="s">
        <v>90</v>
      </c>
      <c r="D76">
        <v>-9.99</v>
      </c>
      <c r="E76" t="s">
        <v>10</v>
      </c>
      <c r="F76">
        <v>313211.71000000002</v>
      </c>
      <c r="G76" t="s">
        <v>765</v>
      </c>
    </row>
    <row r="77" spans="1:7" x14ac:dyDescent="0.25">
      <c r="A77" t="s">
        <v>6</v>
      </c>
      <c r="B77" s="1">
        <v>45999</v>
      </c>
      <c r="C77" t="s">
        <v>91</v>
      </c>
      <c r="D77">
        <v>-4.26</v>
      </c>
      <c r="E77" t="s">
        <v>10</v>
      </c>
      <c r="F77">
        <v>313221.7</v>
      </c>
      <c r="G77" t="s">
        <v>792</v>
      </c>
    </row>
    <row r="78" spans="1:7" x14ac:dyDescent="0.25">
      <c r="A78" t="s">
        <v>6</v>
      </c>
      <c r="B78" s="1">
        <v>45999</v>
      </c>
      <c r="C78" t="s">
        <v>92</v>
      </c>
      <c r="D78">
        <v>-4.05</v>
      </c>
      <c r="E78" t="s">
        <v>10</v>
      </c>
      <c r="F78">
        <v>313225.96000000002</v>
      </c>
      <c r="G78" t="s">
        <v>792</v>
      </c>
    </row>
    <row r="79" spans="1:7" x14ac:dyDescent="0.25">
      <c r="A79" t="s">
        <v>6</v>
      </c>
      <c r="B79" s="1">
        <v>45999</v>
      </c>
      <c r="C79" t="s">
        <v>93</v>
      </c>
      <c r="D79">
        <v>-4.26</v>
      </c>
      <c r="E79" t="s">
        <v>10</v>
      </c>
      <c r="F79">
        <v>313230.01</v>
      </c>
      <c r="G79" t="s">
        <v>792</v>
      </c>
    </row>
    <row r="80" spans="1:7" x14ac:dyDescent="0.25">
      <c r="A80" t="s">
        <v>6</v>
      </c>
      <c r="B80" s="1">
        <v>45999</v>
      </c>
      <c r="C80" t="s">
        <v>94</v>
      </c>
      <c r="D80">
        <v>-7</v>
      </c>
      <c r="E80" t="s">
        <v>10</v>
      </c>
      <c r="F80">
        <v>313234.27</v>
      </c>
      <c r="G80" t="s">
        <v>783</v>
      </c>
    </row>
    <row r="81" spans="1:7" x14ac:dyDescent="0.25">
      <c r="A81" t="s">
        <v>6</v>
      </c>
      <c r="B81" s="1">
        <v>45999</v>
      </c>
      <c r="C81" t="s">
        <v>95</v>
      </c>
      <c r="D81">
        <v>-28</v>
      </c>
      <c r="E81" t="s">
        <v>10</v>
      </c>
      <c r="F81">
        <v>313241.27</v>
      </c>
      <c r="G81" t="s">
        <v>771</v>
      </c>
    </row>
    <row r="82" spans="1:7" x14ac:dyDescent="0.25">
      <c r="A82" t="s">
        <v>6</v>
      </c>
      <c r="B82" s="1">
        <v>45999</v>
      </c>
      <c r="C82" t="s">
        <v>96</v>
      </c>
      <c r="D82">
        <v>-526.75</v>
      </c>
      <c r="E82" t="s">
        <v>10</v>
      </c>
      <c r="F82">
        <v>313269.27</v>
      </c>
      <c r="G82" t="s">
        <v>766</v>
      </c>
    </row>
    <row r="83" spans="1:7" x14ac:dyDescent="0.25">
      <c r="A83" t="s">
        <v>6</v>
      </c>
      <c r="B83" s="1">
        <v>45999</v>
      </c>
      <c r="C83" t="s">
        <v>97</v>
      </c>
      <c r="D83">
        <v>-30.89</v>
      </c>
      <c r="E83" t="s">
        <v>10</v>
      </c>
      <c r="F83">
        <v>313796.02</v>
      </c>
      <c r="G83" t="s">
        <v>765</v>
      </c>
    </row>
    <row r="84" spans="1:7" x14ac:dyDescent="0.25">
      <c r="A84" t="s">
        <v>6</v>
      </c>
      <c r="B84" s="1">
        <v>45999</v>
      </c>
      <c r="C84" t="s">
        <v>98</v>
      </c>
      <c r="D84">
        <v>-9.99</v>
      </c>
      <c r="E84" t="s">
        <v>10</v>
      </c>
      <c r="F84">
        <v>313826.90999999997</v>
      </c>
      <c r="G84" t="s">
        <v>765</v>
      </c>
    </row>
    <row r="85" spans="1:7" x14ac:dyDescent="0.25">
      <c r="A85" t="s">
        <v>6</v>
      </c>
      <c r="B85" s="1">
        <v>45999</v>
      </c>
      <c r="C85" t="s">
        <v>99</v>
      </c>
      <c r="D85">
        <v>-4.26</v>
      </c>
      <c r="E85" t="s">
        <v>10</v>
      </c>
      <c r="F85">
        <v>313836.90000000002</v>
      </c>
      <c r="G85" t="s">
        <v>792</v>
      </c>
    </row>
    <row r="86" spans="1:7" x14ac:dyDescent="0.25">
      <c r="A86" t="s">
        <v>6</v>
      </c>
      <c r="B86" s="1">
        <v>45999</v>
      </c>
      <c r="C86" t="s">
        <v>100</v>
      </c>
      <c r="D86">
        <v>-461.77</v>
      </c>
      <c r="E86" t="s">
        <v>10</v>
      </c>
      <c r="F86">
        <v>313841.15999999997</v>
      </c>
      <c r="G86" t="s">
        <v>838</v>
      </c>
    </row>
    <row r="87" spans="1:7" x14ac:dyDescent="0.25">
      <c r="A87" t="s">
        <v>6</v>
      </c>
      <c r="B87" s="1">
        <v>45996</v>
      </c>
      <c r="C87" t="s">
        <v>53</v>
      </c>
      <c r="D87">
        <v>-25</v>
      </c>
      <c r="E87" t="s">
        <v>14</v>
      </c>
      <c r="F87">
        <v>314302.93</v>
      </c>
      <c r="G87" t="s">
        <v>784</v>
      </c>
    </row>
    <row r="88" spans="1:7" x14ac:dyDescent="0.25">
      <c r="A88" t="s">
        <v>6</v>
      </c>
      <c r="B88" s="1">
        <v>45996</v>
      </c>
      <c r="C88" t="s">
        <v>101</v>
      </c>
      <c r="D88">
        <v>-4281.72</v>
      </c>
      <c r="E88" t="s">
        <v>45</v>
      </c>
      <c r="F88">
        <v>314327.93</v>
      </c>
      <c r="G88" t="s">
        <v>767</v>
      </c>
    </row>
    <row r="89" spans="1:7" x14ac:dyDescent="0.25">
      <c r="A89" t="s">
        <v>6</v>
      </c>
      <c r="B89" s="1">
        <v>45996</v>
      </c>
      <c r="C89" t="s">
        <v>102</v>
      </c>
      <c r="D89">
        <v>-10000</v>
      </c>
      <c r="E89" t="s">
        <v>45</v>
      </c>
      <c r="F89">
        <v>318609.65000000002</v>
      </c>
      <c r="G89" t="s">
        <v>767</v>
      </c>
    </row>
    <row r="90" spans="1:7" x14ac:dyDescent="0.25">
      <c r="A90" t="s">
        <v>6</v>
      </c>
      <c r="B90" s="1">
        <v>45996</v>
      </c>
      <c r="C90" t="s">
        <v>103</v>
      </c>
      <c r="D90">
        <v>-15500</v>
      </c>
      <c r="E90" t="s">
        <v>47</v>
      </c>
      <c r="F90">
        <v>328609.65000000002</v>
      </c>
      <c r="G90" t="s">
        <v>839</v>
      </c>
    </row>
    <row r="91" spans="1:7" x14ac:dyDescent="0.25">
      <c r="A91" t="s">
        <v>6</v>
      </c>
      <c r="B91" s="1">
        <v>45996</v>
      </c>
      <c r="C91" t="s">
        <v>104</v>
      </c>
      <c r="D91">
        <v>-42</v>
      </c>
      <c r="E91" t="s">
        <v>10</v>
      </c>
      <c r="F91">
        <v>344109.65</v>
      </c>
      <c r="G91" t="s">
        <v>766</v>
      </c>
    </row>
    <row r="92" spans="1:7" x14ac:dyDescent="0.25">
      <c r="A92" t="s">
        <v>6</v>
      </c>
      <c r="B92" s="1">
        <v>45995</v>
      </c>
      <c r="C92" t="s">
        <v>53</v>
      </c>
      <c r="D92">
        <v>-25</v>
      </c>
      <c r="E92" t="s">
        <v>14</v>
      </c>
      <c r="F92">
        <v>344151.65</v>
      </c>
      <c r="G92" t="s">
        <v>784</v>
      </c>
    </row>
    <row r="93" spans="1:7" x14ac:dyDescent="0.25">
      <c r="A93" t="s">
        <v>6</v>
      </c>
      <c r="B93" s="1">
        <v>45995</v>
      </c>
      <c r="C93" t="s">
        <v>53</v>
      </c>
      <c r="D93">
        <v>-25</v>
      </c>
      <c r="E93" t="s">
        <v>14</v>
      </c>
      <c r="F93">
        <v>344176.65</v>
      </c>
      <c r="G93" t="s">
        <v>784</v>
      </c>
    </row>
    <row r="94" spans="1:7" x14ac:dyDescent="0.25">
      <c r="A94" t="s">
        <v>6</v>
      </c>
      <c r="B94" s="1">
        <v>45995</v>
      </c>
      <c r="C94" t="s">
        <v>105</v>
      </c>
      <c r="D94">
        <v>-16724.330000000002</v>
      </c>
      <c r="E94" t="s">
        <v>45</v>
      </c>
      <c r="F94">
        <v>344201.65</v>
      </c>
      <c r="G94" t="s">
        <v>767</v>
      </c>
    </row>
    <row r="95" spans="1:7" x14ac:dyDescent="0.25">
      <c r="A95" t="s">
        <v>6</v>
      </c>
      <c r="B95" s="1">
        <v>45995</v>
      </c>
      <c r="C95" t="s">
        <v>106</v>
      </c>
      <c r="D95">
        <v>-110</v>
      </c>
      <c r="E95" t="s">
        <v>58</v>
      </c>
      <c r="F95">
        <v>360925.98</v>
      </c>
      <c r="G95" t="s">
        <v>770</v>
      </c>
    </row>
    <row r="96" spans="1:7" x14ac:dyDescent="0.25">
      <c r="A96" t="s">
        <v>6</v>
      </c>
      <c r="B96" s="1">
        <v>45995</v>
      </c>
      <c r="C96" t="s">
        <v>107</v>
      </c>
      <c r="D96">
        <v>-20000</v>
      </c>
      <c r="E96" t="s">
        <v>8</v>
      </c>
      <c r="F96">
        <v>361035.98</v>
      </c>
      <c r="G96" t="s">
        <v>776</v>
      </c>
    </row>
    <row r="97" spans="1:7" x14ac:dyDescent="0.25">
      <c r="A97" t="s">
        <v>6</v>
      </c>
      <c r="B97" s="1">
        <v>45995</v>
      </c>
      <c r="C97" t="s">
        <v>108</v>
      </c>
      <c r="D97">
        <v>-1300</v>
      </c>
      <c r="E97" t="s">
        <v>8</v>
      </c>
      <c r="F97">
        <v>381035.98</v>
      </c>
      <c r="G97" t="s">
        <v>777</v>
      </c>
    </row>
    <row r="98" spans="1:7" x14ac:dyDescent="0.25">
      <c r="A98" t="s">
        <v>6</v>
      </c>
      <c r="B98" s="1">
        <v>45995</v>
      </c>
      <c r="C98" t="s">
        <v>109</v>
      </c>
      <c r="D98">
        <v>-6000</v>
      </c>
      <c r="E98" t="s">
        <v>61</v>
      </c>
      <c r="F98">
        <v>382335.98</v>
      </c>
      <c r="G98" t="s">
        <v>830</v>
      </c>
    </row>
    <row r="99" spans="1:7" x14ac:dyDescent="0.25">
      <c r="A99" t="s">
        <v>6</v>
      </c>
      <c r="B99" s="1">
        <v>45995</v>
      </c>
      <c r="C99" t="s">
        <v>110</v>
      </c>
      <c r="D99">
        <v>-25000</v>
      </c>
      <c r="E99" t="s">
        <v>47</v>
      </c>
      <c r="F99">
        <v>388335.98</v>
      </c>
      <c r="G99" t="s">
        <v>831</v>
      </c>
    </row>
    <row r="100" spans="1:7" x14ac:dyDescent="0.25">
      <c r="A100" t="s">
        <v>6</v>
      </c>
      <c r="B100" s="1">
        <v>45995</v>
      </c>
      <c r="C100" t="s">
        <v>111</v>
      </c>
      <c r="D100">
        <v>-17820</v>
      </c>
      <c r="E100" t="s">
        <v>47</v>
      </c>
      <c r="F100">
        <v>413335.98</v>
      </c>
      <c r="G100" t="s">
        <v>831</v>
      </c>
    </row>
    <row r="101" spans="1:7" x14ac:dyDescent="0.25">
      <c r="A101" t="s">
        <v>6</v>
      </c>
      <c r="B101" s="1">
        <v>45995</v>
      </c>
      <c r="C101" t="s">
        <v>112</v>
      </c>
      <c r="D101">
        <v>-328.19</v>
      </c>
      <c r="E101" t="s">
        <v>10</v>
      </c>
      <c r="F101">
        <v>431155.98</v>
      </c>
      <c r="G101" t="s">
        <v>832</v>
      </c>
    </row>
    <row r="102" spans="1:7" x14ac:dyDescent="0.25">
      <c r="A102" t="s">
        <v>6</v>
      </c>
      <c r="B102" s="1">
        <v>45994</v>
      </c>
      <c r="C102" t="s">
        <v>53</v>
      </c>
      <c r="D102">
        <v>-25</v>
      </c>
      <c r="E102" t="s">
        <v>14</v>
      </c>
      <c r="F102">
        <v>431484.17</v>
      </c>
      <c r="G102" t="s">
        <v>784</v>
      </c>
    </row>
    <row r="103" spans="1:7" x14ac:dyDescent="0.25">
      <c r="A103" t="s">
        <v>6</v>
      </c>
      <c r="B103" s="1">
        <v>45994</v>
      </c>
      <c r="C103" t="s">
        <v>53</v>
      </c>
      <c r="D103">
        <v>-25</v>
      </c>
      <c r="E103" t="s">
        <v>14</v>
      </c>
      <c r="F103">
        <v>431509.17</v>
      </c>
      <c r="G103" t="s">
        <v>784</v>
      </c>
    </row>
    <row r="104" spans="1:7" x14ac:dyDescent="0.25">
      <c r="A104" t="s">
        <v>6</v>
      </c>
      <c r="B104" s="1">
        <v>45994</v>
      </c>
      <c r="C104" t="s">
        <v>113</v>
      </c>
      <c r="D104">
        <v>-10000</v>
      </c>
      <c r="E104" t="s">
        <v>45</v>
      </c>
      <c r="F104">
        <v>431534.17</v>
      </c>
      <c r="G104" t="s">
        <v>767</v>
      </c>
    </row>
    <row r="105" spans="1:7" x14ac:dyDescent="0.25">
      <c r="A105" t="s">
        <v>6</v>
      </c>
      <c r="B105" s="1">
        <v>45994</v>
      </c>
      <c r="C105" t="s">
        <v>114</v>
      </c>
      <c r="D105">
        <v>-10000</v>
      </c>
      <c r="E105" t="s">
        <v>45</v>
      </c>
      <c r="F105">
        <v>441534.17</v>
      </c>
      <c r="G105" t="s">
        <v>767</v>
      </c>
    </row>
    <row r="106" spans="1:7" x14ac:dyDescent="0.25">
      <c r="A106" t="s">
        <v>6</v>
      </c>
      <c r="B106" s="1">
        <v>45994</v>
      </c>
      <c r="C106" t="s">
        <v>115</v>
      </c>
      <c r="D106">
        <v>-6000</v>
      </c>
      <c r="E106" t="s">
        <v>61</v>
      </c>
      <c r="F106">
        <v>451534.17</v>
      </c>
      <c r="G106" t="s">
        <v>830</v>
      </c>
    </row>
    <row r="107" spans="1:7" x14ac:dyDescent="0.25">
      <c r="A107" t="s">
        <v>6</v>
      </c>
      <c r="B107" s="1">
        <v>45994</v>
      </c>
      <c r="C107" t="s">
        <v>116</v>
      </c>
      <c r="D107">
        <v>-5000</v>
      </c>
      <c r="E107" t="s">
        <v>47</v>
      </c>
      <c r="F107">
        <v>457534.17</v>
      </c>
      <c r="G107" t="s">
        <v>831</v>
      </c>
    </row>
    <row r="108" spans="1:7" x14ac:dyDescent="0.25">
      <c r="A108" t="s">
        <v>6</v>
      </c>
      <c r="B108" s="1">
        <v>45994</v>
      </c>
      <c r="C108" t="s">
        <v>117</v>
      </c>
      <c r="D108">
        <v>-10000</v>
      </c>
      <c r="E108" t="s">
        <v>47</v>
      </c>
      <c r="F108">
        <v>462534.17</v>
      </c>
      <c r="G108" t="s">
        <v>814</v>
      </c>
    </row>
    <row r="109" spans="1:7" x14ac:dyDescent="0.25">
      <c r="A109" t="s">
        <v>6</v>
      </c>
      <c r="B109" s="1">
        <v>45994</v>
      </c>
      <c r="C109" t="s">
        <v>118</v>
      </c>
      <c r="D109">
        <v>-500</v>
      </c>
      <c r="E109" t="s">
        <v>8</v>
      </c>
      <c r="F109">
        <v>472534.17</v>
      </c>
      <c r="G109" t="s">
        <v>768</v>
      </c>
    </row>
    <row r="110" spans="1:7" x14ac:dyDescent="0.25">
      <c r="A110" t="s">
        <v>6</v>
      </c>
      <c r="B110" s="1">
        <v>45994</v>
      </c>
      <c r="C110" t="s">
        <v>119</v>
      </c>
      <c r="D110">
        <v>-20.56</v>
      </c>
      <c r="E110" t="s">
        <v>10</v>
      </c>
      <c r="F110">
        <v>473034.17</v>
      </c>
      <c r="G110" t="s">
        <v>765</v>
      </c>
    </row>
    <row r="111" spans="1:7" x14ac:dyDescent="0.25">
      <c r="A111" t="s">
        <v>6</v>
      </c>
      <c r="B111" s="1">
        <v>45994</v>
      </c>
      <c r="C111" t="s">
        <v>120</v>
      </c>
      <c r="D111">
        <v>-8.69</v>
      </c>
      <c r="E111" t="s">
        <v>10</v>
      </c>
      <c r="F111">
        <v>473054.73</v>
      </c>
      <c r="G111" t="s">
        <v>766</v>
      </c>
    </row>
    <row r="112" spans="1:7" x14ac:dyDescent="0.25">
      <c r="A112" t="s">
        <v>6</v>
      </c>
      <c r="B112" s="1">
        <v>45993</v>
      </c>
      <c r="C112" t="s">
        <v>69</v>
      </c>
      <c r="D112">
        <v>-15</v>
      </c>
      <c r="E112" t="s">
        <v>14</v>
      </c>
      <c r="F112">
        <v>473063.42</v>
      </c>
      <c r="G112" t="s">
        <v>784</v>
      </c>
    </row>
    <row r="113" spans="1:7" x14ac:dyDescent="0.25">
      <c r="A113" t="s">
        <v>6</v>
      </c>
      <c r="B113" s="1">
        <v>45993</v>
      </c>
      <c r="C113" t="s">
        <v>69</v>
      </c>
      <c r="D113">
        <v>-15</v>
      </c>
      <c r="E113" t="s">
        <v>14</v>
      </c>
      <c r="F113">
        <v>473078.42</v>
      </c>
      <c r="G113" t="s">
        <v>784</v>
      </c>
    </row>
    <row r="114" spans="1:7" x14ac:dyDescent="0.25">
      <c r="A114" t="s">
        <v>6</v>
      </c>
      <c r="B114" s="1">
        <v>45993</v>
      </c>
      <c r="C114" t="s">
        <v>53</v>
      </c>
      <c r="D114">
        <v>-25</v>
      </c>
      <c r="E114" t="s">
        <v>14</v>
      </c>
      <c r="F114">
        <v>473093.42</v>
      </c>
      <c r="G114" t="s">
        <v>784</v>
      </c>
    </row>
    <row r="115" spans="1:7" x14ac:dyDescent="0.25">
      <c r="A115" t="s">
        <v>6</v>
      </c>
      <c r="B115" s="1">
        <v>45993</v>
      </c>
      <c r="C115" t="s">
        <v>53</v>
      </c>
      <c r="D115">
        <v>-25</v>
      </c>
      <c r="E115" t="s">
        <v>14</v>
      </c>
      <c r="F115">
        <v>473118.42</v>
      </c>
      <c r="G115" t="s">
        <v>784</v>
      </c>
    </row>
    <row r="116" spans="1:7" x14ac:dyDescent="0.25">
      <c r="A116" t="s">
        <v>6</v>
      </c>
      <c r="B116" s="1">
        <v>45993</v>
      </c>
      <c r="C116" t="s">
        <v>121</v>
      </c>
      <c r="D116">
        <v>-500</v>
      </c>
      <c r="E116" t="s">
        <v>8</v>
      </c>
      <c r="F116">
        <v>473143.42</v>
      </c>
      <c r="G116" t="s">
        <v>768</v>
      </c>
    </row>
    <row r="117" spans="1:7" x14ac:dyDescent="0.25">
      <c r="A117" t="s">
        <v>6</v>
      </c>
      <c r="B117" s="1">
        <v>45993</v>
      </c>
      <c r="C117" t="s">
        <v>122</v>
      </c>
      <c r="D117">
        <v>-5000</v>
      </c>
      <c r="E117" t="s">
        <v>61</v>
      </c>
      <c r="F117">
        <v>473643.42</v>
      </c>
      <c r="G117" t="s">
        <v>837</v>
      </c>
    </row>
    <row r="118" spans="1:7" x14ac:dyDescent="0.25">
      <c r="A118" t="s">
        <v>6</v>
      </c>
      <c r="B118" s="1">
        <v>45993</v>
      </c>
      <c r="C118" t="s">
        <v>123</v>
      </c>
      <c r="D118">
        <v>-10000</v>
      </c>
      <c r="E118" t="s">
        <v>47</v>
      </c>
      <c r="F118">
        <v>478643.42</v>
      </c>
      <c r="G118" t="s">
        <v>830</v>
      </c>
    </row>
    <row r="119" spans="1:7" x14ac:dyDescent="0.25">
      <c r="A119" t="s">
        <v>6</v>
      </c>
      <c r="B119" s="1">
        <v>45993</v>
      </c>
      <c r="C119" t="s">
        <v>124</v>
      </c>
      <c r="D119">
        <v>-220</v>
      </c>
      <c r="E119" t="s">
        <v>10</v>
      </c>
      <c r="F119">
        <v>488643.42</v>
      </c>
      <c r="G119" t="s">
        <v>778</v>
      </c>
    </row>
    <row r="120" spans="1:7" x14ac:dyDescent="0.25">
      <c r="A120" t="s">
        <v>6</v>
      </c>
      <c r="B120" s="1">
        <v>45993</v>
      </c>
      <c r="C120" t="s">
        <v>125</v>
      </c>
      <c r="D120">
        <v>-25</v>
      </c>
      <c r="E120" t="s">
        <v>58</v>
      </c>
      <c r="F120">
        <v>488863.42</v>
      </c>
      <c r="G120" t="s">
        <v>770</v>
      </c>
    </row>
    <row r="121" spans="1:7" x14ac:dyDescent="0.25">
      <c r="A121" t="s">
        <v>6</v>
      </c>
      <c r="B121" s="1">
        <v>45993</v>
      </c>
      <c r="C121" t="s">
        <v>126</v>
      </c>
      <c r="D121">
        <v>-6000</v>
      </c>
      <c r="E121" t="s">
        <v>47</v>
      </c>
      <c r="F121">
        <v>488888.42</v>
      </c>
      <c r="G121" t="s">
        <v>830</v>
      </c>
    </row>
    <row r="122" spans="1:7" x14ac:dyDescent="0.25">
      <c r="A122" t="s">
        <v>6</v>
      </c>
      <c r="B122" s="1">
        <v>45993</v>
      </c>
      <c r="C122" t="s">
        <v>127</v>
      </c>
      <c r="D122">
        <v>-10.39</v>
      </c>
      <c r="E122" t="s">
        <v>10</v>
      </c>
      <c r="F122">
        <v>494888.42</v>
      </c>
      <c r="G122" t="s">
        <v>766</v>
      </c>
    </row>
    <row r="123" spans="1:7" x14ac:dyDescent="0.25">
      <c r="A123" t="s">
        <v>6</v>
      </c>
      <c r="B123" s="1">
        <v>45993</v>
      </c>
      <c r="C123" t="s">
        <v>128</v>
      </c>
      <c r="D123">
        <v>-12.13</v>
      </c>
      <c r="E123" t="s">
        <v>10</v>
      </c>
      <c r="F123">
        <v>494898.81</v>
      </c>
      <c r="G123" t="s">
        <v>766</v>
      </c>
    </row>
    <row r="124" spans="1:7" x14ac:dyDescent="0.25">
      <c r="A124" t="s">
        <v>11</v>
      </c>
      <c r="B124" s="1">
        <v>45993</v>
      </c>
      <c r="C124" t="s">
        <v>129</v>
      </c>
      <c r="D124">
        <v>50000</v>
      </c>
      <c r="E124" t="s">
        <v>52</v>
      </c>
      <c r="F124">
        <v>494910.94</v>
      </c>
      <c r="G124" t="s">
        <v>827</v>
      </c>
    </row>
    <row r="125" spans="1:7" x14ac:dyDescent="0.25">
      <c r="A125" t="s">
        <v>11</v>
      </c>
      <c r="B125" s="1">
        <v>45993</v>
      </c>
      <c r="C125" t="s">
        <v>130</v>
      </c>
      <c r="D125">
        <v>75750</v>
      </c>
      <c r="E125" t="s">
        <v>52</v>
      </c>
      <c r="F125">
        <v>444910.94</v>
      </c>
      <c r="G125" t="s">
        <v>827</v>
      </c>
    </row>
    <row r="126" spans="1:7" x14ac:dyDescent="0.25">
      <c r="A126" t="s">
        <v>6</v>
      </c>
      <c r="B126" s="1">
        <v>45992</v>
      </c>
      <c r="C126" t="s">
        <v>69</v>
      </c>
      <c r="D126">
        <v>-15</v>
      </c>
      <c r="E126" t="s">
        <v>14</v>
      </c>
      <c r="F126">
        <v>369160.94</v>
      </c>
      <c r="G126" t="s">
        <v>784</v>
      </c>
    </row>
    <row r="127" spans="1:7" x14ac:dyDescent="0.25">
      <c r="A127" t="s">
        <v>6</v>
      </c>
      <c r="B127" s="1">
        <v>45992</v>
      </c>
      <c r="C127" t="s">
        <v>69</v>
      </c>
      <c r="D127">
        <v>-15</v>
      </c>
      <c r="E127" t="s">
        <v>14</v>
      </c>
      <c r="F127">
        <v>369175.94</v>
      </c>
      <c r="G127" t="s">
        <v>784</v>
      </c>
    </row>
    <row r="128" spans="1:7" x14ac:dyDescent="0.25">
      <c r="A128" t="s">
        <v>6</v>
      </c>
      <c r="B128" s="1">
        <v>45992</v>
      </c>
      <c r="C128" t="s">
        <v>131</v>
      </c>
      <c r="D128">
        <v>-500</v>
      </c>
      <c r="E128" t="s">
        <v>8</v>
      </c>
      <c r="F128">
        <v>369190.94</v>
      </c>
      <c r="G128" t="s">
        <v>768</v>
      </c>
    </row>
    <row r="129" spans="1:7" x14ac:dyDescent="0.25">
      <c r="A129" t="s">
        <v>6</v>
      </c>
      <c r="B129" s="1">
        <v>45992</v>
      </c>
      <c r="C129" t="s">
        <v>132</v>
      </c>
      <c r="D129">
        <v>-27.05</v>
      </c>
      <c r="E129" t="s">
        <v>10</v>
      </c>
      <c r="F129">
        <v>369690.94</v>
      </c>
      <c r="G129" t="s">
        <v>765</v>
      </c>
    </row>
    <row r="130" spans="1:7" x14ac:dyDescent="0.25">
      <c r="A130" t="s">
        <v>6</v>
      </c>
      <c r="B130" s="1">
        <v>45992</v>
      </c>
      <c r="C130" t="s">
        <v>133</v>
      </c>
      <c r="D130">
        <v>-311.14</v>
      </c>
      <c r="E130" t="s">
        <v>10</v>
      </c>
      <c r="F130">
        <v>369717.99</v>
      </c>
      <c r="G130" t="s">
        <v>829</v>
      </c>
    </row>
    <row r="131" spans="1:7" x14ac:dyDescent="0.25">
      <c r="A131" t="s">
        <v>6</v>
      </c>
      <c r="B131" s="1">
        <v>45992</v>
      </c>
      <c r="C131" t="s">
        <v>134</v>
      </c>
      <c r="D131">
        <v>-70.72</v>
      </c>
      <c r="E131" t="s">
        <v>10</v>
      </c>
      <c r="F131">
        <v>370029.13</v>
      </c>
      <c r="G131" t="s">
        <v>802</v>
      </c>
    </row>
    <row r="132" spans="1:7" x14ac:dyDescent="0.25">
      <c r="A132" t="s">
        <v>6</v>
      </c>
      <c r="B132" s="1">
        <v>45992</v>
      </c>
      <c r="C132" t="s">
        <v>135</v>
      </c>
      <c r="D132">
        <v>-10000</v>
      </c>
      <c r="E132" t="s">
        <v>8</v>
      </c>
      <c r="F132">
        <v>370099.85</v>
      </c>
      <c r="G132" t="s">
        <v>776</v>
      </c>
    </row>
    <row r="133" spans="1:7" x14ac:dyDescent="0.25">
      <c r="A133" t="s">
        <v>6</v>
      </c>
      <c r="B133" s="1">
        <v>45992</v>
      </c>
      <c r="C133" t="s">
        <v>136</v>
      </c>
      <c r="D133">
        <v>-20000</v>
      </c>
      <c r="E133" t="s">
        <v>8</v>
      </c>
      <c r="F133">
        <v>380099.85</v>
      </c>
      <c r="G133" t="s">
        <v>776</v>
      </c>
    </row>
    <row r="134" spans="1:7" x14ac:dyDescent="0.25">
      <c r="A134" t="s">
        <v>6</v>
      </c>
      <c r="B134" s="1">
        <v>45992</v>
      </c>
      <c r="C134" t="s">
        <v>137</v>
      </c>
      <c r="D134">
        <v>-101.76</v>
      </c>
      <c r="E134" t="s">
        <v>10</v>
      </c>
      <c r="F134">
        <v>400099.85</v>
      </c>
      <c r="G134" t="s">
        <v>829</v>
      </c>
    </row>
    <row r="135" spans="1:7" x14ac:dyDescent="0.25">
      <c r="A135" t="s">
        <v>6</v>
      </c>
      <c r="B135" s="1">
        <v>45992</v>
      </c>
      <c r="C135" t="s">
        <v>138</v>
      </c>
      <c r="D135">
        <v>-135.6</v>
      </c>
      <c r="E135" t="s">
        <v>10</v>
      </c>
      <c r="F135">
        <v>400201.61</v>
      </c>
      <c r="G135" t="s">
        <v>829</v>
      </c>
    </row>
    <row r="136" spans="1:7" x14ac:dyDescent="0.25">
      <c r="A136" t="s">
        <v>6</v>
      </c>
      <c r="B136" s="1">
        <v>45992</v>
      </c>
      <c r="C136" t="s">
        <v>139</v>
      </c>
      <c r="D136">
        <v>-128.4</v>
      </c>
      <c r="E136" t="s">
        <v>10</v>
      </c>
      <c r="F136">
        <v>400337.21</v>
      </c>
      <c r="G136" t="s">
        <v>829</v>
      </c>
    </row>
    <row r="137" spans="1:7" x14ac:dyDescent="0.25">
      <c r="A137" t="s">
        <v>6</v>
      </c>
      <c r="B137" s="1">
        <v>45992</v>
      </c>
      <c r="C137" t="s">
        <v>140</v>
      </c>
      <c r="D137">
        <v>-49.46</v>
      </c>
      <c r="E137" t="s">
        <v>10</v>
      </c>
      <c r="F137">
        <v>400465.61</v>
      </c>
      <c r="G137" t="s">
        <v>766</v>
      </c>
    </row>
    <row r="138" spans="1:7" x14ac:dyDescent="0.25">
      <c r="A138" t="s">
        <v>6</v>
      </c>
      <c r="B138" s="1">
        <v>45992</v>
      </c>
      <c r="C138" t="s">
        <v>141</v>
      </c>
      <c r="D138">
        <v>-31</v>
      </c>
      <c r="E138" t="s">
        <v>10</v>
      </c>
      <c r="F138">
        <v>400515.07</v>
      </c>
      <c r="G138" t="s">
        <v>779</v>
      </c>
    </row>
    <row r="139" spans="1:7" x14ac:dyDescent="0.25">
      <c r="A139" t="s">
        <v>11</v>
      </c>
      <c r="B139" s="1">
        <v>45992</v>
      </c>
      <c r="C139" t="s">
        <v>142</v>
      </c>
      <c r="D139">
        <v>75750</v>
      </c>
      <c r="E139" t="s">
        <v>52</v>
      </c>
      <c r="F139">
        <v>400546.07</v>
      </c>
      <c r="G139" t="s">
        <v>827</v>
      </c>
    </row>
    <row r="140" spans="1:7" x14ac:dyDescent="0.25">
      <c r="A140" t="s">
        <v>11</v>
      </c>
      <c r="B140" s="1">
        <v>45992</v>
      </c>
      <c r="C140" t="s">
        <v>143</v>
      </c>
      <c r="D140">
        <v>116689.39</v>
      </c>
      <c r="E140" t="s">
        <v>52</v>
      </c>
      <c r="F140">
        <v>324796.07</v>
      </c>
      <c r="G140" t="s">
        <v>827</v>
      </c>
    </row>
    <row r="141" spans="1:7" x14ac:dyDescent="0.25">
      <c r="A141" t="s">
        <v>6</v>
      </c>
      <c r="B141" s="1">
        <v>45989</v>
      </c>
      <c r="C141" t="s">
        <v>144</v>
      </c>
      <c r="D141">
        <v>-46528.05</v>
      </c>
      <c r="E141" t="s">
        <v>45</v>
      </c>
      <c r="F141">
        <v>208106.68</v>
      </c>
      <c r="G141" t="s">
        <v>828</v>
      </c>
    </row>
    <row r="142" spans="1:7" x14ac:dyDescent="0.25">
      <c r="A142" t="s">
        <v>6</v>
      </c>
      <c r="B142" s="1">
        <v>45989</v>
      </c>
      <c r="C142" t="s">
        <v>145</v>
      </c>
      <c r="D142">
        <v>-5000</v>
      </c>
      <c r="E142" t="s">
        <v>8</v>
      </c>
      <c r="F142">
        <v>254634.73</v>
      </c>
      <c r="G142" t="s">
        <v>768</v>
      </c>
    </row>
    <row r="143" spans="1:7" x14ac:dyDescent="0.25">
      <c r="A143" t="s">
        <v>6</v>
      </c>
      <c r="B143" s="1">
        <v>45989</v>
      </c>
      <c r="C143" t="s">
        <v>146</v>
      </c>
      <c r="D143">
        <v>-5000</v>
      </c>
      <c r="E143" t="s">
        <v>8</v>
      </c>
      <c r="F143">
        <v>259634.73</v>
      </c>
      <c r="G143" t="s">
        <v>800</v>
      </c>
    </row>
    <row r="144" spans="1:7" x14ac:dyDescent="0.25">
      <c r="A144" t="s">
        <v>6</v>
      </c>
      <c r="B144" s="1">
        <v>45989</v>
      </c>
      <c r="C144" t="s">
        <v>147</v>
      </c>
      <c r="D144">
        <v>-4.05</v>
      </c>
      <c r="E144" t="s">
        <v>10</v>
      </c>
      <c r="F144">
        <v>264634.73</v>
      </c>
      <c r="G144" t="s">
        <v>792</v>
      </c>
    </row>
    <row r="145" spans="1:7" x14ac:dyDescent="0.25">
      <c r="A145" t="s">
        <v>6</v>
      </c>
      <c r="B145" s="1">
        <v>45989</v>
      </c>
      <c r="C145" t="s">
        <v>148</v>
      </c>
      <c r="D145">
        <v>-17.55</v>
      </c>
      <c r="E145" t="s">
        <v>10</v>
      </c>
      <c r="F145">
        <v>264638.78000000003</v>
      </c>
      <c r="G145" t="s">
        <v>766</v>
      </c>
    </row>
    <row r="146" spans="1:7" x14ac:dyDescent="0.25">
      <c r="A146" t="s">
        <v>6</v>
      </c>
      <c r="B146" s="1">
        <v>45987</v>
      </c>
      <c r="C146" t="s">
        <v>149</v>
      </c>
      <c r="D146">
        <v>-1484</v>
      </c>
      <c r="E146" t="s">
        <v>45</v>
      </c>
      <c r="F146">
        <v>264656.33</v>
      </c>
      <c r="G146" t="s">
        <v>767</v>
      </c>
    </row>
    <row r="147" spans="1:7" x14ac:dyDescent="0.25">
      <c r="A147" t="s">
        <v>6</v>
      </c>
      <c r="B147" s="1">
        <v>45987</v>
      </c>
      <c r="C147" t="s">
        <v>150</v>
      </c>
      <c r="D147">
        <v>-2134.33</v>
      </c>
      <c r="E147" t="s">
        <v>45</v>
      </c>
      <c r="F147">
        <v>266140.33</v>
      </c>
      <c r="G147" t="s">
        <v>767</v>
      </c>
    </row>
    <row r="148" spans="1:7" x14ac:dyDescent="0.25">
      <c r="A148" t="s">
        <v>6</v>
      </c>
      <c r="B148" s="1">
        <v>45987</v>
      </c>
      <c r="C148" t="s">
        <v>151</v>
      </c>
      <c r="D148">
        <v>-2439.5300000000002</v>
      </c>
      <c r="E148" t="s">
        <v>45</v>
      </c>
      <c r="F148">
        <v>268274.65999999997</v>
      </c>
      <c r="G148" t="s">
        <v>767</v>
      </c>
    </row>
    <row r="149" spans="1:7" x14ac:dyDescent="0.25">
      <c r="A149" t="s">
        <v>6</v>
      </c>
      <c r="B149" s="1">
        <v>45987</v>
      </c>
      <c r="C149" t="s">
        <v>152</v>
      </c>
      <c r="D149">
        <v>-2815.05</v>
      </c>
      <c r="E149" t="s">
        <v>45</v>
      </c>
      <c r="F149">
        <v>270714.19</v>
      </c>
      <c r="G149" t="s">
        <v>767</v>
      </c>
    </row>
    <row r="150" spans="1:7" x14ac:dyDescent="0.25">
      <c r="A150" t="s">
        <v>6</v>
      </c>
      <c r="B150" s="1">
        <v>45987</v>
      </c>
      <c r="C150" t="s">
        <v>153</v>
      </c>
      <c r="D150">
        <v>-4.47</v>
      </c>
      <c r="E150" t="s">
        <v>10</v>
      </c>
      <c r="F150">
        <v>273529.24</v>
      </c>
      <c r="G150" t="s">
        <v>792</v>
      </c>
    </row>
    <row r="151" spans="1:7" x14ac:dyDescent="0.25">
      <c r="A151" t="s">
        <v>11</v>
      </c>
      <c r="B151" s="1">
        <v>45987</v>
      </c>
      <c r="C151" t="s">
        <v>154</v>
      </c>
      <c r="D151">
        <v>270000</v>
      </c>
      <c r="E151" t="s">
        <v>8</v>
      </c>
      <c r="F151">
        <v>273533.71000000002</v>
      </c>
      <c r="G151" t="s">
        <v>788</v>
      </c>
    </row>
    <row r="152" spans="1:7" x14ac:dyDescent="0.25">
      <c r="A152" t="s">
        <v>6</v>
      </c>
      <c r="B152" s="1">
        <v>45986</v>
      </c>
      <c r="C152" t="s">
        <v>155</v>
      </c>
      <c r="D152">
        <v>-30.89</v>
      </c>
      <c r="E152" t="s">
        <v>10</v>
      </c>
      <c r="F152">
        <v>3533.71</v>
      </c>
      <c r="G152" t="s">
        <v>765</v>
      </c>
    </row>
    <row r="153" spans="1:7" x14ac:dyDescent="0.25">
      <c r="A153" t="s">
        <v>6</v>
      </c>
      <c r="B153" s="1">
        <v>45986</v>
      </c>
      <c r="C153" t="s">
        <v>156</v>
      </c>
      <c r="D153">
        <v>-4.05</v>
      </c>
      <c r="E153" t="s">
        <v>10</v>
      </c>
      <c r="F153">
        <v>3564.6</v>
      </c>
      <c r="G153" t="s">
        <v>792</v>
      </c>
    </row>
    <row r="154" spans="1:7" x14ac:dyDescent="0.25">
      <c r="A154" t="s">
        <v>6</v>
      </c>
      <c r="B154" s="1">
        <v>45985</v>
      </c>
      <c r="C154" t="s">
        <v>157</v>
      </c>
      <c r="D154">
        <v>-4.05</v>
      </c>
      <c r="E154" t="s">
        <v>10</v>
      </c>
      <c r="F154">
        <v>3568.65</v>
      </c>
      <c r="G154" t="s">
        <v>792</v>
      </c>
    </row>
    <row r="155" spans="1:7" x14ac:dyDescent="0.25">
      <c r="A155" t="s">
        <v>6</v>
      </c>
      <c r="B155" s="1">
        <v>45985</v>
      </c>
      <c r="C155" t="s">
        <v>158</v>
      </c>
      <c r="D155">
        <v>-4.26</v>
      </c>
      <c r="E155" t="s">
        <v>10</v>
      </c>
      <c r="F155">
        <v>3572.7</v>
      </c>
      <c r="G155" t="s">
        <v>792</v>
      </c>
    </row>
    <row r="156" spans="1:7" x14ac:dyDescent="0.25">
      <c r="A156" t="s">
        <v>6</v>
      </c>
      <c r="B156" s="1">
        <v>45985</v>
      </c>
      <c r="C156" t="s">
        <v>159</v>
      </c>
      <c r="D156">
        <v>-28.54</v>
      </c>
      <c r="E156" t="s">
        <v>10</v>
      </c>
      <c r="F156">
        <v>3576.96</v>
      </c>
      <c r="G156" t="s">
        <v>829</v>
      </c>
    </row>
    <row r="157" spans="1:7" x14ac:dyDescent="0.25">
      <c r="A157" t="s">
        <v>6</v>
      </c>
      <c r="B157" s="1">
        <v>45985</v>
      </c>
      <c r="C157" t="s">
        <v>160</v>
      </c>
      <c r="D157">
        <v>-4.05</v>
      </c>
      <c r="E157" t="s">
        <v>10</v>
      </c>
      <c r="F157">
        <v>3605.5</v>
      </c>
      <c r="G157" t="s">
        <v>792</v>
      </c>
    </row>
    <row r="158" spans="1:7" x14ac:dyDescent="0.25">
      <c r="A158" t="s">
        <v>6</v>
      </c>
      <c r="B158" s="1">
        <v>45985</v>
      </c>
      <c r="C158" t="s">
        <v>161</v>
      </c>
      <c r="D158">
        <v>-42</v>
      </c>
      <c r="E158" t="s">
        <v>10</v>
      </c>
      <c r="F158">
        <v>3609.55</v>
      </c>
      <c r="G158" t="s">
        <v>766</v>
      </c>
    </row>
    <row r="159" spans="1:7" x14ac:dyDescent="0.25">
      <c r="A159" t="s">
        <v>6</v>
      </c>
      <c r="B159" s="1">
        <v>45985</v>
      </c>
      <c r="C159" t="s">
        <v>162</v>
      </c>
      <c r="D159">
        <v>-23</v>
      </c>
      <c r="E159" t="s">
        <v>10</v>
      </c>
      <c r="F159">
        <v>3651.55</v>
      </c>
      <c r="G159" t="s">
        <v>826</v>
      </c>
    </row>
    <row r="160" spans="1:7" x14ac:dyDescent="0.25">
      <c r="A160" t="s">
        <v>6</v>
      </c>
      <c r="B160" s="1">
        <v>45985</v>
      </c>
      <c r="C160" t="s">
        <v>163</v>
      </c>
      <c r="D160">
        <v>-30.89</v>
      </c>
      <c r="E160" t="s">
        <v>10</v>
      </c>
      <c r="F160">
        <v>3674.55</v>
      </c>
      <c r="G160" t="s">
        <v>765</v>
      </c>
    </row>
    <row r="161" spans="1:7" x14ac:dyDescent="0.25">
      <c r="A161" t="s">
        <v>6</v>
      </c>
      <c r="B161" s="1">
        <v>45985</v>
      </c>
      <c r="C161" t="s">
        <v>164</v>
      </c>
      <c r="D161">
        <v>-50.45</v>
      </c>
      <c r="E161" t="s">
        <v>10</v>
      </c>
      <c r="F161">
        <v>3705.44</v>
      </c>
      <c r="G161" t="s">
        <v>783</v>
      </c>
    </row>
    <row r="162" spans="1:7" x14ac:dyDescent="0.25">
      <c r="A162" t="s">
        <v>6</v>
      </c>
      <c r="B162" s="1">
        <v>45985</v>
      </c>
      <c r="C162" t="s">
        <v>165</v>
      </c>
      <c r="D162">
        <v>-4.26</v>
      </c>
      <c r="E162" t="s">
        <v>10</v>
      </c>
      <c r="F162">
        <v>3755.89</v>
      </c>
      <c r="G162" t="s">
        <v>792</v>
      </c>
    </row>
    <row r="163" spans="1:7" x14ac:dyDescent="0.25">
      <c r="A163" t="s">
        <v>6</v>
      </c>
      <c r="B163" s="1">
        <v>45982</v>
      </c>
      <c r="C163" t="s">
        <v>166</v>
      </c>
      <c r="D163">
        <v>-10000</v>
      </c>
      <c r="E163" t="s">
        <v>8</v>
      </c>
      <c r="F163">
        <v>3760.15</v>
      </c>
      <c r="G163" t="s">
        <v>776</v>
      </c>
    </row>
    <row r="164" spans="1:7" x14ac:dyDescent="0.25">
      <c r="A164" t="s">
        <v>6</v>
      </c>
      <c r="B164" s="1">
        <v>45982</v>
      </c>
      <c r="C164" t="s">
        <v>167</v>
      </c>
      <c r="D164">
        <v>-24.99</v>
      </c>
      <c r="E164" t="s">
        <v>10</v>
      </c>
      <c r="F164">
        <v>13760.15</v>
      </c>
      <c r="G164" t="s">
        <v>765</v>
      </c>
    </row>
    <row r="165" spans="1:7" x14ac:dyDescent="0.25">
      <c r="A165" t="s">
        <v>6</v>
      </c>
      <c r="B165" s="1">
        <v>45981</v>
      </c>
      <c r="C165" t="s">
        <v>168</v>
      </c>
      <c r="D165">
        <v>-5</v>
      </c>
      <c r="E165" t="s">
        <v>10</v>
      </c>
      <c r="F165">
        <v>13785.14</v>
      </c>
      <c r="G165" t="s">
        <v>766</v>
      </c>
    </row>
    <row r="166" spans="1:7" x14ac:dyDescent="0.25">
      <c r="A166" t="s">
        <v>6</v>
      </c>
      <c r="B166" s="1">
        <v>45981</v>
      </c>
      <c r="C166" t="s">
        <v>169</v>
      </c>
      <c r="D166">
        <v>-20</v>
      </c>
      <c r="E166" t="s">
        <v>10</v>
      </c>
      <c r="F166">
        <v>13790.14</v>
      </c>
      <c r="G166" t="s">
        <v>765</v>
      </c>
    </row>
    <row r="167" spans="1:7" x14ac:dyDescent="0.25">
      <c r="A167" t="s">
        <v>6</v>
      </c>
      <c r="B167" s="1">
        <v>45980</v>
      </c>
      <c r="C167" t="s">
        <v>170</v>
      </c>
      <c r="D167">
        <v>-51.98</v>
      </c>
      <c r="E167" t="s">
        <v>10</v>
      </c>
      <c r="F167">
        <v>13810.14</v>
      </c>
      <c r="G167" t="s">
        <v>766</v>
      </c>
    </row>
    <row r="168" spans="1:7" x14ac:dyDescent="0.25">
      <c r="A168" t="s">
        <v>6</v>
      </c>
      <c r="B168" s="1">
        <v>45980</v>
      </c>
      <c r="C168" t="s">
        <v>171</v>
      </c>
      <c r="D168">
        <v>-32.799999999999997</v>
      </c>
      <c r="E168" t="s">
        <v>10</v>
      </c>
      <c r="F168">
        <v>13862.12</v>
      </c>
      <c r="G168" t="s">
        <v>766</v>
      </c>
    </row>
    <row r="169" spans="1:7" x14ac:dyDescent="0.25">
      <c r="A169" t="s">
        <v>6</v>
      </c>
      <c r="B169" s="1">
        <v>45980</v>
      </c>
      <c r="C169" t="s">
        <v>172</v>
      </c>
      <c r="D169">
        <v>-15.3</v>
      </c>
      <c r="E169" t="s">
        <v>10</v>
      </c>
      <c r="F169">
        <v>13894.92</v>
      </c>
      <c r="G169" t="s">
        <v>766</v>
      </c>
    </row>
    <row r="170" spans="1:7" x14ac:dyDescent="0.25">
      <c r="A170" t="s">
        <v>6</v>
      </c>
      <c r="B170" s="1">
        <v>45979</v>
      </c>
      <c r="C170" t="s">
        <v>173</v>
      </c>
      <c r="D170">
        <v>-54.16</v>
      </c>
      <c r="E170" t="s">
        <v>10</v>
      </c>
      <c r="F170">
        <v>13910.22</v>
      </c>
      <c r="G170" t="s">
        <v>766</v>
      </c>
    </row>
    <row r="171" spans="1:7" x14ac:dyDescent="0.25">
      <c r="A171" t="s">
        <v>6</v>
      </c>
      <c r="B171" s="1">
        <v>45978</v>
      </c>
      <c r="C171" t="s">
        <v>174</v>
      </c>
      <c r="D171">
        <v>-15000</v>
      </c>
      <c r="E171" t="s">
        <v>8</v>
      </c>
      <c r="F171">
        <v>13964.38</v>
      </c>
      <c r="G171" t="s">
        <v>776</v>
      </c>
    </row>
    <row r="172" spans="1:7" x14ac:dyDescent="0.25">
      <c r="A172" t="s">
        <v>6</v>
      </c>
      <c r="B172" s="1">
        <v>45978</v>
      </c>
      <c r="C172" t="s">
        <v>175</v>
      </c>
      <c r="D172">
        <v>-4.05</v>
      </c>
      <c r="E172" t="s">
        <v>10</v>
      </c>
      <c r="F172">
        <v>28964.38</v>
      </c>
      <c r="G172" t="s">
        <v>792</v>
      </c>
    </row>
    <row r="173" spans="1:7" x14ac:dyDescent="0.25">
      <c r="A173" t="s">
        <v>6</v>
      </c>
      <c r="B173" s="1">
        <v>45978</v>
      </c>
      <c r="C173" t="s">
        <v>176</v>
      </c>
      <c r="D173">
        <v>-10000</v>
      </c>
      <c r="E173" t="s">
        <v>8</v>
      </c>
      <c r="F173">
        <v>28968.43</v>
      </c>
      <c r="G173" t="s">
        <v>776</v>
      </c>
    </row>
    <row r="174" spans="1:7" x14ac:dyDescent="0.25">
      <c r="A174" t="s">
        <v>6</v>
      </c>
      <c r="B174" s="1">
        <v>45978</v>
      </c>
      <c r="C174" t="s">
        <v>177</v>
      </c>
      <c r="D174">
        <v>-4.05</v>
      </c>
      <c r="E174" t="s">
        <v>10</v>
      </c>
      <c r="F174">
        <v>38968.43</v>
      </c>
      <c r="G174" t="s">
        <v>792</v>
      </c>
    </row>
    <row r="175" spans="1:7" x14ac:dyDescent="0.25">
      <c r="A175" t="s">
        <v>6</v>
      </c>
      <c r="B175" s="1">
        <v>45978</v>
      </c>
      <c r="C175" t="s">
        <v>178</v>
      </c>
      <c r="D175">
        <v>-30.89</v>
      </c>
      <c r="E175" t="s">
        <v>10</v>
      </c>
      <c r="F175">
        <v>38972.480000000003</v>
      </c>
      <c r="G175" t="s">
        <v>765</v>
      </c>
    </row>
    <row r="176" spans="1:7" x14ac:dyDescent="0.25">
      <c r="A176" t="s">
        <v>11</v>
      </c>
      <c r="B176" s="1">
        <v>45975</v>
      </c>
      <c r="C176" t="s">
        <v>179</v>
      </c>
      <c r="D176">
        <v>356.38</v>
      </c>
      <c r="E176" t="s">
        <v>50</v>
      </c>
      <c r="F176">
        <v>39003.370000000003</v>
      </c>
      <c r="G176" t="s">
        <v>769</v>
      </c>
    </row>
    <row r="177" spans="1:7" x14ac:dyDescent="0.25">
      <c r="A177" t="s">
        <v>6</v>
      </c>
      <c r="B177" s="1">
        <v>45974</v>
      </c>
      <c r="C177" t="s">
        <v>180</v>
      </c>
      <c r="D177">
        <v>-750</v>
      </c>
      <c r="E177" t="s">
        <v>10</v>
      </c>
      <c r="F177">
        <v>38646.99</v>
      </c>
      <c r="G177" t="s">
        <v>859</v>
      </c>
    </row>
    <row r="178" spans="1:7" x14ac:dyDescent="0.25">
      <c r="A178" t="s">
        <v>6</v>
      </c>
      <c r="B178" s="1">
        <v>45974</v>
      </c>
      <c r="C178" t="s">
        <v>181</v>
      </c>
      <c r="D178">
        <v>-75</v>
      </c>
      <c r="E178" t="s">
        <v>58</v>
      </c>
      <c r="F178">
        <v>39396.99</v>
      </c>
      <c r="G178" t="s">
        <v>770</v>
      </c>
    </row>
    <row r="179" spans="1:7" x14ac:dyDescent="0.25">
      <c r="A179" t="s">
        <v>6</v>
      </c>
      <c r="B179" s="1">
        <v>45974</v>
      </c>
      <c r="C179" t="s">
        <v>182</v>
      </c>
      <c r="D179">
        <v>-5000</v>
      </c>
      <c r="E179" t="s">
        <v>8</v>
      </c>
      <c r="F179">
        <v>39471.99</v>
      </c>
      <c r="G179" t="s">
        <v>768</v>
      </c>
    </row>
    <row r="180" spans="1:7" x14ac:dyDescent="0.25">
      <c r="A180" t="s">
        <v>6</v>
      </c>
      <c r="B180" s="1">
        <v>45974</v>
      </c>
      <c r="C180" t="s">
        <v>183</v>
      </c>
      <c r="D180">
        <v>-102.9</v>
      </c>
      <c r="E180" t="s">
        <v>45</v>
      </c>
      <c r="F180">
        <v>44471.99</v>
      </c>
      <c r="G180" t="s">
        <v>822</v>
      </c>
    </row>
    <row r="181" spans="1:7" x14ac:dyDescent="0.25">
      <c r="A181" t="s">
        <v>6</v>
      </c>
      <c r="B181" s="1">
        <v>45973</v>
      </c>
      <c r="C181" t="s">
        <v>184</v>
      </c>
      <c r="D181">
        <v>-34.99</v>
      </c>
      <c r="E181" t="s">
        <v>10</v>
      </c>
      <c r="F181">
        <v>44574.89</v>
      </c>
      <c r="G181" t="s">
        <v>765</v>
      </c>
    </row>
    <row r="182" spans="1:7" x14ac:dyDescent="0.25">
      <c r="A182" t="s">
        <v>6</v>
      </c>
      <c r="B182" s="1">
        <v>45973</v>
      </c>
      <c r="C182" t="s">
        <v>185</v>
      </c>
      <c r="D182">
        <v>-40.450000000000003</v>
      </c>
      <c r="E182" t="s">
        <v>10</v>
      </c>
      <c r="F182">
        <v>44609.88</v>
      </c>
      <c r="G182" t="s">
        <v>766</v>
      </c>
    </row>
    <row r="183" spans="1:7" x14ac:dyDescent="0.25">
      <c r="A183" t="s">
        <v>6</v>
      </c>
      <c r="B183" s="1">
        <v>45973</v>
      </c>
      <c r="C183" t="s">
        <v>186</v>
      </c>
      <c r="D183">
        <v>-200</v>
      </c>
      <c r="E183" t="s">
        <v>10</v>
      </c>
      <c r="F183">
        <v>44650.33</v>
      </c>
      <c r="G183" t="s">
        <v>779</v>
      </c>
    </row>
    <row r="184" spans="1:7" x14ac:dyDescent="0.25">
      <c r="A184" t="s">
        <v>11</v>
      </c>
      <c r="B184" s="1">
        <v>45973</v>
      </c>
      <c r="C184" t="s">
        <v>187</v>
      </c>
      <c r="D184">
        <v>233.33</v>
      </c>
      <c r="E184" t="s">
        <v>50</v>
      </c>
      <c r="F184">
        <v>44850.33</v>
      </c>
      <c r="G184" t="s">
        <v>772</v>
      </c>
    </row>
    <row r="185" spans="1:7" x14ac:dyDescent="0.25">
      <c r="A185" t="s">
        <v>11</v>
      </c>
      <c r="B185" s="1">
        <v>45973</v>
      </c>
      <c r="C185" t="s">
        <v>188</v>
      </c>
      <c r="D185">
        <v>241.87</v>
      </c>
      <c r="E185" t="s">
        <v>50</v>
      </c>
      <c r="F185">
        <v>44617</v>
      </c>
      <c r="G185" t="s">
        <v>773</v>
      </c>
    </row>
    <row r="186" spans="1:7" x14ac:dyDescent="0.25">
      <c r="A186" t="s">
        <v>11</v>
      </c>
      <c r="B186" s="1">
        <v>45973</v>
      </c>
      <c r="C186" t="s">
        <v>189</v>
      </c>
      <c r="D186">
        <v>350</v>
      </c>
      <c r="E186" t="s">
        <v>50</v>
      </c>
      <c r="F186">
        <v>44375.13</v>
      </c>
      <c r="G186" t="s">
        <v>774</v>
      </c>
    </row>
    <row r="187" spans="1:7" x14ac:dyDescent="0.25">
      <c r="A187" t="s">
        <v>11</v>
      </c>
      <c r="B187" s="1">
        <v>45973</v>
      </c>
      <c r="C187" t="s">
        <v>190</v>
      </c>
      <c r="D187">
        <v>476.41</v>
      </c>
      <c r="E187" t="s">
        <v>50</v>
      </c>
      <c r="F187">
        <v>44025.13</v>
      </c>
      <c r="G187" t="s">
        <v>775</v>
      </c>
    </row>
    <row r="188" spans="1:7" x14ac:dyDescent="0.25">
      <c r="A188" t="s">
        <v>6</v>
      </c>
      <c r="B188" s="1">
        <v>45971</v>
      </c>
      <c r="C188" t="s">
        <v>191</v>
      </c>
      <c r="D188">
        <v>-125</v>
      </c>
      <c r="E188" t="s">
        <v>58</v>
      </c>
      <c r="F188">
        <v>43548.72</v>
      </c>
      <c r="G188" t="s">
        <v>770</v>
      </c>
    </row>
    <row r="189" spans="1:7" x14ac:dyDescent="0.25">
      <c r="A189" t="s">
        <v>6</v>
      </c>
      <c r="B189" s="1">
        <v>45971</v>
      </c>
      <c r="C189" t="s">
        <v>192</v>
      </c>
      <c r="D189">
        <v>-21.34</v>
      </c>
      <c r="E189" t="s">
        <v>10</v>
      </c>
      <c r="F189">
        <v>43673.72</v>
      </c>
      <c r="G189" t="s">
        <v>792</v>
      </c>
    </row>
    <row r="190" spans="1:7" x14ac:dyDescent="0.25">
      <c r="A190" t="s">
        <v>6</v>
      </c>
      <c r="B190" s="1">
        <v>45971</v>
      </c>
      <c r="C190" t="s">
        <v>193</v>
      </c>
      <c r="D190">
        <v>-30.89</v>
      </c>
      <c r="E190" t="s">
        <v>10</v>
      </c>
      <c r="F190">
        <v>43695.06</v>
      </c>
      <c r="G190" t="s">
        <v>765</v>
      </c>
    </row>
    <row r="191" spans="1:7" x14ac:dyDescent="0.25">
      <c r="A191" t="s">
        <v>6</v>
      </c>
      <c r="B191" s="1">
        <v>45971</v>
      </c>
      <c r="C191" t="s">
        <v>194</v>
      </c>
      <c r="D191">
        <v>-9.99</v>
      </c>
      <c r="E191" t="s">
        <v>10</v>
      </c>
      <c r="F191">
        <v>43725.95</v>
      </c>
      <c r="G191" t="s">
        <v>765</v>
      </c>
    </row>
    <row r="192" spans="1:7" x14ac:dyDescent="0.25">
      <c r="A192" t="s">
        <v>6</v>
      </c>
      <c r="B192" s="1">
        <v>45968</v>
      </c>
      <c r="C192" t="s">
        <v>195</v>
      </c>
      <c r="D192">
        <v>-6.39</v>
      </c>
      <c r="E192" t="s">
        <v>10</v>
      </c>
      <c r="F192">
        <v>43735.94</v>
      </c>
      <c r="G192" t="s">
        <v>792</v>
      </c>
    </row>
    <row r="193" spans="1:7" x14ac:dyDescent="0.25">
      <c r="A193" t="s">
        <v>6</v>
      </c>
      <c r="B193" s="1">
        <v>45968</v>
      </c>
      <c r="C193" t="s">
        <v>196</v>
      </c>
      <c r="D193">
        <v>-24</v>
      </c>
      <c r="E193" t="s">
        <v>10</v>
      </c>
      <c r="F193">
        <v>43742.33</v>
      </c>
      <c r="G193" t="s">
        <v>771</v>
      </c>
    </row>
    <row r="194" spans="1:7" x14ac:dyDescent="0.25">
      <c r="A194" t="s">
        <v>6</v>
      </c>
      <c r="B194" s="1">
        <v>45967</v>
      </c>
      <c r="C194" t="s">
        <v>197</v>
      </c>
      <c r="D194">
        <v>-9.99</v>
      </c>
      <c r="E194" t="s">
        <v>10</v>
      </c>
      <c r="F194">
        <v>43766.33</v>
      </c>
      <c r="G194" t="s">
        <v>765</v>
      </c>
    </row>
    <row r="195" spans="1:7" x14ac:dyDescent="0.25">
      <c r="A195" t="s">
        <v>11</v>
      </c>
      <c r="B195" s="1">
        <v>45967</v>
      </c>
      <c r="C195" t="s">
        <v>198</v>
      </c>
      <c r="D195">
        <v>1675</v>
      </c>
      <c r="E195" t="s">
        <v>50</v>
      </c>
      <c r="F195">
        <v>43776.32</v>
      </c>
      <c r="G195" t="s">
        <v>825</v>
      </c>
    </row>
    <row r="196" spans="1:7" x14ac:dyDescent="0.25">
      <c r="A196" t="s">
        <v>6</v>
      </c>
      <c r="B196" s="1">
        <v>45966</v>
      </c>
      <c r="C196" t="s">
        <v>199</v>
      </c>
      <c r="D196">
        <v>-10000</v>
      </c>
      <c r="E196" t="s">
        <v>8</v>
      </c>
      <c r="F196">
        <v>42101.32</v>
      </c>
      <c r="G196" t="s">
        <v>776</v>
      </c>
    </row>
    <row r="197" spans="1:7" x14ac:dyDescent="0.25">
      <c r="A197" t="s">
        <v>6</v>
      </c>
      <c r="B197" s="1">
        <v>45966</v>
      </c>
      <c r="C197" t="s">
        <v>200</v>
      </c>
      <c r="D197">
        <v>-32</v>
      </c>
      <c r="E197" t="s">
        <v>58</v>
      </c>
      <c r="F197">
        <v>52101.32</v>
      </c>
      <c r="G197" t="s">
        <v>770</v>
      </c>
    </row>
    <row r="198" spans="1:7" x14ac:dyDescent="0.25">
      <c r="A198" t="s">
        <v>6</v>
      </c>
      <c r="B198" s="1">
        <v>45964</v>
      </c>
      <c r="C198" t="s">
        <v>201</v>
      </c>
      <c r="D198">
        <v>-165</v>
      </c>
      <c r="E198" t="s">
        <v>58</v>
      </c>
      <c r="F198">
        <v>52133.32</v>
      </c>
      <c r="G198" t="s">
        <v>770</v>
      </c>
    </row>
    <row r="199" spans="1:7" x14ac:dyDescent="0.25">
      <c r="A199" t="s">
        <v>6</v>
      </c>
      <c r="B199" s="1">
        <v>45964</v>
      </c>
      <c r="C199" t="s">
        <v>202</v>
      </c>
      <c r="D199">
        <v>-20000</v>
      </c>
      <c r="E199" t="s">
        <v>8</v>
      </c>
      <c r="F199">
        <v>52298.32</v>
      </c>
      <c r="G199" t="s">
        <v>776</v>
      </c>
    </row>
    <row r="200" spans="1:7" x14ac:dyDescent="0.25">
      <c r="A200" t="s">
        <v>6</v>
      </c>
      <c r="B200" s="1">
        <v>45964</v>
      </c>
      <c r="C200" t="s">
        <v>203</v>
      </c>
      <c r="D200">
        <v>-27.05</v>
      </c>
      <c r="E200" t="s">
        <v>10</v>
      </c>
      <c r="F200">
        <v>72298.320000000007</v>
      </c>
      <c r="G200" t="s">
        <v>765</v>
      </c>
    </row>
    <row r="201" spans="1:7" x14ac:dyDescent="0.25">
      <c r="A201" t="s">
        <v>6</v>
      </c>
      <c r="B201" s="1">
        <v>45964</v>
      </c>
      <c r="C201" t="s">
        <v>204</v>
      </c>
      <c r="D201">
        <v>-4.05</v>
      </c>
      <c r="E201" t="s">
        <v>10</v>
      </c>
      <c r="F201">
        <v>72325.37</v>
      </c>
      <c r="G201" t="s">
        <v>792</v>
      </c>
    </row>
    <row r="202" spans="1:7" x14ac:dyDescent="0.25">
      <c r="A202" t="s">
        <v>6</v>
      </c>
      <c r="B202" s="1">
        <v>45960</v>
      </c>
      <c r="C202" t="s">
        <v>205</v>
      </c>
      <c r="D202">
        <v>-22</v>
      </c>
      <c r="E202" t="s">
        <v>206</v>
      </c>
      <c r="F202">
        <v>72329.42</v>
      </c>
      <c r="G202" t="s">
        <v>809</v>
      </c>
    </row>
    <row r="203" spans="1:7" x14ac:dyDescent="0.25">
      <c r="A203" t="s">
        <v>6</v>
      </c>
      <c r="B203" s="1">
        <v>45960</v>
      </c>
      <c r="C203" t="s">
        <v>207</v>
      </c>
      <c r="D203">
        <v>-5000</v>
      </c>
      <c r="E203" t="s">
        <v>8</v>
      </c>
      <c r="F203">
        <v>72351.42</v>
      </c>
      <c r="G203" t="s">
        <v>768</v>
      </c>
    </row>
    <row r="204" spans="1:7" x14ac:dyDescent="0.25">
      <c r="A204" t="s">
        <v>6</v>
      </c>
      <c r="B204" s="1">
        <v>45960</v>
      </c>
      <c r="C204" t="s">
        <v>208</v>
      </c>
      <c r="D204">
        <v>-51.45</v>
      </c>
      <c r="E204" t="s">
        <v>10</v>
      </c>
      <c r="F204">
        <v>77351.42</v>
      </c>
      <c r="G204" t="s">
        <v>765</v>
      </c>
    </row>
    <row r="205" spans="1:7" x14ac:dyDescent="0.25">
      <c r="A205" t="s">
        <v>6</v>
      </c>
      <c r="B205" s="1">
        <v>45959</v>
      </c>
      <c r="C205" t="s">
        <v>209</v>
      </c>
      <c r="D205">
        <v>-380.97</v>
      </c>
      <c r="E205" t="s">
        <v>45</v>
      </c>
      <c r="F205">
        <v>77402.87</v>
      </c>
      <c r="G205" t="s">
        <v>767</v>
      </c>
    </row>
    <row r="206" spans="1:7" x14ac:dyDescent="0.25">
      <c r="A206" t="s">
        <v>6</v>
      </c>
      <c r="B206" s="1">
        <v>45959</v>
      </c>
      <c r="C206" t="s">
        <v>210</v>
      </c>
      <c r="D206">
        <v>-145</v>
      </c>
      <c r="E206" t="s">
        <v>58</v>
      </c>
      <c r="F206">
        <v>77783.839999999997</v>
      </c>
      <c r="G206" t="s">
        <v>770</v>
      </c>
    </row>
    <row r="207" spans="1:7" x14ac:dyDescent="0.25">
      <c r="A207" t="s">
        <v>6</v>
      </c>
      <c r="B207" s="1">
        <v>45958</v>
      </c>
      <c r="C207" t="s">
        <v>211</v>
      </c>
      <c r="D207">
        <v>-30000</v>
      </c>
      <c r="E207" t="s">
        <v>8</v>
      </c>
      <c r="F207">
        <v>77928.84</v>
      </c>
      <c r="G207" t="s">
        <v>776</v>
      </c>
    </row>
    <row r="208" spans="1:7" x14ac:dyDescent="0.25">
      <c r="A208" t="s">
        <v>6</v>
      </c>
      <c r="B208" s="1">
        <v>45958</v>
      </c>
      <c r="C208" t="s">
        <v>212</v>
      </c>
      <c r="D208">
        <v>105.95</v>
      </c>
      <c r="E208" t="s">
        <v>10</v>
      </c>
      <c r="F208">
        <v>107928.84</v>
      </c>
      <c r="G208" t="s">
        <v>766</v>
      </c>
    </row>
    <row r="209" spans="1:7" x14ac:dyDescent="0.25">
      <c r="A209" t="s">
        <v>6</v>
      </c>
      <c r="B209" s="1">
        <v>45957</v>
      </c>
      <c r="C209" t="s">
        <v>213</v>
      </c>
      <c r="D209">
        <v>-1242.8399999999999</v>
      </c>
      <c r="E209" t="s">
        <v>45</v>
      </c>
      <c r="F209">
        <v>107822.89</v>
      </c>
      <c r="G209" t="s">
        <v>767</v>
      </c>
    </row>
    <row r="210" spans="1:7" x14ac:dyDescent="0.25">
      <c r="A210" t="s">
        <v>6</v>
      </c>
      <c r="B210" s="1">
        <v>45957</v>
      </c>
      <c r="C210" t="s">
        <v>214</v>
      </c>
      <c r="D210">
        <v>-130</v>
      </c>
      <c r="E210" t="s">
        <v>58</v>
      </c>
      <c r="F210">
        <v>109065.73</v>
      </c>
      <c r="G210" t="s">
        <v>770</v>
      </c>
    </row>
    <row r="211" spans="1:7" x14ac:dyDescent="0.25">
      <c r="A211" t="s">
        <v>6</v>
      </c>
      <c r="B211" s="1">
        <v>45957</v>
      </c>
      <c r="C211" t="s">
        <v>215</v>
      </c>
      <c r="D211">
        <v>-1035.46</v>
      </c>
      <c r="E211" t="s">
        <v>10</v>
      </c>
      <c r="F211">
        <v>109195.73</v>
      </c>
      <c r="G211" t="s">
        <v>824</v>
      </c>
    </row>
    <row r="212" spans="1:7" x14ac:dyDescent="0.25">
      <c r="A212" t="s">
        <v>6</v>
      </c>
      <c r="B212" s="1">
        <v>45957</v>
      </c>
      <c r="C212" t="s">
        <v>216</v>
      </c>
      <c r="D212">
        <v>-30.89</v>
      </c>
      <c r="E212" t="s">
        <v>10</v>
      </c>
      <c r="F212">
        <v>110231.19</v>
      </c>
      <c r="G212" t="s">
        <v>765</v>
      </c>
    </row>
    <row r="213" spans="1:7" x14ac:dyDescent="0.25">
      <c r="A213" t="s">
        <v>6</v>
      </c>
      <c r="B213" s="1">
        <v>45953</v>
      </c>
      <c r="C213" t="s">
        <v>217</v>
      </c>
      <c r="D213">
        <v>-225</v>
      </c>
      <c r="E213" t="s">
        <v>206</v>
      </c>
      <c r="F213">
        <v>110262.08</v>
      </c>
      <c r="G213" t="s">
        <v>809</v>
      </c>
    </row>
    <row r="214" spans="1:7" x14ac:dyDescent="0.25">
      <c r="A214" t="s">
        <v>6</v>
      </c>
      <c r="B214" s="1">
        <v>45952</v>
      </c>
      <c r="C214" t="s">
        <v>218</v>
      </c>
      <c r="D214">
        <v>-500</v>
      </c>
      <c r="E214" t="s">
        <v>206</v>
      </c>
      <c r="F214">
        <v>110487.08</v>
      </c>
      <c r="G214" t="s">
        <v>810</v>
      </c>
    </row>
    <row r="215" spans="1:7" x14ac:dyDescent="0.25">
      <c r="A215" t="s">
        <v>6</v>
      </c>
      <c r="B215" s="1">
        <v>45951</v>
      </c>
      <c r="C215" t="s">
        <v>219</v>
      </c>
      <c r="D215">
        <v>-24.99</v>
      </c>
      <c r="E215" t="s">
        <v>10</v>
      </c>
      <c r="F215">
        <v>110987.08</v>
      </c>
      <c r="G215" t="s">
        <v>765</v>
      </c>
    </row>
    <row r="216" spans="1:7" x14ac:dyDescent="0.25">
      <c r="A216" t="s">
        <v>6</v>
      </c>
      <c r="B216" s="1">
        <v>45951</v>
      </c>
      <c r="C216" t="s">
        <v>220</v>
      </c>
      <c r="D216">
        <v>-216</v>
      </c>
      <c r="E216" t="s">
        <v>10</v>
      </c>
      <c r="F216">
        <v>111012.07</v>
      </c>
      <c r="G216" t="s">
        <v>823</v>
      </c>
    </row>
    <row r="217" spans="1:7" x14ac:dyDescent="0.25">
      <c r="A217" t="s">
        <v>6</v>
      </c>
      <c r="B217" s="1">
        <v>45951</v>
      </c>
      <c r="C217" t="s">
        <v>221</v>
      </c>
      <c r="D217">
        <v>105.95</v>
      </c>
      <c r="E217" t="s">
        <v>10</v>
      </c>
      <c r="F217">
        <v>111228.07</v>
      </c>
      <c r="G217" t="s">
        <v>766</v>
      </c>
    </row>
    <row r="218" spans="1:7" x14ac:dyDescent="0.25">
      <c r="A218" t="s">
        <v>6</v>
      </c>
      <c r="B218" s="1">
        <v>45950</v>
      </c>
      <c r="C218" t="s">
        <v>53</v>
      </c>
      <c r="D218">
        <v>-25</v>
      </c>
      <c r="E218" t="s">
        <v>14</v>
      </c>
      <c r="F218">
        <v>111122.12</v>
      </c>
      <c r="G218" t="s">
        <v>784</v>
      </c>
    </row>
    <row r="219" spans="1:7" x14ac:dyDescent="0.25">
      <c r="A219" t="s">
        <v>6</v>
      </c>
      <c r="B219" s="1">
        <v>45950</v>
      </c>
      <c r="C219" t="s">
        <v>222</v>
      </c>
      <c r="D219">
        <v>-5000</v>
      </c>
      <c r="E219" t="s">
        <v>47</v>
      </c>
      <c r="F219">
        <v>111147.12</v>
      </c>
      <c r="G219" t="s">
        <v>786</v>
      </c>
    </row>
    <row r="220" spans="1:7" x14ac:dyDescent="0.25">
      <c r="A220" t="s">
        <v>6</v>
      </c>
      <c r="B220" s="1">
        <v>45950</v>
      </c>
      <c r="C220" t="s">
        <v>223</v>
      </c>
      <c r="D220">
        <v>-60</v>
      </c>
      <c r="E220" t="s">
        <v>10</v>
      </c>
      <c r="F220">
        <v>116147.12</v>
      </c>
      <c r="G220" t="s">
        <v>802</v>
      </c>
    </row>
    <row r="221" spans="1:7" x14ac:dyDescent="0.25">
      <c r="A221" t="s">
        <v>6</v>
      </c>
      <c r="B221" s="1">
        <v>45950</v>
      </c>
      <c r="C221" t="s">
        <v>224</v>
      </c>
      <c r="D221">
        <v>-30.89</v>
      </c>
      <c r="E221" t="s">
        <v>10</v>
      </c>
      <c r="F221">
        <v>116207.12</v>
      </c>
      <c r="G221" t="s">
        <v>765</v>
      </c>
    </row>
    <row r="222" spans="1:7" x14ac:dyDescent="0.25">
      <c r="A222" t="s">
        <v>11</v>
      </c>
      <c r="B222" s="1">
        <v>45950</v>
      </c>
      <c r="C222" t="s">
        <v>225</v>
      </c>
      <c r="D222">
        <v>15000</v>
      </c>
      <c r="E222" t="s">
        <v>50</v>
      </c>
      <c r="F222">
        <v>116238.01</v>
      </c>
      <c r="G222" t="s">
        <v>780</v>
      </c>
    </row>
    <row r="223" spans="1:7" x14ac:dyDescent="0.25">
      <c r="A223" t="s">
        <v>6</v>
      </c>
      <c r="B223" s="1">
        <v>45947</v>
      </c>
      <c r="C223" t="s">
        <v>226</v>
      </c>
      <c r="D223">
        <v>-4260</v>
      </c>
      <c r="E223" t="s">
        <v>45</v>
      </c>
      <c r="F223">
        <v>101238.01</v>
      </c>
      <c r="G223" t="s">
        <v>822</v>
      </c>
    </row>
    <row r="224" spans="1:7" x14ac:dyDescent="0.25">
      <c r="A224" t="s">
        <v>6</v>
      </c>
      <c r="B224" s="1">
        <v>45947</v>
      </c>
      <c r="C224" t="s">
        <v>227</v>
      </c>
      <c r="D224">
        <v>-4.05</v>
      </c>
      <c r="E224" t="s">
        <v>10</v>
      </c>
      <c r="F224">
        <v>105498.01</v>
      </c>
      <c r="G224" t="s">
        <v>792</v>
      </c>
    </row>
    <row r="225" spans="1:7" x14ac:dyDescent="0.25">
      <c r="A225" t="s">
        <v>6</v>
      </c>
      <c r="B225" s="1">
        <v>45947</v>
      </c>
      <c r="C225" t="s">
        <v>228</v>
      </c>
      <c r="D225">
        <v>-105.95</v>
      </c>
      <c r="E225" t="s">
        <v>10</v>
      </c>
      <c r="F225">
        <v>105502.06</v>
      </c>
      <c r="G225" t="s">
        <v>766</v>
      </c>
    </row>
    <row r="226" spans="1:7" x14ac:dyDescent="0.25">
      <c r="A226" t="s">
        <v>6</v>
      </c>
      <c r="B226" s="1">
        <v>45947</v>
      </c>
      <c r="C226" t="s">
        <v>229</v>
      </c>
      <c r="D226">
        <v>-100</v>
      </c>
      <c r="E226" t="s">
        <v>10</v>
      </c>
      <c r="F226">
        <v>105608.01</v>
      </c>
      <c r="G226" t="s">
        <v>765</v>
      </c>
    </row>
    <row r="227" spans="1:7" x14ac:dyDescent="0.25">
      <c r="A227" t="s">
        <v>6</v>
      </c>
      <c r="B227" s="1">
        <v>45946</v>
      </c>
      <c r="C227" t="s">
        <v>230</v>
      </c>
      <c r="D227">
        <v>-16217</v>
      </c>
      <c r="E227" t="s">
        <v>45</v>
      </c>
      <c r="F227">
        <v>105708.01</v>
      </c>
      <c r="G227" t="s">
        <v>822</v>
      </c>
    </row>
    <row r="228" spans="1:7" x14ac:dyDescent="0.25">
      <c r="A228" t="s">
        <v>6</v>
      </c>
      <c r="B228" s="1">
        <v>45946</v>
      </c>
      <c r="C228" t="s">
        <v>231</v>
      </c>
      <c r="D228">
        <v>-800</v>
      </c>
      <c r="E228" t="s">
        <v>45</v>
      </c>
      <c r="F228">
        <v>121925.01</v>
      </c>
      <c r="G228" t="s">
        <v>822</v>
      </c>
    </row>
    <row r="229" spans="1:7" x14ac:dyDescent="0.25">
      <c r="A229" t="s">
        <v>6</v>
      </c>
      <c r="B229" s="1">
        <v>45946</v>
      </c>
      <c r="C229" t="s">
        <v>232</v>
      </c>
      <c r="D229">
        <v>-2316</v>
      </c>
      <c r="E229" t="s">
        <v>45</v>
      </c>
      <c r="F229">
        <v>122725.01</v>
      </c>
      <c r="G229" t="s">
        <v>822</v>
      </c>
    </row>
    <row r="230" spans="1:7" x14ac:dyDescent="0.25">
      <c r="A230" t="s">
        <v>6</v>
      </c>
      <c r="B230" s="1">
        <v>45946</v>
      </c>
      <c r="C230" t="s">
        <v>233</v>
      </c>
      <c r="D230">
        <v>-16.18</v>
      </c>
      <c r="E230" t="s">
        <v>10</v>
      </c>
      <c r="F230">
        <v>125041.01</v>
      </c>
      <c r="G230" t="s">
        <v>766</v>
      </c>
    </row>
    <row r="231" spans="1:7" x14ac:dyDescent="0.25">
      <c r="A231" t="s">
        <v>6</v>
      </c>
      <c r="B231" s="1">
        <v>45946</v>
      </c>
      <c r="C231" t="s">
        <v>234</v>
      </c>
      <c r="D231">
        <v>-4.05</v>
      </c>
      <c r="E231" t="s">
        <v>10</v>
      </c>
      <c r="F231">
        <v>125057.19</v>
      </c>
      <c r="G231" t="s">
        <v>792</v>
      </c>
    </row>
    <row r="232" spans="1:7" x14ac:dyDescent="0.25">
      <c r="A232" t="s">
        <v>6</v>
      </c>
      <c r="B232" s="1">
        <v>45946</v>
      </c>
      <c r="C232" t="s">
        <v>235</v>
      </c>
      <c r="D232">
        <v>-15</v>
      </c>
      <c r="E232" t="s">
        <v>10</v>
      </c>
      <c r="F232">
        <v>125061.24</v>
      </c>
      <c r="G232" t="s">
        <v>771</v>
      </c>
    </row>
    <row r="233" spans="1:7" x14ac:dyDescent="0.25">
      <c r="A233" t="s">
        <v>6</v>
      </c>
      <c r="B233" s="1">
        <v>45946</v>
      </c>
      <c r="C233" t="s">
        <v>236</v>
      </c>
      <c r="D233">
        <v>-51.51</v>
      </c>
      <c r="E233" t="s">
        <v>10</v>
      </c>
      <c r="F233">
        <v>125076.24</v>
      </c>
      <c r="G233" t="s">
        <v>782</v>
      </c>
    </row>
    <row r="234" spans="1:7" x14ac:dyDescent="0.25">
      <c r="A234" t="s">
        <v>6</v>
      </c>
      <c r="B234" s="1">
        <v>45944</v>
      </c>
      <c r="C234" t="s">
        <v>237</v>
      </c>
      <c r="D234">
        <v>-500</v>
      </c>
      <c r="E234" t="s">
        <v>206</v>
      </c>
      <c r="F234">
        <v>125127.75</v>
      </c>
      <c r="G234" t="s">
        <v>811</v>
      </c>
    </row>
    <row r="235" spans="1:7" x14ac:dyDescent="0.25">
      <c r="A235" t="s">
        <v>6</v>
      </c>
      <c r="B235" s="1">
        <v>45944</v>
      </c>
      <c r="C235" t="s">
        <v>238</v>
      </c>
      <c r="D235">
        <v>-10000</v>
      </c>
      <c r="E235" t="s">
        <v>84</v>
      </c>
      <c r="F235">
        <v>125627.75</v>
      </c>
      <c r="G235" t="s">
        <v>781</v>
      </c>
    </row>
    <row r="236" spans="1:7" x14ac:dyDescent="0.25">
      <c r="A236" t="s">
        <v>6</v>
      </c>
      <c r="B236" s="1">
        <v>45944</v>
      </c>
      <c r="C236" t="s">
        <v>239</v>
      </c>
      <c r="D236">
        <v>-5000</v>
      </c>
      <c r="E236" t="s">
        <v>8</v>
      </c>
      <c r="F236">
        <v>135627.75</v>
      </c>
      <c r="G236" t="s">
        <v>768</v>
      </c>
    </row>
    <row r="237" spans="1:7" x14ac:dyDescent="0.25">
      <c r="A237" t="s">
        <v>6</v>
      </c>
      <c r="B237" s="1">
        <v>45944</v>
      </c>
      <c r="C237" t="s">
        <v>240</v>
      </c>
      <c r="D237">
        <v>-95.6</v>
      </c>
      <c r="E237" t="s">
        <v>10</v>
      </c>
      <c r="F237">
        <v>140627.75</v>
      </c>
      <c r="G237" t="s">
        <v>766</v>
      </c>
    </row>
    <row r="238" spans="1:7" x14ac:dyDescent="0.25">
      <c r="A238" t="s">
        <v>6</v>
      </c>
      <c r="B238" s="1">
        <v>45944</v>
      </c>
      <c r="C238" t="s">
        <v>241</v>
      </c>
      <c r="D238">
        <v>-30000</v>
      </c>
      <c r="E238" t="s">
        <v>8</v>
      </c>
      <c r="F238">
        <v>140723.35</v>
      </c>
      <c r="G238" t="s">
        <v>776</v>
      </c>
    </row>
    <row r="239" spans="1:7" x14ac:dyDescent="0.25">
      <c r="A239" t="s">
        <v>6</v>
      </c>
      <c r="B239" s="1">
        <v>45944</v>
      </c>
      <c r="C239" t="s">
        <v>242</v>
      </c>
      <c r="D239">
        <v>-140.71</v>
      </c>
      <c r="E239" t="s">
        <v>10</v>
      </c>
      <c r="F239">
        <v>170723.35</v>
      </c>
      <c r="G239" t="s">
        <v>766</v>
      </c>
    </row>
    <row r="240" spans="1:7" x14ac:dyDescent="0.25">
      <c r="A240" t="s">
        <v>6</v>
      </c>
      <c r="B240" s="1">
        <v>45944</v>
      </c>
      <c r="C240" t="s">
        <v>243</v>
      </c>
      <c r="D240">
        <v>-23.8</v>
      </c>
      <c r="E240" t="s">
        <v>10</v>
      </c>
      <c r="F240">
        <v>170864.06</v>
      </c>
      <c r="G240" t="s">
        <v>766</v>
      </c>
    </row>
    <row r="241" spans="1:7" x14ac:dyDescent="0.25">
      <c r="A241" t="s">
        <v>6</v>
      </c>
      <c r="B241" s="1">
        <v>45944</v>
      </c>
      <c r="C241" t="s">
        <v>244</v>
      </c>
      <c r="D241">
        <v>-43.24</v>
      </c>
      <c r="E241" t="s">
        <v>10</v>
      </c>
      <c r="F241">
        <v>170887.86</v>
      </c>
      <c r="G241" t="s">
        <v>766</v>
      </c>
    </row>
    <row r="242" spans="1:7" x14ac:dyDescent="0.25">
      <c r="A242" t="s">
        <v>6</v>
      </c>
      <c r="B242" s="1">
        <v>45944</v>
      </c>
      <c r="C242" t="s">
        <v>245</v>
      </c>
      <c r="D242">
        <v>-30.72</v>
      </c>
      <c r="E242" t="s">
        <v>10</v>
      </c>
      <c r="F242">
        <v>170931.1</v>
      </c>
      <c r="G242" t="s">
        <v>766</v>
      </c>
    </row>
    <row r="243" spans="1:7" x14ac:dyDescent="0.25">
      <c r="A243" t="s">
        <v>6</v>
      </c>
      <c r="B243" s="1">
        <v>45944</v>
      </c>
      <c r="C243" t="s">
        <v>246</v>
      </c>
      <c r="D243">
        <v>-34.99</v>
      </c>
      <c r="E243" t="s">
        <v>10</v>
      </c>
      <c r="F243">
        <v>170961.82</v>
      </c>
      <c r="G243" t="s">
        <v>765</v>
      </c>
    </row>
    <row r="244" spans="1:7" x14ac:dyDescent="0.25">
      <c r="A244" t="s">
        <v>6</v>
      </c>
      <c r="B244" s="1">
        <v>45944</v>
      </c>
      <c r="C244" t="s">
        <v>247</v>
      </c>
      <c r="D244">
        <v>-35.72</v>
      </c>
      <c r="E244" t="s">
        <v>10</v>
      </c>
      <c r="F244">
        <v>170996.81</v>
      </c>
      <c r="G244" t="s">
        <v>766</v>
      </c>
    </row>
    <row r="245" spans="1:7" x14ac:dyDescent="0.25">
      <c r="A245" t="s">
        <v>6</v>
      </c>
      <c r="B245" s="1">
        <v>45944</v>
      </c>
      <c r="C245" t="s">
        <v>248</v>
      </c>
      <c r="D245">
        <v>-4.05</v>
      </c>
      <c r="E245" t="s">
        <v>10</v>
      </c>
      <c r="F245">
        <v>171032.53</v>
      </c>
      <c r="G245" t="s">
        <v>792</v>
      </c>
    </row>
    <row r="246" spans="1:7" x14ac:dyDescent="0.25">
      <c r="A246" t="s">
        <v>6</v>
      </c>
      <c r="B246" s="1">
        <v>45944</v>
      </c>
      <c r="C246" t="s">
        <v>249</v>
      </c>
      <c r="D246">
        <v>-21.64</v>
      </c>
      <c r="E246" t="s">
        <v>10</v>
      </c>
      <c r="F246">
        <v>171036.58</v>
      </c>
      <c r="G246" t="s">
        <v>766</v>
      </c>
    </row>
    <row r="247" spans="1:7" x14ac:dyDescent="0.25">
      <c r="A247" t="s">
        <v>6</v>
      </c>
      <c r="B247" s="1">
        <v>45944</v>
      </c>
      <c r="C247" t="s">
        <v>250</v>
      </c>
      <c r="D247">
        <v>-30.89</v>
      </c>
      <c r="E247" t="s">
        <v>10</v>
      </c>
      <c r="F247">
        <v>171058.22</v>
      </c>
      <c r="G247" t="s">
        <v>765</v>
      </c>
    </row>
    <row r="248" spans="1:7" x14ac:dyDescent="0.25">
      <c r="A248" t="s">
        <v>11</v>
      </c>
      <c r="B248" s="1">
        <v>45940</v>
      </c>
      <c r="C248" t="s">
        <v>251</v>
      </c>
      <c r="D248">
        <v>233.33</v>
      </c>
      <c r="E248" t="s">
        <v>50</v>
      </c>
      <c r="F248">
        <v>171089.11</v>
      </c>
      <c r="G248" t="s">
        <v>772</v>
      </c>
    </row>
    <row r="249" spans="1:7" x14ac:dyDescent="0.25">
      <c r="A249" t="s">
        <v>11</v>
      </c>
      <c r="B249" s="1">
        <v>45940</v>
      </c>
      <c r="C249" t="s">
        <v>252</v>
      </c>
      <c r="D249">
        <v>356.38</v>
      </c>
      <c r="E249" t="s">
        <v>50</v>
      </c>
      <c r="F249">
        <v>170855.78</v>
      </c>
      <c r="G249" t="s">
        <v>769</v>
      </c>
    </row>
    <row r="250" spans="1:7" x14ac:dyDescent="0.25">
      <c r="A250" t="s">
        <v>6</v>
      </c>
      <c r="B250" s="1">
        <v>45939</v>
      </c>
      <c r="C250" t="s">
        <v>253</v>
      </c>
      <c r="D250">
        <v>-112.28</v>
      </c>
      <c r="E250" t="s">
        <v>10</v>
      </c>
      <c r="F250">
        <v>170499.4</v>
      </c>
      <c r="G250" t="s">
        <v>771</v>
      </c>
    </row>
    <row r="251" spans="1:7" x14ac:dyDescent="0.25">
      <c r="A251" t="s">
        <v>6</v>
      </c>
      <c r="B251" s="1">
        <v>45939</v>
      </c>
      <c r="C251" t="s">
        <v>254</v>
      </c>
      <c r="D251">
        <v>-5</v>
      </c>
      <c r="E251" t="s">
        <v>10</v>
      </c>
      <c r="F251">
        <v>170611.68</v>
      </c>
      <c r="G251" t="s">
        <v>766</v>
      </c>
    </row>
    <row r="252" spans="1:7" x14ac:dyDescent="0.25">
      <c r="A252" t="s">
        <v>6</v>
      </c>
      <c r="B252" s="1">
        <v>45939</v>
      </c>
      <c r="C252" t="s">
        <v>255</v>
      </c>
      <c r="D252">
        <v>-17.04</v>
      </c>
      <c r="E252" t="s">
        <v>10</v>
      </c>
      <c r="F252">
        <v>170616.68</v>
      </c>
      <c r="G252" t="s">
        <v>766</v>
      </c>
    </row>
    <row r="253" spans="1:7" x14ac:dyDescent="0.25">
      <c r="A253" t="s">
        <v>6</v>
      </c>
      <c r="B253" s="1">
        <v>45939</v>
      </c>
      <c r="C253" t="s">
        <v>256</v>
      </c>
      <c r="D253">
        <v>-136.4</v>
      </c>
      <c r="E253" t="s">
        <v>10</v>
      </c>
      <c r="F253">
        <v>170633.72</v>
      </c>
      <c r="G253" t="s">
        <v>766</v>
      </c>
    </row>
    <row r="254" spans="1:7" x14ac:dyDescent="0.25">
      <c r="A254" t="s">
        <v>11</v>
      </c>
      <c r="B254" s="1">
        <v>45939</v>
      </c>
      <c r="C254" t="s">
        <v>257</v>
      </c>
      <c r="D254">
        <v>350</v>
      </c>
      <c r="E254" t="s">
        <v>50</v>
      </c>
      <c r="F254">
        <v>170770.12</v>
      </c>
      <c r="G254" t="s">
        <v>774</v>
      </c>
    </row>
    <row r="255" spans="1:7" x14ac:dyDescent="0.25">
      <c r="A255" t="s">
        <v>6</v>
      </c>
      <c r="B255" s="1">
        <v>45938</v>
      </c>
      <c r="C255" t="s">
        <v>258</v>
      </c>
      <c r="D255">
        <v>-9.99</v>
      </c>
      <c r="E255" t="s">
        <v>10</v>
      </c>
      <c r="F255">
        <v>170420.12</v>
      </c>
      <c r="G255" t="s">
        <v>765</v>
      </c>
    </row>
    <row r="256" spans="1:7" x14ac:dyDescent="0.25">
      <c r="A256" t="s">
        <v>6</v>
      </c>
      <c r="B256" s="1">
        <v>45938</v>
      </c>
      <c r="C256" t="s">
        <v>259</v>
      </c>
      <c r="D256">
        <v>-4.26</v>
      </c>
      <c r="E256" t="s">
        <v>10</v>
      </c>
      <c r="F256">
        <v>170430.11</v>
      </c>
      <c r="G256" t="s">
        <v>792</v>
      </c>
    </row>
    <row r="257" spans="1:7" x14ac:dyDescent="0.25">
      <c r="A257" t="s">
        <v>6</v>
      </c>
      <c r="B257" s="1">
        <v>45938</v>
      </c>
      <c r="C257" t="s">
        <v>260</v>
      </c>
      <c r="D257">
        <v>-55.16</v>
      </c>
      <c r="E257" t="s">
        <v>10</v>
      </c>
      <c r="F257">
        <v>170434.37</v>
      </c>
      <c r="G257" t="s">
        <v>766</v>
      </c>
    </row>
    <row r="258" spans="1:7" x14ac:dyDescent="0.25">
      <c r="A258" t="s">
        <v>6</v>
      </c>
      <c r="B258" s="1">
        <v>45938</v>
      </c>
      <c r="C258" t="s">
        <v>261</v>
      </c>
      <c r="D258">
        <v>-34.76</v>
      </c>
      <c r="E258" t="s">
        <v>10</v>
      </c>
      <c r="F258">
        <v>170489.53</v>
      </c>
      <c r="G258" t="s">
        <v>766</v>
      </c>
    </row>
    <row r="259" spans="1:7" x14ac:dyDescent="0.25">
      <c r="A259" t="s">
        <v>11</v>
      </c>
      <c r="B259" s="1">
        <v>45938</v>
      </c>
      <c r="C259" t="s">
        <v>262</v>
      </c>
      <c r="D259">
        <v>236.37</v>
      </c>
      <c r="E259" t="s">
        <v>50</v>
      </c>
      <c r="F259">
        <v>170524.29</v>
      </c>
      <c r="G259" t="s">
        <v>773</v>
      </c>
    </row>
    <row r="260" spans="1:7" x14ac:dyDescent="0.25">
      <c r="A260" t="s">
        <v>11</v>
      </c>
      <c r="B260" s="1">
        <v>45938</v>
      </c>
      <c r="C260" t="s">
        <v>263</v>
      </c>
      <c r="D260">
        <v>476.41</v>
      </c>
      <c r="E260" t="s">
        <v>50</v>
      </c>
      <c r="F260">
        <v>170287.92</v>
      </c>
      <c r="G260" t="s">
        <v>775</v>
      </c>
    </row>
    <row r="261" spans="1:7" x14ac:dyDescent="0.25">
      <c r="A261" t="s">
        <v>6</v>
      </c>
      <c r="B261" s="1">
        <v>45937</v>
      </c>
      <c r="C261" t="s">
        <v>264</v>
      </c>
      <c r="D261">
        <v>-56.7</v>
      </c>
      <c r="E261" t="s">
        <v>10</v>
      </c>
      <c r="F261">
        <v>169811.51</v>
      </c>
      <c r="G261" t="s">
        <v>782</v>
      </c>
    </row>
    <row r="262" spans="1:7" x14ac:dyDescent="0.25">
      <c r="A262" t="s">
        <v>6</v>
      </c>
      <c r="B262" s="1">
        <v>45937</v>
      </c>
      <c r="C262" t="s">
        <v>265</v>
      </c>
      <c r="D262">
        <v>-9.99</v>
      </c>
      <c r="E262" t="s">
        <v>10</v>
      </c>
      <c r="F262">
        <v>169868.21</v>
      </c>
      <c r="G262" t="s">
        <v>765</v>
      </c>
    </row>
    <row r="263" spans="1:7" x14ac:dyDescent="0.25">
      <c r="A263" t="s">
        <v>6</v>
      </c>
      <c r="B263" s="1">
        <v>45936</v>
      </c>
      <c r="C263" t="s">
        <v>266</v>
      </c>
      <c r="D263">
        <v>-29.3</v>
      </c>
      <c r="E263" t="s">
        <v>10</v>
      </c>
      <c r="F263">
        <v>169878.2</v>
      </c>
      <c r="G263" t="s">
        <v>782</v>
      </c>
    </row>
    <row r="264" spans="1:7" x14ac:dyDescent="0.25">
      <c r="A264" t="s">
        <v>6</v>
      </c>
      <c r="B264" s="1">
        <v>45936</v>
      </c>
      <c r="C264" t="s">
        <v>267</v>
      </c>
      <c r="D264">
        <v>-105.95</v>
      </c>
      <c r="E264" t="s">
        <v>10</v>
      </c>
      <c r="F264">
        <v>169907.5</v>
      </c>
      <c r="G264" t="s">
        <v>766</v>
      </c>
    </row>
    <row r="265" spans="1:7" x14ac:dyDescent="0.25">
      <c r="A265" t="s">
        <v>6</v>
      </c>
      <c r="B265" s="1">
        <v>45936</v>
      </c>
      <c r="C265" t="s">
        <v>268</v>
      </c>
      <c r="D265">
        <v>-20.56</v>
      </c>
      <c r="E265" t="s">
        <v>10</v>
      </c>
      <c r="F265">
        <v>170013.45</v>
      </c>
      <c r="G265" t="s">
        <v>766</v>
      </c>
    </row>
    <row r="266" spans="1:7" x14ac:dyDescent="0.25">
      <c r="A266" t="s">
        <v>6</v>
      </c>
      <c r="B266" s="1">
        <v>45936</v>
      </c>
      <c r="C266" t="s">
        <v>269</v>
      </c>
      <c r="D266">
        <v>-12.98</v>
      </c>
      <c r="E266" t="s">
        <v>10</v>
      </c>
      <c r="F266">
        <v>170034.01</v>
      </c>
      <c r="G266" t="s">
        <v>802</v>
      </c>
    </row>
    <row r="267" spans="1:7" x14ac:dyDescent="0.25">
      <c r="A267" t="s">
        <v>6</v>
      </c>
      <c r="B267" s="1">
        <v>45936</v>
      </c>
      <c r="C267" t="s">
        <v>270</v>
      </c>
      <c r="D267">
        <v>-105</v>
      </c>
      <c r="E267" t="s">
        <v>10</v>
      </c>
      <c r="F267">
        <v>170046.99</v>
      </c>
      <c r="G267" t="s">
        <v>766</v>
      </c>
    </row>
    <row r="268" spans="1:7" x14ac:dyDescent="0.25">
      <c r="A268" t="s">
        <v>11</v>
      </c>
      <c r="B268" s="1">
        <v>45936</v>
      </c>
      <c r="C268" t="s">
        <v>271</v>
      </c>
      <c r="D268">
        <v>12800</v>
      </c>
      <c r="E268" t="s">
        <v>8</v>
      </c>
      <c r="F268">
        <v>170151.99</v>
      </c>
      <c r="G268" t="s">
        <v>821</v>
      </c>
    </row>
    <row r="269" spans="1:7" x14ac:dyDescent="0.25">
      <c r="A269" t="s">
        <v>6</v>
      </c>
      <c r="B269" s="1">
        <v>45933</v>
      </c>
      <c r="C269" t="s">
        <v>53</v>
      </c>
      <c r="D269">
        <v>-25</v>
      </c>
      <c r="E269" t="s">
        <v>14</v>
      </c>
      <c r="F269">
        <v>157351.99</v>
      </c>
      <c r="G269" t="s">
        <v>784</v>
      </c>
    </row>
    <row r="270" spans="1:7" x14ac:dyDescent="0.25">
      <c r="A270" t="s">
        <v>6</v>
      </c>
      <c r="B270" s="1">
        <v>45933</v>
      </c>
      <c r="C270" t="s">
        <v>272</v>
      </c>
      <c r="D270">
        <v>-5000</v>
      </c>
      <c r="E270" t="s">
        <v>47</v>
      </c>
      <c r="F270">
        <v>157376.99</v>
      </c>
      <c r="G270" t="s">
        <v>786</v>
      </c>
    </row>
    <row r="271" spans="1:7" x14ac:dyDescent="0.25">
      <c r="A271" t="s">
        <v>6</v>
      </c>
      <c r="B271" s="1">
        <v>45933</v>
      </c>
      <c r="C271" t="s">
        <v>273</v>
      </c>
      <c r="D271">
        <v>-75.760000000000005</v>
      </c>
      <c r="E271" t="s">
        <v>10</v>
      </c>
      <c r="F271">
        <v>162376.99</v>
      </c>
      <c r="G271" t="s">
        <v>766</v>
      </c>
    </row>
    <row r="272" spans="1:7" x14ac:dyDescent="0.25">
      <c r="A272" t="s">
        <v>6</v>
      </c>
      <c r="B272" s="1">
        <v>45932</v>
      </c>
      <c r="C272" t="s">
        <v>274</v>
      </c>
      <c r="D272">
        <v>-54.13</v>
      </c>
      <c r="E272" t="s">
        <v>10</v>
      </c>
      <c r="F272">
        <v>162452.75</v>
      </c>
      <c r="G272" t="s">
        <v>766</v>
      </c>
    </row>
    <row r="273" spans="1:7" x14ac:dyDescent="0.25">
      <c r="A273" t="s">
        <v>6</v>
      </c>
      <c r="B273" s="1">
        <v>45931</v>
      </c>
      <c r="C273" t="s">
        <v>275</v>
      </c>
      <c r="D273">
        <v>-25000</v>
      </c>
      <c r="E273" t="s">
        <v>8</v>
      </c>
      <c r="F273">
        <v>162506.88</v>
      </c>
      <c r="G273" t="s">
        <v>776</v>
      </c>
    </row>
    <row r="274" spans="1:7" x14ac:dyDescent="0.25">
      <c r="A274" t="s">
        <v>6</v>
      </c>
      <c r="B274" s="1">
        <v>45931</v>
      </c>
      <c r="C274" t="s">
        <v>276</v>
      </c>
      <c r="D274">
        <v>-27.05</v>
      </c>
      <c r="E274" t="s">
        <v>10</v>
      </c>
      <c r="F274">
        <v>187506.88</v>
      </c>
      <c r="G274" t="s">
        <v>765</v>
      </c>
    </row>
    <row r="275" spans="1:7" x14ac:dyDescent="0.25">
      <c r="A275" t="s">
        <v>6</v>
      </c>
      <c r="B275" s="1">
        <v>45931</v>
      </c>
      <c r="C275" t="s">
        <v>277</v>
      </c>
      <c r="D275">
        <v>-25.85</v>
      </c>
      <c r="E275" t="s">
        <v>10</v>
      </c>
      <c r="F275">
        <v>187533.93</v>
      </c>
      <c r="G275" t="s">
        <v>766</v>
      </c>
    </row>
    <row r="276" spans="1:7" x14ac:dyDescent="0.25">
      <c r="A276" t="s">
        <v>6</v>
      </c>
      <c r="B276" s="1">
        <v>45931</v>
      </c>
      <c r="C276" t="s">
        <v>278</v>
      </c>
      <c r="D276">
        <v>-4.26</v>
      </c>
      <c r="E276" t="s">
        <v>10</v>
      </c>
      <c r="F276">
        <v>187559.78</v>
      </c>
      <c r="G276" t="s">
        <v>792</v>
      </c>
    </row>
    <row r="277" spans="1:7" x14ac:dyDescent="0.25">
      <c r="A277" t="s">
        <v>6</v>
      </c>
      <c r="B277" s="1">
        <v>45931</v>
      </c>
      <c r="C277" t="s">
        <v>279</v>
      </c>
      <c r="D277">
        <v>-51.45</v>
      </c>
      <c r="E277" t="s">
        <v>10</v>
      </c>
      <c r="F277">
        <v>187564.04</v>
      </c>
      <c r="G277" t="s">
        <v>765</v>
      </c>
    </row>
    <row r="278" spans="1:7" x14ac:dyDescent="0.25">
      <c r="A278" t="s">
        <v>6</v>
      </c>
      <c r="B278" s="1">
        <v>45931</v>
      </c>
      <c r="C278" t="s">
        <v>280</v>
      </c>
      <c r="D278">
        <v>-57.36</v>
      </c>
      <c r="E278" t="s">
        <v>10</v>
      </c>
      <c r="F278">
        <v>187615.49</v>
      </c>
      <c r="G278" t="s">
        <v>766</v>
      </c>
    </row>
    <row r="279" spans="1:7" x14ac:dyDescent="0.25">
      <c r="A279" t="s">
        <v>6</v>
      </c>
      <c r="B279" s="1">
        <v>45931</v>
      </c>
      <c r="C279" t="s">
        <v>281</v>
      </c>
      <c r="D279">
        <v>-40.590000000000003</v>
      </c>
      <c r="E279" t="s">
        <v>10</v>
      </c>
      <c r="F279">
        <v>187672.85</v>
      </c>
      <c r="G279" t="s">
        <v>766</v>
      </c>
    </row>
    <row r="280" spans="1:7" x14ac:dyDescent="0.25">
      <c r="A280" t="s">
        <v>11</v>
      </c>
      <c r="B280" s="1">
        <v>45931</v>
      </c>
      <c r="C280" t="s">
        <v>282</v>
      </c>
      <c r="D280">
        <v>25000</v>
      </c>
      <c r="E280" t="s">
        <v>8</v>
      </c>
      <c r="F280">
        <v>187713.44</v>
      </c>
      <c r="G280" t="s">
        <v>820</v>
      </c>
    </row>
    <row r="281" spans="1:7" x14ac:dyDescent="0.25">
      <c r="A281" t="s">
        <v>6</v>
      </c>
      <c r="B281" s="1">
        <v>45930</v>
      </c>
      <c r="C281" t="s">
        <v>283</v>
      </c>
      <c r="D281">
        <v>-105.95</v>
      </c>
      <c r="E281" t="s">
        <v>10</v>
      </c>
      <c r="F281">
        <v>162713.44</v>
      </c>
      <c r="G281" t="s">
        <v>766</v>
      </c>
    </row>
    <row r="282" spans="1:7" x14ac:dyDescent="0.25">
      <c r="A282" t="s">
        <v>6</v>
      </c>
      <c r="B282" s="1">
        <v>45929</v>
      </c>
      <c r="C282" t="s">
        <v>284</v>
      </c>
      <c r="D282">
        <v>-14871.34</v>
      </c>
      <c r="E282" t="s">
        <v>45</v>
      </c>
      <c r="F282">
        <v>162819.39000000001</v>
      </c>
      <c r="G282" t="s">
        <v>767</v>
      </c>
    </row>
    <row r="283" spans="1:7" x14ac:dyDescent="0.25">
      <c r="A283" t="s">
        <v>6</v>
      </c>
      <c r="B283" s="1">
        <v>45929</v>
      </c>
      <c r="C283" t="s">
        <v>285</v>
      </c>
      <c r="D283">
        <v>-28.52</v>
      </c>
      <c r="E283" t="s">
        <v>10</v>
      </c>
      <c r="F283">
        <v>177690.73</v>
      </c>
      <c r="G283" t="s">
        <v>766</v>
      </c>
    </row>
    <row r="284" spans="1:7" x14ac:dyDescent="0.25">
      <c r="A284" t="s">
        <v>6</v>
      </c>
      <c r="B284" s="1">
        <v>45929</v>
      </c>
      <c r="C284" t="s">
        <v>286</v>
      </c>
      <c r="D284">
        <v>-30.89</v>
      </c>
      <c r="E284" t="s">
        <v>10</v>
      </c>
      <c r="F284">
        <v>177719.25</v>
      </c>
      <c r="G284" t="s">
        <v>765</v>
      </c>
    </row>
    <row r="285" spans="1:7" x14ac:dyDescent="0.25">
      <c r="A285" t="s">
        <v>6</v>
      </c>
      <c r="B285" s="1">
        <v>45929</v>
      </c>
      <c r="C285" t="s">
        <v>287</v>
      </c>
      <c r="D285">
        <v>-3.19</v>
      </c>
      <c r="E285" t="s">
        <v>10</v>
      </c>
      <c r="F285">
        <v>177750.14</v>
      </c>
      <c r="G285" t="s">
        <v>792</v>
      </c>
    </row>
    <row r="286" spans="1:7" x14ac:dyDescent="0.25">
      <c r="A286" t="s">
        <v>6</v>
      </c>
      <c r="B286" s="1">
        <v>45929</v>
      </c>
      <c r="C286" t="s">
        <v>288</v>
      </c>
      <c r="D286">
        <v>-43.06</v>
      </c>
      <c r="E286" t="s">
        <v>10</v>
      </c>
      <c r="F286">
        <v>177753.33</v>
      </c>
      <c r="G286" t="s">
        <v>766</v>
      </c>
    </row>
    <row r="287" spans="1:7" x14ac:dyDescent="0.25">
      <c r="A287" t="s">
        <v>6</v>
      </c>
      <c r="B287" s="1">
        <v>45926</v>
      </c>
      <c r="C287" t="s">
        <v>289</v>
      </c>
      <c r="D287">
        <v>-4.05</v>
      </c>
      <c r="E287" t="s">
        <v>10</v>
      </c>
      <c r="F287">
        <v>177796.39</v>
      </c>
      <c r="G287" t="s">
        <v>792</v>
      </c>
    </row>
    <row r="288" spans="1:7" x14ac:dyDescent="0.25">
      <c r="A288" t="s">
        <v>6</v>
      </c>
      <c r="B288" s="1">
        <v>45926</v>
      </c>
      <c r="C288" t="s">
        <v>290</v>
      </c>
      <c r="D288">
        <v>-105.95</v>
      </c>
      <c r="E288" t="s">
        <v>10</v>
      </c>
      <c r="F288">
        <v>177800.44</v>
      </c>
      <c r="G288" t="s">
        <v>766</v>
      </c>
    </row>
    <row r="289" spans="1:7" x14ac:dyDescent="0.25">
      <c r="A289" t="s">
        <v>6</v>
      </c>
      <c r="B289" s="1">
        <v>45926</v>
      </c>
      <c r="C289" t="s">
        <v>291</v>
      </c>
      <c r="D289">
        <v>-63.83</v>
      </c>
      <c r="E289" t="s">
        <v>10</v>
      </c>
      <c r="F289">
        <v>177906.39</v>
      </c>
      <c r="G289" t="s">
        <v>766</v>
      </c>
    </row>
    <row r="290" spans="1:7" x14ac:dyDescent="0.25">
      <c r="A290" t="s">
        <v>6</v>
      </c>
      <c r="B290" s="1">
        <v>45925</v>
      </c>
      <c r="C290" t="s">
        <v>292</v>
      </c>
      <c r="D290">
        <v>-12800</v>
      </c>
      <c r="E290" t="s">
        <v>8</v>
      </c>
      <c r="F290">
        <v>177970.22</v>
      </c>
      <c r="G290" t="s">
        <v>819</v>
      </c>
    </row>
    <row r="291" spans="1:7" x14ac:dyDescent="0.25">
      <c r="A291" t="s">
        <v>6</v>
      </c>
      <c r="B291" s="1">
        <v>45925</v>
      </c>
      <c r="C291" t="s">
        <v>293</v>
      </c>
      <c r="D291">
        <v>-14.56</v>
      </c>
      <c r="E291" t="s">
        <v>10</v>
      </c>
      <c r="F291">
        <v>190770.22</v>
      </c>
      <c r="G291" t="s">
        <v>783</v>
      </c>
    </row>
    <row r="292" spans="1:7" x14ac:dyDescent="0.25">
      <c r="A292" t="s">
        <v>6</v>
      </c>
      <c r="B292" s="1">
        <v>45925</v>
      </c>
      <c r="C292" t="s">
        <v>294</v>
      </c>
      <c r="D292">
        <v>-3.99</v>
      </c>
      <c r="E292" t="s">
        <v>10</v>
      </c>
      <c r="F292">
        <v>190784.78</v>
      </c>
      <c r="G292" t="s">
        <v>783</v>
      </c>
    </row>
    <row r="293" spans="1:7" x14ac:dyDescent="0.25">
      <c r="A293" t="s">
        <v>6</v>
      </c>
      <c r="B293" s="1">
        <v>45924</v>
      </c>
      <c r="C293" t="s">
        <v>295</v>
      </c>
      <c r="D293">
        <v>-5</v>
      </c>
      <c r="E293" t="s">
        <v>10</v>
      </c>
      <c r="F293">
        <v>190788.77</v>
      </c>
      <c r="G293" t="s">
        <v>766</v>
      </c>
    </row>
    <row r="294" spans="1:7" x14ac:dyDescent="0.25">
      <c r="A294" t="s">
        <v>6</v>
      </c>
      <c r="B294" s="1">
        <v>45924</v>
      </c>
      <c r="C294" t="s">
        <v>296</v>
      </c>
      <c r="D294">
        <v>-21.34</v>
      </c>
      <c r="E294" t="s">
        <v>10</v>
      </c>
      <c r="F294">
        <v>190793.77</v>
      </c>
      <c r="G294" t="s">
        <v>792</v>
      </c>
    </row>
    <row r="295" spans="1:7" x14ac:dyDescent="0.25">
      <c r="A295" t="s">
        <v>6</v>
      </c>
      <c r="B295" s="1">
        <v>45923</v>
      </c>
      <c r="C295" t="s">
        <v>297</v>
      </c>
      <c r="D295">
        <v>-62.34</v>
      </c>
      <c r="E295" t="s">
        <v>10</v>
      </c>
      <c r="F295">
        <v>190815.11</v>
      </c>
      <c r="G295" t="s">
        <v>766</v>
      </c>
    </row>
    <row r="296" spans="1:7" x14ac:dyDescent="0.25">
      <c r="A296" t="s">
        <v>6</v>
      </c>
      <c r="B296" s="1">
        <v>45923</v>
      </c>
      <c r="C296" t="s">
        <v>298</v>
      </c>
      <c r="D296">
        <v>-9.7100000000000009</v>
      </c>
      <c r="E296" t="s">
        <v>10</v>
      </c>
      <c r="F296">
        <v>190877.45</v>
      </c>
      <c r="G296" t="s">
        <v>766</v>
      </c>
    </row>
    <row r="297" spans="1:7" x14ac:dyDescent="0.25">
      <c r="A297" t="s">
        <v>11</v>
      </c>
      <c r="B297" s="1">
        <v>45923</v>
      </c>
      <c r="C297" t="s">
        <v>299</v>
      </c>
      <c r="D297">
        <v>50</v>
      </c>
      <c r="E297" t="s">
        <v>50</v>
      </c>
      <c r="F297">
        <v>190887.16</v>
      </c>
      <c r="G297" t="s">
        <v>769</v>
      </c>
    </row>
    <row r="298" spans="1:7" x14ac:dyDescent="0.25">
      <c r="A298" t="s">
        <v>11</v>
      </c>
      <c r="B298" s="1">
        <v>45923</v>
      </c>
      <c r="C298" t="s">
        <v>300</v>
      </c>
      <c r="D298">
        <v>356.38</v>
      </c>
      <c r="E298" t="s">
        <v>50</v>
      </c>
      <c r="F298">
        <v>190837.16</v>
      </c>
      <c r="G298" t="s">
        <v>769</v>
      </c>
    </row>
    <row r="299" spans="1:7" x14ac:dyDescent="0.25">
      <c r="A299" t="s">
        <v>6</v>
      </c>
      <c r="B299" s="1">
        <v>45922</v>
      </c>
      <c r="C299" t="s">
        <v>301</v>
      </c>
      <c r="D299">
        <v>-122</v>
      </c>
      <c r="E299" t="s">
        <v>10</v>
      </c>
      <c r="F299">
        <v>190480.78</v>
      </c>
      <c r="G299" t="s">
        <v>782</v>
      </c>
    </row>
    <row r="300" spans="1:7" x14ac:dyDescent="0.25">
      <c r="A300" t="s">
        <v>6</v>
      </c>
      <c r="B300" s="1">
        <v>45922</v>
      </c>
      <c r="C300" t="s">
        <v>302</v>
      </c>
      <c r="D300">
        <v>-24.99</v>
      </c>
      <c r="E300" t="s">
        <v>10</v>
      </c>
      <c r="F300">
        <v>190602.78</v>
      </c>
      <c r="G300" t="s">
        <v>765</v>
      </c>
    </row>
    <row r="301" spans="1:7" x14ac:dyDescent="0.25">
      <c r="A301" t="s">
        <v>6</v>
      </c>
      <c r="B301" s="1">
        <v>45922</v>
      </c>
      <c r="C301" t="s">
        <v>303</v>
      </c>
      <c r="D301">
        <v>-30.89</v>
      </c>
      <c r="E301" t="s">
        <v>10</v>
      </c>
      <c r="F301">
        <v>190627.77</v>
      </c>
      <c r="G301" t="s">
        <v>765</v>
      </c>
    </row>
    <row r="302" spans="1:7" x14ac:dyDescent="0.25">
      <c r="A302" t="s">
        <v>6</v>
      </c>
      <c r="B302" s="1">
        <v>45922</v>
      </c>
      <c r="C302" t="s">
        <v>304</v>
      </c>
      <c r="D302">
        <v>-25.97</v>
      </c>
      <c r="E302" t="s">
        <v>10</v>
      </c>
      <c r="F302">
        <v>190658.66</v>
      </c>
      <c r="G302" t="s">
        <v>766</v>
      </c>
    </row>
    <row r="303" spans="1:7" x14ac:dyDescent="0.25">
      <c r="A303" t="s">
        <v>6</v>
      </c>
      <c r="B303" s="1">
        <v>45922</v>
      </c>
      <c r="C303" t="s">
        <v>305</v>
      </c>
      <c r="D303">
        <v>-8.93</v>
      </c>
      <c r="E303" t="s">
        <v>10</v>
      </c>
      <c r="F303">
        <v>190684.63</v>
      </c>
      <c r="G303" t="s">
        <v>766</v>
      </c>
    </row>
    <row r="304" spans="1:7" x14ac:dyDescent="0.25">
      <c r="A304" t="s">
        <v>6</v>
      </c>
      <c r="B304" s="1">
        <v>45922</v>
      </c>
      <c r="C304" t="s">
        <v>306</v>
      </c>
      <c r="D304">
        <v>-105.95</v>
      </c>
      <c r="E304" t="s">
        <v>10</v>
      </c>
      <c r="F304">
        <v>190693.56</v>
      </c>
      <c r="G304" t="s">
        <v>766</v>
      </c>
    </row>
    <row r="305" spans="1:7" x14ac:dyDescent="0.25">
      <c r="A305" t="s">
        <v>6</v>
      </c>
      <c r="B305" s="1">
        <v>45922</v>
      </c>
      <c r="C305" t="s">
        <v>307</v>
      </c>
      <c r="D305">
        <v>-148.58000000000001</v>
      </c>
      <c r="E305" t="s">
        <v>10</v>
      </c>
      <c r="F305">
        <v>190799.51</v>
      </c>
      <c r="G305" t="s">
        <v>766</v>
      </c>
    </row>
    <row r="306" spans="1:7" x14ac:dyDescent="0.25">
      <c r="A306" t="s">
        <v>6</v>
      </c>
      <c r="B306" s="1">
        <v>45919</v>
      </c>
      <c r="C306" t="s">
        <v>308</v>
      </c>
      <c r="D306">
        <v>-5150</v>
      </c>
      <c r="E306" t="s">
        <v>8</v>
      </c>
      <c r="F306">
        <v>190948.09</v>
      </c>
      <c r="G306" t="s">
        <v>777</v>
      </c>
    </row>
    <row r="307" spans="1:7" x14ac:dyDescent="0.25">
      <c r="A307" t="s">
        <v>6</v>
      </c>
      <c r="B307" s="1">
        <v>45919</v>
      </c>
      <c r="C307" t="s">
        <v>309</v>
      </c>
      <c r="D307">
        <v>34.619999999999997</v>
      </c>
      <c r="E307" t="s">
        <v>10</v>
      </c>
      <c r="F307">
        <v>196098.09</v>
      </c>
      <c r="G307" t="s">
        <v>766</v>
      </c>
    </row>
    <row r="308" spans="1:7" x14ac:dyDescent="0.25">
      <c r="A308" t="s">
        <v>6</v>
      </c>
      <c r="B308" s="1">
        <v>45919</v>
      </c>
      <c r="C308" t="s">
        <v>309</v>
      </c>
      <c r="D308">
        <v>105.95</v>
      </c>
      <c r="E308" t="s">
        <v>10</v>
      </c>
      <c r="F308">
        <v>196063.47</v>
      </c>
      <c r="G308" t="s">
        <v>766</v>
      </c>
    </row>
    <row r="309" spans="1:7" x14ac:dyDescent="0.25">
      <c r="A309" t="s">
        <v>6</v>
      </c>
      <c r="B309" s="1">
        <v>45918</v>
      </c>
      <c r="C309" t="s">
        <v>310</v>
      </c>
      <c r="D309">
        <v>-4.26</v>
      </c>
      <c r="E309" t="s">
        <v>10</v>
      </c>
      <c r="F309">
        <v>195957.52</v>
      </c>
      <c r="G309" t="s">
        <v>792</v>
      </c>
    </row>
    <row r="310" spans="1:7" x14ac:dyDescent="0.25">
      <c r="A310" t="s">
        <v>6</v>
      </c>
      <c r="B310" s="1">
        <v>45917</v>
      </c>
      <c r="C310" t="s">
        <v>311</v>
      </c>
      <c r="D310">
        <v>-56.11</v>
      </c>
      <c r="E310" t="s">
        <v>10</v>
      </c>
      <c r="F310">
        <v>195961.78</v>
      </c>
      <c r="G310" t="s">
        <v>766</v>
      </c>
    </row>
    <row r="311" spans="1:7" x14ac:dyDescent="0.25">
      <c r="A311" t="s">
        <v>6</v>
      </c>
      <c r="B311" s="1">
        <v>45916</v>
      </c>
      <c r="C311" t="s">
        <v>312</v>
      </c>
      <c r="D311">
        <v>-16.18</v>
      </c>
      <c r="E311" t="s">
        <v>10</v>
      </c>
      <c r="F311">
        <v>196017.89</v>
      </c>
      <c r="G311" t="s">
        <v>766</v>
      </c>
    </row>
    <row r="312" spans="1:7" x14ac:dyDescent="0.25">
      <c r="A312" t="s">
        <v>6</v>
      </c>
      <c r="B312" s="1">
        <v>45916</v>
      </c>
      <c r="C312" t="s">
        <v>313</v>
      </c>
      <c r="D312">
        <v>-39</v>
      </c>
      <c r="E312" t="s">
        <v>10</v>
      </c>
      <c r="F312">
        <v>196034.07</v>
      </c>
      <c r="G312" t="s">
        <v>766</v>
      </c>
    </row>
    <row r="313" spans="1:7" x14ac:dyDescent="0.25">
      <c r="A313" t="s">
        <v>6</v>
      </c>
      <c r="B313" s="1">
        <v>45916</v>
      </c>
      <c r="C313" t="s">
        <v>314</v>
      </c>
      <c r="D313">
        <v>-40.56</v>
      </c>
      <c r="E313" t="s">
        <v>10</v>
      </c>
      <c r="F313">
        <v>196073.07</v>
      </c>
      <c r="G313" t="s">
        <v>766</v>
      </c>
    </row>
    <row r="314" spans="1:7" x14ac:dyDescent="0.25">
      <c r="A314" t="s">
        <v>6</v>
      </c>
      <c r="B314" s="1">
        <v>45916</v>
      </c>
      <c r="C314" t="s">
        <v>315</v>
      </c>
      <c r="D314">
        <v>-25.32</v>
      </c>
      <c r="E314" t="s">
        <v>10</v>
      </c>
      <c r="F314">
        <v>196113.63</v>
      </c>
      <c r="G314" t="s">
        <v>766</v>
      </c>
    </row>
    <row r="315" spans="1:7" x14ac:dyDescent="0.25">
      <c r="A315" t="s">
        <v>6</v>
      </c>
      <c r="B315" s="1">
        <v>45915</v>
      </c>
      <c r="C315" t="s">
        <v>316</v>
      </c>
      <c r="D315">
        <v>-30000</v>
      </c>
      <c r="E315" t="s">
        <v>8</v>
      </c>
      <c r="F315">
        <v>196138.95</v>
      </c>
      <c r="G315" t="s">
        <v>776</v>
      </c>
    </row>
    <row r="316" spans="1:7" x14ac:dyDescent="0.25">
      <c r="A316" t="s">
        <v>6</v>
      </c>
      <c r="B316" s="1">
        <v>45915</v>
      </c>
      <c r="C316" t="s">
        <v>317</v>
      </c>
      <c r="D316">
        <v>-24.89</v>
      </c>
      <c r="E316" t="s">
        <v>10</v>
      </c>
      <c r="F316">
        <v>226138.95</v>
      </c>
      <c r="G316" t="s">
        <v>766</v>
      </c>
    </row>
    <row r="317" spans="1:7" x14ac:dyDescent="0.25">
      <c r="A317" t="s">
        <v>6</v>
      </c>
      <c r="B317" s="1">
        <v>45915</v>
      </c>
      <c r="C317" t="s">
        <v>318</v>
      </c>
      <c r="D317">
        <v>-4.26</v>
      </c>
      <c r="E317" t="s">
        <v>10</v>
      </c>
      <c r="F317">
        <v>226163.84</v>
      </c>
      <c r="G317" t="s">
        <v>792</v>
      </c>
    </row>
    <row r="318" spans="1:7" x14ac:dyDescent="0.25">
      <c r="A318" t="s">
        <v>6</v>
      </c>
      <c r="B318" s="1">
        <v>45915</v>
      </c>
      <c r="C318" t="s">
        <v>319</v>
      </c>
      <c r="D318">
        <v>-105.95</v>
      </c>
      <c r="E318" t="s">
        <v>10</v>
      </c>
      <c r="F318">
        <v>226168.1</v>
      </c>
      <c r="G318" t="s">
        <v>766</v>
      </c>
    </row>
    <row r="319" spans="1:7" x14ac:dyDescent="0.25">
      <c r="A319" t="s">
        <v>6</v>
      </c>
      <c r="B319" s="1">
        <v>45915</v>
      </c>
      <c r="C319" t="s">
        <v>320</v>
      </c>
      <c r="D319">
        <v>-5.33</v>
      </c>
      <c r="E319" t="s">
        <v>10</v>
      </c>
      <c r="F319">
        <v>226274.05</v>
      </c>
      <c r="G319" t="s">
        <v>792</v>
      </c>
    </row>
    <row r="320" spans="1:7" x14ac:dyDescent="0.25">
      <c r="A320" t="s">
        <v>6</v>
      </c>
      <c r="B320" s="1">
        <v>45915</v>
      </c>
      <c r="C320" t="s">
        <v>321</v>
      </c>
      <c r="D320">
        <v>-21.34</v>
      </c>
      <c r="E320" t="s">
        <v>10</v>
      </c>
      <c r="F320">
        <v>226279.38</v>
      </c>
      <c r="G320" t="s">
        <v>792</v>
      </c>
    </row>
    <row r="321" spans="1:7" x14ac:dyDescent="0.25">
      <c r="A321" t="s">
        <v>6</v>
      </c>
      <c r="B321" s="1">
        <v>45915</v>
      </c>
      <c r="C321" t="s">
        <v>322</v>
      </c>
      <c r="D321">
        <v>-30.89</v>
      </c>
      <c r="E321" t="s">
        <v>10</v>
      </c>
      <c r="F321">
        <v>226300.72</v>
      </c>
      <c r="G321" t="s">
        <v>765</v>
      </c>
    </row>
    <row r="322" spans="1:7" x14ac:dyDescent="0.25">
      <c r="A322" t="s">
        <v>6</v>
      </c>
      <c r="B322" s="1">
        <v>45915</v>
      </c>
      <c r="C322" t="s">
        <v>323</v>
      </c>
      <c r="D322">
        <v>-21.65</v>
      </c>
      <c r="E322" t="s">
        <v>10</v>
      </c>
      <c r="F322">
        <v>226331.61</v>
      </c>
      <c r="G322" t="s">
        <v>766</v>
      </c>
    </row>
    <row r="323" spans="1:7" x14ac:dyDescent="0.25">
      <c r="A323" t="s">
        <v>6</v>
      </c>
      <c r="B323" s="1">
        <v>45915</v>
      </c>
      <c r="C323" t="s">
        <v>324</v>
      </c>
      <c r="D323">
        <v>-34.619999999999997</v>
      </c>
      <c r="E323" t="s">
        <v>10</v>
      </c>
      <c r="F323">
        <v>226353.26</v>
      </c>
      <c r="G323" t="s">
        <v>766</v>
      </c>
    </row>
    <row r="324" spans="1:7" x14ac:dyDescent="0.25">
      <c r="A324" t="s">
        <v>6</v>
      </c>
      <c r="B324" s="1">
        <v>45915</v>
      </c>
      <c r="C324" t="s">
        <v>325</v>
      </c>
      <c r="D324">
        <v>-105.95</v>
      </c>
      <c r="E324" t="s">
        <v>10</v>
      </c>
      <c r="F324">
        <v>226387.88</v>
      </c>
      <c r="G324" t="s">
        <v>766</v>
      </c>
    </row>
    <row r="325" spans="1:7" x14ac:dyDescent="0.25">
      <c r="A325" t="s">
        <v>6</v>
      </c>
      <c r="B325" s="1">
        <v>45912</v>
      </c>
      <c r="C325" t="s">
        <v>326</v>
      </c>
      <c r="D325">
        <v>-34.99</v>
      </c>
      <c r="E325" t="s">
        <v>10</v>
      </c>
      <c r="F325">
        <v>226493.83</v>
      </c>
      <c r="G325" t="s">
        <v>765</v>
      </c>
    </row>
    <row r="326" spans="1:7" x14ac:dyDescent="0.25">
      <c r="A326" t="s">
        <v>6</v>
      </c>
      <c r="B326" s="1">
        <v>45912</v>
      </c>
      <c r="C326" t="s">
        <v>327</v>
      </c>
      <c r="D326">
        <v>-105.95</v>
      </c>
      <c r="E326" t="s">
        <v>10</v>
      </c>
      <c r="F326">
        <v>226528.82</v>
      </c>
      <c r="G326" t="s">
        <v>766</v>
      </c>
    </row>
    <row r="327" spans="1:7" x14ac:dyDescent="0.25">
      <c r="A327" t="s">
        <v>6</v>
      </c>
      <c r="B327" s="1">
        <v>45911</v>
      </c>
      <c r="C327" t="s">
        <v>328</v>
      </c>
      <c r="D327">
        <v>-13.72</v>
      </c>
      <c r="E327" t="s">
        <v>10</v>
      </c>
      <c r="F327">
        <v>226634.77</v>
      </c>
      <c r="G327" t="s">
        <v>766</v>
      </c>
    </row>
    <row r="328" spans="1:7" x14ac:dyDescent="0.25">
      <c r="A328" t="s">
        <v>6</v>
      </c>
      <c r="B328" s="1">
        <v>45911</v>
      </c>
      <c r="C328" t="s">
        <v>329</v>
      </c>
      <c r="D328">
        <v>-24.89</v>
      </c>
      <c r="E328" t="s">
        <v>10</v>
      </c>
      <c r="F328">
        <v>226648.49</v>
      </c>
      <c r="G328" t="s">
        <v>766</v>
      </c>
    </row>
    <row r="329" spans="1:7" x14ac:dyDescent="0.25">
      <c r="A329" t="s">
        <v>6</v>
      </c>
      <c r="B329" s="1">
        <v>45911</v>
      </c>
      <c r="C329" t="s">
        <v>330</v>
      </c>
      <c r="D329">
        <v>-105.95</v>
      </c>
      <c r="E329" t="s">
        <v>10</v>
      </c>
      <c r="F329">
        <v>226673.38</v>
      </c>
      <c r="G329" t="s">
        <v>766</v>
      </c>
    </row>
    <row r="330" spans="1:7" x14ac:dyDescent="0.25">
      <c r="A330" t="s">
        <v>6</v>
      </c>
      <c r="B330" s="1">
        <v>45910</v>
      </c>
      <c r="C330" t="s">
        <v>331</v>
      </c>
      <c r="D330">
        <v>-418.73</v>
      </c>
      <c r="E330" t="s">
        <v>8</v>
      </c>
      <c r="F330">
        <v>226779.33</v>
      </c>
      <c r="G330" t="s">
        <v>800</v>
      </c>
    </row>
    <row r="331" spans="1:7" x14ac:dyDescent="0.25">
      <c r="A331" t="s">
        <v>6</v>
      </c>
      <c r="B331" s="1">
        <v>45910</v>
      </c>
      <c r="C331" t="s">
        <v>332</v>
      </c>
      <c r="D331">
        <v>-50000</v>
      </c>
      <c r="E331" t="s">
        <v>8</v>
      </c>
      <c r="F331">
        <v>227198.06</v>
      </c>
      <c r="G331" t="s">
        <v>768</v>
      </c>
    </row>
    <row r="332" spans="1:7" x14ac:dyDescent="0.25">
      <c r="A332" t="s">
        <v>6</v>
      </c>
      <c r="B332" s="1">
        <v>45910</v>
      </c>
      <c r="C332" t="s">
        <v>333</v>
      </c>
      <c r="D332">
        <v>-75.55</v>
      </c>
      <c r="E332" t="s">
        <v>10</v>
      </c>
      <c r="F332">
        <v>277198.06</v>
      </c>
      <c r="G332" t="s">
        <v>782</v>
      </c>
    </row>
    <row r="333" spans="1:7" x14ac:dyDescent="0.25">
      <c r="A333" t="s">
        <v>6</v>
      </c>
      <c r="B333" s="1">
        <v>45910</v>
      </c>
      <c r="C333" t="s">
        <v>334</v>
      </c>
      <c r="D333">
        <v>-81.13</v>
      </c>
      <c r="E333" t="s">
        <v>10</v>
      </c>
      <c r="F333">
        <v>277273.61</v>
      </c>
      <c r="G333" t="s">
        <v>766</v>
      </c>
    </row>
    <row r="334" spans="1:7" x14ac:dyDescent="0.25">
      <c r="A334" t="s">
        <v>11</v>
      </c>
      <c r="B334" s="1">
        <v>45910</v>
      </c>
      <c r="C334" t="s">
        <v>335</v>
      </c>
      <c r="D334">
        <v>50000</v>
      </c>
      <c r="E334" t="s">
        <v>8</v>
      </c>
      <c r="F334">
        <v>277354.74</v>
      </c>
      <c r="G334" t="s">
        <v>807</v>
      </c>
    </row>
    <row r="335" spans="1:7" x14ac:dyDescent="0.25">
      <c r="A335" t="s">
        <v>6</v>
      </c>
      <c r="B335" s="1">
        <v>45909</v>
      </c>
      <c r="C335" t="s">
        <v>336</v>
      </c>
      <c r="D335">
        <v>-9.99</v>
      </c>
      <c r="E335" t="s">
        <v>10</v>
      </c>
      <c r="F335">
        <v>227354.74</v>
      </c>
      <c r="G335" t="s">
        <v>765</v>
      </c>
    </row>
    <row r="336" spans="1:7" x14ac:dyDescent="0.25">
      <c r="A336" t="s">
        <v>6</v>
      </c>
      <c r="B336" s="1">
        <v>45909</v>
      </c>
      <c r="C336" t="s">
        <v>337</v>
      </c>
      <c r="D336">
        <v>-108.24</v>
      </c>
      <c r="E336" t="s">
        <v>10</v>
      </c>
      <c r="F336">
        <v>227364.73</v>
      </c>
      <c r="G336" t="s">
        <v>766</v>
      </c>
    </row>
    <row r="337" spans="1:7" x14ac:dyDescent="0.25">
      <c r="A337" t="s">
        <v>6</v>
      </c>
      <c r="B337" s="1">
        <v>45909</v>
      </c>
      <c r="C337" t="s">
        <v>338</v>
      </c>
      <c r="D337">
        <v>-15.79</v>
      </c>
      <c r="E337" t="s">
        <v>10</v>
      </c>
      <c r="F337">
        <v>227472.97</v>
      </c>
      <c r="G337" t="s">
        <v>766</v>
      </c>
    </row>
    <row r="338" spans="1:7" x14ac:dyDescent="0.25">
      <c r="A338" t="s">
        <v>6</v>
      </c>
      <c r="B338" s="1">
        <v>45909</v>
      </c>
      <c r="C338" t="s">
        <v>339</v>
      </c>
      <c r="D338">
        <v>-137.68</v>
      </c>
      <c r="E338" t="s">
        <v>10</v>
      </c>
      <c r="F338">
        <v>227488.76</v>
      </c>
      <c r="G338" t="s">
        <v>766</v>
      </c>
    </row>
    <row r="339" spans="1:7" x14ac:dyDescent="0.25">
      <c r="A339" t="s">
        <v>11</v>
      </c>
      <c r="B339" s="1">
        <v>45909</v>
      </c>
      <c r="C339" t="s">
        <v>340</v>
      </c>
      <c r="D339">
        <v>233.33</v>
      </c>
      <c r="E339" t="s">
        <v>50</v>
      </c>
      <c r="F339">
        <v>227626.44</v>
      </c>
      <c r="G339" t="s">
        <v>772</v>
      </c>
    </row>
    <row r="340" spans="1:7" x14ac:dyDescent="0.25">
      <c r="A340" t="s">
        <v>11</v>
      </c>
      <c r="B340" s="1">
        <v>45909</v>
      </c>
      <c r="C340" t="s">
        <v>341</v>
      </c>
      <c r="D340">
        <v>236.37</v>
      </c>
      <c r="E340" t="s">
        <v>50</v>
      </c>
      <c r="F340">
        <v>227393.11</v>
      </c>
      <c r="G340" t="s">
        <v>773</v>
      </c>
    </row>
    <row r="341" spans="1:7" x14ac:dyDescent="0.25">
      <c r="A341" t="s">
        <v>11</v>
      </c>
      <c r="B341" s="1">
        <v>45909</v>
      </c>
      <c r="C341" t="s">
        <v>342</v>
      </c>
      <c r="D341">
        <v>350</v>
      </c>
      <c r="E341" t="s">
        <v>50</v>
      </c>
      <c r="F341">
        <v>227156.74</v>
      </c>
      <c r="G341" t="s">
        <v>774</v>
      </c>
    </row>
    <row r="342" spans="1:7" x14ac:dyDescent="0.25">
      <c r="A342" t="s">
        <v>11</v>
      </c>
      <c r="B342" s="1">
        <v>45909</v>
      </c>
      <c r="C342" t="s">
        <v>343</v>
      </c>
      <c r="D342">
        <v>476.41</v>
      </c>
      <c r="E342" t="s">
        <v>50</v>
      </c>
      <c r="F342">
        <v>226806.74</v>
      </c>
      <c r="G342" t="s">
        <v>775</v>
      </c>
    </row>
    <row r="343" spans="1:7" x14ac:dyDescent="0.25">
      <c r="A343" t="s">
        <v>6</v>
      </c>
      <c r="B343" s="1">
        <v>45908</v>
      </c>
      <c r="C343" t="s">
        <v>344</v>
      </c>
      <c r="D343">
        <v>-0.02</v>
      </c>
      <c r="E343" t="s">
        <v>14</v>
      </c>
      <c r="F343">
        <v>226330.33</v>
      </c>
      <c r="G343" t="s">
        <v>817</v>
      </c>
    </row>
    <row r="344" spans="1:7" x14ac:dyDescent="0.25">
      <c r="A344" t="s">
        <v>6</v>
      </c>
      <c r="B344" s="1">
        <v>45908</v>
      </c>
      <c r="C344" t="s">
        <v>344</v>
      </c>
      <c r="D344">
        <v>-0.02</v>
      </c>
      <c r="E344" t="s">
        <v>14</v>
      </c>
      <c r="F344">
        <v>226330.35</v>
      </c>
      <c r="G344" t="s">
        <v>817</v>
      </c>
    </row>
    <row r="345" spans="1:7" x14ac:dyDescent="0.25">
      <c r="A345" t="s">
        <v>6</v>
      </c>
      <c r="B345" s="1">
        <v>45908</v>
      </c>
      <c r="C345" t="s">
        <v>345</v>
      </c>
      <c r="D345">
        <v>-4.26</v>
      </c>
      <c r="E345" t="s">
        <v>10</v>
      </c>
      <c r="F345">
        <v>226330.37</v>
      </c>
      <c r="G345" t="s">
        <v>792</v>
      </c>
    </row>
    <row r="346" spans="1:7" x14ac:dyDescent="0.25">
      <c r="A346" t="s">
        <v>6</v>
      </c>
      <c r="B346" s="1">
        <v>45908</v>
      </c>
      <c r="C346" t="s">
        <v>346</v>
      </c>
      <c r="D346">
        <v>-105.95</v>
      </c>
      <c r="E346" t="s">
        <v>10</v>
      </c>
      <c r="F346">
        <v>226334.63</v>
      </c>
      <c r="G346" t="s">
        <v>766</v>
      </c>
    </row>
    <row r="347" spans="1:7" x14ac:dyDescent="0.25">
      <c r="A347" t="s">
        <v>6</v>
      </c>
      <c r="B347" s="1">
        <v>45908</v>
      </c>
      <c r="C347" t="s">
        <v>347</v>
      </c>
      <c r="D347">
        <v>-500</v>
      </c>
      <c r="E347" t="s">
        <v>8</v>
      </c>
      <c r="F347">
        <v>226440.58</v>
      </c>
      <c r="G347" t="s">
        <v>818</v>
      </c>
    </row>
    <row r="348" spans="1:7" x14ac:dyDescent="0.25">
      <c r="A348" t="s">
        <v>6</v>
      </c>
      <c r="B348" s="1">
        <v>45908</v>
      </c>
      <c r="C348" t="s">
        <v>348</v>
      </c>
      <c r="D348">
        <v>-47.28</v>
      </c>
      <c r="E348" t="s">
        <v>10</v>
      </c>
      <c r="F348">
        <v>226940.58</v>
      </c>
      <c r="G348" t="s">
        <v>766</v>
      </c>
    </row>
    <row r="349" spans="1:7" x14ac:dyDescent="0.25">
      <c r="A349" t="s">
        <v>6</v>
      </c>
      <c r="B349" s="1">
        <v>45908</v>
      </c>
      <c r="C349" t="s">
        <v>349</v>
      </c>
      <c r="D349">
        <v>-1</v>
      </c>
      <c r="E349" t="s">
        <v>10</v>
      </c>
      <c r="F349">
        <v>226987.86</v>
      </c>
      <c r="G349" t="s">
        <v>783</v>
      </c>
    </row>
    <row r="350" spans="1:7" x14ac:dyDescent="0.25">
      <c r="A350" t="s">
        <v>6</v>
      </c>
      <c r="B350" s="1">
        <v>45908</v>
      </c>
      <c r="C350" t="s">
        <v>350</v>
      </c>
      <c r="D350">
        <v>-186.27</v>
      </c>
      <c r="E350" t="s">
        <v>10</v>
      </c>
      <c r="F350">
        <v>226988.86</v>
      </c>
      <c r="G350" t="s">
        <v>782</v>
      </c>
    </row>
    <row r="351" spans="1:7" x14ac:dyDescent="0.25">
      <c r="A351" t="s">
        <v>6</v>
      </c>
      <c r="B351" s="1">
        <v>45908</v>
      </c>
      <c r="C351" t="s">
        <v>351</v>
      </c>
      <c r="D351">
        <v>-30.89</v>
      </c>
      <c r="E351" t="s">
        <v>10</v>
      </c>
      <c r="F351">
        <v>227175.13</v>
      </c>
      <c r="G351" t="s">
        <v>765</v>
      </c>
    </row>
    <row r="352" spans="1:7" x14ac:dyDescent="0.25">
      <c r="A352" t="s">
        <v>6</v>
      </c>
      <c r="B352" s="1">
        <v>45908</v>
      </c>
      <c r="C352" t="s">
        <v>351</v>
      </c>
      <c r="D352">
        <v>-9.99</v>
      </c>
      <c r="E352" t="s">
        <v>10</v>
      </c>
      <c r="F352">
        <v>227206.02</v>
      </c>
      <c r="G352" t="s">
        <v>765</v>
      </c>
    </row>
    <row r="353" spans="1:7" x14ac:dyDescent="0.25">
      <c r="A353" t="s">
        <v>6</v>
      </c>
      <c r="B353" s="1">
        <v>45908</v>
      </c>
      <c r="C353" t="s">
        <v>352</v>
      </c>
      <c r="D353">
        <v>-64.81</v>
      </c>
      <c r="E353" t="s">
        <v>10</v>
      </c>
      <c r="F353">
        <v>227216.01</v>
      </c>
      <c r="G353" t="s">
        <v>766</v>
      </c>
    </row>
    <row r="354" spans="1:7" x14ac:dyDescent="0.25">
      <c r="A354" t="s">
        <v>6</v>
      </c>
      <c r="B354" s="1">
        <v>45908</v>
      </c>
      <c r="C354" t="s">
        <v>353</v>
      </c>
      <c r="D354">
        <v>-0.91</v>
      </c>
      <c r="E354" t="s">
        <v>10</v>
      </c>
      <c r="F354">
        <v>227280.82</v>
      </c>
      <c r="G354" t="s">
        <v>817</v>
      </c>
    </row>
    <row r="355" spans="1:7" x14ac:dyDescent="0.25">
      <c r="A355" t="s">
        <v>6</v>
      </c>
      <c r="B355" s="1">
        <v>45908</v>
      </c>
      <c r="C355" t="s">
        <v>353</v>
      </c>
      <c r="D355">
        <v>-0.91</v>
      </c>
      <c r="E355" t="s">
        <v>10</v>
      </c>
      <c r="F355">
        <v>227281.73</v>
      </c>
      <c r="G355" t="s">
        <v>817</v>
      </c>
    </row>
    <row r="356" spans="1:7" x14ac:dyDescent="0.25">
      <c r="A356" t="s">
        <v>6</v>
      </c>
      <c r="B356" s="1">
        <v>45908</v>
      </c>
      <c r="C356" t="s">
        <v>354</v>
      </c>
      <c r="D356">
        <v>-121.75</v>
      </c>
      <c r="E356" t="s">
        <v>10</v>
      </c>
      <c r="F356">
        <v>227282.64</v>
      </c>
      <c r="G356" t="s">
        <v>766</v>
      </c>
    </row>
    <row r="357" spans="1:7" x14ac:dyDescent="0.25">
      <c r="A357" t="s">
        <v>6</v>
      </c>
      <c r="B357" s="1">
        <v>45905</v>
      </c>
      <c r="C357" t="s">
        <v>355</v>
      </c>
      <c r="D357">
        <v>-5</v>
      </c>
      <c r="E357" t="s">
        <v>14</v>
      </c>
      <c r="F357">
        <v>227404.39</v>
      </c>
      <c r="G357" t="s">
        <v>784</v>
      </c>
    </row>
    <row r="358" spans="1:7" x14ac:dyDescent="0.25">
      <c r="A358" t="s">
        <v>6</v>
      </c>
      <c r="B358" s="1">
        <v>45905</v>
      </c>
      <c r="C358" t="s">
        <v>356</v>
      </c>
      <c r="D358">
        <v>-6.17</v>
      </c>
      <c r="E358" t="s">
        <v>14</v>
      </c>
      <c r="F358">
        <v>227409.39</v>
      </c>
      <c r="G358" t="s">
        <v>817</v>
      </c>
    </row>
    <row r="359" spans="1:7" x14ac:dyDescent="0.25">
      <c r="A359" t="s">
        <v>6</v>
      </c>
      <c r="B359" s="1">
        <v>45905</v>
      </c>
      <c r="C359" t="s">
        <v>357</v>
      </c>
      <c r="D359">
        <v>-205.68</v>
      </c>
      <c r="E359" t="s">
        <v>358</v>
      </c>
      <c r="F359">
        <v>227415.56</v>
      </c>
      <c r="G359" t="s">
        <v>817</v>
      </c>
    </row>
    <row r="360" spans="1:7" x14ac:dyDescent="0.25">
      <c r="A360" t="s">
        <v>6</v>
      </c>
      <c r="B360" s="1">
        <v>45905</v>
      </c>
      <c r="C360" t="s">
        <v>359</v>
      </c>
      <c r="D360">
        <v>-20000</v>
      </c>
      <c r="E360" t="s">
        <v>8</v>
      </c>
      <c r="F360">
        <v>227621.24</v>
      </c>
      <c r="G360" t="s">
        <v>776</v>
      </c>
    </row>
    <row r="361" spans="1:7" x14ac:dyDescent="0.25">
      <c r="A361" t="s">
        <v>6</v>
      </c>
      <c r="B361" s="1">
        <v>45904</v>
      </c>
      <c r="C361" t="s">
        <v>360</v>
      </c>
      <c r="D361">
        <v>-4.05</v>
      </c>
      <c r="E361" t="s">
        <v>10</v>
      </c>
      <c r="F361">
        <v>247621.24</v>
      </c>
      <c r="G361" t="s">
        <v>792</v>
      </c>
    </row>
    <row r="362" spans="1:7" x14ac:dyDescent="0.25">
      <c r="A362" t="s">
        <v>6</v>
      </c>
      <c r="B362" s="1">
        <v>45904</v>
      </c>
      <c r="C362" t="s">
        <v>361</v>
      </c>
      <c r="D362">
        <v>-32.61</v>
      </c>
      <c r="E362" t="s">
        <v>10</v>
      </c>
      <c r="F362">
        <v>247625.29</v>
      </c>
      <c r="G362" t="s">
        <v>766</v>
      </c>
    </row>
    <row r="363" spans="1:7" x14ac:dyDescent="0.25">
      <c r="A363" t="s">
        <v>6</v>
      </c>
      <c r="B363" s="1">
        <v>45903</v>
      </c>
      <c r="C363" t="s">
        <v>362</v>
      </c>
      <c r="D363">
        <v>-27.01</v>
      </c>
      <c r="E363" t="s">
        <v>10</v>
      </c>
      <c r="F363">
        <v>247657.9</v>
      </c>
      <c r="G363" t="s">
        <v>766</v>
      </c>
    </row>
    <row r="364" spans="1:7" x14ac:dyDescent="0.25">
      <c r="A364" t="s">
        <v>6</v>
      </c>
      <c r="B364" s="1">
        <v>45903</v>
      </c>
      <c r="C364" t="s">
        <v>363</v>
      </c>
      <c r="D364">
        <v>-41.3</v>
      </c>
      <c r="E364" t="s">
        <v>10</v>
      </c>
      <c r="F364">
        <v>247684.91</v>
      </c>
      <c r="G364" t="s">
        <v>766</v>
      </c>
    </row>
    <row r="365" spans="1:7" x14ac:dyDescent="0.25">
      <c r="A365" t="s">
        <v>6</v>
      </c>
      <c r="B365" s="1">
        <v>45902</v>
      </c>
      <c r="C365" t="s">
        <v>364</v>
      </c>
      <c r="D365">
        <v>-105.95</v>
      </c>
      <c r="E365" t="s">
        <v>10</v>
      </c>
      <c r="F365">
        <v>247726.21</v>
      </c>
      <c r="G365" t="s">
        <v>766</v>
      </c>
    </row>
    <row r="366" spans="1:7" x14ac:dyDescent="0.25">
      <c r="A366" t="s">
        <v>6</v>
      </c>
      <c r="B366" s="1">
        <v>45902</v>
      </c>
      <c r="C366" t="s">
        <v>365</v>
      </c>
      <c r="D366">
        <v>-20.49</v>
      </c>
      <c r="E366" t="s">
        <v>10</v>
      </c>
      <c r="F366">
        <v>247832.16</v>
      </c>
      <c r="G366" t="s">
        <v>766</v>
      </c>
    </row>
    <row r="367" spans="1:7" x14ac:dyDescent="0.25">
      <c r="A367" t="s">
        <v>6</v>
      </c>
      <c r="B367" s="1">
        <v>45902</v>
      </c>
      <c r="C367" t="s">
        <v>366</v>
      </c>
      <c r="D367">
        <v>-173.19</v>
      </c>
      <c r="E367" t="s">
        <v>10</v>
      </c>
      <c r="F367">
        <v>247852.65</v>
      </c>
      <c r="G367" t="s">
        <v>766</v>
      </c>
    </row>
    <row r="368" spans="1:7" x14ac:dyDescent="0.25">
      <c r="A368" t="s">
        <v>6</v>
      </c>
      <c r="B368" s="1">
        <v>45902</v>
      </c>
      <c r="C368" t="s">
        <v>367</v>
      </c>
      <c r="D368">
        <v>-27.05</v>
      </c>
      <c r="E368" t="s">
        <v>10</v>
      </c>
      <c r="F368">
        <v>248025.84</v>
      </c>
      <c r="G368" t="s">
        <v>765</v>
      </c>
    </row>
    <row r="369" spans="1:7" x14ac:dyDescent="0.25">
      <c r="A369" t="s">
        <v>6</v>
      </c>
      <c r="B369" s="1">
        <v>45902</v>
      </c>
      <c r="C369" t="s">
        <v>368</v>
      </c>
      <c r="D369">
        <v>-105.95</v>
      </c>
      <c r="E369" t="s">
        <v>10</v>
      </c>
      <c r="F369">
        <v>248052.89</v>
      </c>
      <c r="G369" t="s">
        <v>766</v>
      </c>
    </row>
    <row r="370" spans="1:7" x14ac:dyDescent="0.25">
      <c r="A370" t="s">
        <v>6</v>
      </c>
      <c r="B370" s="1">
        <v>45902</v>
      </c>
      <c r="C370" t="s">
        <v>369</v>
      </c>
      <c r="D370">
        <v>-37.82</v>
      </c>
      <c r="E370" t="s">
        <v>10</v>
      </c>
      <c r="F370">
        <v>248158.84</v>
      </c>
      <c r="G370" t="s">
        <v>766</v>
      </c>
    </row>
    <row r="371" spans="1:7" x14ac:dyDescent="0.25">
      <c r="A371" t="s">
        <v>6</v>
      </c>
      <c r="B371" s="1">
        <v>45902</v>
      </c>
      <c r="C371" t="s">
        <v>370</v>
      </c>
      <c r="D371">
        <v>-161.29</v>
      </c>
      <c r="E371" t="s">
        <v>10</v>
      </c>
      <c r="F371">
        <v>248196.66</v>
      </c>
      <c r="G371" t="s">
        <v>766</v>
      </c>
    </row>
    <row r="372" spans="1:7" x14ac:dyDescent="0.25">
      <c r="A372" t="s">
        <v>6</v>
      </c>
      <c r="B372" s="1">
        <v>45902</v>
      </c>
      <c r="C372" t="s">
        <v>371</v>
      </c>
      <c r="D372">
        <v>-3.83</v>
      </c>
      <c r="E372" t="s">
        <v>10</v>
      </c>
      <c r="F372">
        <v>248357.95</v>
      </c>
      <c r="G372" t="s">
        <v>792</v>
      </c>
    </row>
    <row r="373" spans="1:7" x14ac:dyDescent="0.25">
      <c r="A373" t="s">
        <v>6</v>
      </c>
      <c r="B373" s="1">
        <v>45898</v>
      </c>
      <c r="C373" t="s">
        <v>372</v>
      </c>
      <c r="D373">
        <v>-30000</v>
      </c>
      <c r="E373" t="s">
        <v>8</v>
      </c>
      <c r="F373">
        <v>248361.78</v>
      </c>
      <c r="G373" t="s">
        <v>776</v>
      </c>
    </row>
    <row r="374" spans="1:7" x14ac:dyDescent="0.25">
      <c r="A374" t="s">
        <v>6</v>
      </c>
      <c r="B374" s="1">
        <v>45898</v>
      </c>
      <c r="C374" t="s">
        <v>373</v>
      </c>
      <c r="D374">
        <v>-51.45</v>
      </c>
      <c r="E374" t="s">
        <v>10</v>
      </c>
      <c r="F374">
        <v>278361.78000000003</v>
      </c>
      <c r="G374" t="s">
        <v>765</v>
      </c>
    </row>
    <row r="375" spans="1:7" x14ac:dyDescent="0.25">
      <c r="A375" t="s">
        <v>6</v>
      </c>
      <c r="B375" s="1">
        <v>45898</v>
      </c>
      <c r="C375" t="s">
        <v>374</v>
      </c>
      <c r="D375">
        <v>-109.7</v>
      </c>
      <c r="E375" t="s">
        <v>10</v>
      </c>
      <c r="F375">
        <v>278413.23</v>
      </c>
      <c r="G375" t="s">
        <v>766</v>
      </c>
    </row>
    <row r="376" spans="1:7" x14ac:dyDescent="0.25">
      <c r="A376" t="s">
        <v>6</v>
      </c>
      <c r="B376" s="1">
        <v>45898</v>
      </c>
      <c r="C376" t="s">
        <v>375</v>
      </c>
      <c r="D376">
        <v>-30.28</v>
      </c>
      <c r="E376" t="s">
        <v>10</v>
      </c>
      <c r="F376">
        <v>278522.93</v>
      </c>
      <c r="G376" t="s">
        <v>766</v>
      </c>
    </row>
    <row r="377" spans="1:7" x14ac:dyDescent="0.25">
      <c r="A377" t="s">
        <v>6</v>
      </c>
      <c r="B377" s="1">
        <v>45898</v>
      </c>
      <c r="C377" t="s">
        <v>376</v>
      </c>
      <c r="D377">
        <v>-38.96</v>
      </c>
      <c r="E377" t="s">
        <v>10</v>
      </c>
      <c r="F377">
        <v>278553.21000000002</v>
      </c>
      <c r="G377" t="s">
        <v>766</v>
      </c>
    </row>
    <row r="378" spans="1:7" x14ac:dyDescent="0.25">
      <c r="A378" t="s">
        <v>6</v>
      </c>
      <c r="B378" s="1">
        <v>45897</v>
      </c>
      <c r="C378" t="s">
        <v>377</v>
      </c>
      <c r="D378">
        <v>-1935.03</v>
      </c>
      <c r="E378" t="s">
        <v>45</v>
      </c>
      <c r="F378">
        <v>278592.17</v>
      </c>
      <c r="G378" t="s">
        <v>767</v>
      </c>
    </row>
    <row r="379" spans="1:7" x14ac:dyDescent="0.25">
      <c r="A379" t="s">
        <v>6</v>
      </c>
      <c r="B379" s="1">
        <v>45897</v>
      </c>
      <c r="C379" t="s">
        <v>378</v>
      </c>
      <c r="D379">
        <v>-17183.32</v>
      </c>
      <c r="E379" t="s">
        <v>45</v>
      </c>
      <c r="F379">
        <v>280527.2</v>
      </c>
      <c r="G379" t="s">
        <v>767</v>
      </c>
    </row>
    <row r="380" spans="1:7" x14ac:dyDescent="0.25">
      <c r="A380" t="s">
        <v>6</v>
      </c>
      <c r="B380" s="1">
        <v>45897</v>
      </c>
      <c r="C380" t="s">
        <v>379</v>
      </c>
      <c r="D380">
        <v>-20000</v>
      </c>
      <c r="E380" t="s">
        <v>8</v>
      </c>
      <c r="F380">
        <v>297710.52</v>
      </c>
      <c r="G380" t="s">
        <v>768</v>
      </c>
    </row>
    <row r="381" spans="1:7" x14ac:dyDescent="0.25">
      <c r="A381" t="s">
        <v>6</v>
      </c>
      <c r="B381" s="1">
        <v>45897</v>
      </c>
      <c r="C381" t="s">
        <v>380</v>
      </c>
      <c r="D381">
        <v>-54.11</v>
      </c>
      <c r="E381" t="s">
        <v>10</v>
      </c>
      <c r="F381">
        <v>317710.52</v>
      </c>
      <c r="G381" t="s">
        <v>766</v>
      </c>
    </row>
    <row r="382" spans="1:7" x14ac:dyDescent="0.25">
      <c r="A382" t="s">
        <v>6</v>
      </c>
      <c r="B382" s="1">
        <v>45896</v>
      </c>
      <c r="C382" t="s">
        <v>381</v>
      </c>
      <c r="D382">
        <v>-36.770000000000003</v>
      </c>
      <c r="E382" t="s">
        <v>10</v>
      </c>
      <c r="F382">
        <v>317764.63</v>
      </c>
      <c r="G382" t="s">
        <v>766</v>
      </c>
    </row>
    <row r="383" spans="1:7" x14ac:dyDescent="0.25">
      <c r="A383" t="s">
        <v>6</v>
      </c>
      <c r="B383" s="1">
        <v>45896</v>
      </c>
      <c r="C383" t="s">
        <v>382</v>
      </c>
      <c r="D383">
        <v>-4.1500000000000004</v>
      </c>
      <c r="E383" t="s">
        <v>10</v>
      </c>
      <c r="F383">
        <v>317801.40000000002</v>
      </c>
      <c r="G383" t="s">
        <v>792</v>
      </c>
    </row>
    <row r="384" spans="1:7" x14ac:dyDescent="0.25">
      <c r="A384" t="s">
        <v>6</v>
      </c>
      <c r="B384" s="1">
        <v>45896</v>
      </c>
      <c r="C384" t="s">
        <v>383</v>
      </c>
      <c r="D384">
        <v>-16.55</v>
      </c>
      <c r="E384" t="s">
        <v>10</v>
      </c>
      <c r="F384">
        <v>317805.55</v>
      </c>
      <c r="G384" t="s">
        <v>766</v>
      </c>
    </row>
    <row r="385" spans="1:7" x14ac:dyDescent="0.25">
      <c r="A385" t="s">
        <v>6</v>
      </c>
      <c r="B385" s="1">
        <v>45896</v>
      </c>
      <c r="C385" t="s">
        <v>384</v>
      </c>
      <c r="D385">
        <v>-173.19</v>
      </c>
      <c r="E385" t="s">
        <v>10</v>
      </c>
      <c r="F385">
        <v>317822.09999999998</v>
      </c>
      <c r="G385" t="s">
        <v>766</v>
      </c>
    </row>
    <row r="386" spans="1:7" x14ac:dyDescent="0.25">
      <c r="A386" t="s">
        <v>6</v>
      </c>
      <c r="B386" s="1">
        <v>45896</v>
      </c>
      <c r="C386" t="s">
        <v>385</v>
      </c>
      <c r="D386">
        <v>-21.47</v>
      </c>
      <c r="E386" t="s">
        <v>10</v>
      </c>
      <c r="F386">
        <v>317995.28999999998</v>
      </c>
      <c r="G386" t="s">
        <v>766</v>
      </c>
    </row>
    <row r="387" spans="1:7" x14ac:dyDescent="0.25">
      <c r="A387" t="s">
        <v>6</v>
      </c>
      <c r="B387" s="1">
        <v>45894</v>
      </c>
      <c r="C387" t="s">
        <v>386</v>
      </c>
      <c r="D387">
        <v>-105.95</v>
      </c>
      <c r="E387" t="s">
        <v>10</v>
      </c>
      <c r="F387">
        <v>318016.76</v>
      </c>
      <c r="G387" t="s">
        <v>766</v>
      </c>
    </row>
    <row r="388" spans="1:7" x14ac:dyDescent="0.25">
      <c r="A388" t="s">
        <v>6</v>
      </c>
      <c r="B388" s="1">
        <v>45894</v>
      </c>
      <c r="C388" t="s">
        <v>387</v>
      </c>
      <c r="D388">
        <v>-6.39</v>
      </c>
      <c r="E388" t="s">
        <v>10</v>
      </c>
      <c r="F388">
        <v>318122.71000000002</v>
      </c>
      <c r="G388" t="s">
        <v>792</v>
      </c>
    </row>
    <row r="389" spans="1:7" x14ac:dyDescent="0.25">
      <c r="A389" t="s">
        <v>6</v>
      </c>
      <c r="B389" s="1">
        <v>45894</v>
      </c>
      <c r="C389" t="s">
        <v>388</v>
      </c>
      <c r="D389">
        <v>-206.95</v>
      </c>
      <c r="E389" t="s">
        <v>10</v>
      </c>
      <c r="F389">
        <v>318129.09999999998</v>
      </c>
      <c r="G389" t="s">
        <v>766</v>
      </c>
    </row>
    <row r="390" spans="1:7" x14ac:dyDescent="0.25">
      <c r="A390" t="s">
        <v>6</v>
      </c>
      <c r="B390" s="1">
        <v>45894</v>
      </c>
      <c r="C390" t="s">
        <v>389</v>
      </c>
      <c r="D390">
        <v>-10</v>
      </c>
      <c r="E390" t="s">
        <v>10</v>
      </c>
      <c r="F390">
        <v>318336.05</v>
      </c>
      <c r="G390" t="s">
        <v>766</v>
      </c>
    </row>
    <row r="391" spans="1:7" x14ac:dyDescent="0.25">
      <c r="A391" t="s">
        <v>6</v>
      </c>
      <c r="B391" s="1">
        <v>45894</v>
      </c>
      <c r="C391" t="s">
        <v>390</v>
      </c>
      <c r="D391">
        <v>-30.89</v>
      </c>
      <c r="E391" t="s">
        <v>10</v>
      </c>
      <c r="F391">
        <v>318346.05</v>
      </c>
      <c r="G391" t="s">
        <v>765</v>
      </c>
    </row>
    <row r="392" spans="1:7" x14ac:dyDescent="0.25">
      <c r="A392" t="s">
        <v>6</v>
      </c>
      <c r="B392" s="1">
        <v>45894</v>
      </c>
      <c r="C392" t="s">
        <v>391</v>
      </c>
      <c r="D392">
        <v>-4.1500000000000004</v>
      </c>
      <c r="E392" t="s">
        <v>10</v>
      </c>
      <c r="F392">
        <v>318376.94</v>
      </c>
      <c r="G392" t="s">
        <v>792</v>
      </c>
    </row>
    <row r="393" spans="1:7" x14ac:dyDescent="0.25">
      <c r="A393" t="s">
        <v>6</v>
      </c>
      <c r="B393" s="1">
        <v>45894</v>
      </c>
      <c r="C393" t="s">
        <v>392</v>
      </c>
      <c r="D393">
        <v>-155.87</v>
      </c>
      <c r="E393" t="s">
        <v>10</v>
      </c>
      <c r="F393">
        <v>318381.09000000003</v>
      </c>
      <c r="G393" t="s">
        <v>766</v>
      </c>
    </row>
    <row r="394" spans="1:7" x14ac:dyDescent="0.25">
      <c r="A394" t="s">
        <v>6</v>
      </c>
      <c r="B394" s="1">
        <v>45894</v>
      </c>
      <c r="C394" t="s">
        <v>393</v>
      </c>
      <c r="D394">
        <v>-145.32</v>
      </c>
      <c r="E394" t="s">
        <v>10</v>
      </c>
      <c r="F394">
        <v>318536.96000000002</v>
      </c>
      <c r="G394" t="s">
        <v>766</v>
      </c>
    </row>
    <row r="395" spans="1:7" x14ac:dyDescent="0.25">
      <c r="A395" t="s">
        <v>6</v>
      </c>
      <c r="B395" s="1">
        <v>45891</v>
      </c>
      <c r="C395" t="s">
        <v>394</v>
      </c>
      <c r="D395">
        <v>-500</v>
      </c>
      <c r="E395" t="s">
        <v>206</v>
      </c>
      <c r="F395">
        <v>318682.28000000003</v>
      </c>
      <c r="G395" t="s">
        <v>812</v>
      </c>
    </row>
    <row r="396" spans="1:7" x14ac:dyDescent="0.25">
      <c r="A396" t="s">
        <v>6</v>
      </c>
      <c r="B396" s="1">
        <v>45891</v>
      </c>
      <c r="C396" t="s">
        <v>395</v>
      </c>
      <c r="D396">
        <v>-184.01</v>
      </c>
      <c r="E396" t="s">
        <v>10</v>
      </c>
      <c r="F396">
        <v>319182.28000000003</v>
      </c>
      <c r="G396" t="s">
        <v>766</v>
      </c>
    </row>
    <row r="397" spans="1:7" x14ac:dyDescent="0.25">
      <c r="A397" t="s">
        <v>6</v>
      </c>
      <c r="B397" s="1">
        <v>45891</v>
      </c>
      <c r="C397" t="s">
        <v>396</v>
      </c>
      <c r="D397">
        <v>-24</v>
      </c>
      <c r="E397" t="s">
        <v>10</v>
      </c>
      <c r="F397">
        <v>319366.28999999998</v>
      </c>
      <c r="G397" t="s">
        <v>771</v>
      </c>
    </row>
    <row r="398" spans="1:7" x14ac:dyDescent="0.25">
      <c r="A398" t="s">
        <v>6</v>
      </c>
      <c r="B398" s="1">
        <v>45891</v>
      </c>
      <c r="C398" t="s">
        <v>397</v>
      </c>
      <c r="D398">
        <v>-42.84</v>
      </c>
      <c r="E398" t="s">
        <v>10</v>
      </c>
      <c r="F398">
        <v>319390.28999999998</v>
      </c>
      <c r="G398" t="s">
        <v>766</v>
      </c>
    </row>
    <row r="399" spans="1:7" x14ac:dyDescent="0.25">
      <c r="A399" t="s">
        <v>6</v>
      </c>
      <c r="B399" s="1">
        <v>45891</v>
      </c>
      <c r="C399" t="s">
        <v>398</v>
      </c>
      <c r="D399">
        <v>-31.71</v>
      </c>
      <c r="E399" t="s">
        <v>10</v>
      </c>
      <c r="F399">
        <v>319433.13</v>
      </c>
      <c r="G399" t="s">
        <v>766</v>
      </c>
    </row>
    <row r="400" spans="1:7" x14ac:dyDescent="0.25">
      <c r="A400" t="s">
        <v>6</v>
      </c>
      <c r="B400" s="1">
        <v>45891</v>
      </c>
      <c r="C400" t="s">
        <v>399</v>
      </c>
      <c r="D400">
        <v>-105.95</v>
      </c>
      <c r="E400" t="s">
        <v>10</v>
      </c>
      <c r="F400">
        <v>319464.84000000003</v>
      </c>
      <c r="G400" t="s">
        <v>766</v>
      </c>
    </row>
    <row r="401" spans="1:7" x14ac:dyDescent="0.25">
      <c r="A401" t="s">
        <v>6</v>
      </c>
      <c r="B401" s="1">
        <v>45890</v>
      </c>
      <c r="C401" t="s">
        <v>400</v>
      </c>
      <c r="D401">
        <v>-206.95</v>
      </c>
      <c r="E401" t="s">
        <v>10</v>
      </c>
      <c r="F401">
        <v>319570.78999999998</v>
      </c>
      <c r="G401" t="s">
        <v>766</v>
      </c>
    </row>
    <row r="402" spans="1:7" x14ac:dyDescent="0.25">
      <c r="A402" t="s">
        <v>6</v>
      </c>
      <c r="B402" s="1">
        <v>45890</v>
      </c>
      <c r="C402" t="s">
        <v>401</v>
      </c>
      <c r="D402">
        <v>-24.99</v>
      </c>
      <c r="E402" t="s">
        <v>10</v>
      </c>
      <c r="F402">
        <v>319777.74</v>
      </c>
      <c r="G402" t="s">
        <v>765</v>
      </c>
    </row>
    <row r="403" spans="1:7" x14ac:dyDescent="0.25">
      <c r="A403" t="s">
        <v>6</v>
      </c>
      <c r="B403" s="1">
        <v>45890</v>
      </c>
      <c r="C403" t="s">
        <v>402</v>
      </c>
      <c r="D403">
        <v>-4.26</v>
      </c>
      <c r="E403" t="s">
        <v>10</v>
      </c>
      <c r="F403">
        <v>319802.73</v>
      </c>
      <c r="G403" t="s">
        <v>792</v>
      </c>
    </row>
    <row r="404" spans="1:7" x14ac:dyDescent="0.25">
      <c r="A404" t="s">
        <v>403</v>
      </c>
      <c r="B404" s="1">
        <v>45889</v>
      </c>
      <c r="C404" t="s">
        <v>404</v>
      </c>
      <c r="D404">
        <v>3000</v>
      </c>
      <c r="E404" t="s">
        <v>405</v>
      </c>
      <c r="F404">
        <v>319806.99</v>
      </c>
      <c r="G404" t="s">
        <v>816</v>
      </c>
    </row>
    <row r="405" spans="1:7" x14ac:dyDescent="0.25">
      <c r="A405" t="s">
        <v>6</v>
      </c>
      <c r="B405" s="1">
        <v>45888</v>
      </c>
      <c r="C405" t="s">
        <v>406</v>
      </c>
      <c r="D405">
        <v>-2.12</v>
      </c>
      <c r="E405" t="s">
        <v>10</v>
      </c>
      <c r="F405">
        <v>316806.99</v>
      </c>
      <c r="G405" t="s">
        <v>792</v>
      </c>
    </row>
    <row r="406" spans="1:7" x14ac:dyDescent="0.25">
      <c r="A406" t="s">
        <v>6</v>
      </c>
      <c r="B406" s="1">
        <v>45887</v>
      </c>
      <c r="C406" t="s">
        <v>407</v>
      </c>
      <c r="D406">
        <v>-2.12</v>
      </c>
      <c r="E406" t="s">
        <v>10</v>
      </c>
      <c r="F406">
        <v>316809.11</v>
      </c>
      <c r="G406" t="s">
        <v>792</v>
      </c>
    </row>
    <row r="407" spans="1:7" x14ac:dyDescent="0.25">
      <c r="A407" t="s">
        <v>6</v>
      </c>
      <c r="B407" s="1">
        <v>45887</v>
      </c>
      <c r="C407" t="s">
        <v>408</v>
      </c>
      <c r="D407">
        <v>-16.18</v>
      </c>
      <c r="E407" t="s">
        <v>10</v>
      </c>
      <c r="F407">
        <v>316811.23</v>
      </c>
      <c r="G407" t="s">
        <v>766</v>
      </c>
    </row>
    <row r="408" spans="1:7" x14ac:dyDescent="0.25">
      <c r="A408" t="s">
        <v>6</v>
      </c>
      <c r="B408" s="1">
        <v>45887</v>
      </c>
      <c r="C408" t="s">
        <v>409</v>
      </c>
      <c r="D408">
        <v>-21.34</v>
      </c>
      <c r="E408" t="s">
        <v>10</v>
      </c>
      <c r="F408">
        <v>316827.40999999997</v>
      </c>
      <c r="G408" t="s">
        <v>766</v>
      </c>
    </row>
    <row r="409" spans="1:7" x14ac:dyDescent="0.25">
      <c r="A409" t="s">
        <v>6</v>
      </c>
      <c r="B409" s="1">
        <v>45884</v>
      </c>
      <c r="C409" t="s">
        <v>69</v>
      </c>
      <c r="D409">
        <v>-15</v>
      </c>
      <c r="E409" t="s">
        <v>14</v>
      </c>
      <c r="F409">
        <v>316848.75</v>
      </c>
      <c r="G409" t="s">
        <v>784</v>
      </c>
    </row>
    <row r="410" spans="1:7" x14ac:dyDescent="0.25">
      <c r="A410" t="s">
        <v>6</v>
      </c>
      <c r="B410" s="1">
        <v>45884</v>
      </c>
      <c r="C410" t="s">
        <v>410</v>
      </c>
      <c r="D410">
        <v>-10.77</v>
      </c>
      <c r="E410" t="s">
        <v>10</v>
      </c>
      <c r="F410">
        <v>316863.75</v>
      </c>
      <c r="G410" t="s">
        <v>802</v>
      </c>
    </row>
    <row r="411" spans="1:7" x14ac:dyDescent="0.25">
      <c r="A411" t="s">
        <v>11</v>
      </c>
      <c r="B411" s="1">
        <v>45884</v>
      </c>
      <c r="C411" t="s">
        <v>411</v>
      </c>
      <c r="D411">
        <v>20000</v>
      </c>
      <c r="E411" t="s">
        <v>52</v>
      </c>
      <c r="F411">
        <v>316874.52</v>
      </c>
      <c r="G411" t="s">
        <v>815</v>
      </c>
    </row>
    <row r="412" spans="1:7" x14ac:dyDescent="0.25">
      <c r="A412" t="s">
        <v>6</v>
      </c>
      <c r="B412" s="1">
        <v>45883</v>
      </c>
      <c r="C412" t="s">
        <v>412</v>
      </c>
      <c r="D412">
        <v>-20</v>
      </c>
      <c r="E412" t="s">
        <v>10</v>
      </c>
      <c r="F412">
        <v>296874.52</v>
      </c>
      <c r="G412" t="s">
        <v>771</v>
      </c>
    </row>
    <row r="413" spans="1:7" x14ac:dyDescent="0.25">
      <c r="A413" t="s">
        <v>6</v>
      </c>
      <c r="B413" s="1">
        <v>45882</v>
      </c>
      <c r="C413" t="s">
        <v>413</v>
      </c>
      <c r="D413">
        <v>-30.89</v>
      </c>
      <c r="E413" t="s">
        <v>10</v>
      </c>
      <c r="F413">
        <v>296894.52</v>
      </c>
      <c r="G413" t="s">
        <v>765</v>
      </c>
    </row>
    <row r="414" spans="1:7" x14ac:dyDescent="0.25">
      <c r="A414" t="s">
        <v>11</v>
      </c>
      <c r="B414" s="1">
        <v>45882</v>
      </c>
      <c r="C414" t="s">
        <v>414</v>
      </c>
      <c r="D414">
        <v>233.33</v>
      </c>
      <c r="E414" t="s">
        <v>50</v>
      </c>
      <c r="F414">
        <v>296925.40999999997</v>
      </c>
      <c r="G414" t="s">
        <v>772</v>
      </c>
    </row>
    <row r="415" spans="1:7" x14ac:dyDescent="0.25">
      <c r="A415" t="s">
        <v>11</v>
      </c>
      <c r="B415" s="1">
        <v>45882</v>
      </c>
      <c r="C415" t="s">
        <v>415</v>
      </c>
      <c r="D415">
        <v>356.38</v>
      </c>
      <c r="E415" t="s">
        <v>50</v>
      </c>
      <c r="F415">
        <v>296692.08</v>
      </c>
      <c r="G415" t="s">
        <v>769</v>
      </c>
    </row>
    <row r="416" spans="1:7" x14ac:dyDescent="0.25">
      <c r="A416" t="s">
        <v>6</v>
      </c>
      <c r="B416" s="1">
        <v>45881</v>
      </c>
      <c r="C416" t="s">
        <v>416</v>
      </c>
      <c r="D416">
        <v>-4.05</v>
      </c>
      <c r="E416" t="s">
        <v>10</v>
      </c>
      <c r="F416">
        <v>296335.7</v>
      </c>
      <c r="G416" t="s">
        <v>792</v>
      </c>
    </row>
    <row r="417" spans="1:7" x14ac:dyDescent="0.25">
      <c r="A417" t="s">
        <v>6</v>
      </c>
      <c r="B417" s="1">
        <v>45881</v>
      </c>
      <c r="C417" t="s">
        <v>417</v>
      </c>
      <c r="D417">
        <v>-34.99</v>
      </c>
      <c r="E417" t="s">
        <v>10</v>
      </c>
      <c r="F417">
        <v>296339.75</v>
      </c>
      <c r="G417" t="s">
        <v>765</v>
      </c>
    </row>
    <row r="418" spans="1:7" x14ac:dyDescent="0.25">
      <c r="A418" t="s">
        <v>6</v>
      </c>
      <c r="B418" s="1">
        <v>45880</v>
      </c>
      <c r="C418" t="s">
        <v>418</v>
      </c>
      <c r="D418">
        <v>-4.05</v>
      </c>
      <c r="E418" t="s">
        <v>10</v>
      </c>
      <c r="F418">
        <v>296374.74</v>
      </c>
      <c r="G418" t="s">
        <v>792</v>
      </c>
    </row>
    <row r="419" spans="1:7" x14ac:dyDescent="0.25">
      <c r="A419" t="s">
        <v>6</v>
      </c>
      <c r="B419" s="1">
        <v>45880</v>
      </c>
      <c r="C419" t="s">
        <v>419</v>
      </c>
      <c r="D419">
        <v>-30.89</v>
      </c>
      <c r="E419" t="s">
        <v>10</v>
      </c>
      <c r="F419">
        <v>296378.78999999998</v>
      </c>
      <c r="G419" t="s">
        <v>765</v>
      </c>
    </row>
    <row r="420" spans="1:7" x14ac:dyDescent="0.25">
      <c r="A420" t="s">
        <v>6</v>
      </c>
      <c r="B420" s="1">
        <v>45877</v>
      </c>
      <c r="C420" t="s">
        <v>53</v>
      </c>
      <c r="D420">
        <v>-25</v>
      </c>
      <c r="E420" t="s">
        <v>14</v>
      </c>
      <c r="F420">
        <v>296409.68</v>
      </c>
      <c r="G420" t="s">
        <v>784</v>
      </c>
    </row>
    <row r="421" spans="1:7" x14ac:dyDescent="0.25">
      <c r="A421" t="s">
        <v>6</v>
      </c>
      <c r="B421" s="1">
        <v>45877</v>
      </c>
      <c r="C421" t="s">
        <v>420</v>
      </c>
      <c r="D421">
        <v>-17500</v>
      </c>
      <c r="E421" t="s">
        <v>47</v>
      </c>
      <c r="F421">
        <v>296434.68</v>
      </c>
      <c r="G421" t="s">
        <v>814</v>
      </c>
    </row>
    <row r="422" spans="1:7" x14ac:dyDescent="0.25">
      <c r="A422" t="s">
        <v>6</v>
      </c>
      <c r="B422" s="1">
        <v>45877</v>
      </c>
      <c r="C422" t="s">
        <v>421</v>
      </c>
      <c r="D422">
        <v>-7500</v>
      </c>
      <c r="E422" t="s">
        <v>206</v>
      </c>
      <c r="F422">
        <v>313934.68</v>
      </c>
      <c r="G422" t="s">
        <v>814</v>
      </c>
    </row>
    <row r="423" spans="1:7" x14ac:dyDescent="0.25">
      <c r="A423" t="s">
        <v>11</v>
      </c>
      <c r="B423" s="1">
        <v>45877</v>
      </c>
      <c r="C423" t="s">
        <v>422</v>
      </c>
      <c r="D423">
        <v>236.37</v>
      </c>
      <c r="E423" t="s">
        <v>50</v>
      </c>
      <c r="F423">
        <v>321434.68</v>
      </c>
      <c r="G423" t="s">
        <v>773</v>
      </c>
    </row>
    <row r="424" spans="1:7" x14ac:dyDescent="0.25">
      <c r="A424" t="s">
        <v>11</v>
      </c>
      <c r="B424" s="1">
        <v>45877</v>
      </c>
      <c r="C424" t="s">
        <v>423</v>
      </c>
      <c r="D424">
        <v>350</v>
      </c>
      <c r="E424" t="s">
        <v>50</v>
      </c>
      <c r="F424">
        <v>321198.31</v>
      </c>
      <c r="G424" t="s">
        <v>774</v>
      </c>
    </row>
    <row r="425" spans="1:7" x14ac:dyDescent="0.25">
      <c r="A425" t="s">
        <v>11</v>
      </c>
      <c r="B425" s="1">
        <v>45877</v>
      </c>
      <c r="C425" t="s">
        <v>424</v>
      </c>
      <c r="D425">
        <v>476.41</v>
      </c>
      <c r="E425" t="s">
        <v>50</v>
      </c>
      <c r="F425">
        <v>320848.31</v>
      </c>
      <c r="G425" t="s">
        <v>775</v>
      </c>
    </row>
    <row r="426" spans="1:7" x14ac:dyDescent="0.25">
      <c r="A426" t="s">
        <v>6</v>
      </c>
      <c r="B426" s="1">
        <v>45876</v>
      </c>
      <c r="C426" t="s">
        <v>425</v>
      </c>
      <c r="D426">
        <v>-32.409999999999997</v>
      </c>
      <c r="E426" t="s">
        <v>10</v>
      </c>
      <c r="F426">
        <v>320371.90000000002</v>
      </c>
      <c r="G426" t="s">
        <v>766</v>
      </c>
    </row>
    <row r="427" spans="1:7" x14ac:dyDescent="0.25">
      <c r="A427" t="s">
        <v>6</v>
      </c>
      <c r="B427" s="1">
        <v>45876</v>
      </c>
      <c r="C427" t="s">
        <v>426</v>
      </c>
      <c r="D427">
        <v>-9.99</v>
      </c>
      <c r="E427" t="s">
        <v>10</v>
      </c>
      <c r="F427">
        <v>320404.31</v>
      </c>
      <c r="G427" t="s">
        <v>765</v>
      </c>
    </row>
    <row r="428" spans="1:7" x14ac:dyDescent="0.25">
      <c r="A428" t="s">
        <v>6</v>
      </c>
      <c r="B428" s="1">
        <v>45875</v>
      </c>
      <c r="C428" t="s">
        <v>427</v>
      </c>
      <c r="D428">
        <v>-43.03</v>
      </c>
      <c r="E428" t="s">
        <v>10</v>
      </c>
      <c r="F428">
        <v>320414.3</v>
      </c>
      <c r="G428" t="s">
        <v>782</v>
      </c>
    </row>
    <row r="429" spans="1:7" x14ac:dyDescent="0.25">
      <c r="A429" t="s">
        <v>6</v>
      </c>
      <c r="B429" s="1">
        <v>45875</v>
      </c>
      <c r="C429" t="s">
        <v>428</v>
      </c>
      <c r="D429">
        <v>-1.87</v>
      </c>
      <c r="E429" t="s">
        <v>10</v>
      </c>
      <c r="F429">
        <v>320457.33</v>
      </c>
      <c r="G429" t="s">
        <v>783</v>
      </c>
    </row>
    <row r="430" spans="1:7" x14ac:dyDescent="0.25">
      <c r="A430" t="s">
        <v>6</v>
      </c>
      <c r="B430" s="1">
        <v>45873</v>
      </c>
      <c r="C430" t="s">
        <v>429</v>
      </c>
      <c r="D430">
        <v>-21.54</v>
      </c>
      <c r="E430" t="s">
        <v>10</v>
      </c>
      <c r="F430">
        <v>320459.2</v>
      </c>
      <c r="G430" t="s">
        <v>778</v>
      </c>
    </row>
    <row r="431" spans="1:7" x14ac:dyDescent="0.25">
      <c r="A431" t="s">
        <v>6</v>
      </c>
      <c r="B431" s="1">
        <v>45873</v>
      </c>
      <c r="C431" t="s">
        <v>430</v>
      </c>
      <c r="D431">
        <v>-8.3000000000000007</v>
      </c>
      <c r="E431" t="s">
        <v>10</v>
      </c>
      <c r="F431">
        <v>320480.74</v>
      </c>
      <c r="G431" t="s">
        <v>782</v>
      </c>
    </row>
    <row r="432" spans="1:7" x14ac:dyDescent="0.25">
      <c r="A432" t="s">
        <v>6</v>
      </c>
      <c r="B432" s="1">
        <v>45873</v>
      </c>
      <c r="C432" t="s">
        <v>431</v>
      </c>
      <c r="D432">
        <v>-15.25</v>
      </c>
      <c r="E432" t="s">
        <v>10</v>
      </c>
      <c r="F432">
        <v>320489.03999999998</v>
      </c>
      <c r="G432" t="s">
        <v>783</v>
      </c>
    </row>
    <row r="433" spans="1:7" x14ac:dyDescent="0.25">
      <c r="A433" t="s">
        <v>6</v>
      </c>
      <c r="B433" s="1">
        <v>45873</v>
      </c>
      <c r="C433" t="s">
        <v>432</v>
      </c>
      <c r="D433">
        <v>-150</v>
      </c>
      <c r="E433" t="s">
        <v>10</v>
      </c>
      <c r="F433">
        <v>320504.28999999998</v>
      </c>
      <c r="G433" t="s">
        <v>778</v>
      </c>
    </row>
    <row r="434" spans="1:7" x14ac:dyDescent="0.25">
      <c r="A434" t="s">
        <v>6</v>
      </c>
      <c r="B434" s="1">
        <v>45873</v>
      </c>
      <c r="C434" t="s">
        <v>433</v>
      </c>
      <c r="D434">
        <v>-7.96</v>
      </c>
      <c r="E434" t="s">
        <v>10</v>
      </c>
      <c r="F434">
        <v>320654.28999999998</v>
      </c>
      <c r="G434" t="s">
        <v>782</v>
      </c>
    </row>
    <row r="435" spans="1:7" x14ac:dyDescent="0.25">
      <c r="A435" t="s">
        <v>6</v>
      </c>
      <c r="B435" s="1">
        <v>45873</v>
      </c>
      <c r="C435" t="s">
        <v>433</v>
      </c>
      <c r="D435">
        <v>-37.83</v>
      </c>
      <c r="E435" t="s">
        <v>10</v>
      </c>
      <c r="F435">
        <v>320662.25</v>
      </c>
      <c r="G435" t="s">
        <v>782</v>
      </c>
    </row>
    <row r="436" spans="1:7" x14ac:dyDescent="0.25">
      <c r="A436" t="s">
        <v>6</v>
      </c>
      <c r="B436" s="1">
        <v>45870</v>
      </c>
      <c r="C436" t="s">
        <v>434</v>
      </c>
      <c r="D436">
        <v>-27.05</v>
      </c>
      <c r="E436" t="s">
        <v>10</v>
      </c>
      <c r="F436">
        <v>320700.08</v>
      </c>
      <c r="G436" t="s">
        <v>765</v>
      </c>
    </row>
    <row r="437" spans="1:7" x14ac:dyDescent="0.25">
      <c r="A437" t="s">
        <v>6</v>
      </c>
      <c r="B437" s="1">
        <v>45870</v>
      </c>
      <c r="C437" t="s">
        <v>435</v>
      </c>
      <c r="D437">
        <v>-17.399999999999999</v>
      </c>
      <c r="E437" t="s">
        <v>10</v>
      </c>
      <c r="F437">
        <v>320727.13</v>
      </c>
      <c r="G437" t="s">
        <v>766</v>
      </c>
    </row>
    <row r="438" spans="1:7" x14ac:dyDescent="0.25">
      <c r="A438" t="s">
        <v>6</v>
      </c>
      <c r="B438" s="1">
        <v>45869</v>
      </c>
      <c r="C438" t="s">
        <v>436</v>
      </c>
      <c r="D438">
        <v>-4.05</v>
      </c>
      <c r="E438" t="s">
        <v>10</v>
      </c>
      <c r="F438">
        <v>320744.53000000003</v>
      </c>
      <c r="G438" t="s">
        <v>792</v>
      </c>
    </row>
    <row r="439" spans="1:7" x14ac:dyDescent="0.25">
      <c r="A439" t="s">
        <v>6</v>
      </c>
      <c r="B439" s="1">
        <v>45869</v>
      </c>
      <c r="C439" t="s">
        <v>437</v>
      </c>
      <c r="D439">
        <v>-17.54</v>
      </c>
      <c r="E439" t="s">
        <v>10</v>
      </c>
      <c r="F439">
        <v>320748.58</v>
      </c>
      <c r="G439" t="s">
        <v>766</v>
      </c>
    </row>
    <row r="440" spans="1:7" x14ac:dyDescent="0.25">
      <c r="A440" t="s">
        <v>6</v>
      </c>
      <c r="B440" s="1">
        <v>45869</v>
      </c>
      <c r="C440" t="s">
        <v>438</v>
      </c>
      <c r="D440">
        <v>-6.55</v>
      </c>
      <c r="E440" t="s">
        <v>10</v>
      </c>
      <c r="F440">
        <v>320766.12</v>
      </c>
      <c r="G440" t="s">
        <v>782</v>
      </c>
    </row>
    <row r="441" spans="1:7" x14ac:dyDescent="0.25">
      <c r="A441" t="s">
        <v>6</v>
      </c>
      <c r="B441" s="1">
        <v>45868</v>
      </c>
      <c r="C441" t="s">
        <v>439</v>
      </c>
      <c r="D441">
        <v>-5</v>
      </c>
      <c r="E441" t="s">
        <v>10</v>
      </c>
      <c r="F441">
        <v>320772.67</v>
      </c>
      <c r="G441" t="s">
        <v>766</v>
      </c>
    </row>
    <row r="442" spans="1:7" x14ac:dyDescent="0.25">
      <c r="A442" t="s">
        <v>6</v>
      </c>
      <c r="B442" s="1">
        <v>45868</v>
      </c>
      <c r="C442" t="s">
        <v>440</v>
      </c>
      <c r="D442">
        <v>-51.45</v>
      </c>
      <c r="E442" t="s">
        <v>10</v>
      </c>
      <c r="F442">
        <v>320777.67</v>
      </c>
      <c r="G442" t="s">
        <v>765</v>
      </c>
    </row>
    <row r="443" spans="1:7" x14ac:dyDescent="0.25">
      <c r="A443" t="s">
        <v>6</v>
      </c>
      <c r="B443" s="1">
        <v>45867</v>
      </c>
      <c r="C443" t="s">
        <v>441</v>
      </c>
      <c r="D443">
        <v>-4.05</v>
      </c>
      <c r="E443" t="s">
        <v>10</v>
      </c>
      <c r="F443">
        <v>320829.12</v>
      </c>
      <c r="G443" t="s">
        <v>792</v>
      </c>
    </row>
    <row r="444" spans="1:7" x14ac:dyDescent="0.25">
      <c r="A444" t="s">
        <v>6</v>
      </c>
      <c r="B444" s="1">
        <v>45867</v>
      </c>
      <c r="C444" t="s">
        <v>442</v>
      </c>
      <c r="D444">
        <v>-65.7</v>
      </c>
      <c r="E444" t="s">
        <v>10</v>
      </c>
      <c r="F444">
        <v>320833.17</v>
      </c>
      <c r="G444" t="s">
        <v>766</v>
      </c>
    </row>
    <row r="445" spans="1:7" x14ac:dyDescent="0.25">
      <c r="A445" t="s">
        <v>6</v>
      </c>
      <c r="B445" s="1">
        <v>45866</v>
      </c>
      <c r="C445" t="s">
        <v>443</v>
      </c>
      <c r="D445">
        <v>-30.89</v>
      </c>
      <c r="E445" t="s">
        <v>10</v>
      </c>
      <c r="F445">
        <v>320898.87</v>
      </c>
      <c r="G445" t="s">
        <v>765</v>
      </c>
    </row>
    <row r="446" spans="1:7" x14ac:dyDescent="0.25">
      <c r="A446" t="s">
        <v>6</v>
      </c>
      <c r="B446" s="1">
        <v>45863</v>
      </c>
      <c r="C446" t="s">
        <v>444</v>
      </c>
      <c r="D446">
        <v>-20000</v>
      </c>
      <c r="E446" t="s">
        <v>8</v>
      </c>
      <c r="F446">
        <v>320929.76</v>
      </c>
      <c r="G446" t="s">
        <v>776</v>
      </c>
    </row>
    <row r="447" spans="1:7" x14ac:dyDescent="0.25">
      <c r="A447" t="s">
        <v>6</v>
      </c>
      <c r="B447" s="1">
        <v>45863</v>
      </c>
      <c r="C447" t="s">
        <v>445</v>
      </c>
      <c r="D447">
        <v>-63.94</v>
      </c>
      <c r="E447" t="s">
        <v>10</v>
      </c>
      <c r="F447">
        <v>340929.76</v>
      </c>
      <c r="G447" t="s">
        <v>766</v>
      </c>
    </row>
    <row r="448" spans="1:7" x14ac:dyDescent="0.25">
      <c r="A448" t="s">
        <v>6</v>
      </c>
      <c r="B448" s="1">
        <v>45862</v>
      </c>
      <c r="C448" t="s">
        <v>446</v>
      </c>
      <c r="D448">
        <v>-23574.61</v>
      </c>
      <c r="E448" t="s">
        <v>45</v>
      </c>
      <c r="F448">
        <v>340993.7</v>
      </c>
      <c r="G448" t="s">
        <v>767</v>
      </c>
    </row>
    <row r="449" spans="1:7" x14ac:dyDescent="0.25">
      <c r="A449" t="s">
        <v>6</v>
      </c>
      <c r="B449" s="1">
        <v>45862</v>
      </c>
      <c r="C449" t="s">
        <v>447</v>
      </c>
      <c r="D449">
        <v>-350</v>
      </c>
      <c r="E449" t="s">
        <v>58</v>
      </c>
      <c r="F449">
        <v>364568.31</v>
      </c>
      <c r="G449" t="s">
        <v>813</v>
      </c>
    </row>
    <row r="450" spans="1:7" x14ac:dyDescent="0.25">
      <c r="A450" t="s">
        <v>6</v>
      </c>
      <c r="B450" s="1">
        <v>45861</v>
      </c>
      <c r="C450" t="s">
        <v>448</v>
      </c>
      <c r="D450">
        <v>-4.26</v>
      </c>
      <c r="E450" t="s">
        <v>10</v>
      </c>
      <c r="F450">
        <v>364918.31</v>
      </c>
      <c r="G450" t="s">
        <v>792</v>
      </c>
    </row>
    <row r="451" spans="1:7" x14ac:dyDescent="0.25">
      <c r="A451" t="s">
        <v>6</v>
      </c>
      <c r="B451" s="1">
        <v>45861</v>
      </c>
      <c r="C451" t="s">
        <v>449</v>
      </c>
      <c r="D451">
        <v>-61.44</v>
      </c>
      <c r="E451" t="s">
        <v>10</v>
      </c>
      <c r="F451">
        <v>364922.57</v>
      </c>
      <c r="G451" t="s">
        <v>766</v>
      </c>
    </row>
    <row r="452" spans="1:7" x14ac:dyDescent="0.25">
      <c r="A452" t="s">
        <v>6</v>
      </c>
      <c r="B452" s="1">
        <v>45860</v>
      </c>
      <c r="C452" t="s">
        <v>450</v>
      </c>
      <c r="D452">
        <v>-20000</v>
      </c>
      <c r="E452" t="s">
        <v>8</v>
      </c>
      <c r="F452">
        <v>364984.01</v>
      </c>
      <c r="G452" t="s">
        <v>776</v>
      </c>
    </row>
    <row r="453" spans="1:7" x14ac:dyDescent="0.25">
      <c r="A453" t="s">
        <v>6</v>
      </c>
      <c r="B453" s="1">
        <v>45860</v>
      </c>
      <c r="C453" t="s">
        <v>451</v>
      </c>
      <c r="D453">
        <v>-4.05</v>
      </c>
      <c r="E453" t="s">
        <v>10</v>
      </c>
      <c r="F453">
        <v>384984.01</v>
      </c>
      <c r="G453" t="s">
        <v>792</v>
      </c>
    </row>
    <row r="454" spans="1:7" x14ac:dyDescent="0.25">
      <c r="A454" t="s">
        <v>6</v>
      </c>
      <c r="B454" s="1">
        <v>45859</v>
      </c>
      <c r="C454" t="s">
        <v>452</v>
      </c>
      <c r="D454">
        <v>-10000</v>
      </c>
      <c r="E454" t="s">
        <v>8</v>
      </c>
      <c r="F454">
        <v>384988.06</v>
      </c>
      <c r="G454" t="s">
        <v>768</v>
      </c>
    </row>
    <row r="455" spans="1:7" x14ac:dyDescent="0.25">
      <c r="A455" t="s">
        <v>6</v>
      </c>
      <c r="B455" s="1">
        <v>45859</v>
      </c>
      <c r="C455" t="s">
        <v>453</v>
      </c>
      <c r="D455">
        <v>-24.99</v>
      </c>
      <c r="E455" t="s">
        <v>10</v>
      </c>
      <c r="F455">
        <v>394988.06</v>
      </c>
      <c r="G455" t="s">
        <v>765</v>
      </c>
    </row>
    <row r="456" spans="1:7" x14ac:dyDescent="0.25">
      <c r="A456" t="s">
        <v>6</v>
      </c>
      <c r="B456" s="1">
        <v>45859</v>
      </c>
      <c r="C456" t="s">
        <v>454</v>
      </c>
      <c r="D456">
        <v>-10</v>
      </c>
      <c r="E456" t="s">
        <v>10</v>
      </c>
      <c r="F456">
        <v>395013.05</v>
      </c>
      <c r="G456" t="s">
        <v>783</v>
      </c>
    </row>
    <row r="457" spans="1:7" x14ac:dyDescent="0.25">
      <c r="A457" t="s">
        <v>6</v>
      </c>
      <c r="B457" s="1">
        <v>45859</v>
      </c>
      <c r="C457" t="s">
        <v>455</v>
      </c>
      <c r="D457">
        <v>-30.89</v>
      </c>
      <c r="E457" t="s">
        <v>10</v>
      </c>
      <c r="F457">
        <v>395023.05</v>
      </c>
      <c r="G457" t="s">
        <v>765</v>
      </c>
    </row>
    <row r="458" spans="1:7" x14ac:dyDescent="0.25">
      <c r="A458" t="s">
        <v>6</v>
      </c>
      <c r="B458" s="1">
        <v>45859</v>
      </c>
      <c r="C458" t="s">
        <v>456</v>
      </c>
      <c r="D458">
        <v>-22.26</v>
      </c>
      <c r="E458" t="s">
        <v>10</v>
      </c>
      <c r="F458">
        <v>395053.94</v>
      </c>
      <c r="G458" t="s">
        <v>766</v>
      </c>
    </row>
    <row r="459" spans="1:7" x14ac:dyDescent="0.25">
      <c r="A459" t="s">
        <v>6</v>
      </c>
      <c r="B459" s="1">
        <v>45859</v>
      </c>
      <c r="C459" t="s">
        <v>457</v>
      </c>
      <c r="D459">
        <v>-34.950000000000003</v>
      </c>
      <c r="E459" t="s">
        <v>10</v>
      </c>
      <c r="F459">
        <v>395076.2</v>
      </c>
      <c r="G459" t="s">
        <v>766</v>
      </c>
    </row>
    <row r="460" spans="1:7" x14ac:dyDescent="0.25">
      <c r="A460" t="s">
        <v>6</v>
      </c>
      <c r="B460" s="1">
        <v>45859</v>
      </c>
      <c r="C460" t="s">
        <v>458</v>
      </c>
      <c r="D460">
        <v>-14.99</v>
      </c>
      <c r="E460" t="s">
        <v>10</v>
      </c>
      <c r="F460">
        <v>395111.15</v>
      </c>
      <c r="G460" t="s">
        <v>766</v>
      </c>
    </row>
    <row r="461" spans="1:7" x14ac:dyDescent="0.25">
      <c r="A461" t="s">
        <v>6</v>
      </c>
      <c r="B461" s="1">
        <v>45859</v>
      </c>
      <c r="C461" t="s">
        <v>459</v>
      </c>
      <c r="D461">
        <v>-2</v>
      </c>
      <c r="E461" t="s">
        <v>10</v>
      </c>
      <c r="F461">
        <v>395126.14</v>
      </c>
      <c r="G461" t="s">
        <v>783</v>
      </c>
    </row>
    <row r="462" spans="1:7" x14ac:dyDescent="0.25">
      <c r="A462" t="s">
        <v>6</v>
      </c>
      <c r="B462" s="1">
        <v>45856</v>
      </c>
      <c r="C462" t="s">
        <v>460</v>
      </c>
      <c r="D462">
        <v>-5000</v>
      </c>
      <c r="E462" t="s">
        <v>84</v>
      </c>
      <c r="F462">
        <v>395128.14</v>
      </c>
      <c r="G462" t="s">
        <v>808</v>
      </c>
    </row>
    <row r="463" spans="1:7" x14ac:dyDescent="0.25">
      <c r="A463" t="s">
        <v>6</v>
      </c>
      <c r="B463" s="1">
        <v>45855</v>
      </c>
      <c r="C463" t="s">
        <v>461</v>
      </c>
      <c r="D463">
        <v>-4.26</v>
      </c>
      <c r="E463" t="s">
        <v>10</v>
      </c>
      <c r="F463">
        <v>400128.14</v>
      </c>
      <c r="G463" t="s">
        <v>792</v>
      </c>
    </row>
    <row r="464" spans="1:7" x14ac:dyDescent="0.25">
      <c r="A464" t="s">
        <v>6</v>
      </c>
      <c r="B464" s="1">
        <v>45855</v>
      </c>
      <c r="C464" t="s">
        <v>462</v>
      </c>
      <c r="D464">
        <v>-16.18</v>
      </c>
      <c r="E464" t="s">
        <v>10</v>
      </c>
      <c r="F464">
        <v>400132.4</v>
      </c>
      <c r="G464" t="s">
        <v>766</v>
      </c>
    </row>
    <row r="465" spans="1:7" x14ac:dyDescent="0.25">
      <c r="A465" t="s">
        <v>6</v>
      </c>
      <c r="B465" s="1">
        <v>45854</v>
      </c>
      <c r="C465" t="s">
        <v>463</v>
      </c>
      <c r="D465">
        <v>-20000</v>
      </c>
      <c r="E465" t="s">
        <v>8</v>
      </c>
      <c r="F465">
        <v>400148.58</v>
      </c>
      <c r="G465" t="s">
        <v>776</v>
      </c>
    </row>
    <row r="466" spans="1:7" x14ac:dyDescent="0.25">
      <c r="A466" t="s">
        <v>6</v>
      </c>
      <c r="B466" s="1">
        <v>45853</v>
      </c>
      <c r="C466" t="s">
        <v>69</v>
      </c>
      <c r="D466">
        <v>-15</v>
      </c>
      <c r="E466" t="s">
        <v>14</v>
      </c>
      <c r="F466">
        <v>420148.58</v>
      </c>
      <c r="G466" t="s">
        <v>784</v>
      </c>
    </row>
    <row r="467" spans="1:7" x14ac:dyDescent="0.25">
      <c r="A467" t="s">
        <v>6</v>
      </c>
      <c r="B467" s="1">
        <v>45853</v>
      </c>
      <c r="C467" t="s">
        <v>464</v>
      </c>
      <c r="D467">
        <v>-7.17</v>
      </c>
      <c r="E467" t="s">
        <v>10</v>
      </c>
      <c r="F467">
        <v>420163.58</v>
      </c>
      <c r="G467" t="s">
        <v>782</v>
      </c>
    </row>
    <row r="468" spans="1:7" x14ac:dyDescent="0.25">
      <c r="A468" t="s">
        <v>11</v>
      </c>
      <c r="B468" s="1">
        <v>45853</v>
      </c>
      <c r="C468" t="s">
        <v>465</v>
      </c>
      <c r="D468">
        <v>6973.73</v>
      </c>
      <c r="E468" t="s">
        <v>52</v>
      </c>
      <c r="F468">
        <v>420170.75</v>
      </c>
      <c r="G468" t="s">
        <v>806</v>
      </c>
    </row>
    <row r="469" spans="1:7" x14ac:dyDescent="0.25">
      <c r="A469" t="s">
        <v>6</v>
      </c>
      <c r="B469" s="1">
        <v>45852</v>
      </c>
      <c r="C469" t="s">
        <v>466</v>
      </c>
      <c r="D469">
        <v>-50000</v>
      </c>
      <c r="E469" t="s">
        <v>8</v>
      </c>
      <c r="F469">
        <v>413197.02</v>
      </c>
      <c r="G469" t="s">
        <v>768</v>
      </c>
    </row>
    <row r="470" spans="1:7" x14ac:dyDescent="0.25">
      <c r="A470" t="s">
        <v>6</v>
      </c>
      <c r="B470" s="1">
        <v>45852</v>
      </c>
      <c r="C470" t="s">
        <v>467</v>
      </c>
      <c r="D470">
        <v>-30.89</v>
      </c>
      <c r="E470" t="s">
        <v>10</v>
      </c>
      <c r="F470">
        <v>463197.02</v>
      </c>
      <c r="G470" t="s">
        <v>765</v>
      </c>
    </row>
    <row r="471" spans="1:7" x14ac:dyDescent="0.25">
      <c r="A471" t="s">
        <v>6</v>
      </c>
      <c r="B471" s="1">
        <v>45852</v>
      </c>
      <c r="C471" t="s">
        <v>468</v>
      </c>
      <c r="D471">
        <v>-34.99</v>
      </c>
      <c r="E471" t="s">
        <v>10</v>
      </c>
      <c r="F471">
        <v>463227.91</v>
      </c>
      <c r="G471" t="s">
        <v>765</v>
      </c>
    </row>
    <row r="472" spans="1:7" x14ac:dyDescent="0.25">
      <c r="A472" t="s">
        <v>11</v>
      </c>
      <c r="B472" s="1">
        <v>45852</v>
      </c>
      <c r="C472" t="s">
        <v>469</v>
      </c>
      <c r="D472">
        <v>100000</v>
      </c>
      <c r="E472" t="s">
        <v>8</v>
      </c>
      <c r="F472">
        <v>463262.9</v>
      </c>
      <c r="G472" t="s">
        <v>807</v>
      </c>
    </row>
    <row r="473" spans="1:7" x14ac:dyDescent="0.25">
      <c r="A473" t="s">
        <v>11</v>
      </c>
      <c r="B473" s="1">
        <v>45849</v>
      </c>
      <c r="C473" t="s">
        <v>470</v>
      </c>
      <c r="D473">
        <v>476.41</v>
      </c>
      <c r="E473" t="s">
        <v>50</v>
      </c>
      <c r="F473">
        <v>363262.9</v>
      </c>
      <c r="G473" t="s">
        <v>775</v>
      </c>
    </row>
    <row r="474" spans="1:7" x14ac:dyDescent="0.25">
      <c r="A474" t="s">
        <v>6</v>
      </c>
      <c r="B474" s="1">
        <v>45848</v>
      </c>
      <c r="C474" t="s">
        <v>69</v>
      </c>
      <c r="D474">
        <v>-15</v>
      </c>
      <c r="E474" t="s">
        <v>14</v>
      </c>
      <c r="F474">
        <v>362786.49</v>
      </c>
      <c r="G474" t="s">
        <v>784</v>
      </c>
    </row>
    <row r="475" spans="1:7" x14ac:dyDescent="0.25">
      <c r="A475" t="s">
        <v>6</v>
      </c>
      <c r="B475" s="1">
        <v>45848</v>
      </c>
      <c r="C475" t="s">
        <v>69</v>
      </c>
      <c r="D475">
        <v>-15</v>
      </c>
      <c r="E475" t="s">
        <v>14</v>
      </c>
      <c r="F475">
        <v>362801.49</v>
      </c>
      <c r="G475" t="s">
        <v>784</v>
      </c>
    </row>
    <row r="476" spans="1:7" x14ac:dyDescent="0.25">
      <c r="A476" t="s">
        <v>6</v>
      </c>
      <c r="B476" s="1">
        <v>45848</v>
      </c>
      <c r="C476" t="s">
        <v>471</v>
      </c>
      <c r="D476">
        <v>-145.34</v>
      </c>
      <c r="E476" t="s">
        <v>10</v>
      </c>
      <c r="F476">
        <v>362816.49</v>
      </c>
      <c r="G476" t="s">
        <v>766</v>
      </c>
    </row>
    <row r="477" spans="1:7" x14ac:dyDescent="0.25">
      <c r="A477" t="s">
        <v>11</v>
      </c>
      <c r="B477" s="1">
        <v>45848</v>
      </c>
      <c r="C477" t="s">
        <v>472</v>
      </c>
      <c r="D477">
        <v>350</v>
      </c>
      <c r="E477" t="s">
        <v>50</v>
      </c>
      <c r="F477">
        <v>362961.83</v>
      </c>
      <c r="G477" t="s">
        <v>774</v>
      </c>
    </row>
    <row r="478" spans="1:7" x14ac:dyDescent="0.25">
      <c r="A478" t="s">
        <v>11</v>
      </c>
      <c r="B478" s="1">
        <v>45848</v>
      </c>
      <c r="C478" t="s">
        <v>473</v>
      </c>
      <c r="D478">
        <v>52500</v>
      </c>
      <c r="E478" t="s">
        <v>52</v>
      </c>
      <c r="F478">
        <v>362611.83</v>
      </c>
      <c r="G478" t="s">
        <v>806</v>
      </c>
    </row>
    <row r="479" spans="1:7" x14ac:dyDescent="0.25">
      <c r="A479" t="s">
        <v>11</v>
      </c>
      <c r="B479" s="1">
        <v>45848</v>
      </c>
      <c r="C479" t="s">
        <v>474</v>
      </c>
      <c r="D479">
        <v>210000</v>
      </c>
      <c r="E479" t="s">
        <v>52</v>
      </c>
      <c r="F479">
        <v>310111.83</v>
      </c>
      <c r="G479" t="s">
        <v>806</v>
      </c>
    </row>
    <row r="480" spans="1:7" x14ac:dyDescent="0.25">
      <c r="A480" t="s">
        <v>11</v>
      </c>
      <c r="B480" s="1">
        <v>45847</v>
      </c>
      <c r="C480" t="s">
        <v>475</v>
      </c>
      <c r="D480">
        <v>236.37</v>
      </c>
      <c r="E480" t="s">
        <v>50</v>
      </c>
      <c r="F480">
        <v>100111.83</v>
      </c>
      <c r="G480" t="s">
        <v>773</v>
      </c>
    </row>
    <row r="481" spans="1:7" x14ac:dyDescent="0.25">
      <c r="A481" t="s">
        <v>11</v>
      </c>
      <c r="B481" s="1">
        <v>45847</v>
      </c>
      <c r="C481" t="s">
        <v>476</v>
      </c>
      <c r="D481">
        <v>356.38</v>
      </c>
      <c r="E481" t="s">
        <v>50</v>
      </c>
      <c r="F481">
        <v>99875.46</v>
      </c>
      <c r="G481" t="s">
        <v>769</v>
      </c>
    </row>
    <row r="482" spans="1:7" x14ac:dyDescent="0.25">
      <c r="A482" t="s">
        <v>6</v>
      </c>
      <c r="B482" s="1">
        <v>45845</v>
      </c>
      <c r="C482" t="s">
        <v>477</v>
      </c>
      <c r="D482">
        <v>-20000</v>
      </c>
      <c r="E482" t="s">
        <v>8</v>
      </c>
      <c r="F482">
        <v>99519.08</v>
      </c>
      <c r="G482" t="s">
        <v>776</v>
      </c>
    </row>
    <row r="483" spans="1:7" x14ac:dyDescent="0.25">
      <c r="A483" t="s">
        <v>6</v>
      </c>
      <c r="B483" s="1">
        <v>45845</v>
      </c>
      <c r="C483" t="s">
        <v>478</v>
      </c>
      <c r="D483">
        <v>-43.29</v>
      </c>
      <c r="E483" t="s">
        <v>10</v>
      </c>
      <c r="F483">
        <v>119519.08</v>
      </c>
      <c r="G483" t="s">
        <v>766</v>
      </c>
    </row>
    <row r="484" spans="1:7" x14ac:dyDescent="0.25">
      <c r="A484" t="s">
        <v>6</v>
      </c>
      <c r="B484" s="1">
        <v>45845</v>
      </c>
      <c r="C484" t="s">
        <v>479</v>
      </c>
      <c r="D484">
        <v>-9.99</v>
      </c>
      <c r="E484" t="s">
        <v>10</v>
      </c>
      <c r="F484">
        <v>119562.37</v>
      </c>
      <c r="G484" t="s">
        <v>765</v>
      </c>
    </row>
    <row r="485" spans="1:7" x14ac:dyDescent="0.25">
      <c r="A485" t="s">
        <v>6</v>
      </c>
      <c r="B485" s="1">
        <v>45845</v>
      </c>
      <c r="C485" t="s">
        <v>479</v>
      </c>
      <c r="D485">
        <v>-30.89</v>
      </c>
      <c r="E485" t="s">
        <v>10</v>
      </c>
      <c r="F485">
        <v>119572.36</v>
      </c>
      <c r="G485" t="s">
        <v>765</v>
      </c>
    </row>
    <row r="486" spans="1:7" x14ac:dyDescent="0.25">
      <c r="A486" t="s">
        <v>6</v>
      </c>
      <c r="B486" s="1">
        <v>45845</v>
      </c>
      <c r="C486" t="s">
        <v>480</v>
      </c>
      <c r="D486">
        <v>-52.65</v>
      </c>
      <c r="E486" t="s">
        <v>10</v>
      </c>
      <c r="F486">
        <v>119603.25</v>
      </c>
      <c r="G486" t="s">
        <v>766</v>
      </c>
    </row>
    <row r="487" spans="1:7" x14ac:dyDescent="0.25">
      <c r="A487" t="s">
        <v>6</v>
      </c>
      <c r="B487" s="1">
        <v>45841</v>
      </c>
      <c r="C487" t="s">
        <v>481</v>
      </c>
      <c r="D487">
        <v>-10000</v>
      </c>
      <c r="E487" t="s">
        <v>8</v>
      </c>
      <c r="F487">
        <v>119655.9</v>
      </c>
      <c r="G487" t="s">
        <v>764</v>
      </c>
    </row>
    <row r="488" spans="1:7" x14ac:dyDescent="0.25">
      <c r="A488" t="s">
        <v>6</v>
      </c>
      <c r="B488" s="1">
        <v>45840</v>
      </c>
      <c r="C488" t="s">
        <v>482</v>
      </c>
      <c r="D488">
        <v>-20.56</v>
      </c>
      <c r="E488" t="s">
        <v>10</v>
      </c>
      <c r="F488">
        <v>129655.9</v>
      </c>
      <c r="G488" t="s">
        <v>765</v>
      </c>
    </row>
    <row r="489" spans="1:7" x14ac:dyDescent="0.25">
      <c r="A489" t="s">
        <v>6</v>
      </c>
      <c r="B489" s="1">
        <v>45839</v>
      </c>
      <c r="C489" t="s">
        <v>483</v>
      </c>
      <c r="D489">
        <v>-5000</v>
      </c>
      <c r="E489" t="s">
        <v>8</v>
      </c>
      <c r="F489">
        <v>129676.46</v>
      </c>
      <c r="G489" t="s">
        <v>768</v>
      </c>
    </row>
    <row r="490" spans="1:7" x14ac:dyDescent="0.25">
      <c r="A490" t="s">
        <v>6</v>
      </c>
      <c r="B490" s="1">
        <v>45839</v>
      </c>
      <c r="C490" t="s">
        <v>484</v>
      </c>
      <c r="D490">
        <v>-27.05</v>
      </c>
      <c r="E490" t="s">
        <v>10</v>
      </c>
      <c r="F490">
        <v>134676.46</v>
      </c>
      <c r="G490" t="s">
        <v>765</v>
      </c>
    </row>
    <row r="491" spans="1:7" x14ac:dyDescent="0.25">
      <c r="A491" t="s">
        <v>6</v>
      </c>
      <c r="B491" s="1">
        <v>45838</v>
      </c>
      <c r="C491" t="s">
        <v>485</v>
      </c>
      <c r="D491">
        <v>-30.89</v>
      </c>
      <c r="E491" t="s">
        <v>10</v>
      </c>
      <c r="F491">
        <v>134703.51</v>
      </c>
      <c r="G491" t="s">
        <v>765</v>
      </c>
    </row>
    <row r="492" spans="1:7" x14ac:dyDescent="0.25">
      <c r="A492" t="s">
        <v>6</v>
      </c>
      <c r="B492" s="1">
        <v>45831</v>
      </c>
      <c r="C492" t="s">
        <v>486</v>
      </c>
      <c r="D492">
        <v>-14.99</v>
      </c>
      <c r="E492" t="s">
        <v>10</v>
      </c>
      <c r="F492">
        <v>134734.39999999999</v>
      </c>
      <c r="G492" t="s">
        <v>766</v>
      </c>
    </row>
    <row r="493" spans="1:7" x14ac:dyDescent="0.25">
      <c r="A493" t="s">
        <v>6</v>
      </c>
      <c r="B493" s="1">
        <v>45831</v>
      </c>
      <c r="C493" t="s">
        <v>487</v>
      </c>
      <c r="D493">
        <v>-36.19</v>
      </c>
      <c r="E493" t="s">
        <v>10</v>
      </c>
      <c r="F493">
        <v>134749.39000000001</v>
      </c>
      <c r="G493" t="s">
        <v>766</v>
      </c>
    </row>
    <row r="494" spans="1:7" x14ac:dyDescent="0.25">
      <c r="A494" t="s">
        <v>6</v>
      </c>
      <c r="B494" s="1">
        <v>45831</v>
      </c>
      <c r="C494" t="s">
        <v>488</v>
      </c>
      <c r="D494">
        <v>-30.89</v>
      </c>
      <c r="E494" t="s">
        <v>10</v>
      </c>
      <c r="F494">
        <v>134785.57999999999</v>
      </c>
      <c r="G494" t="s">
        <v>765</v>
      </c>
    </row>
    <row r="495" spans="1:7" x14ac:dyDescent="0.25">
      <c r="A495" t="s">
        <v>6</v>
      </c>
      <c r="B495" s="1">
        <v>45831</v>
      </c>
      <c r="C495" t="s">
        <v>489</v>
      </c>
      <c r="D495">
        <v>-24.99</v>
      </c>
      <c r="E495" t="s">
        <v>10</v>
      </c>
      <c r="F495">
        <v>134816.47</v>
      </c>
      <c r="G495" t="s">
        <v>765</v>
      </c>
    </row>
    <row r="496" spans="1:7" x14ac:dyDescent="0.25">
      <c r="A496" t="s">
        <v>6</v>
      </c>
      <c r="B496" s="1">
        <v>45828</v>
      </c>
      <c r="C496" t="s">
        <v>490</v>
      </c>
      <c r="D496">
        <v>-75.59</v>
      </c>
      <c r="E496" t="s">
        <v>10</v>
      </c>
      <c r="F496">
        <v>134841.46</v>
      </c>
      <c r="G496" t="s">
        <v>766</v>
      </c>
    </row>
    <row r="497" spans="1:7" x14ac:dyDescent="0.25">
      <c r="A497" t="s">
        <v>6</v>
      </c>
      <c r="B497" s="1">
        <v>45826</v>
      </c>
      <c r="C497" t="s">
        <v>53</v>
      </c>
      <c r="D497">
        <v>-25</v>
      </c>
      <c r="E497" t="s">
        <v>14</v>
      </c>
      <c r="F497">
        <v>134917.04999999999</v>
      </c>
      <c r="G497" t="s">
        <v>784</v>
      </c>
    </row>
    <row r="498" spans="1:7" x14ac:dyDescent="0.25">
      <c r="A498" t="s">
        <v>6</v>
      </c>
      <c r="B498" s="1">
        <v>45826</v>
      </c>
      <c r="C498" t="s">
        <v>491</v>
      </c>
      <c r="D498">
        <v>-5000</v>
      </c>
      <c r="E498" t="s">
        <v>47</v>
      </c>
      <c r="F498">
        <v>134942.04999999999</v>
      </c>
      <c r="G498" t="s">
        <v>786</v>
      </c>
    </row>
    <row r="499" spans="1:7" x14ac:dyDescent="0.25">
      <c r="A499" t="s">
        <v>6</v>
      </c>
      <c r="B499" s="1">
        <v>45826</v>
      </c>
      <c r="C499" t="s">
        <v>492</v>
      </c>
      <c r="D499">
        <v>-21.34</v>
      </c>
      <c r="E499" t="s">
        <v>10</v>
      </c>
      <c r="F499">
        <v>139942.04999999999</v>
      </c>
      <c r="G499" t="s">
        <v>792</v>
      </c>
    </row>
    <row r="500" spans="1:7" x14ac:dyDescent="0.25">
      <c r="A500" t="s">
        <v>6</v>
      </c>
      <c r="B500" s="1">
        <v>45825</v>
      </c>
      <c r="C500" t="s">
        <v>493</v>
      </c>
      <c r="D500">
        <v>-6.39</v>
      </c>
      <c r="E500" t="s">
        <v>10</v>
      </c>
      <c r="F500">
        <v>139963.39000000001</v>
      </c>
      <c r="G500" t="s">
        <v>792</v>
      </c>
    </row>
    <row r="501" spans="1:7" x14ac:dyDescent="0.25">
      <c r="A501" t="s">
        <v>6</v>
      </c>
      <c r="B501" s="1">
        <v>45824</v>
      </c>
      <c r="C501" t="s">
        <v>494</v>
      </c>
      <c r="D501">
        <v>-16.18</v>
      </c>
      <c r="E501" t="s">
        <v>10</v>
      </c>
      <c r="F501">
        <v>139969.78</v>
      </c>
      <c r="G501" t="s">
        <v>766</v>
      </c>
    </row>
    <row r="502" spans="1:7" x14ac:dyDescent="0.25">
      <c r="A502" t="s">
        <v>6</v>
      </c>
      <c r="B502" s="1">
        <v>45824</v>
      </c>
      <c r="C502" t="s">
        <v>495</v>
      </c>
      <c r="D502">
        <v>-4.75</v>
      </c>
      <c r="E502" t="s">
        <v>10</v>
      </c>
      <c r="F502">
        <v>139985.96</v>
      </c>
      <c r="G502" t="s">
        <v>783</v>
      </c>
    </row>
    <row r="503" spans="1:7" x14ac:dyDescent="0.25">
      <c r="A503" t="s">
        <v>6</v>
      </c>
      <c r="B503" s="1">
        <v>45824</v>
      </c>
      <c r="C503" t="s">
        <v>496</v>
      </c>
      <c r="D503">
        <v>-30.89</v>
      </c>
      <c r="E503" t="s">
        <v>10</v>
      </c>
      <c r="F503">
        <v>139990.71</v>
      </c>
      <c r="G503" t="s">
        <v>765</v>
      </c>
    </row>
    <row r="504" spans="1:7" x14ac:dyDescent="0.25">
      <c r="A504" t="s">
        <v>6</v>
      </c>
      <c r="B504" s="1">
        <v>45821</v>
      </c>
      <c r="C504" t="s">
        <v>69</v>
      </c>
      <c r="D504">
        <v>-15</v>
      </c>
      <c r="E504" t="s">
        <v>14</v>
      </c>
      <c r="F504">
        <v>140021.6</v>
      </c>
      <c r="G504" t="s">
        <v>784</v>
      </c>
    </row>
    <row r="505" spans="1:7" x14ac:dyDescent="0.25">
      <c r="A505" t="s">
        <v>6</v>
      </c>
      <c r="B505" s="1">
        <v>45821</v>
      </c>
      <c r="C505" t="s">
        <v>43</v>
      </c>
      <c r="D505">
        <v>-35</v>
      </c>
      <c r="E505" t="s">
        <v>14</v>
      </c>
      <c r="F505">
        <v>140036.6</v>
      </c>
      <c r="G505" t="s">
        <v>784</v>
      </c>
    </row>
    <row r="506" spans="1:7" x14ac:dyDescent="0.25">
      <c r="A506" t="s">
        <v>6</v>
      </c>
      <c r="B506" s="1">
        <v>45821</v>
      </c>
      <c r="C506" t="s">
        <v>497</v>
      </c>
      <c r="D506">
        <v>-100000</v>
      </c>
      <c r="E506" t="s">
        <v>47</v>
      </c>
      <c r="F506">
        <v>140071.6</v>
      </c>
      <c r="G506" t="s">
        <v>805</v>
      </c>
    </row>
    <row r="507" spans="1:7" x14ac:dyDescent="0.25">
      <c r="A507" t="s">
        <v>11</v>
      </c>
      <c r="B507" s="1">
        <v>45821</v>
      </c>
      <c r="C507" t="s">
        <v>498</v>
      </c>
      <c r="D507">
        <v>100000</v>
      </c>
      <c r="E507" t="s">
        <v>52</v>
      </c>
      <c r="F507">
        <v>240071.6</v>
      </c>
      <c r="G507" t="s">
        <v>804</v>
      </c>
    </row>
    <row r="508" spans="1:7" x14ac:dyDescent="0.25">
      <c r="A508" t="s">
        <v>6</v>
      </c>
      <c r="B508" s="1">
        <v>45820</v>
      </c>
      <c r="C508" t="s">
        <v>499</v>
      </c>
      <c r="D508">
        <v>-19.989999999999998</v>
      </c>
      <c r="E508" t="s">
        <v>10</v>
      </c>
      <c r="F508">
        <v>140071.6</v>
      </c>
      <c r="G508" t="s">
        <v>765</v>
      </c>
    </row>
    <row r="509" spans="1:7" x14ac:dyDescent="0.25">
      <c r="A509" t="s">
        <v>11</v>
      </c>
      <c r="B509" s="1">
        <v>45820</v>
      </c>
      <c r="C509" t="s">
        <v>500</v>
      </c>
      <c r="D509">
        <v>356.38</v>
      </c>
      <c r="E509" t="s">
        <v>50</v>
      </c>
      <c r="F509">
        <v>140091.59</v>
      </c>
      <c r="G509" t="s">
        <v>769</v>
      </c>
    </row>
    <row r="510" spans="1:7" x14ac:dyDescent="0.25">
      <c r="A510" t="s">
        <v>6</v>
      </c>
      <c r="B510" s="1">
        <v>45819</v>
      </c>
      <c r="C510" t="s">
        <v>501</v>
      </c>
      <c r="D510">
        <v>-43000</v>
      </c>
      <c r="E510" t="s">
        <v>8</v>
      </c>
      <c r="F510">
        <v>139735.21</v>
      </c>
      <c r="G510" t="s">
        <v>776</v>
      </c>
    </row>
    <row r="511" spans="1:7" x14ac:dyDescent="0.25">
      <c r="A511" t="s">
        <v>11</v>
      </c>
      <c r="B511" s="1">
        <v>45818</v>
      </c>
      <c r="C511" t="s">
        <v>502</v>
      </c>
      <c r="D511">
        <v>236.37</v>
      </c>
      <c r="E511" t="s">
        <v>50</v>
      </c>
      <c r="F511">
        <v>182735.21</v>
      </c>
      <c r="G511" t="s">
        <v>773</v>
      </c>
    </row>
    <row r="512" spans="1:7" x14ac:dyDescent="0.25">
      <c r="A512" t="s">
        <v>11</v>
      </c>
      <c r="B512" s="1">
        <v>45818</v>
      </c>
      <c r="C512" t="s">
        <v>503</v>
      </c>
      <c r="D512">
        <v>476.41</v>
      </c>
      <c r="E512" t="s">
        <v>50</v>
      </c>
      <c r="F512">
        <v>182498.84</v>
      </c>
      <c r="G512" t="s">
        <v>775</v>
      </c>
    </row>
    <row r="513" spans="1:7" x14ac:dyDescent="0.25">
      <c r="A513" t="s">
        <v>6</v>
      </c>
      <c r="B513" s="1">
        <v>45817</v>
      </c>
      <c r="C513" t="s">
        <v>504</v>
      </c>
      <c r="D513">
        <v>-30.89</v>
      </c>
      <c r="E513" t="s">
        <v>10</v>
      </c>
      <c r="F513">
        <v>182022.43</v>
      </c>
      <c r="G513" t="s">
        <v>765</v>
      </c>
    </row>
    <row r="514" spans="1:7" x14ac:dyDescent="0.25">
      <c r="A514" t="s">
        <v>6</v>
      </c>
      <c r="B514" s="1">
        <v>45817</v>
      </c>
      <c r="C514" t="s">
        <v>505</v>
      </c>
      <c r="D514">
        <v>-4.05</v>
      </c>
      <c r="E514" t="s">
        <v>10</v>
      </c>
      <c r="F514">
        <v>182053.32</v>
      </c>
      <c r="G514" t="s">
        <v>792</v>
      </c>
    </row>
    <row r="515" spans="1:7" x14ac:dyDescent="0.25">
      <c r="A515" t="s">
        <v>6</v>
      </c>
      <c r="B515" s="1">
        <v>45817</v>
      </c>
      <c r="C515" t="s">
        <v>506</v>
      </c>
      <c r="D515">
        <v>-9.99</v>
      </c>
      <c r="E515" t="s">
        <v>10</v>
      </c>
      <c r="F515">
        <v>182057.37</v>
      </c>
      <c r="G515" t="s">
        <v>765</v>
      </c>
    </row>
    <row r="516" spans="1:7" x14ac:dyDescent="0.25">
      <c r="A516" t="s">
        <v>11</v>
      </c>
      <c r="B516" s="1">
        <v>45817</v>
      </c>
      <c r="C516" t="s">
        <v>507</v>
      </c>
      <c r="D516">
        <v>350</v>
      </c>
      <c r="E516" t="s">
        <v>50</v>
      </c>
      <c r="F516">
        <v>182067.36</v>
      </c>
      <c r="G516" t="s">
        <v>774</v>
      </c>
    </row>
    <row r="517" spans="1:7" x14ac:dyDescent="0.25">
      <c r="A517" t="s">
        <v>6</v>
      </c>
      <c r="B517" s="1">
        <v>45814</v>
      </c>
      <c r="C517" t="s">
        <v>508</v>
      </c>
      <c r="D517">
        <v>-20000</v>
      </c>
      <c r="E517" t="s">
        <v>8</v>
      </c>
      <c r="F517">
        <v>181717.36</v>
      </c>
      <c r="G517" t="s">
        <v>768</v>
      </c>
    </row>
    <row r="518" spans="1:7" x14ac:dyDescent="0.25">
      <c r="A518" t="s">
        <v>6</v>
      </c>
      <c r="B518" s="1">
        <v>45814</v>
      </c>
      <c r="C518" t="s">
        <v>509</v>
      </c>
      <c r="D518">
        <v>-4.05</v>
      </c>
      <c r="E518" t="s">
        <v>10</v>
      </c>
      <c r="F518">
        <v>201717.36</v>
      </c>
      <c r="G518" t="s">
        <v>792</v>
      </c>
    </row>
    <row r="519" spans="1:7" x14ac:dyDescent="0.25">
      <c r="A519" t="s">
        <v>6</v>
      </c>
      <c r="B519" s="1">
        <v>45814</v>
      </c>
      <c r="C519" t="s">
        <v>510</v>
      </c>
      <c r="D519">
        <v>-4.05</v>
      </c>
      <c r="E519" t="s">
        <v>10</v>
      </c>
      <c r="F519">
        <v>201721.41</v>
      </c>
      <c r="G519" t="s">
        <v>792</v>
      </c>
    </row>
    <row r="520" spans="1:7" x14ac:dyDescent="0.25">
      <c r="A520" t="s">
        <v>6</v>
      </c>
      <c r="B520" s="1">
        <v>45814</v>
      </c>
      <c r="C520" t="s">
        <v>511</v>
      </c>
      <c r="D520">
        <v>-20.58</v>
      </c>
      <c r="E520" t="s">
        <v>10</v>
      </c>
      <c r="F520">
        <v>201725.46</v>
      </c>
      <c r="G520" t="s">
        <v>766</v>
      </c>
    </row>
    <row r="521" spans="1:7" x14ac:dyDescent="0.25">
      <c r="A521" t="s">
        <v>6</v>
      </c>
      <c r="B521" s="1">
        <v>45813</v>
      </c>
      <c r="C521" t="s">
        <v>512</v>
      </c>
      <c r="D521">
        <v>-20000</v>
      </c>
      <c r="E521" t="s">
        <v>8</v>
      </c>
      <c r="F521">
        <v>201746.04</v>
      </c>
      <c r="G521" t="s">
        <v>803</v>
      </c>
    </row>
    <row r="522" spans="1:7" x14ac:dyDescent="0.25">
      <c r="A522" t="s">
        <v>6</v>
      </c>
      <c r="B522" s="1">
        <v>45812</v>
      </c>
      <c r="C522" t="s">
        <v>513</v>
      </c>
      <c r="D522">
        <v>-7.46</v>
      </c>
      <c r="E522" t="s">
        <v>10</v>
      </c>
      <c r="F522">
        <v>221746.04</v>
      </c>
      <c r="G522" t="s">
        <v>792</v>
      </c>
    </row>
    <row r="523" spans="1:7" x14ac:dyDescent="0.25">
      <c r="A523" t="s">
        <v>6</v>
      </c>
      <c r="B523" s="1">
        <v>45812</v>
      </c>
      <c r="C523" t="s">
        <v>514</v>
      </c>
      <c r="D523">
        <v>-4.26</v>
      </c>
      <c r="E523" t="s">
        <v>10</v>
      </c>
      <c r="F523">
        <v>221753.5</v>
      </c>
      <c r="G523" t="s">
        <v>792</v>
      </c>
    </row>
    <row r="524" spans="1:7" x14ac:dyDescent="0.25">
      <c r="A524" t="s">
        <v>6</v>
      </c>
      <c r="B524" s="1">
        <v>45812</v>
      </c>
      <c r="C524" t="s">
        <v>515</v>
      </c>
      <c r="D524">
        <v>-26.33</v>
      </c>
      <c r="E524" t="s">
        <v>10</v>
      </c>
      <c r="F524">
        <v>221757.76</v>
      </c>
      <c r="G524" t="s">
        <v>766</v>
      </c>
    </row>
    <row r="525" spans="1:7" x14ac:dyDescent="0.25">
      <c r="A525" t="s">
        <v>6</v>
      </c>
      <c r="B525" s="1">
        <v>45812</v>
      </c>
      <c r="C525" t="s">
        <v>516</v>
      </c>
      <c r="D525">
        <v>-21.93</v>
      </c>
      <c r="E525" t="s">
        <v>10</v>
      </c>
      <c r="F525">
        <v>221784.09</v>
      </c>
      <c r="G525" t="s">
        <v>766</v>
      </c>
    </row>
    <row r="526" spans="1:7" x14ac:dyDescent="0.25">
      <c r="A526" t="s">
        <v>6</v>
      </c>
      <c r="B526" s="1">
        <v>45811</v>
      </c>
      <c r="C526" t="s">
        <v>517</v>
      </c>
      <c r="D526">
        <v>-46.1</v>
      </c>
      <c r="E526" t="s">
        <v>10</v>
      </c>
      <c r="F526">
        <v>221806.02</v>
      </c>
      <c r="G526" t="s">
        <v>766</v>
      </c>
    </row>
    <row r="527" spans="1:7" x14ac:dyDescent="0.25">
      <c r="A527" t="s">
        <v>6</v>
      </c>
      <c r="B527" s="1">
        <v>45810</v>
      </c>
      <c r="C527" t="s">
        <v>518</v>
      </c>
      <c r="D527">
        <v>-20000</v>
      </c>
      <c r="E527" t="s">
        <v>8</v>
      </c>
      <c r="F527">
        <v>221852.12</v>
      </c>
      <c r="G527" t="s">
        <v>776</v>
      </c>
    </row>
    <row r="528" spans="1:7" x14ac:dyDescent="0.25">
      <c r="A528" t="s">
        <v>6</v>
      </c>
      <c r="B528" s="1">
        <v>45810</v>
      </c>
      <c r="C528" t="s">
        <v>519</v>
      </c>
      <c r="D528">
        <v>-33.17</v>
      </c>
      <c r="E528" t="s">
        <v>10</v>
      </c>
      <c r="F528">
        <v>241852.12</v>
      </c>
      <c r="G528" t="s">
        <v>802</v>
      </c>
    </row>
    <row r="529" spans="1:7" x14ac:dyDescent="0.25">
      <c r="A529" t="s">
        <v>6</v>
      </c>
      <c r="B529" s="1">
        <v>45810</v>
      </c>
      <c r="C529" t="s">
        <v>520</v>
      </c>
      <c r="D529">
        <v>-3.19</v>
      </c>
      <c r="E529" t="s">
        <v>10</v>
      </c>
      <c r="F529">
        <v>241885.29</v>
      </c>
      <c r="G529" t="s">
        <v>792</v>
      </c>
    </row>
    <row r="530" spans="1:7" x14ac:dyDescent="0.25">
      <c r="A530" t="s">
        <v>6</v>
      </c>
      <c r="B530" s="1">
        <v>45810</v>
      </c>
      <c r="C530" t="s">
        <v>521</v>
      </c>
      <c r="D530">
        <v>-27.05</v>
      </c>
      <c r="E530" t="s">
        <v>10</v>
      </c>
      <c r="F530">
        <v>241888.48</v>
      </c>
      <c r="G530" t="s">
        <v>765</v>
      </c>
    </row>
    <row r="531" spans="1:7" x14ac:dyDescent="0.25">
      <c r="A531" t="s">
        <v>6</v>
      </c>
      <c r="B531" s="1">
        <v>45810</v>
      </c>
      <c r="C531" t="s">
        <v>522</v>
      </c>
      <c r="D531">
        <v>-6.39</v>
      </c>
      <c r="E531" t="s">
        <v>10</v>
      </c>
      <c r="F531">
        <v>241915.53</v>
      </c>
      <c r="G531" t="s">
        <v>792</v>
      </c>
    </row>
    <row r="532" spans="1:7" x14ac:dyDescent="0.25">
      <c r="A532" t="s">
        <v>6</v>
      </c>
      <c r="B532" s="1">
        <v>45806</v>
      </c>
      <c r="C532" t="s">
        <v>523</v>
      </c>
      <c r="D532">
        <v>-51.45</v>
      </c>
      <c r="E532" t="s">
        <v>10</v>
      </c>
      <c r="F532">
        <v>241921.92000000001</v>
      </c>
      <c r="G532" t="s">
        <v>765</v>
      </c>
    </row>
    <row r="533" spans="1:7" x14ac:dyDescent="0.25">
      <c r="A533" t="s">
        <v>6</v>
      </c>
      <c r="B533" s="1">
        <v>45806</v>
      </c>
      <c r="C533" t="s">
        <v>524</v>
      </c>
      <c r="D533">
        <v>-4.05</v>
      </c>
      <c r="E533" t="s">
        <v>10</v>
      </c>
      <c r="F533">
        <v>241973.37</v>
      </c>
      <c r="G533" t="s">
        <v>792</v>
      </c>
    </row>
    <row r="534" spans="1:7" x14ac:dyDescent="0.25">
      <c r="A534" t="s">
        <v>6</v>
      </c>
      <c r="B534" s="1">
        <v>45804</v>
      </c>
      <c r="C534" t="s">
        <v>525</v>
      </c>
      <c r="D534">
        <v>-16</v>
      </c>
      <c r="E534" t="s">
        <v>10</v>
      </c>
      <c r="F534">
        <v>241977.42</v>
      </c>
      <c r="G534" t="s">
        <v>792</v>
      </c>
    </row>
    <row r="535" spans="1:7" x14ac:dyDescent="0.25">
      <c r="A535" t="s">
        <v>6</v>
      </c>
      <c r="B535" s="1">
        <v>45804</v>
      </c>
      <c r="C535" t="s">
        <v>526</v>
      </c>
      <c r="D535">
        <v>-3.19</v>
      </c>
      <c r="E535" t="s">
        <v>10</v>
      </c>
      <c r="F535">
        <v>241993.42</v>
      </c>
      <c r="G535" t="s">
        <v>792</v>
      </c>
    </row>
    <row r="536" spans="1:7" x14ac:dyDescent="0.25">
      <c r="A536" t="s">
        <v>6</v>
      </c>
      <c r="B536" s="1">
        <v>45804</v>
      </c>
      <c r="C536" t="s">
        <v>527</v>
      </c>
      <c r="D536">
        <v>-30.89</v>
      </c>
      <c r="E536" t="s">
        <v>10</v>
      </c>
      <c r="F536">
        <v>241996.61</v>
      </c>
      <c r="G536" t="s">
        <v>765</v>
      </c>
    </row>
    <row r="537" spans="1:7" x14ac:dyDescent="0.25">
      <c r="A537" t="s">
        <v>6</v>
      </c>
      <c r="B537" s="1">
        <v>45804</v>
      </c>
      <c r="C537" t="s">
        <v>528</v>
      </c>
      <c r="D537">
        <v>-1000</v>
      </c>
      <c r="E537" t="s">
        <v>8</v>
      </c>
      <c r="F537">
        <v>242027.5</v>
      </c>
      <c r="G537" t="s">
        <v>785</v>
      </c>
    </row>
    <row r="538" spans="1:7" x14ac:dyDescent="0.25">
      <c r="A538" t="s">
        <v>6</v>
      </c>
      <c r="B538" s="1">
        <v>45798</v>
      </c>
      <c r="C538" t="s">
        <v>529</v>
      </c>
      <c r="D538">
        <v>-20000</v>
      </c>
      <c r="E538" t="s">
        <v>8</v>
      </c>
      <c r="F538">
        <v>243027.5</v>
      </c>
      <c r="G538" t="s">
        <v>776</v>
      </c>
    </row>
    <row r="539" spans="1:7" x14ac:dyDescent="0.25">
      <c r="A539" t="s">
        <v>6</v>
      </c>
      <c r="B539" s="1">
        <v>45798</v>
      </c>
      <c r="C539" t="s">
        <v>530</v>
      </c>
      <c r="D539">
        <v>-24.99</v>
      </c>
      <c r="E539" t="s">
        <v>10</v>
      </c>
      <c r="F539">
        <v>263027.5</v>
      </c>
      <c r="G539" t="s">
        <v>765</v>
      </c>
    </row>
    <row r="540" spans="1:7" x14ac:dyDescent="0.25">
      <c r="A540" t="s">
        <v>6</v>
      </c>
      <c r="B540" s="1">
        <v>45798</v>
      </c>
      <c r="C540" t="s">
        <v>531</v>
      </c>
      <c r="D540">
        <v>-46</v>
      </c>
      <c r="E540" t="s">
        <v>10</v>
      </c>
      <c r="F540">
        <v>263052.49</v>
      </c>
      <c r="G540" t="s">
        <v>766</v>
      </c>
    </row>
    <row r="541" spans="1:7" x14ac:dyDescent="0.25">
      <c r="A541" t="s">
        <v>6</v>
      </c>
      <c r="B541" s="1">
        <v>45797</v>
      </c>
      <c r="C541" t="s">
        <v>532</v>
      </c>
      <c r="D541">
        <v>-4.05</v>
      </c>
      <c r="E541" t="s">
        <v>10</v>
      </c>
      <c r="F541">
        <v>263098.49</v>
      </c>
      <c r="G541" t="s">
        <v>792</v>
      </c>
    </row>
    <row r="542" spans="1:7" x14ac:dyDescent="0.25">
      <c r="A542" t="s">
        <v>6</v>
      </c>
      <c r="B542" s="1">
        <v>45797</v>
      </c>
      <c r="C542" t="s">
        <v>533</v>
      </c>
      <c r="D542">
        <v>-26.68</v>
      </c>
      <c r="E542" t="s">
        <v>10</v>
      </c>
      <c r="F542">
        <v>263102.53999999998</v>
      </c>
      <c r="G542" t="s">
        <v>792</v>
      </c>
    </row>
    <row r="543" spans="1:7" x14ac:dyDescent="0.25">
      <c r="A543" t="s">
        <v>6</v>
      </c>
      <c r="B543" s="1">
        <v>45796</v>
      </c>
      <c r="C543" t="s">
        <v>534</v>
      </c>
      <c r="D543">
        <v>-4.26</v>
      </c>
      <c r="E543" t="s">
        <v>10</v>
      </c>
      <c r="F543">
        <v>263129.21999999997</v>
      </c>
      <c r="G543" t="s">
        <v>792</v>
      </c>
    </row>
    <row r="544" spans="1:7" x14ac:dyDescent="0.25">
      <c r="A544" t="s">
        <v>6</v>
      </c>
      <c r="B544" s="1">
        <v>45796</v>
      </c>
      <c r="C544" t="s">
        <v>535</v>
      </c>
      <c r="D544">
        <v>-4.05</v>
      </c>
      <c r="E544" t="s">
        <v>10</v>
      </c>
      <c r="F544">
        <v>263133.48</v>
      </c>
      <c r="G544" t="s">
        <v>792</v>
      </c>
    </row>
    <row r="545" spans="1:7" x14ac:dyDescent="0.25">
      <c r="A545" t="s">
        <v>6</v>
      </c>
      <c r="B545" s="1">
        <v>45796</v>
      </c>
      <c r="C545" t="s">
        <v>536</v>
      </c>
      <c r="D545">
        <v>-30.89</v>
      </c>
      <c r="E545" t="s">
        <v>10</v>
      </c>
      <c r="F545">
        <v>263137.53000000003</v>
      </c>
      <c r="G545" t="s">
        <v>765</v>
      </c>
    </row>
    <row r="546" spans="1:7" x14ac:dyDescent="0.25">
      <c r="A546" t="s">
        <v>6</v>
      </c>
      <c r="B546" s="1">
        <v>45793</v>
      </c>
      <c r="C546" t="s">
        <v>537</v>
      </c>
      <c r="D546">
        <v>-16.18</v>
      </c>
      <c r="E546" t="s">
        <v>10</v>
      </c>
      <c r="F546">
        <v>263168.42</v>
      </c>
      <c r="G546" t="s">
        <v>766</v>
      </c>
    </row>
    <row r="547" spans="1:7" x14ac:dyDescent="0.25">
      <c r="A547" t="s">
        <v>11</v>
      </c>
      <c r="B547" s="1">
        <v>45793</v>
      </c>
      <c r="C547" t="s">
        <v>538</v>
      </c>
      <c r="D547">
        <v>17500</v>
      </c>
      <c r="E547" t="s">
        <v>8</v>
      </c>
      <c r="F547">
        <v>263184.59999999998</v>
      </c>
      <c r="G547" t="s">
        <v>801</v>
      </c>
    </row>
    <row r="548" spans="1:7" x14ac:dyDescent="0.25">
      <c r="A548" t="s">
        <v>6</v>
      </c>
      <c r="B548" s="1">
        <v>45790</v>
      </c>
      <c r="C548" t="s">
        <v>539</v>
      </c>
      <c r="D548">
        <v>-17500</v>
      </c>
      <c r="E548" t="s">
        <v>8</v>
      </c>
      <c r="F548">
        <v>245684.6</v>
      </c>
      <c r="G548" t="s">
        <v>800</v>
      </c>
    </row>
    <row r="549" spans="1:7" x14ac:dyDescent="0.25">
      <c r="A549" t="s">
        <v>6</v>
      </c>
      <c r="B549" s="1">
        <v>45790</v>
      </c>
      <c r="C549" t="s">
        <v>540</v>
      </c>
      <c r="D549">
        <v>-10000</v>
      </c>
      <c r="E549" t="s">
        <v>8</v>
      </c>
      <c r="F549">
        <v>263184.59999999998</v>
      </c>
      <c r="G549" t="s">
        <v>776</v>
      </c>
    </row>
    <row r="550" spans="1:7" x14ac:dyDescent="0.25">
      <c r="A550" t="s">
        <v>6</v>
      </c>
      <c r="B550" s="1">
        <v>45789</v>
      </c>
      <c r="C550" t="s">
        <v>541</v>
      </c>
      <c r="D550">
        <v>-19.989999999999998</v>
      </c>
      <c r="E550" t="s">
        <v>10</v>
      </c>
      <c r="F550">
        <v>273184.59999999998</v>
      </c>
      <c r="G550" t="s">
        <v>765</v>
      </c>
    </row>
    <row r="551" spans="1:7" x14ac:dyDescent="0.25">
      <c r="A551" t="s">
        <v>6</v>
      </c>
      <c r="B551" s="1">
        <v>45789</v>
      </c>
      <c r="C551" t="s">
        <v>542</v>
      </c>
      <c r="D551">
        <v>-10.66</v>
      </c>
      <c r="E551" t="s">
        <v>10</v>
      </c>
      <c r="F551">
        <v>273204.59000000003</v>
      </c>
      <c r="G551" t="s">
        <v>792</v>
      </c>
    </row>
    <row r="552" spans="1:7" x14ac:dyDescent="0.25">
      <c r="A552" t="s">
        <v>6</v>
      </c>
      <c r="B552" s="1">
        <v>45789</v>
      </c>
      <c r="C552" t="s">
        <v>543</v>
      </c>
      <c r="D552">
        <v>-30.89</v>
      </c>
      <c r="E552" t="s">
        <v>10</v>
      </c>
      <c r="F552">
        <v>273215.25</v>
      </c>
      <c r="G552" t="s">
        <v>765</v>
      </c>
    </row>
    <row r="553" spans="1:7" x14ac:dyDescent="0.25">
      <c r="A553" t="s">
        <v>6</v>
      </c>
      <c r="B553" s="1">
        <v>45789</v>
      </c>
      <c r="C553" t="s">
        <v>544</v>
      </c>
      <c r="D553">
        <v>-16.46</v>
      </c>
      <c r="E553" t="s">
        <v>10</v>
      </c>
      <c r="F553">
        <v>273246.14</v>
      </c>
      <c r="G553" t="s">
        <v>766</v>
      </c>
    </row>
    <row r="554" spans="1:7" x14ac:dyDescent="0.25">
      <c r="A554" t="s">
        <v>6</v>
      </c>
      <c r="B554" s="1">
        <v>45789</v>
      </c>
      <c r="C554" t="s">
        <v>545</v>
      </c>
      <c r="D554">
        <v>-1.25</v>
      </c>
      <c r="E554" t="s">
        <v>10</v>
      </c>
      <c r="F554">
        <v>273262.59999999998</v>
      </c>
      <c r="G554" t="s">
        <v>783</v>
      </c>
    </row>
    <row r="555" spans="1:7" x14ac:dyDescent="0.25">
      <c r="A555" t="s">
        <v>6</v>
      </c>
      <c r="B555" s="1">
        <v>45786</v>
      </c>
      <c r="C555" t="s">
        <v>53</v>
      </c>
      <c r="D555">
        <v>-25</v>
      </c>
      <c r="E555" t="s">
        <v>14</v>
      </c>
      <c r="F555">
        <v>273263.84999999998</v>
      </c>
      <c r="G555" t="s">
        <v>784</v>
      </c>
    </row>
    <row r="556" spans="1:7" x14ac:dyDescent="0.25">
      <c r="A556" t="s">
        <v>6</v>
      </c>
      <c r="B556" s="1">
        <v>45786</v>
      </c>
      <c r="C556" t="s">
        <v>546</v>
      </c>
      <c r="D556">
        <v>-2500</v>
      </c>
      <c r="E556" t="s">
        <v>47</v>
      </c>
      <c r="F556">
        <v>273288.84999999998</v>
      </c>
      <c r="G556" t="s">
        <v>786</v>
      </c>
    </row>
    <row r="557" spans="1:7" x14ac:dyDescent="0.25">
      <c r="A557" t="s">
        <v>6</v>
      </c>
      <c r="B557" s="1">
        <v>45786</v>
      </c>
      <c r="C557" t="s">
        <v>547</v>
      </c>
      <c r="D557">
        <v>-21.34</v>
      </c>
      <c r="E557" t="s">
        <v>10</v>
      </c>
      <c r="F557">
        <v>275788.84999999998</v>
      </c>
      <c r="G557" t="s">
        <v>792</v>
      </c>
    </row>
    <row r="558" spans="1:7" x14ac:dyDescent="0.25">
      <c r="A558" t="s">
        <v>6</v>
      </c>
      <c r="B558" s="1">
        <v>45785</v>
      </c>
      <c r="C558" t="s">
        <v>548</v>
      </c>
      <c r="D558">
        <v>-148.06</v>
      </c>
      <c r="E558" t="s">
        <v>10</v>
      </c>
      <c r="F558">
        <v>275810.19</v>
      </c>
      <c r="G558" t="s">
        <v>766</v>
      </c>
    </row>
    <row r="559" spans="1:7" x14ac:dyDescent="0.25">
      <c r="A559" t="s">
        <v>11</v>
      </c>
      <c r="B559" s="1">
        <v>45785</v>
      </c>
      <c r="C559" t="s">
        <v>549</v>
      </c>
      <c r="D559">
        <v>356.38</v>
      </c>
      <c r="E559" t="s">
        <v>50</v>
      </c>
      <c r="F559">
        <v>275958.25</v>
      </c>
      <c r="G559" t="s">
        <v>769</v>
      </c>
    </row>
    <row r="560" spans="1:7" x14ac:dyDescent="0.25">
      <c r="A560" t="s">
        <v>6</v>
      </c>
      <c r="B560" s="1">
        <v>45784</v>
      </c>
      <c r="C560" t="s">
        <v>550</v>
      </c>
      <c r="D560">
        <v>-10000</v>
      </c>
      <c r="E560" t="s">
        <v>8</v>
      </c>
      <c r="F560">
        <v>275601.87</v>
      </c>
      <c r="G560" t="s">
        <v>776</v>
      </c>
    </row>
    <row r="561" spans="1:7" x14ac:dyDescent="0.25">
      <c r="A561" t="s">
        <v>6</v>
      </c>
      <c r="B561" s="1">
        <v>45784</v>
      </c>
      <c r="C561" t="s">
        <v>551</v>
      </c>
      <c r="D561">
        <v>-9.99</v>
      </c>
      <c r="E561" t="s">
        <v>10</v>
      </c>
      <c r="F561">
        <v>285601.87</v>
      </c>
      <c r="G561" t="s">
        <v>765</v>
      </c>
    </row>
    <row r="562" spans="1:7" x14ac:dyDescent="0.25">
      <c r="A562" t="s">
        <v>11</v>
      </c>
      <c r="B562" s="1">
        <v>45784</v>
      </c>
      <c r="C562" t="s">
        <v>552</v>
      </c>
      <c r="D562">
        <v>236.37</v>
      </c>
      <c r="E562" t="s">
        <v>50</v>
      </c>
      <c r="F562">
        <v>285611.86</v>
      </c>
      <c r="G562" t="s">
        <v>773</v>
      </c>
    </row>
    <row r="563" spans="1:7" x14ac:dyDescent="0.25">
      <c r="A563" t="s">
        <v>11</v>
      </c>
      <c r="B563" s="1">
        <v>45784</v>
      </c>
      <c r="C563" t="s">
        <v>553</v>
      </c>
      <c r="D563">
        <v>350</v>
      </c>
      <c r="E563" t="s">
        <v>50</v>
      </c>
      <c r="F563">
        <v>285375.49</v>
      </c>
      <c r="G563" t="s">
        <v>774</v>
      </c>
    </row>
    <row r="564" spans="1:7" x14ac:dyDescent="0.25">
      <c r="A564" t="s">
        <v>11</v>
      </c>
      <c r="B564" s="1">
        <v>45784</v>
      </c>
      <c r="C564" t="s">
        <v>554</v>
      </c>
      <c r="D564">
        <v>476.41</v>
      </c>
      <c r="E564" t="s">
        <v>50</v>
      </c>
      <c r="F564">
        <v>285025.49</v>
      </c>
      <c r="G564" t="s">
        <v>775</v>
      </c>
    </row>
    <row r="565" spans="1:7" x14ac:dyDescent="0.25">
      <c r="A565" t="s">
        <v>6</v>
      </c>
      <c r="B565" s="1">
        <v>45783</v>
      </c>
      <c r="C565" t="s">
        <v>555</v>
      </c>
      <c r="D565">
        <v>-2</v>
      </c>
      <c r="E565" t="s">
        <v>10</v>
      </c>
      <c r="F565">
        <v>284549.08</v>
      </c>
      <c r="G565" t="s">
        <v>783</v>
      </c>
    </row>
    <row r="566" spans="1:7" x14ac:dyDescent="0.25">
      <c r="A566" t="s">
        <v>6</v>
      </c>
      <c r="B566" s="1">
        <v>45782</v>
      </c>
      <c r="C566" t="s">
        <v>556</v>
      </c>
      <c r="D566">
        <v>-8226.61</v>
      </c>
      <c r="E566" t="s">
        <v>45</v>
      </c>
      <c r="F566">
        <v>284551.08</v>
      </c>
      <c r="G566" t="s">
        <v>767</v>
      </c>
    </row>
    <row r="567" spans="1:7" x14ac:dyDescent="0.25">
      <c r="A567" t="s">
        <v>6</v>
      </c>
      <c r="B567" s="1">
        <v>45782</v>
      </c>
      <c r="C567" t="s">
        <v>557</v>
      </c>
      <c r="D567">
        <v>-6.39</v>
      </c>
      <c r="E567" t="s">
        <v>10</v>
      </c>
      <c r="F567">
        <v>292777.69</v>
      </c>
      <c r="G567" t="s">
        <v>792</v>
      </c>
    </row>
    <row r="568" spans="1:7" x14ac:dyDescent="0.25">
      <c r="A568" t="s">
        <v>6</v>
      </c>
      <c r="B568" s="1">
        <v>45782</v>
      </c>
      <c r="C568" t="s">
        <v>558</v>
      </c>
      <c r="D568">
        <v>-4.26</v>
      </c>
      <c r="E568" t="s">
        <v>10</v>
      </c>
      <c r="F568">
        <v>292784.08</v>
      </c>
      <c r="G568" t="s">
        <v>792</v>
      </c>
    </row>
    <row r="569" spans="1:7" x14ac:dyDescent="0.25">
      <c r="A569" t="s">
        <v>6</v>
      </c>
      <c r="B569" s="1">
        <v>45779</v>
      </c>
      <c r="C569" t="s">
        <v>559</v>
      </c>
      <c r="D569">
        <v>-24.76</v>
      </c>
      <c r="E569" t="s">
        <v>10</v>
      </c>
      <c r="F569">
        <v>292788.34000000003</v>
      </c>
      <c r="G569" t="s">
        <v>792</v>
      </c>
    </row>
    <row r="570" spans="1:7" x14ac:dyDescent="0.25">
      <c r="A570" t="s">
        <v>6</v>
      </c>
      <c r="B570" s="1">
        <v>45778</v>
      </c>
      <c r="C570" t="s">
        <v>560</v>
      </c>
      <c r="D570">
        <v>-27.05</v>
      </c>
      <c r="E570" t="s">
        <v>10</v>
      </c>
      <c r="F570">
        <v>292813.09999999998</v>
      </c>
      <c r="G570" t="s">
        <v>765</v>
      </c>
    </row>
    <row r="571" spans="1:7" x14ac:dyDescent="0.25">
      <c r="A571" t="s">
        <v>6</v>
      </c>
      <c r="B571" s="1">
        <v>45776</v>
      </c>
      <c r="C571" t="s">
        <v>561</v>
      </c>
      <c r="D571">
        <v>-30000</v>
      </c>
      <c r="E571" t="s">
        <v>8</v>
      </c>
      <c r="F571">
        <v>292840.15000000002</v>
      </c>
      <c r="G571" t="s">
        <v>776</v>
      </c>
    </row>
    <row r="572" spans="1:7" x14ac:dyDescent="0.25">
      <c r="A572" t="s">
        <v>6</v>
      </c>
      <c r="B572" s="1">
        <v>45776</v>
      </c>
      <c r="C572" t="s">
        <v>562</v>
      </c>
      <c r="D572">
        <v>-51.45</v>
      </c>
      <c r="E572" t="s">
        <v>10</v>
      </c>
      <c r="F572">
        <v>322840.15000000002</v>
      </c>
      <c r="G572" t="s">
        <v>765</v>
      </c>
    </row>
    <row r="573" spans="1:7" x14ac:dyDescent="0.25">
      <c r="A573" t="s">
        <v>6</v>
      </c>
      <c r="B573" s="1">
        <v>45775</v>
      </c>
      <c r="C573" t="s">
        <v>563</v>
      </c>
      <c r="D573">
        <v>-2222.92</v>
      </c>
      <c r="E573" t="s">
        <v>45</v>
      </c>
      <c r="F573">
        <v>322891.59999999998</v>
      </c>
      <c r="G573" t="s">
        <v>767</v>
      </c>
    </row>
    <row r="574" spans="1:7" x14ac:dyDescent="0.25">
      <c r="A574" t="s">
        <v>6</v>
      </c>
      <c r="B574" s="1">
        <v>45775</v>
      </c>
      <c r="C574" t="s">
        <v>564</v>
      </c>
      <c r="D574">
        <v>-40000</v>
      </c>
      <c r="E574" t="s">
        <v>45</v>
      </c>
      <c r="F574">
        <v>325114.52</v>
      </c>
      <c r="G574" t="s">
        <v>767</v>
      </c>
    </row>
    <row r="575" spans="1:7" x14ac:dyDescent="0.25">
      <c r="A575" t="s">
        <v>6</v>
      </c>
      <c r="B575" s="1">
        <v>45775</v>
      </c>
      <c r="C575" t="s">
        <v>565</v>
      </c>
      <c r="D575">
        <v>-20.74</v>
      </c>
      <c r="E575" t="s">
        <v>10</v>
      </c>
      <c r="F575">
        <v>365114.52</v>
      </c>
      <c r="G575" t="s">
        <v>766</v>
      </c>
    </row>
    <row r="576" spans="1:7" x14ac:dyDescent="0.25">
      <c r="A576" t="s">
        <v>6</v>
      </c>
      <c r="B576" s="1">
        <v>45775</v>
      </c>
      <c r="C576" t="s">
        <v>566</v>
      </c>
      <c r="D576">
        <v>-3.19</v>
      </c>
      <c r="E576" t="s">
        <v>10</v>
      </c>
      <c r="F576">
        <v>365135.26</v>
      </c>
      <c r="G576" t="s">
        <v>792</v>
      </c>
    </row>
    <row r="577" spans="1:7" x14ac:dyDescent="0.25">
      <c r="A577" t="s">
        <v>6</v>
      </c>
      <c r="B577" s="1">
        <v>45775</v>
      </c>
      <c r="C577" t="s">
        <v>567</v>
      </c>
      <c r="D577">
        <v>-30.89</v>
      </c>
      <c r="E577" t="s">
        <v>10</v>
      </c>
      <c r="F577">
        <v>365138.45</v>
      </c>
      <c r="G577" t="s">
        <v>765</v>
      </c>
    </row>
    <row r="578" spans="1:7" x14ac:dyDescent="0.25">
      <c r="A578" t="s">
        <v>11</v>
      </c>
      <c r="B578" s="1">
        <v>45775</v>
      </c>
      <c r="C578" t="s">
        <v>568</v>
      </c>
      <c r="D578">
        <v>26775</v>
      </c>
      <c r="E578" t="s">
        <v>52</v>
      </c>
      <c r="F578">
        <v>365169.34</v>
      </c>
      <c r="G578" t="s">
        <v>798</v>
      </c>
    </row>
    <row r="579" spans="1:7" x14ac:dyDescent="0.25">
      <c r="A579" t="s">
        <v>11</v>
      </c>
      <c r="B579" s="1">
        <v>45775</v>
      </c>
      <c r="C579" t="s">
        <v>569</v>
      </c>
      <c r="D579">
        <v>107100</v>
      </c>
      <c r="E579" t="s">
        <v>52</v>
      </c>
      <c r="F579">
        <v>338394.34</v>
      </c>
      <c r="G579" t="s">
        <v>798</v>
      </c>
    </row>
    <row r="580" spans="1:7" x14ac:dyDescent="0.25">
      <c r="A580" t="s">
        <v>6</v>
      </c>
      <c r="B580" s="1">
        <v>45770</v>
      </c>
      <c r="C580" t="s">
        <v>570</v>
      </c>
      <c r="D580">
        <v>-16</v>
      </c>
      <c r="E580" t="s">
        <v>10</v>
      </c>
      <c r="F580">
        <v>231294.34</v>
      </c>
      <c r="G580" t="s">
        <v>792</v>
      </c>
    </row>
    <row r="581" spans="1:7" x14ac:dyDescent="0.25">
      <c r="A581" t="s">
        <v>6</v>
      </c>
      <c r="B581" s="1">
        <v>45768</v>
      </c>
      <c r="C581" t="s">
        <v>571</v>
      </c>
      <c r="D581">
        <v>-30000</v>
      </c>
      <c r="E581" t="s">
        <v>8</v>
      </c>
      <c r="F581">
        <v>231310.34</v>
      </c>
      <c r="G581" t="s">
        <v>768</v>
      </c>
    </row>
    <row r="582" spans="1:7" x14ac:dyDescent="0.25">
      <c r="A582" t="s">
        <v>6</v>
      </c>
      <c r="B582" s="1">
        <v>45768</v>
      </c>
      <c r="C582" t="s">
        <v>572</v>
      </c>
      <c r="D582">
        <v>-24.99</v>
      </c>
      <c r="E582" t="s">
        <v>10</v>
      </c>
      <c r="F582">
        <v>261310.34</v>
      </c>
      <c r="G582" t="s">
        <v>765</v>
      </c>
    </row>
    <row r="583" spans="1:7" x14ac:dyDescent="0.25">
      <c r="A583" t="s">
        <v>6</v>
      </c>
      <c r="B583" s="1">
        <v>45768</v>
      </c>
      <c r="C583" t="s">
        <v>573</v>
      </c>
      <c r="D583">
        <v>-159.99</v>
      </c>
      <c r="E583" t="s">
        <v>10</v>
      </c>
      <c r="F583">
        <v>261335.33</v>
      </c>
      <c r="G583" t="s">
        <v>766</v>
      </c>
    </row>
    <row r="584" spans="1:7" x14ac:dyDescent="0.25">
      <c r="A584" t="s">
        <v>6</v>
      </c>
      <c r="B584" s="1">
        <v>45768</v>
      </c>
      <c r="C584" t="s">
        <v>574</v>
      </c>
      <c r="D584">
        <v>-30.89</v>
      </c>
      <c r="E584" t="s">
        <v>10</v>
      </c>
      <c r="F584">
        <v>261495.32</v>
      </c>
      <c r="G584" t="s">
        <v>765</v>
      </c>
    </row>
    <row r="585" spans="1:7" x14ac:dyDescent="0.25">
      <c r="A585" t="s">
        <v>6</v>
      </c>
      <c r="B585" s="1">
        <v>45763</v>
      </c>
      <c r="C585" t="s">
        <v>575</v>
      </c>
      <c r="D585">
        <v>-16.18</v>
      </c>
      <c r="E585" t="s">
        <v>10</v>
      </c>
      <c r="F585">
        <v>261526.21</v>
      </c>
      <c r="G585" t="s">
        <v>766</v>
      </c>
    </row>
    <row r="586" spans="1:7" x14ac:dyDescent="0.25">
      <c r="A586" t="s">
        <v>6</v>
      </c>
      <c r="B586" s="1">
        <v>45761</v>
      </c>
      <c r="C586" t="s">
        <v>576</v>
      </c>
      <c r="D586">
        <v>-30.89</v>
      </c>
      <c r="E586" t="s">
        <v>10</v>
      </c>
      <c r="F586">
        <v>261542.39</v>
      </c>
      <c r="G586" t="s">
        <v>765</v>
      </c>
    </row>
    <row r="587" spans="1:7" x14ac:dyDescent="0.25">
      <c r="A587" t="s">
        <v>6</v>
      </c>
      <c r="B587" s="1">
        <v>45761</v>
      </c>
      <c r="C587" t="s">
        <v>577</v>
      </c>
      <c r="D587">
        <v>-19.989999999999998</v>
      </c>
      <c r="E587" t="s">
        <v>10</v>
      </c>
      <c r="F587">
        <v>261573.28</v>
      </c>
      <c r="G587" t="s">
        <v>765</v>
      </c>
    </row>
    <row r="588" spans="1:7" x14ac:dyDescent="0.25">
      <c r="A588" t="s">
        <v>6</v>
      </c>
      <c r="B588" s="1">
        <v>45758</v>
      </c>
      <c r="C588" t="s">
        <v>578</v>
      </c>
      <c r="D588">
        <v>-0.23</v>
      </c>
      <c r="E588" t="s">
        <v>14</v>
      </c>
      <c r="F588">
        <v>261593.27</v>
      </c>
      <c r="G588" t="s">
        <v>797</v>
      </c>
    </row>
    <row r="589" spans="1:7" x14ac:dyDescent="0.25">
      <c r="A589" t="s">
        <v>6</v>
      </c>
      <c r="B589" s="1">
        <v>45758</v>
      </c>
      <c r="C589" t="s">
        <v>579</v>
      </c>
      <c r="D589">
        <v>-2.44</v>
      </c>
      <c r="E589" t="s">
        <v>14</v>
      </c>
      <c r="F589">
        <v>261593.5</v>
      </c>
      <c r="G589" t="s">
        <v>797</v>
      </c>
    </row>
    <row r="590" spans="1:7" x14ac:dyDescent="0.25">
      <c r="A590" t="s">
        <v>6</v>
      </c>
      <c r="B590" s="1">
        <v>45758</v>
      </c>
      <c r="C590" t="s">
        <v>580</v>
      </c>
      <c r="D590">
        <v>-7.77</v>
      </c>
      <c r="E590" t="s">
        <v>10</v>
      </c>
      <c r="F590">
        <v>261595.94</v>
      </c>
      <c r="G590" t="s">
        <v>797</v>
      </c>
    </row>
    <row r="591" spans="1:7" x14ac:dyDescent="0.25">
      <c r="A591" t="s">
        <v>6</v>
      </c>
      <c r="B591" s="1">
        <v>45758</v>
      </c>
      <c r="C591" t="s">
        <v>581</v>
      </c>
      <c r="D591">
        <v>-81.569999999999993</v>
      </c>
      <c r="E591" t="s">
        <v>10</v>
      </c>
      <c r="F591">
        <v>261603.71</v>
      </c>
      <c r="G591" t="s">
        <v>797</v>
      </c>
    </row>
    <row r="592" spans="1:7" x14ac:dyDescent="0.25">
      <c r="A592" t="s">
        <v>6</v>
      </c>
      <c r="B592" s="1">
        <v>45757</v>
      </c>
      <c r="C592" t="s">
        <v>582</v>
      </c>
      <c r="D592">
        <v>-0.17</v>
      </c>
      <c r="E592" t="s">
        <v>14</v>
      </c>
      <c r="F592">
        <v>261685.28</v>
      </c>
      <c r="G592" t="s">
        <v>797</v>
      </c>
    </row>
    <row r="593" spans="1:7" x14ac:dyDescent="0.25">
      <c r="A593" t="s">
        <v>6</v>
      </c>
      <c r="B593" s="1">
        <v>45757</v>
      </c>
      <c r="C593" t="s">
        <v>583</v>
      </c>
      <c r="D593">
        <v>-5.94</v>
      </c>
      <c r="E593" t="s">
        <v>10</v>
      </c>
      <c r="F593">
        <v>261685.45</v>
      </c>
      <c r="G593" t="s">
        <v>797</v>
      </c>
    </row>
    <row r="594" spans="1:7" x14ac:dyDescent="0.25">
      <c r="A594" t="s">
        <v>6</v>
      </c>
      <c r="B594" s="1">
        <v>45756</v>
      </c>
      <c r="C594" t="s">
        <v>584</v>
      </c>
      <c r="D594">
        <v>-1.1499999999999999</v>
      </c>
      <c r="E594" t="s">
        <v>14</v>
      </c>
      <c r="F594">
        <v>261691.39</v>
      </c>
      <c r="G594" t="s">
        <v>797</v>
      </c>
    </row>
    <row r="595" spans="1:7" x14ac:dyDescent="0.25">
      <c r="A595" t="s">
        <v>6</v>
      </c>
      <c r="B595" s="1">
        <v>45756</v>
      </c>
      <c r="C595" t="s">
        <v>585</v>
      </c>
      <c r="D595">
        <v>-4.3499999999999996</v>
      </c>
      <c r="E595" t="s">
        <v>14</v>
      </c>
      <c r="F595">
        <v>261692.54</v>
      </c>
      <c r="G595" t="s">
        <v>797</v>
      </c>
    </row>
    <row r="596" spans="1:7" x14ac:dyDescent="0.25">
      <c r="A596" t="s">
        <v>6</v>
      </c>
      <c r="B596" s="1">
        <v>45756</v>
      </c>
      <c r="C596" t="s">
        <v>53</v>
      </c>
      <c r="D596">
        <v>-25</v>
      </c>
      <c r="E596" t="s">
        <v>14</v>
      </c>
      <c r="F596">
        <v>261696.89</v>
      </c>
      <c r="G596" t="s">
        <v>784</v>
      </c>
    </row>
    <row r="597" spans="1:7" x14ac:dyDescent="0.25">
      <c r="A597" t="s">
        <v>6</v>
      </c>
      <c r="B597" s="1">
        <v>45756</v>
      </c>
      <c r="C597" t="s">
        <v>586</v>
      </c>
      <c r="D597">
        <v>-50000</v>
      </c>
      <c r="E597" t="s">
        <v>47</v>
      </c>
      <c r="F597">
        <v>261721.89</v>
      </c>
      <c r="G597" t="s">
        <v>799</v>
      </c>
    </row>
    <row r="598" spans="1:7" x14ac:dyDescent="0.25">
      <c r="A598" t="s">
        <v>6</v>
      </c>
      <c r="B598" s="1">
        <v>45756</v>
      </c>
      <c r="C598" t="s">
        <v>587</v>
      </c>
      <c r="D598">
        <v>-145.33000000000001</v>
      </c>
      <c r="E598" t="s">
        <v>10</v>
      </c>
      <c r="F598">
        <v>311721.89</v>
      </c>
      <c r="G598" t="s">
        <v>797</v>
      </c>
    </row>
    <row r="599" spans="1:7" x14ac:dyDescent="0.25">
      <c r="A599" t="s">
        <v>6</v>
      </c>
      <c r="B599" s="1">
        <v>45756</v>
      </c>
      <c r="C599" t="s">
        <v>588</v>
      </c>
      <c r="D599">
        <v>-38.35</v>
      </c>
      <c r="E599" t="s">
        <v>10</v>
      </c>
      <c r="F599">
        <v>311867.21999999997</v>
      </c>
      <c r="G599" t="s">
        <v>797</v>
      </c>
    </row>
    <row r="600" spans="1:7" x14ac:dyDescent="0.25">
      <c r="A600" t="s">
        <v>11</v>
      </c>
      <c r="B600" s="1">
        <v>45756</v>
      </c>
      <c r="C600" t="s">
        <v>589</v>
      </c>
      <c r="D600">
        <v>50000</v>
      </c>
      <c r="E600" t="s">
        <v>8</v>
      </c>
      <c r="F600">
        <v>311905.57</v>
      </c>
      <c r="G600" t="s">
        <v>821</v>
      </c>
    </row>
    <row r="601" spans="1:7" x14ac:dyDescent="0.25">
      <c r="A601" t="s">
        <v>6</v>
      </c>
      <c r="B601" s="1">
        <v>45755</v>
      </c>
      <c r="C601" t="s">
        <v>590</v>
      </c>
      <c r="D601">
        <v>-0.1</v>
      </c>
      <c r="E601" t="s">
        <v>14</v>
      </c>
      <c r="F601">
        <v>261905.57</v>
      </c>
      <c r="G601" t="s">
        <v>797</v>
      </c>
    </row>
    <row r="602" spans="1:7" x14ac:dyDescent="0.25">
      <c r="A602" t="s">
        <v>6</v>
      </c>
      <c r="B602" s="1">
        <v>45755</v>
      </c>
      <c r="C602" t="s">
        <v>591</v>
      </c>
      <c r="D602">
        <v>-0.14000000000000001</v>
      </c>
      <c r="E602" t="s">
        <v>14</v>
      </c>
      <c r="F602">
        <v>261905.67</v>
      </c>
      <c r="G602" t="s">
        <v>797</v>
      </c>
    </row>
    <row r="603" spans="1:7" x14ac:dyDescent="0.25">
      <c r="A603" t="s">
        <v>6</v>
      </c>
      <c r="B603" s="1">
        <v>45755</v>
      </c>
      <c r="C603" t="s">
        <v>592</v>
      </c>
      <c r="D603">
        <v>-0.27</v>
      </c>
      <c r="E603" t="s">
        <v>14</v>
      </c>
      <c r="F603">
        <v>261905.81</v>
      </c>
      <c r="G603" t="s">
        <v>797</v>
      </c>
    </row>
    <row r="604" spans="1:7" x14ac:dyDescent="0.25">
      <c r="A604" t="s">
        <v>6</v>
      </c>
      <c r="B604" s="1">
        <v>45755</v>
      </c>
      <c r="C604" t="s">
        <v>593</v>
      </c>
      <c r="D604">
        <v>-2.99</v>
      </c>
      <c r="E604" t="s">
        <v>14</v>
      </c>
      <c r="F604">
        <v>261906.08</v>
      </c>
      <c r="G604" t="s">
        <v>797</v>
      </c>
    </row>
    <row r="605" spans="1:7" x14ac:dyDescent="0.25">
      <c r="A605" t="s">
        <v>6</v>
      </c>
      <c r="B605" s="1">
        <v>45755</v>
      </c>
      <c r="C605" t="s">
        <v>594</v>
      </c>
      <c r="D605">
        <v>-3.29</v>
      </c>
      <c r="E605" t="s">
        <v>14</v>
      </c>
      <c r="F605">
        <v>261909.07</v>
      </c>
      <c r="G605" t="s">
        <v>797</v>
      </c>
    </row>
    <row r="606" spans="1:7" x14ac:dyDescent="0.25">
      <c r="A606" t="s">
        <v>6</v>
      </c>
      <c r="B606" s="1">
        <v>45755</v>
      </c>
      <c r="C606" t="s">
        <v>595</v>
      </c>
      <c r="D606">
        <v>-99.99</v>
      </c>
      <c r="E606" t="s">
        <v>10</v>
      </c>
      <c r="F606">
        <v>261912.36</v>
      </c>
      <c r="G606" t="s">
        <v>797</v>
      </c>
    </row>
    <row r="607" spans="1:7" x14ac:dyDescent="0.25">
      <c r="A607" t="s">
        <v>6</v>
      </c>
      <c r="B607" s="1">
        <v>45755</v>
      </c>
      <c r="C607" t="s">
        <v>596</v>
      </c>
      <c r="D607">
        <v>-9.11</v>
      </c>
      <c r="E607" t="s">
        <v>10</v>
      </c>
      <c r="F607">
        <v>262012.35</v>
      </c>
      <c r="G607" t="s">
        <v>797</v>
      </c>
    </row>
    <row r="608" spans="1:7" x14ac:dyDescent="0.25">
      <c r="A608" t="s">
        <v>6</v>
      </c>
      <c r="B608" s="1">
        <v>45755</v>
      </c>
      <c r="C608" t="s">
        <v>597</v>
      </c>
      <c r="D608">
        <v>-3.56</v>
      </c>
      <c r="E608" t="s">
        <v>10</v>
      </c>
      <c r="F608">
        <v>262021.46</v>
      </c>
      <c r="G608" t="s">
        <v>797</v>
      </c>
    </row>
    <row r="609" spans="1:7" x14ac:dyDescent="0.25">
      <c r="A609" t="s">
        <v>6</v>
      </c>
      <c r="B609" s="1">
        <v>45755</v>
      </c>
      <c r="C609" t="s">
        <v>598</v>
      </c>
      <c r="D609">
        <v>-4.78</v>
      </c>
      <c r="E609" t="s">
        <v>10</v>
      </c>
      <c r="F609">
        <v>262025.02</v>
      </c>
      <c r="G609" t="s">
        <v>797</v>
      </c>
    </row>
    <row r="610" spans="1:7" x14ac:dyDescent="0.25">
      <c r="A610" t="s">
        <v>6</v>
      </c>
      <c r="B610" s="1">
        <v>45755</v>
      </c>
      <c r="C610" t="s">
        <v>599</v>
      </c>
      <c r="D610">
        <v>-109.99</v>
      </c>
      <c r="E610" t="s">
        <v>10</v>
      </c>
      <c r="F610">
        <v>262029.8</v>
      </c>
      <c r="G610" t="s">
        <v>797</v>
      </c>
    </row>
    <row r="611" spans="1:7" x14ac:dyDescent="0.25">
      <c r="A611" t="s">
        <v>11</v>
      </c>
      <c r="B611" s="1">
        <v>45755</v>
      </c>
      <c r="C611" t="s">
        <v>600</v>
      </c>
      <c r="D611">
        <v>236.37</v>
      </c>
      <c r="E611" t="s">
        <v>50</v>
      </c>
      <c r="F611">
        <v>262139.79</v>
      </c>
      <c r="G611" t="s">
        <v>773</v>
      </c>
    </row>
    <row r="612" spans="1:7" x14ac:dyDescent="0.25">
      <c r="A612" t="s">
        <v>11</v>
      </c>
      <c r="B612" s="1">
        <v>45755</v>
      </c>
      <c r="C612" t="s">
        <v>601</v>
      </c>
      <c r="D612">
        <v>350</v>
      </c>
      <c r="E612" t="s">
        <v>50</v>
      </c>
      <c r="F612">
        <v>261903.42</v>
      </c>
      <c r="G612" t="s">
        <v>774</v>
      </c>
    </row>
    <row r="613" spans="1:7" x14ac:dyDescent="0.25">
      <c r="A613" t="s">
        <v>11</v>
      </c>
      <c r="B613" s="1">
        <v>45755</v>
      </c>
      <c r="C613" t="s">
        <v>602</v>
      </c>
      <c r="D613">
        <v>356.38</v>
      </c>
      <c r="E613" t="s">
        <v>50</v>
      </c>
      <c r="F613">
        <v>261553.42</v>
      </c>
      <c r="G613" t="s">
        <v>769</v>
      </c>
    </row>
    <row r="614" spans="1:7" x14ac:dyDescent="0.25">
      <c r="A614" t="s">
        <v>11</v>
      </c>
      <c r="B614" s="1">
        <v>45755</v>
      </c>
      <c r="C614" t="s">
        <v>603</v>
      </c>
      <c r="D614">
        <v>476.41</v>
      </c>
      <c r="E614" t="s">
        <v>50</v>
      </c>
      <c r="F614">
        <v>261197.04</v>
      </c>
      <c r="G614" t="s">
        <v>775</v>
      </c>
    </row>
    <row r="615" spans="1:7" x14ac:dyDescent="0.25">
      <c r="A615" t="s">
        <v>6</v>
      </c>
      <c r="B615" s="1">
        <v>45754</v>
      </c>
      <c r="C615" t="s">
        <v>604</v>
      </c>
      <c r="D615">
        <v>-9.99</v>
      </c>
      <c r="E615" t="s">
        <v>10</v>
      </c>
      <c r="F615">
        <v>260720.63</v>
      </c>
      <c r="G615" t="s">
        <v>765</v>
      </c>
    </row>
    <row r="616" spans="1:7" x14ac:dyDescent="0.25">
      <c r="A616" t="s">
        <v>6</v>
      </c>
      <c r="B616" s="1">
        <v>45754</v>
      </c>
      <c r="C616" t="s">
        <v>604</v>
      </c>
      <c r="D616">
        <v>-30.89</v>
      </c>
      <c r="E616" t="s">
        <v>10</v>
      </c>
      <c r="F616">
        <v>260730.62</v>
      </c>
      <c r="G616" t="s">
        <v>765</v>
      </c>
    </row>
    <row r="617" spans="1:7" x14ac:dyDescent="0.25">
      <c r="A617" t="s">
        <v>6</v>
      </c>
      <c r="B617" s="1">
        <v>45750</v>
      </c>
      <c r="C617" t="s">
        <v>605</v>
      </c>
      <c r="D617">
        <v>-0.84</v>
      </c>
      <c r="E617" t="s">
        <v>14</v>
      </c>
      <c r="F617">
        <v>260761.51</v>
      </c>
      <c r="G617" t="s">
        <v>797</v>
      </c>
    </row>
    <row r="618" spans="1:7" x14ac:dyDescent="0.25">
      <c r="A618" t="s">
        <v>6</v>
      </c>
      <c r="B618" s="1">
        <v>45750</v>
      </c>
      <c r="C618" t="s">
        <v>606</v>
      </c>
      <c r="D618">
        <v>-1.79</v>
      </c>
      <c r="E618" t="s">
        <v>14</v>
      </c>
      <c r="F618">
        <v>260762.35</v>
      </c>
      <c r="G618" t="s">
        <v>797</v>
      </c>
    </row>
    <row r="619" spans="1:7" x14ac:dyDescent="0.25">
      <c r="A619" t="s">
        <v>6</v>
      </c>
      <c r="B619" s="1">
        <v>45750</v>
      </c>
      <c r="C619" t="s">
        <v>607</v>
      </c>
      <c r="D619">
        <v>-3.89</v>
      </c>
      <c r="E619" t="s">
        <v>14</v>
      </c>
      <c r="F619">
        <v>260764.14</v>
      </c>
      <c r="G619" t="s">
        <v>797</v>
      </c>
    </row>
    <row r="620" spans="1:7" x14ac:dyDescent="0.25">
      <c r="A620" t="s">
        <v>6</v>
      </c>
      <c r="B620" s="1">
        <v>45750</v>
      </c>
      <c r="C620" t="s">
        <v>608</v>
      </c>
      <c r="D620">
        <v>-59.68</v>
      </c>
      <c r="E620" t="s">
        <v>10</v>
      </c>
      <c r="F620">
        <v>260768.03</v>
      </c>
      <c r="G620" t="s">
        <v>797</v>
      </c>
    </row>
    <row r="621" spans="1:7" x14ac:dyDescent="0.25">
      <c r="A621" t="s">
        <v>6</v>
      </c>
      <c r="B621" s="1">
        <v>45750</v>
      </c>
      <c r="C621" t="s">
        <v>609</v>
      </c>
      <c r="D621">
        <v>-28.16</v>
      </c>
      <c r="E621" t="s">
        <v>10</v>
      </c>
      <c r="F621">
        <v>260827.71</v>
      </c>
      <c r="G621" t="s">
        <v>797</v>
      </c>
    </row>
    <row r="622" spans="1:7" x14ac:dyDescent="0.25">
      <c r="A622" t="s">
        <v>6</v>
      </c>
      <c r="B622" s="1">
        <v>45750</v>
      </c>
      <c r="C622" t="s">
        <v>610</v>
      </c>
      <c r="D622">
        <v>-129.97999999999999</v>
      </c>
      <c r="E622" t="s">
        <v>10</v>
      </c>
      <c r="F622">
        <v>260855.87</v>
      </c>
      <c r="G622" t="s">
        <v>797</v>
      </c>
    </row>
    <row r="623" spans="1:7" x14ac:dyDescent="0.25">
      <c r="A623" t="s">
        <v>6</v>
      </c>
      <c r="B623" s="1">
        <v>45749</v>
      </c>
      <c r="C623" t="s">
        <v>611</v>
      </c>
      <c r="D623">
        <v>-0.61</v>
      </c>
      <c r="E623" t="s">
        <v>14</v>
      </c>
      <c r="F623">
        <v>260985.85</v>
      </c>
      <c r="G623" t="s">
        <v>797</v>
      </c>
    </row>
    <row r="624" spans="1:7" x14ac:dyDescent="0.25">
      <c r="A624" t="s">
        <v>6</v>
      </c>
      <c r="B624" s="1">
        <v>45749</v>
      </c>
      <c r="C624" t="s">
        <v>612</v>
      </c>
      <c r="D624">
        <v>-20.61</v>
      </c>
      <c r="E624" t="s">
        <v>10</v>
      </c>
      <c r="F624">
        <v>260986.46</v>
      </c>
      <c r="G624" t="s">
        <v>797</v>
      </c>
    </row>
    <row r="625" spans="1:7" x14ac:dyDescent="0.25">
      <c r="A625" t="s">
        <v>6</v>
      </c>
      <c r="B625" s="1">
        <v>45748</v>
      </c>
      <c r="C625" t="s">
        <v>613</v>
      </c>
      <c r="D625">
        <v>-27.05</v>
      </c>
      <c r="E625" t="s">
        <v>10</v>
      </c>
      <c r="F625">
        <v>261007.07</v>
      </c>
      <c r="G625" t="s">
        <v>765</v>
      </c>
    </row>
    <row r="626" spans="1:7" x14ac:dyDescent="0.25">
      <c r="A626" t="s">
        <v>6</v>
      </c>
      <c r="B626" s="1">
        <v>45747</v>
      </c>
      <c r="C626" t="s">
        <v>614</v>
      </c>
      <c r="D626">
        <v>-15000</v>
      </c>
      <c r="E626" t="s">
        <v>8</v>
      </c>
      <c r="F626">
        <v>261034.12</v>
      </c>
      <c r="G626" t="s">
        <v>776</v>
      </c>
    </row>
    <row r="627" spans="1:7" x14ac:dyDescent="0.25">
      <c r="A627" t="s">
        <v>6</v>
      </c>
      <c r="B627" s="1">
        <v>45747</v>
      </c>
      <c r="C627" t="s">
        <v>615</v>
      </c>
      <c r="D627">
        <v>-1982.28</v>
      </c>
      <c r="E627" t="s">
        <v>45</v>
      </c>
      <c r="F627">
        <v>276034.12</v>
      </c>
      <c r="G627" t="s">
        <v>767</v>
      </c>
    </row>
    <row r="628" spans="1:7" x14ac:dyDescent="0.25">
      <c r="A628" t="s">
        <v>6</v>
      </c>
      <c r="B628" s="1">
        <v>45747</v>
      </c>
      <c r="C628" t="s">
        <v>616</v>
      </c>
      <c r="D628">
        <v>-18892.34</v>
      </c>
      <c r="E628" t="s">
        <v>45</v>
      </c>
      <c r="F628">
        <v>278016.40000000002</v>
      </c>
      <c r="G628" t="s">
        <v>767</v>
      </c>
    </row>
    <row r="629" spans="1:7" x14ac:dyDescent="0.25">
      <c r="A629" t="s">
        <v>6</v>
      </c>
      <c r="B629" s="1">
        <v>45747</v>
      </c>
      <c r="C629" t="s">
        <v>617</v>
      </c>
      <c r="D629">
        <v>-20000</v>
      </c>
      <c r="E629" t="s">
        <v>8</v>
      </c>
      <c r="F629">
        <v>296908.74</v>
      </c>
      <c r="G629" t="s">
        <v>776</v>
      </c>
    </row>
    <row r="630" spans="1:7" x14ac:dyDescent="0.25">
      <c r="A630" t="s">
        <v>6</v>
      </c>
      <c r="B630" s="1">
        <v>45747</v>
      </c>
      <c r="C630" t="s">
        <v>618</v>
      </c>
      <c r="D630">
        <v>-13.2</v>
      </c>
      <c r="E630" t="s">
        <v>10</v>
      </c>
      <c r="F630">
        <v>316908.74</v>
      </c>
      <c r="G630" t="s">
        <v>782</v>
      </c>
    </row>
    <row r="631" spans="1:7" x14ac:dyDescent="0.25">
      <c r="A631" t="s">
        <v>6</v>
      </c>
      <c r="B631" s="1">
        <v>45747</v>
      </c>
      <c r="C631" t="s">
        <v>619</v>
      </c>
      <c r="D631">
        <v>-51.45</v>
      </c>
      <c r="E631" t="s">
        <v>10</v>
      </c>
      <c r="F631">
        <v>316921.94</v>
      </c>
      <c r="G631" t="s">
        <v>765</v>
      </c>
    </row>
    <row r="632" spans="1:7" x14ac:dyDescent="0.25">
      <c r="A632" t="s">
        <v>6</v>
      </c>
      <c r="B632" s="1">
        <v>45747</v>
      </c>
      <c r="C632" t="s">
        <v>620</v>
      </c>
      <c r="D632">
        <v>-10.66</v>
      </c>
      <c r="E632" t="s">
        <v>10</v>
      </c>
      <c r="F632">
        <v>316973.39</v>
      </c>
      <c r="G632" t="s">
        <v>792</v>
      </c>
    </row>
    <row r="633" spans="1:7" x14ac:dyDescent="0.25">
      <c r="A633" t="s">
        <v>6</v>
      </c>
      <c r="B633" s="1">
        <v>45744</v>
      </c>
      <c r="C633" t="s">
        <v>621</v>
      </c>
      <c r="D633">
        <v>-12000</v>
      </c>
      <c r="E633" t="s">
        <v>45</v>
      </c>
      <c r="F633">
        <v>316984.05</v>
      </c>
      <c r="G633" t="s">
        <v>767</v>
      </c>
    </row>
    <row r="634" spans="1:7" x14ac:dyDescent="0.25">
      <c r="A634" t="s">
        <v>6</v>
      </c>
      <c r="B634" s="1">
        <v>45744</v>
      </c>
      <c r="C634" t="s">
        <v>622</v>
      </c>
      <c r="D634">
        <v>-30000</v>
      </c>
      <c r="E634" t="s">
        <v>8</v>
      </c>
      <c r="F634">
        <v>328984.05</v>
      </c>
      <c r="G634" t="s">
        <v>776</v>
      </c>
    </row>
    <row r="635" spans="1:7" x14ac:dyDescent="0.25">
      <c r="A635" t="s">
        <v>6</v>
      </c>
      <c r="B635" s="1">
        <v>45743</v>
      </c>
      <c r="C635" t="s">
        <v>623</v>
      </c>
      <c r="D635">
        <v>-0.03</v>
      </c>
      <c r="E635" t="s">
        <v>14</v>
      </c>
      <c r="F635">
        <v>358984.05</v>
      </c>
      <c r="G635" t="s">
        <v>796</v>
      </c>
    </row>
    <row r="636" spans="1:7" x14ac:dyDescent="0.25">
      <c r="A636" t="s">
        <v>6</v>
      </c>
      <c r="B636" s="1">
        <v>45743</v>
      </c>
      <c r="C636" t="s">
        <v>623</v>
      </c>
      <c r="D636">
        <v>-0.03</v>
      </c>
      <c r="E636" t="s">
        <v>14</v>
      </c>
      <c r="F636">
        <v>358984.08</v>
      </c>
      <c r="G636" t="s">
        <v>796</v>
      </c>
    </row>
    <row r="637" spans="1:7" x14ac:dyDescent="0.25">
      <c r="A637" t="s">
        <v>6</v>
      </c>
      <c r="B637" s="1">
        <v>45743</v>
      </c>
      <c r="C637" t="s">
        <v>623</v>
      </c>
      <c r="D637">
        <v>-0.04</v>
      </c>
      <c r="E637" t="s">
        <v>14</v>
      </c>
      <c r="F637">
        <v>358984.11</v>
      </c>
      <c r="G637" t="s">
        <v>796</v>
      </c>
    </row>
    <row r="638" spans="1:7" x14ac:dyDescent="0.25">
      <c r="A638" t="s">
        <v>6</v>
      </c>
      <c r="B638" s="1">
        <v>45743</v>
      </c>
      <c r="C638" t="s">
        <v>624</v>
      </c>
      <c r="D638">
        <v>-0.09</v>
      </c>
      <c r="E638" t="s">
        <v>14</v>
      </c>
      <c r="F638">
        <v>358984.15</v>
      </c>
      <c r="G638" t="s">
        <v>796</v>
      </c>
    </row>
    <row r="639" spans="1:7" x14ac:dyDescent="0.25">
      <c r="A639" t="s">
        <v>6</v>
      </c>
      <c r="B639" s="1">
        <v>45743</v>
      </c>
      <c r="C639" t="s">
        <v>625</v>
      </c>
      <c r="D639">
        <v>-0.72</v>
      </c>
      <c r="E639" t="s">
        <v>14</v>
      </c>
      <c r="F639">
        <v>358984.24</v>
      </c>
      <c r="G639" t="s">
        <v>796</v>
      </c>
    </row>
    <row r="640" spans="1:7" x14ac:dyDescent="0.25">
      <c r="A640" t="s">
        <v>6</v>
      </c>
      <c r="B640" s="1">
        <v>45743</v>
      </c>
      <c r="C640" t="s">
        <v>626</v>
      </c>
      <c r="D640">
        <v>-0.73</v>
      </c>
      <c r="E640" t="s">
        <v>14</v>
      </c>
      <c r="F640">
        <v>358984.96000000002</v>
      </c>
      <c r="G640" t="s">
        <v>796</v>
      </c>
    </row>
    <row r="641" spans="1:7" x14ac:dyDescent="0.25">
      <c r="A641" t="s">
        <v>6</v>
      </c>
      <c r="B641" s="1">
        <v>45743</v>
      </c>
      <c r="C641" t="s">
        <v>611</v>
      </c>
      <c r="D641">
        <v>-0.86</v>
      </c>
      <c r="E641" t="s">
        <v>14</v>
      </c>
      <c r="F641">
        <v>358985.69</v>
      </c>
      <c r="G641" t="s">
        <v>796</v>
      </c>
    </row>
    <row r="642" spans="1:7" x14ac:dyDescent="0.25">
      <c r="A642" t="s">
        <v>6</v>
      </c>
      <c r="B642" s="1">
        <v>45743</v>
      </c>
      <c r="C642" t="s">
        <v>627</v>
      </c>
      <c r="D642">
        <v>-14</v>
      </c>
      <c r="E642" t="s">
        <v>10</v>
      </c>
      <c r="F642">
        <v>358986.55</v>
      </c>
      <c r="G642" t="s">
        <v>796</v>
      </c>
    </row>
    <row r="643" spans="1:7" x14ac:dyDescent="0.25">
      <c r="A643" t="s">
        <v>6</v>
      </c>
      <c r="B643" s="1">
        <v>45743</v>
      </c>
      <c r="C643" t="s">
        <v>628</v>
      </c>
      <c r="D643">
        <v>-28</v>
      </c>
      <c r="E643" t="s">
        <v>10</v>
      </c>
      <c r="F643">
        <v>359000.55</v>
      </c>
      <c r="G643" t="s">
        <v>796</v>
      </c>
    </row>
    <row r="644" spans="1:7" x14ac:dyDescent="0.25">
      <c r="A644" t="s">
        <v>6</v>
      </c>
      <c r="B644" s="1">
        <v>45743</v>
      </c>
      <c r="C644" t="s">
        <v>629</v>
      </c>
      <c r="D644">
        <v>-3.23</v>
      </c>
      <c r="E644" t="s">
        <v>10</v>
      </c>
      <c r="F644">
        <v>359028.55</v>
      </c>
      <c r="G644" t="s">
        <v>796</v>
      </c>
    </row>
    <row r="645" spans="1:7" x14ac:dyDescent="0.25">
      <c r="A645" t="s">
        <v>6</v>
      </c>
      <c r="B645" s="1">
        <v>45743</v>
      </c>
      <c r="C645" t="s">
        <v>630</v>
      </c>
      <c r="D645">
        <v>-28.73</v>
      </c>
      <c r="E645" t="s">
        <v>10</v>
      </c>
      <c r="F645">
        <v>359031.78</v>
      </c>
      <c r="G645" t="s">
        <v>796</v>
      </c>
    </row>
    <row r="646" spans="1:7" x14ac:dyDescent="0.25">
      <c r="A646" t="s">
        <v>6</v>
      </c>
      <c r="B646" s="1">
        <v>45743</v>
      </c>
      <c r="C646" t="s">
        <v>631</v>
      </c>
      <c r="D646">
        <v>-24.31</v>
      </c>
      <c r="E646" t="s">
        <v>10</v>
      </c>
      <c r="F646">
        <v>359060.51</v>
      </c>
      <c r="G646" t="s">
        <v>796</v>
      </c>
    </row>
    <row r="647" spans="1:7" x14ac:dyDescent="0.25">
      <c r="A647" t="s">
        <v>6</v>
      </c>
      <c r="B647" s="1">
        <v>45743</v>
      </c>
      <c r="C647" t="s">
        <v>632</v>
      </c>
      <c r="D647">
        <v>-1.25</v>
      </c>
      <c r="E647" t="s">
        <v>10</v>
      </c>
      <c r="F647">
        <v>359084.82</v>
      </c>
      <c r="G647" t="s">
        <v>796</v>
      </c>
    </row>
    <row r="648" spans="1:7" x14ac:dyDescent="0.25">
      <c r="A648" t="s">
        <v>6</v>
      </c>
      <c r="B648" s="1">
        <v>45743</v>
      </c>
      <c r="C648" t="s">
        <v>633</v>
      </c>
      <c r="D648">
        <v>-1.65</v>
      </c>
      <c r="E648" t="s">
        <v>10</v>
      </c>
      <c r="F648">
        <v>359086.07</v>
      </c>
      <c r="G648" t="s">
        <v>796</v>
      </c>
    </row>
    <row r="649" spans="1:7" x14ac:dyDescent="0.25">
      <c r="A649" t="s">
        <v>6</v>
      </c>
      <c r="B649" s="1">
        <v>45743</v>
      </c>
      <c r="C649" t="s">
        <v>632</v>
      </c>
      <c r="D649">
        <v>-1.25</v>
      </c>
      <c r="E649" t="s">
        <v>10</v>
      </c>
      <c r="F649">
        <v>359087.72</v>
      </c>
      <c r="G649" t="s">
        <v>796</v>
      </c>
    </row>
    <row r="650" spans="1:7" x14ac:dyDescent="0.25">
      <c r="A650" t="s">
        <v>6</v>
      </c>
      <c r="B650" s="1">
        <v>45743</v>
      </c>
      <c r="C650" t="s">
        <v>634</v>
      </c>
      <c r="D650">
        <v>-24.52</v>
      </c>
      <c r="E650" t="s">
        <v>10</v>
      </c>
      <c r="F650">
        <v>359088.97</v>
      </c>
      <c r="G650" t="s">
        <v>796</v>
      </c>
    </row>
    <row r="651" spans="1:7" x14ac:dyDescent="0.25">
      <c r="A651" t="s">
        <v>6</v>
      </c>
      <c r="B651" s="1">
        <v>45742</v>
      </c>
      <c r="C651" t="s">
        <v>635</v>
      </c>
      <c r="D651">
        <v>-0.19</v>
      </c>
      <c r="E651" t="s">
        <v>14</v>
      </c>
      <c r="F651">
        <v>359113.49</v>
      </c>
      <c r="G651" t="s">
        <v>796</v>
      </c>
    </row>
    <row r="652" spans="1:7" x14ac:dyDescent="0.25">
      <c r="A652" t="s">
        <v>6</v>
      </c>
      <c r="B652" s="1">
        <v>45742</v>
      </c>
      <c r="C652" t="s">
        <v>635</v>
      </c>
      <c r="D652">
        <v>-0.33</v>
      </c>
      <c r="E652" t="s">
        <v>14</v>
      </c>
      <c r="F652">
        <v>359113.68</v>
      </c>
      <c r="G652" t="s">
        <v>796</v>
      </c>
    </row>
    <row r="653" spans="1:7" x14ac:dyDescent="0.25">
      <c r="A653" t="s">
        <v>6</v>
      </c>
      <c r="B653" s="1">
        <v>45742</v>
      </c>
      <c r="C653" t="s">
        <v>636</v>
      </c>
      <c r="D653">
        <v>-1.1499999999999999</v>
      </c>
      <c r="E653" t="s">
        <v>14</v>
      </c>
      <c r="F653">
        <v>359114.01</v>
      </c>
      <c r="G653" t="s">
        <v>796</v>
      </c>
    </row>
    <row r="654" spans="1:7" x14ac:dyDescent="0.25">
      <c r="A654" t="s">
        <v>6</v>
      </c>
      <c r="B654" s="1">
        <v>45742</v>
      </c>
      <c r="C654" t="s">
        <v>637</v>
      </c>
      <c r="D654">
        <v>-1.69</v>
      </c>
      <c r="E654" t="s">
        <v>14</v>
      </c>
      <c r="F654">
        <v>359115.16</v>
      </c>
      <c r="G654" t="s">
        <v>796</v>
      </c>
    </row>
    <row r="655" spans="1:7" x14ac:dyDescent="0.25">
      <c r="A655" t="s">
        <v>6</v>
      </c>
      <c r="B655" s="1">
        <v>45742</v>
      </c>
      <c r="C655" t="s">
        <v>638</v>
      </c>
      <c r="D655">
        <v>-6.63</v>
      </c>
      <c r="E655" t="s">
        <v>10</v>
      </c>
      <c r="F655">
        <v>359116.85</v>
      </c>
      <c r="G655" t="s">
        <v>796</v>
      </c>
    </row>
    <row r="656" spans="1:7" x14ac:dyDescent="0.25">
      <c r="A656" t="s">
        <v>6</v>
      </c>
      <c r="B656" s="1">
        <v>45742</v>
      </c>
      <c r="C656" t="s">
        <v>639</v>
      </c>
      <c r="D656">
        <v>-11.06</v>
      </c>
      <c r="E656" t="s">
        <v>10</v>
      </c>
      <c r="F656">
        <v>359123.48</v>
      </c>
      <c r="G656" t="s">
        <v>796</v>
      </c>
    </row>
    <row r="657" spans="1:7" x14ac:dyDescent="0.25">
      <c r="A657" t="s">
        <v>6</v>
      </c>
      <c r="B657" s="1">
        <v>45742</v>
      </c>
      <c r="C657" t="s">
        <v>640</v>
      </c>
      <c r="D657">
        <v>-38.64</v>
      </c>
      <c r="E657" t="s">
        <v>10</v>
      </c>
      <c r="F657">
        <v>359134.54</v>
      </c>
      <c r="G657" t="s">
        <v>796</v>
      </c>
    </row>
    <row r="658" spans="1:7" x14ac:dyDescent="0.25">
      <c r="A658" t="s">
        <v>6</v>
      </c>
      <c r="B658" s="1">
        <v>45742</v>
      </c>
      <c r="C658" t="s">
        <v>641</v>
      </c>
      <c r="D658">
        <v>-56.55</v>
      </c>
      <c r="E658" t="s">
        <v>10</v>
      </c>
      <c r="F658">
        <v>359173.18</v>
      </c>
      <c r="G658" t="s">
        <v>796</v>
      </c>
    </row>
    <row r="659" spans="1:7" x14ac:dyDescent="0.25">
      <c r="A659" t="s">
        <v>6</v>
      </c>
      <c r="B659" s="1">
        <v>45741</v>
      </c>
      <c r="C659" t="s">
        <v>642</v>
      </c>
      <c r="D659">
        <v>-0.25</v>
      </c>
      <c r="E659" t="s">
        <v>14</v>
      </c>
      <c r="F659">
        <v>359229.73</v>
      </c>
      <c r="G659" t="s">
        <v>796</v>
      </c>
    </row>
    <row r="660" spans="1:7" x14ac:dyDescent="0.25">
      <c r="A660" t="s">
        <v>6</v>
      </c>
      <c r="B660" s="1">
        <v>45741</v>
      </c>
      <c r="C660" t="s">
        <v>643</v>
      </c>
      <c r="D660">
        <v>-0.39</v>
      </c>
      <c r="E660" t="s">
        <v>14</v>
      </c>
      <c r="F660">
        <v>359229.98</v>
      </c>
      <c r="G660" t="s">
        <v>796</v>
      </c>
    </row>
    <row r="661" spans="1:7" x14ac:dyDescent="0.25">
      <c r="A661" t="s">
        <v>6</v>
      </c>
      <c r="B661" s="1">
        <v>45741</v>
      </c>
      <c r="C661" t="s">
        <v>644</v>
      </c>
      <c r="D661">
        <v>-0.76</v>
      </c>
      <c r="E661" t="s">
        <v>14</v>
      </c>
      <c r="F661">
        <v>359230.37</v>
      </c>
      <c r="G661" t="s">
        <v>796</v>
      </c>
    </row>
    <row r="662" spans="1:7" x14ac:dyDescent="0.25">
      <c r="A662" t="s">
        <v>6</v>
      </c>
      <c r="B662" s="1">
        <v>45741</v>
      </c>
      <c r="C662" t="s">
        <v>645</v>
      </c>
      <c r="D662">
        <v>-0.99</v>
      </c>
      <c r="E662" t="s">
        <v>14</v>
      </c>
      <c r="F662">
        <v>359231.13</v>
      </c>
      <c r="G662" t="s">
        <v>796</v>
      </c>
    </row>
    <row r="663" spans="1:7" x14ac:dyDescent="0.25">
      <c r="A663" t="s">
        <v>6</v>
      </c>
      <c r="B663" s="1">
        <v>45741</v>
      </c>
      <c r="C663" t="s">
        <v>355</v>
      </c>
      <c r="D663">
        <v>-5</v>
      </c>
      <c r="E663" t="s">
        <v>14</v>
      </c>
      <c r="F663">
        <v>359232.12</v>
      </c>
      <c r="G663" t="s">
        <v>784</v>
      </c>
    </row>
    <row r="664" spans="1:7" x14ac:dyDescent="0.25">
      <c r="A664" t="s">
        <v>6</v>
      </c>
      <c r="B664" s="1">
        <v>45741</v>
      </c>
      <c r="C664" t="s">
        <v>646</v>
      </c>
      <c r="D664">
        <v>-12.35</v>
      </c>
      <c r="E664" t="s">
        <v>14</v>
      </c>
      <c r="F664">
        <v>359237.12</v>
      </c>
      <c r="G664" t="s">
        <v>796</v>
      </c>
    </row>
    <row r="665" spans="1:7" x14ac:dyDescent="0.25">
      <c r="A665" t="s">
        <v>6</v>
      </c>
      <c r="B665" s="1">
        <v>45741</v>
      </c>
      <c r="C665" t="s">
        <v>647</v>
      </c>
      <c r="D665">
        <v>-411.73</v>
      </c>
      <c r="E665" t="s">
        <v>358</v>
      </c>
      <c r="F665">
        <v>359249.47</v>
      </c>
      <c r="G665" t="s">
        <v>796</v>
      </c>
    </row>
    <row r="666" spans="1:7" x14ac:dyDescent="0.25">
      <c r="A666" t="s">
        <v>6</v>
      </c>
      <c r="B666" s="1">
        <v>45741</v>
      </c>
      <c r="C666" t="s">
        <v>648</v>
      </c>
      <c r="D666">
        <v>-33.200000000000003</v>
      </c>
      <c r="E666" t="s">
        <v>10</v>
      </c>
      <c r="F666">
        <v>359661.2</v>
      </c>
      <c r="G666" t="s">
        <v>796</v>
      </c>
    </row>
    <row r="667" spans="1:7" x14ac:dyDescent="0.25">
      <c r="A667" t="s">
        <v>6</v>
      </c>
      <c r="B667" s="1">
        <v>45741</v>
      </c>
      <c r="C667" t="s">
        <v>649</v>
      </c>
      <c r="D667">
        <v>-8.4499999999999993</v>
      </c>
      <c r="E667" t="s">
        <v>10</v>
      </c>
      <c r="F667">
        <v>359694.4</v>
      </c>
      <c r="G667" t="s">
        <v>796</v>
      </c>
    </row>
    <row r="668" spans="1:7" x14ac:dyDescent="0.25">
      <c r="A668" t="s">
        <v>6</v>
      </c>
      <c r="B668" s="1">
        <v>45741</v>
      </c>
      <c r="C668" t="s">
        <v>650</v>
      </c>
      <c r="D668">
        <v>-13.28</v>
      </c>
      <c r="E668" t="s">
        <v>10</v>
      </c>
      <c r="F668">
        <v>359702.85</v>
      </c>
      <c r="G668" t="s">
        <v>796</v>
      </c>
    </row>
    <row r="669" spans="1:7" x14ac:dyDescent="0.25">
      <c r="A669" t="s">
        <v>6</v>
      </c>
      <c r="B669" s="1">
        <v>45741</v>
      </c>
      <c r="C669" t="s">
        <v>651</v>
      </c>
      <c r="D669">
        <v>-25.56</v>
      </c>
      <c r="E669" t="s">
        <v>10</v>
      </c>
      <c r="F669">
        <v>359716.13</v>
      </c>
      <c r="G669" t="s">
        <v>796</v>
      </c>
    </row>
    <row r="670" spans="1:7" x14ac:dyDescent="0.25">
      <c r="A670" t="s">
        <v>6</v>
      </c>
      <c r="B670" s="1">
        <v>45740</v>
      </c>
      <c r="C670" t="s">
        <v>652</v>
      </c>
      <c r="D670">
        <v>-0.6</v>
      </c>
      <c r="E670" t="s">
        <v>14</v>
      </c>
      <c r="F670">
        <v>359741.69</v>
      </c>
      <c r="G670" t="s">
        <v>796</v>
      </c>
    </row>
    <row r="671" spans="1:7" x14ac:dyDescent="0.25">
      <c r="A671" t="s">
        <v>6</v>
      </c>
      <c r="B671" s="1">
        <v>45740</v>
      </c>
      <c r="C671" t="s">
        <v>653</v>
      </c>
      <c r="D671">
        <v>-0.64</v>
      </c>
      <c r="E671" t="s">
        <v>14</v>
      </c>
      <c r="F671">
        <v>359742.29</v>
      </c>
      <c r="G671" t="s">
        <v>796</v>
      </c>
    </row>
    <row r="672" spans="1:7" x14ac:dyDescent="0.25">
      <c r="A672" t="s">
        <v>6</v>
      </c>
      <c r="B672" s="1">
        <v>45740</v>
      </c>
      <c r="C672" t="s">
        <v>654</v>
      </c>
      <c r="D672">
        <v>-0.89</v>
      </c>
      <c r="E672" t="s">
        <v>14</v>
      </c>
      <c r="F672">
        <v>359742.93</v>
      </c>
      <c r="G672" t="s">
        <v>796</v>
      </c>
    </row>
    <row r="673" spans="1:7" x14ac:dyDescent="0.25">
      <c r="A673" t="s">
        <v>6</v>
      </c>
      <c r="B673" s="1">
        <v>45740</v>
      </c>
      <c r="C673" t="s">
        <v>355</v>
      </c>
      <c r="D673">
        <v>-5</v>
      </c>
      <c r="E673" t="s">
        <v>14</v>
      </c>
      <c r="F673">
        <v>359743.82</v>
      </c>
      <c r="G673" t="s">
        <v>784</v>
      </c>
    </row>
    <row r="674" spans="1:7" x14ac:dyDescent="0.25">
      <c r="A674" t="s">
        <v>6</v>
      </c>
      <c r="B674" s="1">
        <v>45740</v>
      </c>
      <c r="C674" t="s">
        <v>655</v>
      </c>
      <c r="D674">
        <v>-30.89</v>
      </c>
      <c r="E674" t="s">
        <v>10</v>
      </c>
      <c r="F674">
        <v>359748.82</v>
      </c>
      <c r="G674" t="s">
        <v>765</v>
      </c>
    </row>
    <row r="675" spans="1:7" x14ac:dyDescent="0.25">
      <c r="A675" t="s">
        <v>6</v>
      </c>
      <c r="B675" s="1">
        <v>45740</v>
      </c>
      <c r="C675" t="s">
        <v>656</v>
      </c>
      <c r="D675">
        <v>-407.8</v>
      </c>
      <c r="E675" t="s">
        <v>358</v>
      </c>
      <c r="F675">
        <v>359779.71</v>
      </c>
      <c r="G675" t="s">
        <v>796</v>
      </c>
    </row>
    <row r="676" spans="1:7" x14ac:dyDescent="0.25">
      <c r="A676" t="s">
        <v>6</v>
      </c>
      <c r="B676" s="1">
        <v>45740</v>
      </c>
      <c r="C676" t="s">
        <v>657</v>
      </c>
      <c r="D676">
        <v>-29.98</v>
      </c>
      <c r="E676" t="s">
        <v>10</v>
      </c>
      <c r="F676">
        <v>360187.51</v>
      </c>
      <c r="G676" t="s">
        <v>796</v>
      </c>
    </row>
    <row r="677" spans="1:7" x14ac:dyDescent="0.25">
      <c r="A677" t="s">
        <v>6</v>
      </c>
      <c r="B677" s="1">
        <v>45740</v>
      </c>
      <c r="C677" t="s">
        <v>658</v>
      </c>
      <c r="D677">
        <v>-18</v>
      </c>
      <c r="E677" t="s">
        <v>10</v>
      </c>
      <c r="F677">
        <v>360217.49</v>
      </c>
      <c r="G677" t="s">
        <v>796</v>
      </c>
    </row>
    <row r="678" spans="1:7" x14ac:dyDescent="0.25">
      <c r="A678" t="s">
        <v>6</v>
      </c>
      <c r="B678" s="1">
        <v>45740</v>
      </c>
      <c r="C678" t="s">
        <v>659</v>
      </c>
      <c r="D678">
        <v>-21.59</v>
      </c>
      <c r="E678" t="s">
        <v>10</v>
      </c>
      <c r="F678">
        <v>360235.49</v>
      </c>
      <c r="G678" t="s">
        <v>796</v>
      </c>
    </row>
    <row r="679" spans="1:7" x14ac:dyDescent="0.25">
      <c r="A679" t="s">
        <v>6</v>
      </c>
      <c r="B679" s="1">
        <v>45740</v>
      </c>
      <c r="C679" t="s">
        <v>660</v>
      </c>
      <c r="D679">
        <v>-20.03</v>
      </c>
      <c r="E679" t="s">
        <v>10</v>
      </c>
      <c r="F679">
        <v>360257.08</v>
      </c>
      <c r="G679" t="s">
        <v>796</v>
      </c>
    </row>
    <row r="680" spans="1:7" x14ac:dyDescent="0.25">
      <c r="A680" t="s">
        <v>6</v>
      </c>
      <c r="B680" s="1">
        <v>45737</v>
      </c>
      <c r="C680" t="s">
        <v>661</v>
      </c>
      <c r="D680">
        <v>-0.04</v>
      </c>
      <c r="E680" t="s">
        <v>14</v>
      </c>
      <c r="F680">
        <v>360277.11</v>
      </c>
      <c r="G680" t="s">
        <v>796</v>
      </c>
    </row>
    <row r="681" spans="1:7" x14ac:dyDescent="0.25">
      <c r="A681" t="s">
        <v>6</v>
      </c>
      <c r="B681" s="1">
        <v>45737</v>
      </c>
      <c r="C681" t="s">
        <v>662</v>
      </c>
      <c r="D681">
        <v>-24.99</v>
      </c>
      <c r="E681" t="s">
        <v>10</v>
      </c>
      <c r="F681">
        <v>360277.15</v>
      </c>
      <c r="G681" t="s">
        <v>765</v>
      </c>
    </row>
    <row r="682" spans="1:7" x14ac:dyDescent="0.25">
      <c r="A682" t="s">
        <v>6</v>
      </c>
      <c r="B682" s="1">
        <v>45737</v>
      </c>
      <c r="C682" t="s">
        <v>663</v>
      </c>
      <c r="D682">
        <v>-1.65</v>
      </c>
      <c r="E682" t="s">
        <v>10</v>
      </c>
      <c r="F682">
        <v>360302.14</v>
      </c>
      <c r="G682" t="s">
        <v>796</v>
      </c>
    </row>
    <row r="683" spans="1:7" x14ac:dyDescent="0.25">
      <c r="A683" t="s">
        <v>6</v>
      </c>
      <c r="B683" s="1">
        <v>45737</v>
      </c>
      <c r="C683" t="s">
        <v>664</v>
      </c>
      <c r="D683">
        <v>-300</v>
      </c>
      <c r="E683" t="s">
        <v>10</v>
      </c>
      <c r="F683">
        <v>360303.79</v>
      </c>
      <c r="G683" t="s">
        <v>796</v>
      </c>
    </row>
    <row r="684" spans="1:7" x14ac:dyDescent="0.25">
      <c r="A684" t="s">
        <v>6</v>
      </c>
      <c r="B684" s="1">
        <v>45736</v>
      </c>
      <c r="C684" t="s">
        <v>665</v>
      </c>
      <c r="D684">
        <v>-0.06</v>
      </c>
      <c r="E684" t="s">
        <v>14</v>
      </c>
      <c r="F684">
        <v>360603.79</v>
      </c>
      <c r="G684" t="s">
        <v>796</v>
      </c>
    </row>
    <row r="685" spans="1:7" x14ac:dyDescent="0.25">
      <c r="A685" t="s">
        <v>6</v>
      </c>
      <c r="B685" s="1">
        <v>45736</v>
      </c>
      <c r="C685" t="s">
        <v>666</v>
      </c>
      <c r="D685">
        <v>-2</v>
      </c>
      <c r="E685" t="s">
        <v>10</v>
      </c>
      <c r="F685">
        <v>360603.85</v>
      </c>
      <c r="G685" t="s">
        <v>796</v>
      </c>
    </row>
    <row r="686" spans="1:7" x14ac:dyDescent="0.25">
      <c r="A686" t="s">
        <v>6</v>
      </c>
      <c r="B686" s="1">
        <v>45734</v>
      </c>
      <c r="C686" t="s">
        <v>667</v>
      </c>
      <c r="D686">
        <v>-100</v>
      </c>
      <c r="E686" t="s">
        <v>10</v>
      </c>
      <c r="F686">
        <v>360605.85</v>
      </c>
      <c r="G686" t="s">
        <v>779</v>
      </c>
    </row>
    <row r="687" spans="1:7" x14ac:dyDescent="0.25">
      <c r="A687" t="s">
        <v>6</v>
      </c>
      <c r="B687" s="1">
        <v>45733</v>
      </c>
      <c r="C687" t="s">
        <v>53</v>
      </c>
      <c r="D687">
        <v>-25</v>
      </c>
      <c r="E687" t="s">
        <v>14</v>
      </c>
      <c r="F687">
        <v>360705.85</v>
      </c>
      <c r="G687" t="s">
        <v>784</v>
      </c>
    </row>
    <row r="688" spans="1:7" x14ac:dyDescent="0.25">
      <c r="A688" t="s">
        <v>6</v>
      </c>
      <c r="B688" s="1">
        <v>45733</v>
      </c>
      <c r="C688" t="s">
        <v>668</v>
      </c>
      <c r="D688">
        <v>-6000</v>
      </c>
      <c r="E688" t="s">
        <v>47</v>
      </c>
      <c r="F688">
        <v>360730.85</v>
      </c>
      <c r="G688" t="s">
        <v>795</v>
      </c>
    </row>
    <row r="689" spans="1:7" x14ac:dyDescent="0.25">
      <c r="A689" t="s">
        <v>6</v>
      </c>
      <c r="B689" s="1">
        <v>45733</v>
      </c>
      <c r="C689" t="s">
        <v>669</v>
      </c>
      <c r="D689">
        <v>-16.18</v>
      </c>
      <c r="E689" t="s">
        <v>10</v>
      </c>
      <c r="F689">
        <v>366730.85</v>
      </c>
      <c r="G689" t="s">
        <v>766</v>
      </c>
    </row>
    <row r="690" spans="1:7" x14ac:dyDescent="0.25">
      <c r="A690" t="s">
        <v>6</v>
      </c>
      <c r="B690" s="1">
        <v>45733</v>
      </c>
      <c r="C690" t="s">
        <v>670</v>
      </c>
      <c r="D690">
        <v>-30.89</v>
      </c>
      <c r="E690" t="s">
        <v>10</v>
      </c>
      <c r="F690">
        <v>366747.03</v>
      </c>
      <c r="G690" t="s">
        <v>765</v>
      </c>
    </row>
    <row r="691" spans="1:7" x14ac:dyDescent="0.25">
      <c r="A691" t="s">
        <v>6</v>
      </c>
      <c r="B691" s="1">
        <v>45729</v>
      </c>
      <c r="C691" t="s">
        <v>671</v>
      </c>
      <c r="D691">
        <v>-40000</v>
      </c>
      <c r="E691" t="s">
        <v>8</v>
      </c>
      <c r="F691">
        <v>366777.92</v>
      </c>
      <c r="G691" t="s">
        <v>768</v>
      </c>
    </row>
    <row r="692" spans="1:7" x14ac:dyDescent="0.25">
      <c r="A692" t="s">
        <v>6</v>
      </c>
      <c r="B692" s="1">
        <v>45728</v>
      </c>
      <c r="C692" t="s">
        <v>672</v>
      </c>
      <c r="D692">
        <v>-20000</v>
      </c>
      <c r="E692" t="s">
        <v>8</v>
      </c>
      <c r="F692">
        <v>406777.92</v>
      </c>
      <c r="G692" t="s">
        <v>776</v>
      </c>
    </row>
    <row r="693" spans="1:7" x14ac:dyDescent="0.25">
      <c r="A693" t="s">
        <v>6</v>
      </c>
      <c r="B693" s="1">
        <v>45728</v>
      </c>
      <c r="C693" t="s">
        <v>673</v>
      </c>
      <c r="D693">
        <v>-19.989999999999998</v>
      </c>
      <c r="E693" t="s">
        <v>10</v>
      </c>
      <c r="F693">
        <v>426777.92</v>
      </c>
      <c r="G693" t="s">
        <v>765</v>
      </c>
    </row>
    <row r="694" spans="1:7" x14ac:dyDescent="0.25">
      <c r="A694" t="s">
        <v>6</v>
      </c>
      <c r="B694" s="1">
        <v>45728</v>
      </c>
      <c r="C694" t="s">
        <v>674</v>
      </c>
      <c r="D694">
        <v>-4.26</v>
      </c>
      <c r="E694" t="s">
        <v>10</v>
      </c>
      <c r="F694">
        <v>426797.91</v>
      </c>
      <c r="G694" t="s">
        <v>792</v>
      </c>
    </row>
    <row r="695" spans="1:7" x14ac:dyDescent="0.25">
      <c r="A695" t="s">
        <v>6</v>
      </c>
      <c r="B695" s="1">
        <v>45726</v>
      </c>
      <c r="C695" t="s">
        <v>675</v>
      </c>
      <c r="D695">
        <v>-30.89</v>
      </c>
      <c r="E695" t="s">
        <v>10</v>
      </c>
      <c r="F695">
        <v>426802.17</v>
      </c>
      <c r="G695" t="s">
        <v>765</v>
      </c>
    </row>
    <row r="696" spans="1:7" x14ac:dyDescent="0.25">
      <c r="A696" t="s">
        <v>11</v>
      </c>
      <c r="B696" s="1">
        <v>45726</v>
      </c>
      <c r="C696" t="s">
        <v>676</v>
      </c>
      <c r="D696">
        <v>236.37</v>
      </c>
      <c r="E696" t="s">
        <v>50</v>
      </c>
      <c r="F696">
        <v>426833.06</v>
      </c>
      <c r="G696" t="s">
        <v>773</v>
      </c>
    </row>
    <row r="697" spans="1:7" x14ac:dyDescent="0.25">
      <c r="A697" t="s">
        <v>11</v>
      </c>
      <c r="B697" s="1">
        <v>45726</v>
      </c>
      <c r="C697" t="s">
        <v>677</v>
      </c>
      <c r="D697">
        <v>350</v>
      </c>
      <c r="E697" t="s">
        <v>50</v>
      </c>
      <c r="F697">
        <v>426596.69</v>
      </c>
      <c r="G697" t="s">
        <v>774</v>
      </c>
    </row>
    <row r="698" spans="1:7" x14ac:dyDescent="0.25">
      <c r="A698" t="s">
        <v>11</v>
      </c>
      <c r="B698" s="1">
        <v>45726</v>
      </c>
      <c r="C698" t="s">
        <v>678</v>
      </c>
      <c r="D698">
        <v>356.38</v>
      </c>
      <c r="E698" t="s">
        <v>50</v>
      </c>
      <c r="F698">
        <v>426246.69</v>
      </c>
      <c r="G698" t="s">
        <v>769</v>
      </c>
    </row>
    <row r="699" spans="1:7" x14ac:dyDescent="0.25">
      <c r="A699" t="s">
        <v>11</v>
      </c>
      <c r="B699" s="1">
        <v>45726</v>
      </c>
      <c r="C699" t="s">
        <v>679</v>
      </c>
      <c r="D699">
        <v>476.41</v>
      </c>
      <c r="E699" t="s">
        <v>50</v>
      </c>
      <c r="F699">
        <v>425890.31</v>
      </c>
      <c r="G699" t="s">
        <v>775</v>
      </c>
    </row>
    <row r="700" spans="1:7" x14ac:dyDescent="0.25">
      <c r="A700" t="s">
        <v>6</v>
      </c>
      <c r="B700" s="1">
        <v>45723</v>
      </c>
      <c r="C700" t="s">
        <v>680</v>
      </c>
      <c r="D700">
        <v>-9.99</v>
      </c>
      <c r="E700" t="s">
        <v>10</v>
      </c>
      <c r="F700">
        <v>425413.9</v>
      </c>
      <c r="G700" t="s">
        <v>765</v>
      </c>
    </row>
    <row r="701" spans="1:7" x14ac:dyDescent="0.25">
      <c r="A701" t="s">
        <v>6</v>
      </c>
      <c r="B701" s="1">
        <v>45722</v>
      </c>
      <c r="C701" t="s">
        <v>681</v>
      </c>
      <c r="D701">
        <v>-20000</v>
      </c>
      <c r="E701" t="s">
        <v>8</v>
      </c>
      <c r="F701">
        <v>425423.89</v>
      </c>
      <c r="G701" t="s">
        <v>776</v>
      </c>
    </row>
    <row r="702" spans="1:7" x14ac:dyDescent="0.25">
      <c r="A702" t="s">
        <v>6</v>
      </c>
      <c r="B702" s="1">
        <v>45721</v>
      </c>
      <c r="C702" t="s">
        <v>682</v>
      </c>
      <c r="D702">
        <v>-30.6</v>
      </c>
      <c r="E702" t="s">
        <v>10</v>
      </c>
      <c r="F702">
        <v>445423.89</v>
      </c>
      <c r="G702" t="s">
        <v>766</v>
      </c>
    </row>
    <row r="703" spans="1:7" x14ac:dyDescent="0.25">
      <c r="A703" t="s">
        <v>6</v>
      </c>
      <c r="B703" s="1">
        <v>45721</v>
      </c>
      <c r="C703" t="s">
        <v>683</v>
      </c>
      <c r="D703">
        <v>-16.16</v>
      </c>
      <c r="E703" t="s">
        <v>10</v>
      </c>
      <c r="F703">
        <v>445454.49</v>
      </c>
      <c r="G703" t="s">
        <v>766</v>
      </c>
    </row>
    <row r="704" spans="1:7" x14ac:dyDescent="0.25">
      <c r="A704" t="s">
        <v>6</v>
      </c>
      <c r="B704" s="1">
        <v>45719</v>
      </c>
      <c r="C704" t="s">
        <v>69</v>
      </c>
      <c r="D704">
        <v>-15</v>
      </c>
      <c r="E704" t="s">
        <v>14</v>
      </c>
      <c r="F704">
        <v>445470.65</v>
      </c>
      <c r="G704" t="s">
        <v>784</v>
      </c>
    </row>
    <row r="705" spans="1:7" x14ac:dyDescent="0.25">
      <c r="A705" t="s">
        <v>6</v>
      </c>
      <c r="B705" s="1">
        <v>45719</v>
      </c>
      <c r="C705" t="s">
        <v>69</v>
      </c>
      <c r="D705">
        <v>-15</v>
      </c>
      <c r="E705" t="s">
        <v>14</v>
      </c>
      <c r="F705">
        <v>445485.65</v>
      </c>
      <c r="G705" t="s">
        <v>784</v>
      </c>
    </row>
    <row r="706" spans="1:7" x14ac:dyDescent="0.25">
      <c r="A706" t="s">
        <v>6</v>
      </c>
      <c r="B706" s="1">
        <v>45719</v>
      </c>
      <c r="C706" t="s">
        <v>684</v>
      </c>
      <c r="D706">
        <v>-27.05</v>
      </c>
      <c r="E706" t="s">
        <v>10</v>
      </c>
      <c r="F706">
        <v>445500.65</v>
      </c>
      <c r="G706" t="s">
        <v>765</v>
      </c>
    </row>
    <row r="707" spans="1:7" x14ac:dyDescent="0.25">
      <c r="A707" t="s">
        <v>6</v>
      </c>
      <c r="B707" s="1">
        <v>45719</v>
      </c>
      <c r="C707" t="s">
        <v>685</v>
      </c>
      <c r="D707">
        <v>-51.45</v>
      </c>
      <c r="E707" t="s">
        <v>10</v>
      </c>
      <c r="F707">
        <v>445527.7</v>
      </c>
      <c r="G707" t="s">
        <v>765</v>
      </c>
    </row>
    <row r="708" spans="1:7" x14ac:dyDescent="0.25">
      <c r="A708" t="s">
        <v>11</v>
      </c>
      <c r="B708" s="1">
        <v>45719</v>
      </c>
      <c r="C708" t="s">
        <v>686</v>
      </c>
      <c r="D708">
        <v>32830</v>
      </c>
      <c r="E708" t="s">
        <v>52</v>
      </c>
      <c r="F708">
        <v>445579.15</v>
      </c>
      <c r="G708" t="s">
        <v>794</v>
      </c>
    </row>
    <row r="709" spans="1:7" x14ac:dyDescent="0.25">
      <c r="A709" t="s">
        <v>11</v>
      </c>
      <c r="B709" s="1">
        <v>45719</v>
      </c>
      <c r="C709" t="s">
        <v>687</v>
      </c>
      <c r="D709">
        <v>131320.5</v>
      </c>
      <c r="E709" t="s">
        <v>52</v>
      </c>
      <c r="F709">
        <v>412749.15</v>
      </c>
      <c r="G709" t="s">
        <v>794</v>
      </c>
    </row>
    <row r="710" spans="1:7" x14ac:dyDescent="0.25">
      <c r="A710" t="s">
        <v>6</v>
      </c>
      <c r="B710" s="1">
        <v>45716</v>
      </c>
      <c r="C710" t="s">
        <v>53</v>
      </c>
      <c r="D710">
        <v>-25</v>
      </c>
      <c r="E710" t="s">
        <v>14</v>
      </c>
      <c r="F710">
        <v>281428.65000000002</v>
      </c>
      <c r="G710" t="s">
        <v>784</v>
      </c>
    </row>
    <row r="711" spans="1:7" x14ac:dyDescent="0.25">
      <c r="A711" t="s">
        <v>6</v>
      </c>
      <c r="B711" s="1">
        <v>45716</v>
      </c>
      <c r="C711" t="s">
        <v>688</v>
      </c>
      <c r="D711">
        <v>-5000</v>
      </c>
      <c r="E711" t="s">
        <v>47</v>
      </c>
      <c r="F711">
        <v>281453.65000000002</v>
      </c>
      <c r="G711" t="s">
        <v>786</v>
      </c>
    </row>
    <row r="712" spans="1:7" x14ac:dyDescent="0.25">
      <c r="A712" t="s">
        <v>11</v>
      </c>
      <c r="B712" s="1">
        <v>45716</v>
      </c>
      <c r="C712" t="s">
        <v>689</v>
      </c>
      <c r="D712">
        <v>5000</v>
      </c>
      <c r="E712" t="s">
        <v>52</v>
      </c>
      <c r="F712">
        <v>286453.65000000002</v>
      </c>
      <c r="G712" t="s">
        <v>793</v>
      </c>
    </row>
    <row r="713" spans="1:7" x14ac:dyDescent="0.25">
      <c r="A713" t="s">
        <v>6</v>
      </c>
      <c r="B713" s="1">
        <v>45715</v>
      </c>
      <c r="C713" t="s">
        <v>690</v>
      </c>
      <c r="D713">
        <v>-20000</v>
      </c>
      <c r="E713" t="s">
        <v>8</v>
      </c>
      <c r="F713">
        <v>281453.65000000002</v>
      </c>
      <c r="G713" t="s">
        <v>776</v>
      </c>
    </row>
    <row r="714" spans="1:7" x14ac:dyDescent="0.25">
      <c r="A714" t="s">
        <v>6</v>
      </c>
      <c r="B714" s="1">
        <v>45713</v>
      </c>
      <c r="C714" t="s">
        <v>691</v>
      </c>
      <c r="D714">
        <v>-4.26</v>
      </c>
      <c r="E714" t="s">
        <v>10</v>
      </c>
      <c r="F714">
        <v>301453.65000000002</v>
      </c>
      <c r="G714" t="s">
        <v>792</v>
      </c>
    </row>
    <row r="715" spans="1:7" x14ac:dyDescent="0.25">
      <c r="A715" t="s">
        <v>6</v>
      </c>
      <c r="B715" s="1">
        <v>45712</v>
      </c>
      <c r="C715" t="s">
        <v>692</v>
      </c>
      <c r="D715">
        <v>-30.89</v>
      </c>
      <c r="E715" t="s">
        <v>10</v>
      </c>
      <c r="F715">
        <v>301457.90999999997</v>
      </c>
      <c r="G715" t="s">
        <v>765</v>
      </c>
    </row>
    <row r="716" spans="1:7" x14ac:dyDescent="0.25">
      <c r="A716" t="s">
        <v>6</v>
      </c>
      <c r="B716" s="1">
        <v>45709</v>
      </c>
      <c r="C716" t="s">
        <v>693</v>
      </c>
      <c r="D716">
        <v>-22.99</v>
      </c>
      <c r="E716" t="s">
        <v>10</v>
      </c>
      <c r="F716">
        <v>301488.8</v>
      </c>
      <c r="G716" t="s">
        <v>765</v>
      </c>
    </row>
    <row r="717" spans="1:7" x14ac:dyDescent="0.25">
      <c r="A717" t="s">
        <v>6</v>
      </c>
      <c r="B717" s="1">
        <v>45706</v>
      </c>
      <c r="C717" t="s">
        <v>694</v>
      </c>
      <c r="D717">
        <v>-20000</v>
      </c>
      <c r="E717" t="s">
        <v>8</v>
      </c>
      <c r="F717">
        <v>301511.78999999998</v>
      </c>
      <c r="G717" t="s">
        <v>776</v>
      </c>
    </row>
    <row r="718" spans="1:7" x14ac:dyDescent="0.25">
      <c r="A718" t="s">
        <v>6</v>
      </c>
      <c r="B718" s="1">
        <v>45706</v>
      </c>
      <c r="C718" t="s">
        <v>695</v>
      </c>
      <c r="D718">
        <v>-5.46</v>
      </c>
      <c r="E718" t="s">
        <v>10</v>
      </c>
      <c r="F718">
        <v>321511.78999999998</v>
      </c>
      <c r="G718" t="s">
        <v>766</v>
      </c>
    </row>
    <row r="719" spans="1:7" x14ac:dyDescent="0.25">
      <c r="A719" t="s">
        <v>6</v>
      </c>
      <c r="B719" s="1">
        <v>45706</v>
      </c>
      <c r="C719" t="s">
        <v>696</v>
      </c>
      <c r="D719">
        <v>-16.18</v>
      </c>
      <c r="E719" t="s">
        <v>10</v>
      </c>
      <c r="F719">
        <v>321517.25</v>
      </c>
      <c r="G719" t="s">
        <v>766</v>
      </c>
    </row>
    <row r="720" spans="1:7" x14ac:dyDescent="0.25">
      <c r="A720" t="s">
        <v>6</v>
      </c>
      <c r="B720" s="1">
        <v>45706</v>
      </c>
      <c r="C720" t="s">
        <v>697</v>
      </c>
      <c r="D720">
        <v>-19.03</v>
      </c>
      <c r="E720" t="s">
        <v>10</v>
      </c>
      <c r="F720">
        <v>321533.43</v>
      </c>
      <c r="G720" t="s">
        <v>766</v>
      </c>
    </row>
    <row r="721" spans="1:7" x14ac:dyDescent="0.25">
      <c r="A721" t="s">
        <v>6</v>
      </c>
      <c r="B721" s="1">
        <v>45700</v>
      </c>
      <c r="C721" t="s">
        <v>698</v>
      </c>
      <c r="D721">
        <v>-19.989999999999998</v>
      </c>
      <c r="E721" t="s">
        <v>10</v>
      </c>
      <c r="F721">
        <v>321552.46000000002</v>
      </c>
      <c r="G721" t="s">
        <v>765</v>
      </c>
    </row>
    <row r="722" spans="1:7" x14ac:dyDescent="0.25">
      <c r="A722" t="s">
        <v>6</v>
      </c>
      <c r="B722" s="1">
        <v>45700</v>
      </c>
      <c r="C722" t="s">
        <v>699</v>
      </c>
      <c r="D722">
        <v>-6.39</v>
      </c>
      <c r="E722" t="s">
        <v>10</v>
      </c>
      <c r="F722">
        <v>321572.45</v>
      </c>
      <c r="G722" t="s">
        <v>792</v>
      </c>
    </row>
    <row r="723" spans="1:7" x14ac:dyDescent="0.25">
      <c r="A723" t="s">
        <v>6</v>
      </c>
      <c r="B723" s="1">
        <v>45700</v>
      </c>
      <c r="C723" t="s">
        <v>700</v>
      </c>
      <c r="D723">
        <v>-30.89</v>
      </c>
      <c r="E723" t="s">
        <v>10</v>
      </c>
      <c r="F723">
        <v>321578.84000000003</v>
      </c>
      <c r="G723" t="s">
        <v>765</v>
      </c>
    </row>
    <row r="724" spans="1:7" x14ac:dyDescent="0.25">
      <c r="A724" t="s">
        <v>6</v>
      </c>
      <c r="B724" s="1">
        <v>45699</v>
      </c>
      <c r="C724" t="s">
        <v>701</v>
      </c>
      <c r="D724">
        <v>-2.12</v>
      </c>
      <c r="E724" t="s">
        <v>10</v>
      </c>
      <c r="F724">
        <v>321609.73</v>
      </c>
      <c r="G724" t="s">
        <v>792</v>
      </c>
    </row>
    <row r="725" spans="1:7" x14ac:dyDescent="0.25">
      <c r="A725" t="s">
        <v>6</v>
      </c>
      <c r="B725" s="1">
        <v>45699</v>
      </c>
      <c r="C725" t="s">
        <v>702</v>
      </c>
      <c r="D725">
        <v>-2.12</v>
      </c>
      <c r="E725" t="s">
        <v>10</v>
      </c>
      <c r="F725">
        <v>321611.84999999998</v>
      </c>
      <c r="G725" t="s">
        <v>792</v>
      </c>
    </row>
    <row r="726" spans="1:7" x14ac:dyDescent="0.25">
      <c r="A726" t="s">
        <v>6</v>
      </c>
      <c r="B726" s="1">
        <v>45699</v>
      </c>
      <c r="C726" t="s">
        <v>703</v>
      </c>
      <c r="D726">
        <v>-2.12</v>
      </c>
      <c r="E726" t="s">
        <v>10</v>
      </c>
      <c r="F726">
        <v>321613.96999999997</v>
      </c>
      <c r="G726" t="s">
        <v>792</v>
      </c>
    </row>
    <row r="727" spans="1:7" x14ac:dyDescent="0.25">
      <c r="A727" t="s">
        <v>6</v>
      </c>
      <c r="B727" s="1">
        <v>45698</v>
      </c>
      <c r="C727" t="s">
        <v>704</v>
      </c>
      <c r="D727">
        <v>-16.059999999999999</v>
      </c>
      <c r="E727" t="s">
        <v>10</v>
      </c>
      <c r="F727">
        <v>321616.09000000003</v>
      </c>
      <c r="G727" t="s">
        <v>792</v>
      </c>
    </row>
    <row r="728" spans="1:7" x14ac:dyDescent="0.25">
      <c r="A728" t="s">
        <v>6</v>
      </c>
      <c r="B728" s="1">
        <v>45698</v>
      </c>
      <c r="C728" t="s">
        <v>705</v>
      </c>
      <c r="D728">
        <v>-2.12</v>
      </c>
      <c r="E728" t="s">
        <v>10</v>
      </c>
      <c r="F728">
        <v>321632.15000000002</v>
      </c>
      <c r="G728" t="s">
        <v>792</v>
      </c>
    </row>
    <row r="729" spans="1:7" x14ac:dyDescent="0.25">
      <c r="A729" t="s">
        <v>6</v>
      </c>
      <c r="B729" s="1">
        <v>45698</v>
      </c>
      <c r="C729" t="s">
        <v>706</v>
      </c>
      <c r="D729">
        <v>-12.14</v>
      </c>
      <c r="E729" t="s">
        <v>10</v>
      </c>
      <c r="F729">
        <v>321634.27</v>
      </c>
      <c r="G729" t="s">
        <v>766</v>
      </c>
    </row>
    <row r="730" spans="1:7" x14ac:dyDescent="0.25">
      <c r="A730" t="s">
        <v>6</v>
      </c>
      <c r="B730" s="1">
        <v>45698</v>
      </c>
      <c r="C730" t="s">
        <v>707</v>
      </c>
      <c r="D730">
        <v>-63.48</v>
      </c>
      <c r="E730" t="s">
        <v>10</v>
      </c>
      <c r="F730">
        <v>321646.40999999997</v>
      </c>
      <c r="G730" t="s">
        <v>766</v>
      </c>
    </row>
    <row r="731" spans="1:7" x14ac:dyDescent="0.25">
      <c r="A731" t="s">
        <v>6</v>
      </c>
      <c r="B731" s="1">
        <v>45695</v>
      </c>
      <c r="C731" t="s">
        <v>708</v>
      </c>
      <c r="D731">
        <v>-2.12</v>
      </c>
      <c r="E731" t="s">
        <v>10</v>
      </c>
      <c r="F731">
        <v>321709.89</v>
      </c>
      <c r="G731" t="s">
        <v>792</v>
      </c>
    </row>
    <row r="732" spans="1:7" x14ac:dyDescent="0.25">
      <c r="A732" t="s">
        <v>6</v>
      </c>
      <c r="B732" s="1">
        <v>45695</v>
      </c>
      <c r="C732" t="s">
        <v>709</v>
      </c>
      <c r="D732">
        <v>-2.12</v>
      </c>
      <c r="E732" t="s">
        <v>10</v>
      </c>
      <c r="F732">
        <v>321712.01</v>
      </c>
      <c r="G732" t="s">
        <v>792</v>
      </c>
    </row>
    <row r="733" spans="1:7" x14ac:dyDescent="0.25">
      <c r="A733" t="s">
        <v>6</v>
      </c>
      <c r="B733" s="1">
        <v>45695</v>
      </c>
      <c r="C733" t="s">
        <v>710</v>
      </c>
      <c r="D733">
        <v>-9.99</v>
      </c>
      <c r="E733" t="s">
        <v>10</v>
      </c>
      <c r="F733">
        <v>321714.13</v>
      </c>
      <c r="G733" t="s">
        <v>765</v>
      </c>
    </row>
    <row r="734" spans="1:7" x14ac:dyDescent="0.25">
      <c r="A734" t="s">
        <v>6</v>
      </c>
      <c r="B734" s="1">
        <v>45694</v>
      </c>
      <c r="C734" t="s">
        <v>711</v>
      </c>
      <c r="D734">
        <v>-2.12</v>
      </c>
      <c r="E734" t="s">
        <v>10</v>
      </c>
      <c r="F734">
        <v>321724.12</v>
      </c>
      <c r="G734" t="s">
        <v>792</v>
      </c>
    </row>
    <row r="735" spans="1:7" x14ac:dyDescent="0.25">
      <c r="A735" t="s">
        <v>11</v>
      </c>
      <c r="B735" s="1">
        <v>45694</v>
      </c>
      <c r="C735" t="s">
        <v>712</v>
      </c>
      <c r="D735">
        <v>236.37</v>
      </c>
      <c r="E735" t="s">
        <v>50</v>
      </c>
      <c r="F735">
        <v>321726.24</v>
      </c>
      <c r="G735" t="s">
        <v>773</v>
      </c>
    </row>
    <row r="736" spans="1:7" x14ac:dyDescent="0.25">
      <c r="A736" t="s">
        <v>11</v>
      </c>
      <c r="B736" s="1">
        <v>45694</v>
      </c>
      <c r="C736" t="s">
        <v>713</v>
      </c>
      <c r="D736">
        <v>350</v>
      </c>
      <c r="E736" t="s">
        <v>50</v>
      </c>
      <c r="F736">
        <v>321489.87</v>
      </c>
      <c r="G736" t="s">
        <v>774</v>
      </c>
    </row>
    <row r="737" spans="1:7" x14ac:dyDescent="0.25">
      <c r="A737" t="s">
        <v>11</v>
      </c>
      <c r="B737" s="1">
        <v>45694</v>
      </c>
      <c r="C737" t="s">
        <v>714</v>
      </c>
      <c r="D737">
        <v>461.52</v>
      </c>
      <c r="E737" t="s">
        <v>50</v>
      </c>
      <c r="F737">
        <v>321139.87</v>
      </c>
      <c r="G737" t="s">
        <v>775</v>
      </c>
    </row>
    <row r="738" spans="1:7" x14ac:dyDescent="0.25">
      <c r="A738" t="s">
        <v>6</v>
      </c>
      <c r="B738" s="1">
        <v>45693</v>
      </c>
      <c r="C738" t="s">
        <v>715</v>
      </c>
      <c r="D738">
        <v>-2.12</v>
      </c>
      <c r="E738" t="s">
        <v>10</v>
      </c>
      <c r="F738">
        <v>320678.34999999998</v>
      </c>
      <c r="G738" t="s">
        <v>792</v>
      </c>
    </row>
    <row r="739" spans="1:7" x14ac:dyDescent="0.25">
      <c r="A739" t="s">
        <v>6</v>
      </c>
      <c r="B739" s="1">
        <v>45693</v>
      </c>
      <c r="C739" t="s">
        <v>716</v>
      </c>
      <c r="D739">
        <v>-30.89</v>
      </c>
      <c r="E739" t="s">
        <v>10</v>
      </c>
      <c r="F739">
        <v>320680.46999999997</v>
      </c>
      <c r="G739" t="s">
        <v>765</v>
      </c>
    </row>
    <row r="740" spans="1:7" x14ac:dyDescent="0.25">
      <c r="A740" t="s">
        <v>11</v>
      </c>
      <c r="B740" s="1">
        <v>45693</v>
      </c>
      <c r="C740" t="s">
        <v>717</v>
      </c>
      <c r="D740">
        <v>356.38</v>
      </c>
      <c r="E740" t="s">
        <v>50</v>
      </c>
      <c r="F740">
        <v>320711.36</v>
      </c>
      <c r="G740" t="s">
        <v>769</v>
      </c>
    </row>
    <row r="741" spans="1:7" x14ac:dyDescent="0.25">
      <c r="A741" t="s">
        <v>11</v>
      </c>
      <c r="B741" s="1">
        <v>45693</v>
      </c>
      <c r="C741" t="s">
        <v>718</v>
      </c>
      <c r="D741">
        <v>15000</v>
      </c>
      <c r="E741" t="s">
        <v>52</v>
      </c>
      <c r="F741">
        <v>320354.98</v>
      </c>
      <c r="G741" t="s">
        <v>793</v>
      </c>
    </row>
    <row r="742" spans="1:7" x14ac:dyDescent="0.25">
      <c r="A742" t="s">
        <v>6</v>
      </c>
      <c r="B742" s="1">
        <v>45692</v>
      </c>
      <c r="C742" t="s">
        <v>53</v>
      </c>
      <c r="D742">
        <v>-25</v>
      </c>
      <c r="E742" t="s">
        <v>14</v>
      </c>
      <c r="F742">
        <v>305354.98</v>
      </c>
      <c r="G742" t="s">
        <v>784</v>
      </c>
    </row>
    <row r="743" spans="1:7" x14ac:dyDescent="0.25">
      <c r="A743" t="s">
        <v>6</v>
      </c>
      <c r="B743" s="1">
        <v>45692</v>
      </c>
      <c r="C743" t="s">
        <v>719</v>
      </c>
      <c r="D743">
        <v>-10000</v>
      </c>
      <c r="E743" t="s">
        <v>47</v>
      </c>
      <c r="F743">
        <v>305379.98</v>
      </c>
      <c r="G743" t="s">
        <v>786</v>
      </c>
    </row>
    <row r="744" spans="1:7" x14ac:dyDescent="0.25">
      <c r="A744" t="s">
        <v>6</v>
      </c>
      <c r="B744" s="1">
        <v>45692</v>
      </c>
      <c r="C744" t="s">
        <v>720</v>
      </c>
      <c r="D744">
        <v>-6.39</v>
      </c>
      <c r="E744" t="s">
        <v>10</v>
      </c>
      <c r="F744">
        <v>315379.98</v>
      </c>
      <c r="G744" t="s">
        <v>792</v>
      </c>
    </row>
    <row r="745" spans="1:7" x14ac:dyDescent="0.25">
      <c r="A745" t="s">
        <v>6</v>
      </c>
      <c r="B745" s="1">
        <v>45691</v>
      </c>
      <c r="C745" t="s">
        <v>721</v>
      </c>
      <c r="D745">
        <v>-10000</v>
      </c>
      <c r="E745" t="s">
        <v>8</v>
      </c>
      <c r="F745">
        <v>315386.37</v>
      </c>
      <c r="G745" t="s">
        <v>776</v>
      </c>
    </row>
    <row r="746" spans="1:7" x14ac:dyDescent="0.25">
      <c r="A746" t="s">
        <v>6</v>
      </c>
      <c r="B746" s="1">
        <v>45691</v>
      </c>
      <c r="C746" t="s">
        <v>722</v>
      </c>
      <c r="D746">
        <v>-6.39</v>
      </c>
      <c r="E746" t="s">
        <v>10</v>
      </c>
      <c r="F746">
        <v>325386.37</v>
      </c>
      <c r="G746" t="s">
        <v>792</v>
      </c>
    </row>
    <row r="747" spans="1:7" x14ac:dyDescent="0.25">
      <c r="A747" t="s">
        <v>6</v>
      </c>
      <c r="B747" s="1">
        <v>45691</v>
      </c>
      <c r="C747" t="s">
        <v>723</v>
      </c>
      <c r="D747">
        <v>-21.27</v>
      </c>
      <c r="E747" t="s">
        <v>10</v>
      </c>
      <c r="F747">
        <v>325392.76</v>
      </c>
      <c r="G747" t="s">
        <v>765</v>
      </c>
    </row>
    <row r="748" spans="1:7" x14ac:dyDescent="0.25">
      <c r="A748" t="s">
        <v>6</v>
      </c>
      <c r="B748" s="1">
        <v>45687</v>
      </c>
      <c r="C748" t="s">
        <v>724</v>
      </c>
      <c r="D748">
        <v>-10000</v>
      </c>
      <c r="E748" t="s">
        <v>8</v>
      </c>
      <c r="F748">
        <v>325414.03000000003</v>
      </c>
      <c r="G748" t="s">
        <v>776</v>
      </c>
    </row>
    <row r="749" spans="1:7" x14ac:dyDescent="0.25">
      <c r="A749" t="s">
        <v>6</v>
      </c>
      <c r="B749" s="1">
        <v>45686</v>
      </c>
      <c r="C749" t="s">
        <v>725</v>
      </c>
      <c r="D749">
        <v>-20.56</v>
      </c>
      <c r="E749" t="s">
        <v>10</v>
      </c>
      <c r="F749">
        <v>335414.03000000003</v>
      </c>
      <c r="G749" t="s">
        <v>765</v>
      </c>
    </row>
    <row r="750" spans="1:7" x14ac:dyDescent="0.25">
      <c r="A750" t="s">
        <v>6</v>
      </c>
      <c r="B750" s="1">
        <v>45685</v>
      </c>
      <c r="C750" t="s">
        <v>726</v>
      </c>
      <c r="D750">
        <v>-26459.41</v>
      </c>
      <c r="E750" t="s">
        <v>45</v>
      </c>
      <c r="F750">
        <v>335434.59000000003</v>
      </c>
      <c r="G750" t="s">
        <v>767</v>
      </c>
    </row>
    <row r="751" spans="1:7" x14ac:dyDescent="0.25">
      <c r="A751" t="s">
        <v>6</v>
      </c>
      <c r="B751" s="1">
        <v>45685</v>
      </c>
      <c r="C751" t="s">
        <v>727</v>
      </c>
      <c r="D751">
        <v>-20.239999999999998</v>
      </c>
      <c r="E751" t="s">
        <v>10</v>
      </c>
      <c r="F751">
        <v>361894</v>
      </c>
      <c r="G751" t="s">
        <v>765</v>
      </c>
    </row>
    <row r="752" spans="1:7" x14ac:dyDescent="0.25">
      <c r="A752" t="s">
        <v>6</v>
      </c>
      <c r="B752" s="1">
        <v>45685</v>
      </c>
      <c r="C752" t="s">
        <v>728</v>
      </c>
      <c r="D752">
        <v>-1000</v>
      </c>
      <c r="E752" t="s">
        <v>45</v>
      </c>
      <c r="F752">
        <v>361914.24</v>
      </c>
      <c r="G752" t="s">
        <v>767</v>
      </c>
    </row>
    <row r="753" spans="1:7" x14ac:dyDescent="0.25">
      <c r="A753" t="s">
        <v>6</v>
      </c>
      <c r="B753" s="1">
        <v>45685</v>
      </c>
      <c r="C753" t="s">
        <v>729</v>
      </c>
      <c r="D753">
        <v>-15.98</v>
      </c>
      <c r="E753" t="s">
        <v>10</v>
      </c>
      <c r="F753">
        <v>362914.24</v>
      </c>
      <c r="G753" t="s">
        <v>765</v>
      </c>
    </row>
    <row r="754" spans="1:7" x14ac:dyDescent="0.25">
      <c r="A754" t="s">
        <v>6</v>
      </c>
      <c r="B754" s="1">
        <v>45684</v>
      </c>
      <c r="C754" t="s">
        <v>730</v>
      </c>
      <c r="D754">
        <v>-20000</v>
      </c>
      <c r="E754" t="s">
        <v>8</v>
      </c>
      <c r="F754">
        <v>362930.22</v>
      </c>
      <c r="G754" t="s">
        <v>776</v>
      </c>
    </row>
    <row r="755" spans="1:7" x14ac:dyDescent="0.25">
      <c r="A755" t="s">
        <v>6</v>
      </c>
      <c r="B755" s="1">
        <v>45684</v>
      </c>
      <c r="C755" t="s">
        <v>731</v>
      </c>
      <c r="D755">
        <v>-20.239999999999998</v>
      </c>
      <c r="E755" t="s">
        <v>10</v>
      </c>
      <c r="F755">
        <v>382930.22</v>
      </c>
      <c r="G755" t="s">
        <v>765</v>
      </c>
    </row>
    <row r="756" spans="1:7" x14ac:dyDescent="0.25">
      <c r="A756" t="s">
        <v>11</v>
      </c>
      <c r="B756" s="1">
        <v>45679</v>
      </c>
      <c r="C756" t="s">
        <v>732</v>
      </c>
      <c r="D756">
        <v>5000</v>
      </c>
      <c r="E756" t="s">
        <v>52</v>
      </c>
      <c r="F756">
        <v>382950.46</v>
      </c>
      <c r="G756" t="s">
        <v>793</v>
      </c>
    </row>
    <row r="757" spans="1:7" x14ac:dyDescent="0.25">
      <c r="A757" t="s">
        <v>6</v>
      </c>
      <c r="B757" s="1">
        <v>45678</v>
      </c>
      <c r="C757" t="s">
        <v>733</v>
      </c>
      <c r="D757">
        <v>-15.98</v>
      </c>
      <c r="E757" t="s">
        <v>10</v>
      </c>
      <c r="F757">
        <v>377950.46</v>
      </c>
      <c r="G757" t="s">
        <v>765</v>
      </c>
    </row>
    <row r="758" spans="1:7" x14ac:dyDescent="0.25">
      <c r="A758" t="s">
        <v>6</v>
      </c>
      <c r="B758" s="1">
        <v>45678</v>
      </c>
      <c r="C758" t="s">
        <v>734</v>
      </c>
      <c r="D758">
        <v>-22.99</v>
      </c>
      <c r="E758" t="s">
        <v>10</v>
      </c>
      <c r="F758">
        <v>377966.44</v>
      </c>
      <c r="G758" t="s">
        <v>765</v>
      </c>
    </row>
    <row r="759" spans="1:7" x14ac:dyDescent="0.25">
      <c r="A759" t="s">
        <v>6</v>
      </c>
      <c r="B759" s="1">
        <v>45678</v>
      </c>
      <c r="C759" t="s">
        <v>735</v>
      </c>
      <c r="D759">
        <v>-4.26</v>
      </c>
      <c r="E759" t="s">
        <v>10</v>
      </c>
      <c r="F759">
        <v>377989.43</v>
      </c>
      <c r="G759" t="s">
        <v>792</v>
      </c>
    </row>
    <row r="760" spans="1:7" x14ac:dyDescent="0.25">
      <c r="A760" t="s">
        <v>6</v>
      </c>
      <c r="B760" s="1">
        <v>45678</v>
      </c>
      <c r="C760" t="s">
        <v>736</v>
      </c>
      <c r="D760">
        <v>-4.26</v>
      </c>
      <c r="E760" t="s">
        <v>10</v>
      </c>
      <c r="F760">
        <v>377993.69</v>
      </c>
      <c r="G760" t="s">
        <v>792</v>
      </c>
    </row>
    <row r="761" spans="1:7" x14ac:dyDescent="0.25">
      <c r="A761" t="s">
        <v>6</v>
      </c>
      <c r="B761" s="1">
        <v>45678</v>
      </c>
      <c r="C761" t="s">
        <v>737</v>
      </c>
      <c r="D761">
        <v>-4.05</v>
      </c>
      <c r="E761" t="s">
        <v>10</v>
      </c>
      <c r="F761">
        <v>377997.95</v>
      </c>
      <c r="G761" t="s">
        <v>792</v>
      </c>
    </row>
    <row r="762" spans="1:7" x14ac:dyDescent="0.25">
      <c r="A762" t="s">
        <v>6</v>
      </c>
      <c r="B762" s="1">
        <v>45678</v>
      </c>
      <c r="C762" t="s">
        <v>738</v>
      </c>
      <c r="D762">
        <v>-3.83</v>
      </c>
      <c r="E762" t="s">
        <v>10</v>
      </c>
      <c r="F762">
        <v>378002</v>
      </c>
      <c r="G762" t="s">
        <v>792</v>
      </c>
    </row>
    <row r="763" spans="1:7" x14ac:dyDescent="0.25">
      <c r="A763" t="s">
        <v>6</v>
      </c>
      <c r="B763" s="1">
        <v>45673</v>
      </c>
      <c r="C763" t="s">
        <v>739</v>
      </c>
      <c r="D763">
        <v>-16.18</v>
      </c>
      <c r="E763" t="s">
        <v>10</v>
      </c>
      <c r="F763">
        <v>378005.83</v>
      </c>
      <c r="G763" t="s">
        <v>766</v>
      </c>
    </row>
    <row r="764" spans="1:7" x14ac:dyDescent="0.25">
      <c r="A764" t="s">
        <v>6</v>
      </c>
      <c r="B764" s="1">
        <v>45672</v>
      </c>
      <c r="C764" t="s">
        <v>53</v>
      </c>
      <c r="D764">
        <v>-25</v>
      </c>
      <c r="E764" t="s">
        <v>14</v>
      </c>
      <c r="F764">
        <v>378022.01</v>
      </c>
      <c r="G764" t="s">
        <v>784</v>
      </c>
    </row>
    <row r="765" spans="1:7" x14ac:dyDescent="0.25">
      <c r="A765" t="s">
        <v>6</v>
      </c>
      <c r="B765" s="1">
        <v>45672</v>
      </c>
      <c r="C765" t="s">
        <v>740</v>
      </c>
      <c r="D765">
        <v>-9950</v>
      </c>
      <c r="E765" t="s">
        <v>47</v>
      </c>
      <c r="F765">
        <v>378047.01</v>
      </c>
      <c r="G765" t="s">
        <v>786</v>
      </c>
    </row>
    <row r="766" spans="1:7" x14ac:dyDescent="0.25">
      <c r="A766" t="s">
        <v>6</v>
      </c>
      <c r="B766" s="1">
        <v>45672</v>
      </c>
      <c r="C766" t="s">
        <v>741</v>
      </c>
      <c r="D766">
        <v>-20.239999999999998</v>
      </c>
      <c r="E766" t="s">
        <v>10</v>
      </c>
      <c r="F766">
        <v>387997.01</v>
      </c>
      <c r="G766" t="s">
        <v>765</v>
      </c>
    </row>
    <row r="767" spans="1:7" x14ac:dyDescent="0.25">
      <c r="A767" t="s">
        <v>11</v>
      </c>
      <c r="B767" s="1">
        <v>45672</v>
      </c>
      <c r="C767" t="s">
        <v>742</v>
      </c>
      <c r="D767">
        <v>10000</v>
      </c>
      <c r="E767" t="s">
        <v>52</v>
      </c>
      <c r="F767">
        <v>388017.25</v>
      </c>
      <c r="G767" t="s">
        <v>793</v>
      </c>
    </row>
    <row r="768" spans="1:7" x14ac:dyDescent="0.25">
      <c r="A768" t="s">
        <v>6</v>
      </c>
      <c r="B768" s="1">
        <v>45671</v>
      </c>
      <c r="C768" t="s">
        <v>743</v>
      </c>
      <c r="D768">
        <v>-15.98</v>
      </c>
      <c r="E768" t="s">
        <v>10</v>
      </c>
      <c r="F768">
        <v>378017.25</v>
      </c>
      <c r="G768" t="s">
        <v>765</v>
      </c>
    </row>
    <row r="769" spans="1:7" x14ac:dyDescent="0.25">
      <c r="A769" t="s">
        <v>6</v>
      </c>
      <c r="B769" s="1">
        <v>45671</v>
      </c>
      <c r="C769" t="s">
        <v>744</v>
      </c>
      <c r="D769">
        <v>-50000</v>
      </c>
      <c r="E769" t="s">
        <v>8</v>
      </c>
      <c r="F769">
        <v>378033.23</v>
      </c>
      <c r="G769" t="s">
        <v>787</v>
      </c>
    </row>
    <row r="770" spans="1:7" x14ac:dyDescent="0.25">
      <c r="A770" t="s">
        <v>6</v>
      </c>
      <c r="B770" s="1">
        <v>45670</v>
      </c>
      <c r="C770" t="s">
        <v>745</v>
      </c>
      <c r="D770">
        <v>-19.989999999999998</v>
      </c>
      <c r="E770" t="s">
        <v>10</v>
      </c>
      <c r="F770">
        <v>428033.23</v>
      </c>
      <c r="G770" t="s">
        <v>765</v>
      </c>
    </row>
    <row r="771" spans="1:7" x14ac:dyDescent="0.25">
      <c r="A771" t="s">
        <v>11</v>
      </c>
      <c r="B771" s="1">
        <v>45670</v>
      </c>
      <c r="C771" t="s">
        <v>746</v>
      </c>
      <c r="D771">
        <v>345.24</v>
      </c>
      <c r="E771" t="s">
        <v>50</v>
      </c>
      <c r="F771">
        <v>428053.22</v>
      </c>
      <c r="G771" t="s">
        <v>769</v>
      </c>
    </row>
    <row r="772" spans="1:7" x14ac:dyDescent="0.25">
      <c r="A772" t="s">
        <v>11</v>
      </c>
      <c r="B772" s="1">
        <v>45670</v>
      </c>
      <c r="C772" t="s">
        <v>747</v>
      </c>
      <c r="D772">
        <v>461.52</v>
      </c>
      <c r="E772" t="s">
        <v>50</v>
      </c>
      <c r="F772">
        <v>427707.98</v>
      </c>
      <c r="G772" t="s">
        <v>775</v>
      </c>
    </row>
    <row r="773" spans="1:7" x14ac:dyDescent="0.25">
      <c r="A773" t="s">
        <v>11</v>
      </c>
      <c r="B773" s="1">
        <v>45667</v>
      </c>
      <c r="C773" t="s">
        <v>748</v>
      </c>
      <c r="D773">
        <v>236.37</v>
      </c>
      <c r="E773" t="s">
        <v>50</v>
      </c>
      <c r="F773">
        <v>427246.46</v>
      </c>
      <c r="G773" t="s">
        <v>773</v>
      </c>
    </row>
    <row r="774" spans="1:7" x14ac:dyDescent="0.25">
      <c r="A774" t="s">
        <v>11</v>
      </c>
      <c r="B774" s="1">
        <v>45667</v>
      </c>
      <c r="C774" t="s">
        <v>749</v>
      </c>
      <c r="D774">
        <v>350</v>
      </c>
      <c r="E774" t="s">
        <v>50</v>
      </c>
      <c r="F774">
        <v>427010.09</v>
      </c>
      <c r="G774" t="s">
        <v>774</v>
      </c>
    </row>
    <row r="775" spans="1:7" x14ac:dyDescent="0.25">
      <c r="A775" t="s">
        <v>6</v>
      </c>
      <c r="B775" s="1">
        <v>45665</v>
      </c>
      <c r="C775" t="s">
        <v>750</v>
      </c>
      <c r="D775">
        <v>-36.22</v>
      </c>
      <c r="E775" t="s">
        <v>10</v>
      </c>
      <c r="F775">
        <v>426660.09</v>
      </c>
      <c r="G775" t="s">
        <v>765</v>
      </c>
    </row>
    <row r="776" spans="1:7" x14ac:dyDescent="0.25">
      <c r="A776" t="s">
        <v>6</v>
      </c>
      <c r="B776" s="1">
        <v>45664</v>
      </c>
      <c r="C776" t="s">
        <v>751</v>
      </c>
      <c r="D776">
        <v>-4.26</v>
      </c>
      <c r="E776" t="s">
        <v>10</v>
      </c>
      <c r="F776">
        <v>426696.31</v>
      </c>
      <c r="G776" t="s">
        <v>792</v>
      </c>
    </row>
    <row r="777" spans="1:7" x14ac:dyDescent="0.25">
      <c r="A777" t="s">
        <v>6</v>
      </c>
      <c r="B777" s="1">
        <v>45664</v>
      </c>
      <c r="C777" t="s">
        <v>752</v>
      </c>
      <c r="D777">
        <v>-9.99</v>
      </c>
      <c r="E777" t="s">
        <v>10</v>
      </c>
      <c r="F777">
        <v>426700.57</v>
      </c>
      <c r="G777" t="s">
        <v>765</v>
      </c>
    </row>
    <row r="778" spans="1:7" x14ac:dyDescent="0.25">
      <c r="A778" t="s">
        <v>6</v>
      </c>
      <c r="B778" s="1">
        <v>45664</v>
      </c>
      <c r="C778" t="s">
        <v>753</v>
      </c>
      <c r="D778">
        <v>-51.06</v>
      </c>
      <c r="E778" t="s">
        <v>10</v>
      </c>
      <c r="F778">
        <v>426710.56</v>
      </c>
      <c r="G778" t="s">
        <v>766</v>
      </c>
    </row>
    <row r="779" spans="1:7" x14ac:dyDescent="0.25">
      <c r="A779" t="s">
        <v>6</v>
      </c>
      <c r="B779" s="1">
        <v>45663</v>
      </c>
      <c r="C779" t="s">
        <v>754</v>
      </c>
      <c r="D779">
        <v>-4.26</v>
      </c>
      <c r="E779" t="s">
        <v>10</v>
      </c>
      <c r="F779">
        <v>426761.62</v>
      </c>
      <c r="G779" t="s">
        <v>792</v>
      </c>
    </row>
    <row r="780" spans="1:7" x14ac:dyDescent="0.25">
      <c r="A780" t="s">
        <v>6</v>
      </c>
      <c r="B780" s="1">
        <v>45663</v>
      </c>
      <c r="C780" t="s">
        <v>755</v>
      </c>
      <c r="D780">
        <v>-4.26</v>
      </c>
      <c r="E780" t="s">
        <v>10</v>
      </c>
      <c r="F780">
        <v>426765.88</v>
      </c>
      <c r="G780" t="s">
        <v>792</v>
      </c>
    </row>
    <row r="781" spans="1:7" x14ac:dyDescent="0.25">
      <c r="A781" t="s">
        <v>6</v>
      </c>
      <c r="B781" s="1">
        <v>45663</v>
      </c>
      <c r="C781" t="s">
        <v>756</v>
      </c>
      <c r="D781">
        <v>-3.19</v>
      </c>
      <c r="E781" t="s">
        <v>10</v>
      </c>
      <c r="F781">
        <v>426770.14</v>
      </c>
      <c r="G781" t="s">
        <v>792</v>
      </c>
    </row>
    <row r="782" spans="1:7" x14ac:dyDescent="0.25">
      <c r="A782" t="s">
        <v>6</v>
      </c>
      <c r="B782" s="1">
        <v>45663</v>
      </c>
      <c r="C782" t="s">
        <v>757</v>
      </c>
      <c r="D782">
        <v>-3.19</v>
      </c>
      <c r="E782" t="s">
        <v>10</v>
      </c>
      <c r="F782">
        <v>426773.33</v>
      </c>
      <c r="G782" t="s">
        <v>792</v>
      </c>
    </row>
    <row r="783" spans="1:7" x14ac:dyDescent="0.25">
      <c r="A783" t="s">
        <v>6</v>
      </c>
      <c r="B783" s="1">
        <v>45660</v>
      </c>
      <c r="C783" t="s">
        <v>53</v>
      </c>
      <c r="D783">
        <v>-25</v>
      </c>
      <c r="E783" t="s">
        <v>14</v>
      </c>
      <c r="F783">
        <v>426776.52</v>
      </c>
      <c r="G783" t="s">
        <v>784</v>
      </c>
    </row>
    <row r="784" spans="1:7" x14ac:dyDescent="0.25">
      <c r="A784" t="s">
        <v>6</v>
      </c>
      <c r="B784" s="1">
        <v>45660</v>
      </c>
      <c r="C784" t="s">
        <v>758</v>
      </c>
      <c r="D784">
        <v>-23830</v>
      </c>
      <c r="E784" t="s">
        <v>47</v>
      </c>
      <c r="F784">
        <v>426801.52</v>
      </c>
      <c r="G784" t="s">
        <v>791</v>
      </c>
    </row>
    <row r="785" spans="1:7" x14ac:dyDescent="0.25">
      <c r="A785" t="s">
        <v>6</v>
      </c>
      <c r="B785" s="1">
        <v>45660</v>
      </c>
      <c r="C785" t="s">
        <v>759</v>
      </c>
      <c r="D785">
        <v>-3.83</v>
      </c>
      <c r="E785" t="s">
        <v>10</v>
      </c>
      <c r="F785">
        <v>450631.52</v>
      </c>
      <c r="G785" t="s">
        <v>792</v>
      </c>
    </row>
    <row r="786" spans="1:7" x14ac:dyDescent="0.25">
      <c r="A786" t="s">
        <v>6</v>
      </c>
      <c r="B786" s="1">
        <v>45660</v>
      </c>
      <c r="C786" t="s">
        <v>760</v>
      </c>
      <c r="D786">
        <v>-4.26</v>
      </c>
      <c r="E786" t="s">
        <v>10</v>
      </c>
      <c r="F786">
        <v>450635.35</v>
      </c>
      <c r="G786" t="s">
        <v>792</v>
      </c>
    </row>
    <row r="787" spans="1:7" x14ac:dyDescent="0.25">
      <c r="A787" t="s">
        <v>6</v>
      </c>
      <c r="B787" s="1">
        <v>45659</v>
      </c>
      <c r="C787" t="s">
        <v>69</v>
      </c>
      <c r="D787">
        <v>-15</v>
      </c>
      <c r="E787" t="s">
        <v>14</v>
      </c>
      <c r="F787">
        <v>450639.61</v>
      </c>
      <c r="G787" t="s">
        <v>784</v>
      </c>
    </row>
    <row r="788" spans="1:7" x14ac:dyDescent="0.25">
      <c r="A788" t="s">
        <v>6</v>
      </c>
      <c r="B788" s="1">
        <v>45659</v>
      </c>
      <c r="C788" t="s">
        <v>69</v>
      </c>
      <c r="D788">
        <v>-15</v>
      </c>
      <c r="E788" t="s">
        <v>14</v>
      </c>
      <c r="F788">
        <v>450654.61</v>
      </c>
      <c r="G788" t="s">
        <v>784</v>
      </c>
    </row>
    <row r="789" spans="1:7" x14ac:dyDescent="0.25">
      <c r="A789" t="s">
        <v>11</v>
      </c>
      <c r="B789" s="1">
        <v>45659</v>
      </c>
      <c r="C789" t="s">
        <v>761</v>
      </c>
      <c r="D789">
        <v>69650</v>
      </c>
      <c r="E789" t="s">
        <v>52</v>
      </c>
      <c r="F789">
        <v>450669.61</v>
      </c>
      <c r="G789" t="s">
        <v>790</v>
      </c>
    </row>
    <row r="790" spans="1:7" x14ac:dyDescent="0.25">
      <c r="A790" t="s">
        <v>11</v>
      </c>
      <c r="B790" s="1">
        <v>45659</v>
      </c>
      <c r="C790" t="s">
        <v>762</v>
      </c>
      <c r="D790">
        <v>78600</v>
      </c>
      <c r="E790" t="s">
        <v>52</v>
      </c>
      <c r="F790">
        <v>381019.61</v>
      </c>
      <c r="G790" t="s">
        <v>790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Category Summary</vt:lpstr>
      <vt:lpstr>Commission</vt:lpstr>
      <vt:lpstr>Monthly Breakdown</vt:lpstr>
      <vt:lpstr>Monthly Detail</vt:lpstr>
      <vt:lpstr>Transfer In</vt:lpstr>
      <vt:lpstr>Transfer Out</vt:lpstr>
      <vt:lpstr>Wire In</vt:lpstr>
      <vt:lpstr>Wire Out</vt:lpstr>
      <vt:lpstr>Transaction Overview</vt:lpstr>
      <vt:lpstr>Mapping</vt:lpstr>
      <vt:lpstr>2025_Chase9335_Activity_2026062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Judd Dunning</dc:creator>
  <cp:lastModifiedBy>Judd Dunning</cp:lastModifiedBy>
  <dcterms:created xsi:type="dcterms:W3CDTF">2026-07-09T20:08:02Z</dcterms:created>
  <dcterms:modified xsi:type="dcterms:W3CDTF">2026-07-09T22:24:25Z</dcterms:modified>
</cp:coreProperties>
</file>