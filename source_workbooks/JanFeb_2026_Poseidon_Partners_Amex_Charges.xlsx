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American Express_Buckets\3. Poseidon Partners\"/>
    </mc:Choice>
  </mc:AlternateContent>
  <xr:revisionPtr revIDLastSave="0" documentId="8_{20FE84F1-4E8D-4DCB-AC00-090F0057EC93}" xr6:coauthVersionLast="47" xr6:coauthVersionMax="47" xr10:uidLastSave="{00000000-0000-0000-0000-000000000000}"/>
  <bookViews>
    <workbookView xWindow="-120" yWindow="-120" windowWidth="29040" windowHeight="15720" xr2:uid="{945E2CD5-1BF4-49C0-ACF7-D2243F455407}"/>
  </bookViews>
  <sheets>
    <sheet name="Transaction Summary" sheetId="5" r:id="rId1"/>
    <sheet name="Monthly Breakdown" sheetId="6" r:id="rId2"/>
    <sheet name="Transaction Detail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B4" i="6"/>
  <c r="D86" i="5"/>
  <c r="B87" i="5" s="1"/>
  <c r="A85" i="5"/>
  <c r="A84" i="5"/>
  <c r="A83" i="5"/>
  <c r="A82" i="5"/>
  <c r="A81" i="5"/>
  <c r="A80" i="5"/>
  <c r="A79" i="5"/>
  <c r="A78" i="5"/>
  <c r="A77" i="5"/>
  <c r="A76" i="5"/>
  <c r="A75" i="5"/>
  <c r="A74" i="5"/>
  <c r="A69" i="5"/>
  <c r="A68" i="5"/>
  <c r="B10" i="5"/>
  <c r="B9" i="5"/>
  <c r="B11" i="5" s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B49" i="5" s="1"/>
  <c r="C49" i="5" s="1"/>
  <c r="I9" i="1"/>
  <c r="J8" i="1"/>
  <c r="I8" i="1"/>
  <c r="B68" i="5" l="1"/>
  <c r="C69" i="5"/>
  <c r="C18" i="6"/>
  <c r="B19" i="6"/>
  <c r="C28" i="6"/>
  <c r="B39" i="5"/>
  <c r="C39" i="5" s="1"/>
  <c r="B5" i="6"/>
  <c r="C14" i="6"/>
  <c r="B24" i="5"/>
  <c r="C24" i="5" s="1"/>
  <c r="B33" i="6"/>
  <c r="B19" i="5"/>
  <c r="C19" i="5" s="1"/>
  <c r="B57" i="5"/>
  <c r="C42" i="6"/>
  <c r="C57" i="5"/>
  <c r="C33" i="6"/>
  <c r="D33" i="6" s="1"/>
  <c r="B26" i="5"/>
  <c r="C26" i="5" s="1"/>
  <c r="B42" i="5"/>
  <c r="B58" i="5"/>
  <c r="C58" i="5" s="1"/>
  <c r="B10" i="6"/>
  <c r="C19" i="6"/>
  <c r="D19" i="6" s="1"/>
  <c r="B38" i="6"/>
  <c r="C10" i="6"/>
  <c r="B29" i="6"/>
  <c r="C38" i="6"/>
  <c r="C27" i="6"/>
  <c r="B27" i="5"/>
  <c r="C27" i="5" s="1"/>
  <c r="B43" i="5"/>
  <c r="C43" i="5" s="1"/>
  <c r="B59" i="5"/>
  <c r="C59" i="5" s="1"/>
  <c r="B20" i="6"/>
  <c r="C29" i="6"/>
  <c r="B11" i="6"/>
  <c r="D11" i="6" s="1"/>
  <c r="C20" i="6"/>
  <c r="B39" i="6"/>
  <c r="D39" i="6" s="1"/>
  <c r="B28" i="5"/>
  <c r="C28" i="5" s="1"/>
  <c r="B44" i="5"/>
  <c r="C44" i="5" s="1"/>
  <c r="B60" i="5"/>
  <c r="C60" i="5" s="1"/>
  <c r="C11" i="6"/>
  <c r="B30" i="6"/>
  <c r="C39" i="6"/>
  <c r="B24" i="6"/>
  <c r="B21" i="6"/>
  <c r="C30" i="6"/>
  <c r="B18" i="6"/>
  <c r="D18" i="6" s="1"/>
  <c r="B29" i="5"/>
  <c r="C29" i="5" s="1"/>
  <c r="B45" i="5"/>
  <c r="C45" i="5" s="1"/>
  <c r="B61" i="5"/>
  <c r="C61" i="5" s="1"/>
  <c r="B12" i="6"/>
  <c r="C21" i="6"/>
  <c r="B40" i="6"/>
  <c r="C12" i="6"/>
  <c r="B31" i="6"/>
  <c r="C40" i="6"/>
  <c r="B16" i="5"/>
  <c r="B30" i="5"/>
  <c r="C30" i="5" s="1"/>
  <c r="B62" i="5"/>
  <c r="C62" i="5" s="1"/>
  <c r="B22" i="6"/>
  <c r="C31" i="6"/>
  <c r="B46" i="5"/>
  <c r="C46" i="5" s="1"/>
  <c r="B13" i="6"/>
  <c r="D13" i="6" s="1"/>
  <c r="C22" i="6"/>
  <c r="B41" i="6"/>
  <c r="D41" i="6" s="1"/>
  <c r="B47" i="5"/>
  <c r="C47" i="5" s="1"/>
  <c r="B32" i="6"/>
  <c r="C41" i="6"/>
  <c r="C13" i="6"/>
  <c r="B23" i="6"/>
  <c r="C32" i="6"/>
  <c r="B17" i="5"/>
  <c r="C17" i="5" s="1"/>
  <c r="B31" i="5"/>
  <c r="C31" i="5" s="1"/>
  <c r="B18" i="5"/>
  <c r="C18" i="5" s="1"/>
  <c r="B32" i="5"/>
  <c r="C32" i="5" s="1"/>
  <c r="B48" i="5"/>
  <c r="C48" i="5" s="1"/>
  <c r="B14" i="6"/>
  <c r="D14" i="6" s="1"/>
  <c r="C23" i="6"/>
  <c r="B42" i="6"/>
  <c r="D42" i="6" s="1"/>
  <c r="B43" i="6"/>
  <c r="B20" i="5"/>
  <c r="C20" i="5" s="1"/>
  <c r="B35" i="5"/>
  <c r="C68" i="5"/>
  <c r="C70" i="5" s="1"/>
  <c r="B6" i="6"/>
  <c r="C15" i="6"/>
  <c r="B34" i="6"/>
  <c r="C43" i="6"/>
  <c r="C6" i="6"/>
  <c r="B25" i="6"/>
  <c r="C34" i="6"/>
  <c r="B21" i="5"/>
  <c r="C21" i="5" s="1"/>
  <c r="B52" i="5"/>
  <c r="B16" i="6"/>
  <c r="D16" i="6" s="1"/>
  <c r="C25" i="6"/>
  <c r="B45" i="6"/>
  <c r="B69" i="5"/>
  <c r="D69" i="5" s="1"/>
  <c r="B7" i="6"/>
  <c r="C16" i="6"/>
  <c r="B35" i="6"/>
  <c r="C45" i="6"/>
  <c r="C24" i="6"/>
  <c r="B36" i="5"/>
  <c r="C36" i="5" s="1"/>
  <c r="B53" i="5"/>
  <c r="C53" i="5" s="1"/>
  <c r="C7" i="6"/>
  <c r="B26" i="6"/>
  <c r="C35" i="6"/>
  <c r="B15" i="6"/>
  <c r="B22" i="5"/>
  <c r="C22" i="5" s="1"/>
  <c r="B37" i="5"/>
  <c r="C37" i="5" s="1"/>
  <c r="B17" i="6"/>
  <c r="C26" i="6"/>
  <c r="B46" i="6"/>
  <c r="B38" i="5"/>
  <c r="C38" i="5" s="1"/>
  <c r="C5" i="6"/>
  <c r="D5" i="6" s="1"/>
  <c r="B23" i="5"/>
  <c r="C23" i="5" s="1"/>
  <c r="B54" i="5"/>
  <c r="C54" i="5" s="1"/>
  <c r="B8" i="6"/>
  <c r="C17" i="6"/>
  <c r="B36" i="6"/>
  <c r="C46" i="6"/>
  <c r="C8" i="6"/>
  <c r="B27" i="6"/>
  <c r="C36" i="6"/>
  <c r="B28" i="6"/>
  <c r="D28" i="6" s="1"/>
  <c r="C37" i="6"/>
  <c r="B9" i="6"/>
  <c r="B37" i="6"/>
  <c r="D37" i="6" s="1"/>
  <c r="B25" i="5"/>
  <c r="C25" i="5" s="1"/>
  <c r="C9" i="6"/>
  <c r="D40" i="6" l="1"/>
  <c r="D32" i="6"/>
  <c r="D27" i="6"/>
  <c r="D38" i="6"/>
  <c r="D20" i="6"/>
  <c r="D22" i="6"/>
  <c r="C16" i="5"/>
  <c r="B33" i="5"/>
  <c r="D46" i="6"/>
  <c r="D6" i="6"/>
  <c r="C52" i="5"/>
  <c r="B55" i="5"/>
  <c r="C55" i="5" s="1"/>
  <c r="D43" i="6"/>
  <c r="D36" i="6"/>
  <c r="B40" i="5"/>
  <c r="C40" i="5" s="1"/>
  <c r="C35" i="5"/>
  <c r="D12" i="6"/>
  <c r="D10" i="6"/>
  <c r="B50" i="5"/>
  <c r="C50" i="5" s="1"/>
  <c r="C42" i="5"/>
  <c r="D34" i="6"/>
  <c r="D31" i="6"/>
  <c r="D45" i="6"/>
  <c r="D47" i="6" s="1"/>
  <c r="A49" i="6" s="1"/>
  <c r="B47" i="6"/>
  <c r="D8" i="6"/>
  <c r="D21" i="6"/>
  <c r="D24" i="6"/>
  <c r="D25" i="6"/>
  <c r="D9" i="6"/>
  <c r="D30" i="6"/>
  <c r="D17" i="6"/>
  <c r="D15" i="6"/>
  <c r="D26" i="6"/>
  <c r="C47" i="6"/>
  <c r="D35" i="6"/>
  <c r="D7" i="6"/>
  <c r="D68" i="5"/>
  <c r="D70" i="5" s="1"/>
  <c r="D29" i="6"/>
  <c r="B63" i="5"/>
  <c r="C63" i="5" s="1"/>
  <c r="D23" i="6"/>
  <c r="B70" i="5"/>
  <c r="C33" i="5" l="1"/>
  <c r="B64" i="5"/>
  <c r="C64" i="5" s="1"/>
</calcChain>
</file>

<file path=xl/sharedStrings.xml><?xml version="1.0" encoding="utf-8"?>
<sst xmlns="http://schemas.openxmlformats.org/spreadsheetml/2006/main" count="1434" uniqueCount="514">
  <si>
    <t>Transaction Details</t>
  </si>
  <si>
    <t>Business Platinum Card® / Dec 01, 2025 to Feb 28, 2026</t>
  </si>
  <si>
    <t>Prepared for</t>
  </si>
  <si>
    <t>JOHN DUNNING</t>
  </si>
  <si>
    <t>Account Number</t>
  </si>
  <si>
    <t>XXXX-XXXXXX-02000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</si>
  <si>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</si>
  <si>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</si>
  <si>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</si>
  <si>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</si>
  <si>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</si>
  <si>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</si>
  <si>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</si>
  <si>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Category</t>
  </si>
  <si>
    <t>CASABLANCA RESTAURANVENICE              CA</t>
  </si>
  <si>
    <t>31099536060 RESTAURANT
CASABLANCA RESTAURANT 00-08045339838
VENICE
CA
RESTAURANT</t>
  </si>
  <si>
    <t>Personal - Food</t>
  </si>
  <si>
    <t>GELSON'S MARKET #29 SANTA MONICA        CA</t>
  </si>
  <si>
    <t>000069766   3105816450
GELSON'S MARKET #29 000000000098932
SANTA MONICA
CA
3105816450</t>
  </si>
  <si>
    <t>SPONSORCLOUD (SYNPROSALT LAKE CITY      UT</t>
  </si>
  <si>
    <t>CH_3T5XQRB7 +13854834872
SPONSORCLOUD (SYNPRO)
SALT LAKE CITY
UT
+13854834872</t>
  </si>
  <si>
    <t>Sponsor Cloud - DWGCP</t>
  </si>
  <si>
    <t>ALANA'S COFFEE ROASTLos Angeles         CA</t>
  </si>
  <si>
    <t>jZKHQjjVA0y squareup.com/receipts
ALANA'S COFFEE ROASTERS
Los Angeles
CA
squareup.com/receipts</t>
  </si>
  <si>
    <t>DNH*GODADDY#40268371Tempe               AZ</t>
  </si>
  <si>
    <t>4026837181 4805058855
Hosting - Web - Economy - Linux cPanel -
PHP Extended Support Level 1 - Renewal -
DNH*GODADDY#4026837181
Tempe
AZ
Hosting - Web - Economy - Linux cPanel -
PHP Extended Support Level 1 - Renewal -
4805058855</t>
  </si>
  <si>
    <t>Go Daddy</t>
  </si>
  <si>
    <t>SPLICE.COM          NEW YORK            NY</t>
  </si>
  <si>
    <t>CH_3T5S9YCF 3235775423
SPLICE.COM
NEW YORK
NY
3235775423</t>
  </si>
  <si>
    <t>Software &amp; Subscriptions</t>
  </si>
  <si>
    <t>9iqGR6Vq5eW squareup.com/receipts
ALANA'S COFFEE ROASTERS
Los Angeles
CA
squareup.com/receipts</t>
  </si>
  <si>
    <t>NAIOP, INC.*NAIOP, IHERNDON             VA</t>
  </si>
  <si>
    <t>HERNDON
NAIOP, INC.*NAIOP, INC. NAIOP, INC.
HERNDON
VA
HERNDON</t>
  </si>
  <si>
    <t>ONLINE PAYMENT - THANK YOU</t>
  </si>
  <si>
    <t xml:space="preserve">ONLINE PAYMENT - THANK YOU
</t>
  </si>
  <si>
    <t>Online AMEX Payment</t>
  </si>
  <si>
    <t>7PDFunpsqir squareup.com/receipts
ALANA'S COFFEE ROASTERS
Los Angeles
CA
squareup.com/receipts</t>
  </si>
  <si>
    <t>31099536057 RESTAURANT
CASABLANCA RESTAURANT 00-08045339838
VENICE
CA
RESTAURANT</t>
  </si>
  <si>
    <t>DNH*GODADDY#40251923Tempe               AZ</t>
  </si>
  <si>
    <t>4025192380 4805058855
Email Plus  - Renewal - monthly
Email - Archiving - Renewal
DNH*GODADDY#4025192380
Tempe
AZ
Email Plus  - Renewal - monthly
Email - Archiving - Renewal
4805058855</t>
  </si>
  <si>
    <t>GULF OIL 92065536 00VENICE              CA</t>
  </si>
  <si>
    <t>000001389   3103144055
GULF OIL 92065536 000000000820423
VENICE
CA
3103144055</t>
  </si>
  <si>
    <t>Personal - Car</t>
  </si>
  <si>
    <t>MERCEDES BAR &amp; GRILLMARINA DEL RE       CA</t>
  </si>
  <si>
    <t>55700013    310-827-6209
MERCEDES BAR &amp; GRILLE
MARINA DEL RE
CA
Description : FOOD/BEVERAGE Price : 0.00
310-827-6209</t>
  </si>
  <si>
    <t>Team Lunch</t>
  </si>
  <si>
    <t>TST* BLUEYS KITCHEN LOS ANGELES         CA</t>
  </si>
  <si>
    <t>21105176056 RESTAURANT
TST* BLUEYS KITCHEN MAR V 00098618
LOS ANGELES
CA
RESTAURANT</t>
  </si>
  <si>
    <t>DNH*GODADDY#40237403Tempe               AZ</t>
  </si>
  <si>
    <t>4023740338 4805058855
Business Enterprise - Renewal - 1 month
Email - Archiving - Renewal
Microsoft 365 Email Backup - Renewal
DNH*GODADDY#4023740338
Tempe
AZ
Business Enterprise - Renewal - 1 month
Email - Archiving - Renewal
Microsoft 365 Email Backup - Renewal
4805058855</t>
  </si>
  <si>
    <t>GRASSHOPPER GROUP, LBOSTON              MA</t>
  </si>
  <si>
    <t>######JfTeX 8888959685 / support@
8888959685 / support@goto
GRASSHOPPER GROUP, LLC
BOSTON
MA
8888959685 / support@goto</t>
  </si>
  <si>
    <t>TST* CAFE GRATITUDE VENICE              CA</t>
  </si>
  <si>
    <t>99999996054 4242318000
TST* CAFE GRATITUDE - VEN 300545147
VENICE
CA
Description : RESTAURANTS Price : 1.7498
4242318000</t>
  </si>
  <si>
    <t>TST* PITFIRE PIZZA -LOS ANGELES         CA</t>
  </si>
  <si>
    <t>21105176055 RESTAURANT
TST* PITFIRE PIZZA - MAR 00043417
LOS ANGELES
CA
RESTAURANT</t>
  </si>
  <si>
    <t>ANTHROPIC           SAN FRANCISCO       CA</t>
  </si>
  <si>
    <t>CH_3T3LEZBJ +14152360599
ANTHROPIC
SAN FRANCISCO
CA
+14152360599</t>
  </si>
  <si>
    <t>AI Subscription</t>
  </si>
  <si>
    <t>CLAUDE.AI SUBSCRIPTISAN FRANCISCO       CA</t>
  </si>
  <si>
    <t>CH_3T3HXXBJ +14152360599
CLAUDE.AI SUBSCRIPTION
SAN FRANCISCO
CA
+14152360599</t>
  </si>
  <si>
    <t>FOLLOW YOUR HEART MACANOGA PARK         CA</t>
  </si>
  <si>
    <t>00029548    818-348-3240
FOLLOW YOUR HEART MARKET
CANOGA PARK
CA
Description : GROCERIES/SUNDRIES Price : 0.00
818-348-3240</t>
  </si>
  <si>
    <t>Personal - Family</t>
  </si>
  <si>
    <t>LADOT METER PARKING LOS ANGELES         CA</t>
  </si>
  <si>
    <t>500611     100003888965976  90012
LADOT METER PARKING
LOS ANGELES
CA
100003888965976  90012</t>
  </si>
  <si>
    <t>AMERICAN AIRLINES   800-433-7300        TX</t>
  </si>
  <si>
    <t>20260219    4806933473 / kristyne
PASSENGER TICKET
AMERICAN AIRLINES
800-433-7300
TX
Carrier : American Airlines
Passenger Name : DUNNING/JUDD
Ticket Number : 0012318122165
Departure Day : 02/20
Additional Info : PASSENGER TICKET
From : SALT LAKE CITY
To : LOS ANGELES INTERN
Class : M</t>
  </si>
  <si>
    <t>Team Travel</t>
  </si>
  <si>
    <t>CAMPAIGNER SVC      888-845-4544        CA</t>
  </si>
  <si>
    <t>34205185    EMAIL MARKET
CAMPAIGNER SVC
888-845-4544
CA
EMAIL MARKET</t>
  </si>
  <si>
    <t>CARBON HEALTH       OAKLAND             CA</t>
  </si>
  <si>
    <t>RE_2SYITBWV +14152002133
CARBON HEALTH
OAKLAND
CA
+14152002133</t>
  </si>
  <si>
    <t>Personal - Health</t>
  </si>
  <si>
    <t>CLAW MLS            BEVERLY HILLS       CA</t>
  </si>
  <si>
    <t>8762038383  310-358-1100
CLAW MLS
BEVERLY HILLS
CA
Description : MISC PERSONAL SERVI Price : 0.00
310-358-1100</t>
  </si>
  <si>
    <t>DWG Listing Platform</t>
  </si>
  <si>
    <t>DELTA AIR LINES     ATLANTA</t>
  </si>
  <si>
    <t>18002211212
MISCELLANEOUS TAX(S)/FEE(S)
DELTA AIR LINES
ATLANTA
Carrier : DELTA AIR LINES
Passenger Name : DUNNING/JOHN BARKER
Ticket Number : 00601950869992
Additional Info : MISCELLANEOUS TAX(S)/FEE(S)</t>
  </si>
  <si>
    <t>DNH*GODADDY#40218006Tempe               AZ</t>
  </si>
  <si>
    <t>4021800640 4805058855
Microsoft 365 Email Essentials - Renewal
Email - Archiving - Renewal
Microsoft 365 Email Backup - Renewal
DNH*GODADDY#4021800640
Tempe
AZ
Microsoft 365 Email Essentials - Renewal
Email - Archiving - Renewal
Microsoft 365 Email Backup - Renewal
4805058855</t>
  </si>
  <si>
    <t>HYATT REG SALT LAKE SALT LAKE CIT       UT</t>
  </si>
  <si>
    <t>8192       8192             84101
RESTAURANT
HYATT REG SALT LAKE F&amp;B SLCRS
SALT LAKE CIT
UT
RESTAURANT
8192             84101</t>
  </si>
  <si>
    <t xml:space="preserve">23415968    801-596-1234
LODGING
HYATT REG SALT LAKE CITY SLCRS
SALT LAKE CIT
UT
</t>
  </si>
  <si>
    <t>PACOS TACOS         LOS ANGELES         CA</t>
  </si>
  <si>
    <t>84680042    310-850-1336
PACOS TACOS
LOS ANGELES
CA
Description : FOOD/BEVERAGE Price : 0.00
310-850-1336</t>
  </si>
  <si>
    <t>RESTORE.COM         AUSTIN              TX</t>
  </si>
  <si>
    <t>CH_3T32BBA8 +15125374087
RESTORE.COM
AUSTIN
TX
+15125374087</t>
  </si>
  <si>
    <t>TST* OHM - GOURMANDISALT LAKE CITY      UT</t>
  </si>
  <si>
    <t>21105176052 RESTAURANT
TST* OHM - GOURMANDISE 00048418
SALT LAKE CITY
UT
RESTAURANT</t>
  </si>
  <si>
    <t>8876       8876             84101
RESTAURANT
HYATT REG SALT LAKE F&amp;B SLCRS
SALT LAKE CIT
UT
RESTAURANT
8876             84101</t>
  </si>
  <si>
    <t>7968       7968             84101
RESTAURANT
HYATT REG SALT LAKE F&amp;B SLCRS
SALT LAKE CIT
UT
RESTAURANT
7968             84101</t>
  </si>
  <si>
    <t>6496       6496             84101
RESTAURANT
HYATT REG SALT LAKE F&amp;B SLCRS
SALT LAKE CIT
UT
RESTAURANT
6496             84101</t>
  </si>
  <si>
    <t>OFFICE DEPOT #972 00S SALT LAKE         UT</t>
  </si>
  <si>
    <t>458044342008004633768
FS Color LTR DblSd, 24#
FS Color LGL DblSd, 24#
OFFICE DEPOT #972 000000972
S SALT LAKE
UT
"FS Color LTR DblSd, 24#"
"FS Color LGL DblSd, 24#"
8004633768</t>
  </si>
  <si>
    <t>DWGCP Supplies (Prints)</t>
  </si>
  <si>
    <t>18002211212
EXCESS BAGGAGE
DELTA AIR LINES
ATLANTA
Carrier : DELTA AIR LINES
Passenger Name : DUNNING/JOHN BARKER
Ticket Number : 00642592965232
Additional Info : EXCESS BAGGAGE</t>
  </si>
  <si>
    <t>DNH*GODADDY#40203002Tempe               AZ</t>
  </si>
  <si>
    <t>4020300210 4805058855
COM Domain Name Renewal - 1 Year recur
Microsoft 365 Secure Business Profession
DNH*GODADDY#4020300210
Tempe
AZ
COM Domain Name Renewal - 1 Year recur
Microsoft 365 Secure Business Profession
4805058855</t>
  </si>
  <si>
    <t>DOJ EOIR FILING FEE FALLS CHURCH        VA</t>
  </si>
  <si>
    <t>99999996050IR20800000187050822041
Collection of Filing Fees
DOJ EOIR FILING FEE 000000001
FALLS CHURCH
VA
Collection of Filing Fees
IR20800000187050822041</t>
  </si>
  <si>
    <t>Jeff Farjado - Case</t>
  </si>
  <si>
    <t>8547       8547             84101
RESTAURANT
HYATT REG SALT LAKE F&amp;B SLCRS
SALT LAKE CIT
UT
RESTAURANT
8547             84101</t>
  </si>
  <si>
    <t>TST* JAMBA JUICE - 1LOS ANGELES         CA</t>
  </si>
  <si>
    <t>WMJuWvow600 4247025622
TST* JAMBA JUICE - 104805 300560738
LOS ANGELES
CA
Description : RESTAURANTS Price : 0.1481
4247025622</t>
  </si>
  <si>
    <t>SLC DF CONCOURSE A USALT LAKE CIT       UT</t>
  </si>
  <si>
    <t>217231926  217181926        84116
DUTY FREE STORE
SLC DF CONCOURSE A USU USUE
SALT LAKE CIT
UT
DUTY FREE STORE
217181926        84116</t>
  </si>
  <si>
    <t>STARBUCKS 80596 STARLOS ANGELES         CA</t>
  </si>
  <si>
    <t>588552157   305-267-8510
STARBUCKS 80596 STARBUCKS 80596
LOS ANGELES
CA
305-267-8510</t>
  </si>
  <si>
    <t>THE SS CO 0         LOS ANGELES         CA</t>
  </si>
  <si>
    <t>77500018    310-666-8792
THE SS CO 0
LOS ANGELES
CA
Description : TOBACCO/ACC Price : 0.00
310-666-8792</t>
  </si>
  <si>
    <t>Personal</t>
  </si>
  <si>
    <t>YELLOW CAB UTAH YELLSALT LAKE CITY      UT</t>
  </si>
  <si>
    <t>01483608234 801-521-2100
YELLOW CAB UTAH YELLOW CAB UTAH
SALT LAKE CITY
UT
Description : CURB SALT LAKE CIT Price : 0.00
Description : 16:28 Terminal Dr Price : 0.00
Description : 16:40 120 W 200 S Price : 0.00
801-521-2100</t>
  </si>
  <si>
    <t>AMERICAN EXPRESS TRASEATTLE             WA</t>
  </si>
  <si>
    <t>022109      AIRLINE/AIR CARRIER
PASSENGER TICKET
AMERICAN EXPRESS TRAVEL
SEATTLE
WA
Carrier : DELTA AIR LINES
Passenger Name : DUNNING/JOHN BARKER
Ticket Number : 00674177529163
Departure Day : 02/17
Additional Info : PASSENGER TICKET
From : LOS ANGELES INTERN
To : SALT LAKE CITY
Class : S</t>
  </si>
  <si>
    <t>Amex Online Flight Statement Credit</t>
  </si>
  <si>
    <t xml:space="preserve">AMERICAN EXPRESS TRAVEL
Amex Online Flight Statement Credit
</t>
  </si>
  <si>
    <t>DNH*GODADDY#40188300Tempe               AZ</t>
  </si>
  <si>
    <t>4018830051 4805058855
Standard SSL Renewal 2 Years annual
DNH*GODADDY#4018830051
Tempe
AZ
Standard SSL Renewal 2 Years annual
4805058855</t>
  </si>
  <si>
    <t>SOCIALPILOT         LEWES               DE</t>
  </si>
  <si>
    <t>CH_2T1WJQ04 +14154506060
SOCIALPILOT
LEWES
DE
+14154506060</t>
  </si>
  <si>
    <t>800.COM, LLC        800-800-4321        FL</t>
  </si>
  <si>
    <t>21105176047 ESTABLISHES
800.COM, LLC
800-800-4321
FL
ESTABLISHES</t>
  </si>
  <si>
    <t>CINEMARK            PLANO               TX</t>
  </si>
  <si>
    <t>######bFZTo 8002463627 / sitesupp
8002463627 / sitesupport@
CINEMARK
PLANO
TX
8002463627 / sitesupport@</t>
  </si>
  <si>
    <t>Personal - Entertainment</t>
  </si>
  <si>
    <t>PICKLED BY SHRED LLCMarina del Rey      CA</t>
  </si>
  <si>
    <t>fV7iTExG6m8 squareup.com/receipts
PICKLED BY SHRED LLC
Marina del Rey
CA
squareup.com/receipts</t>
  </si>
  <si>
    <t>CH_3T118UA8 +15125374087
RESTORE.COM
AUSTIN
TX
+15125374087</t>
  </si>
  <si>
    <t>99999996046 4242318000
TST* CAFE GRATITUDE - VEN 300545147
VENICE
CA
Description : RESTAURANTS Price : 1.6216
4242318000</t>
  </si>
  <si>
    <t>CVS PHARMACY        LOS ANGELES         CA</t>
  </si>
  <si>
    <t>10032550    8007467287
CVS PHARMACY
LOS ANGELES
CA
Description : PHARMACIES Price : 0.2699
8007467287</t>
  </si>
  <si>
    <t>HI-FI PIZZA PI      LOS ANGELES         CA</t>
  </si>
  <si>
    <t>AAF7ED73D6E HTTPS://WWW.HIFIPIZZA
HTTPS://WWW.HIFIPIZZAPI.C
HI-FI PIZZA PI
LOS ANGELES
CA
Description : N/A Price : 0.00
HTTPS://WWW.HIFIPIZZAPI.C</t>
  </si>
  <si>
    <t>JOES PRKG HOWARD HUGLOS ANGELES         CA</t>
  </si>
  <si>
    <t>95700038    626-420-2440
JOES PRKG HOWARD HUGHES 4700
LOS ANGELES
CA
Description : PARKING FEES Price : 0.00
626-420-2440</t>
  </si>
  <si>
    <t>L FLIPPIN VINTAGE RESANTA MONICA        CA</t>
  </si>
  <si>
    <t>57100001    310-418-2227
L FLIPPIN VINTAGE RETRO
SANTA MONICA
CA
Description : APPAREL/ACCESSORIES Price : 0.00
310-418-2227</t>
  </si>
  <si>
    <t>PY *CAFFE LUXXE 0000SANTA MONICA        CA</t>
  </si>
  <si>
    <t>635070255   4242526085
PY *CAFFE LUXXE 000002695
SANTA MONICA
CA
4242526085</t>
  </si>
  <si>
    <t>THE BELLWETHER      Los Angeles         CA</t>
  </si>
  <si>
    <t>hQ8kveo831r squareup.com/receipts
THE BELLWETHER
Los Angeles
CA
squareup.com/receipts</t>
  </si>
  <si>
    <t>9IXV4hlT34L squareup.com/receipts
THE BELLWETHER
Los Angeles
CA
squareup.com/receipts</t>
  </si>
  <si>
    <t>fpt0gBg2XFO squareup.com/receipts
THE BELLWETHER
Los Angeles
CA
squareup.com/receipts</t>
  </si>
  <si>
    <t>ASANA.COM           SAN FRANCISCO       CA</t>
  </si>
  <si>
    <t>CH_3T0R8HIW +14155253888
ASANA.COM
SAN FRANCISCO
CA
+14155253888</t>
  </si>
  <si>
    <t>DNH*GODADDY#40168406Tempe               AZ</t>
  </si>
  <si>
    <t>4016840630 4805058855
Microsoft 365 Online Business Essentials
Email - Archiving - Renewal
DNH*GODADDY#4016840630
Tempe
AZ
Microsoft 365 Online Business Essentials
Email - Archiving - Renewal
4805058855</t>
  </si>
  <si>
    <t>21105176045 RESTAURANT
TST* BLUEYS KITCHEN MAR V 00098618
LOS ANGELES
CA
RESTAURANT</t>
  </si>
  <si>
    <t>INN OF THE SEVENTH RTOPANGA             CA</t>
  </si>
  <si>
    <t>31127266044 3104551311
INN OF THE SEVENTH RAY 128 OLD TOPANGA
TOPANGA
CA
3104551311</t>
  </si>
  <si>
    <t>SPIRAL STAIRCASE AT TOPANGA             CA</t>
  </si>
  <si>
    <t>31099536043 BOOK STORE
SPIRAL STAIRCASE AT THE I 00-080383043
TOPANGA
CA
BOOK STORE</t>
  </si>
  <si>
    <t>SPOTIFY USA         NEW YORK            NY</t>
  </si>
  <si>
    <t>P3F4B7A310  123456789 / support-p
123456789 / support-partn
SPOTIFY USA
NEW YORK
NY
123456789 / support-partn</t>
  </si>
  <si>
    <t>tyYJe09Y26g squareup.com/receipts
ALANA'S COFFEE ROASTERS
Los Angeles
CA
squareup.com/receipts</t>
  </si>
  <si>
    <t>CAMDEN &amp; MERIDEW PC*FISHERS             IN</t>
  </si>
  <si>
    <t>######b7bxdaIqZ-_TATHK3LFn7676087
BUSINESS MGT CONSULTATION
CAMDEN &amp; MERIDEW PC*CAMDEN &amp; MERIDEW P
FISHERS
IN
BUSINESS MGT CONSULTATION
aIqZ-_TATHK3LFn7676087</t>
  </si>
  <si>
    <t>DWGCP Lawsuit</t>
  </si>
  <si>
    <t>DNH*GODADDY#40149647Tempe               AZ</t>
  </si>
  <si>
    <t>4014964744 4805058855
Email Essentials  - Renewal - monthly
Email - Archiving - Renewal
DNH*GODADDY#4014964744
Tempe
AZ
Email Essentials  - Renewal - monthly
Email - Archiving - Renewal
4805058855</t>
  </si>
  <si>
    <t>IN *FINGERPRINT PROMSANTA MONICA        CA</t>
  </si>
  <si>
    <t>042I1AJ6HTP34778            904034
IN *FINGERPRINT PROMOTIONS
SANTA MONICA
CA
34778            904034</t>
  </si>
  <si>
    <t>DWGCP Swag</t>
  </si>
  <si>
    <t>84600114    310-850-1336
PACOS TACOS
LOS ANGELES
CA
Description : FOOD/BEVERAGE Price : 0.00
310-850-1336</t>
  </si>
  <si>
    <t>DNH*GODADDY#40141019Tempe               AZ</t>
  </si>
  <si>
    <t>4014101911 4805058855
Business Professional  - Renewal - month
Email - Archiving - Renewal
DNH*GODADDY#4014101911
Tempe
AZ
Business Professional  - Renewal - month
Email - Archiving - Renewal
4805058855</t>
  </si>
  <si>
    <t>21105176042 RESTAURANT
TST* BLUEYS KITCHEN MAR V 00098618
LOS ANGELES
CA
RESTAURANT</t>
  </si>
  <si>
    <t>VIMEO PRO           212-625-0668        NY</t>
  </si>
  <si>
    <t>P-07720343  MEMBERSHIP
VIMEO PRO
212-625-0668
NY
MEMBERSHIP</t>
  </si>
  <si>
    <t>WWW.PERPLEXITY.AI   SAN FRANCISCO       CA</t>
  </si>
  <si>
    <t>CH_3SYFGMGZ +15102700840
WWW.PERPLEXITY.AI
SAN FRANCISCO
CA
+15102700840</t>
  </si>
  <si>
    <t>DNH*GODADDY#40135165Tempe               AZ</t>
  </si>
  <si>
    <t>4013516524 4805058855
Conversations Deluxe - 1 Month - Renewal
DNH*GODADDY#4013516524
Tempe
AZ
Conversations Deluxe - 1 Month - Renewal
4805058855</t>
  </si>
  <si>
    <t>QUICK SIGNS ADVERTISRIVERSIDE           CA</t>
  </si>
  <si>
    <t>66900001    951-354-6477
QUICK SIGNS ADVERTISING
RIVERSIDE
CA
Description : SPECIALTY RETAIL Price : 0.00
951-354-6477</t>
  </si>
  <si>
    <t>DWG-RE Marketing</t>
  </si>
  <si>
    <t>DNH*GODADDY#40126786Tempe               AZ</t>
  </si>
  <si>
    <t>4012678625 4805058855
Microsoft 365 Business Professional- Ren
Email - Archiving - Renewal
Microsoft 365 Email Backup - Renewal
DNH*GODADDY#4012678625
Tempe
AZ
Microsoft 365 Business Professional- Ren
Email - Archiving - Renewal
Microsoft 365 Email Backup - Renewal
4805058855</t>
  </si>
  <si>
    <t>DRIP HYDRATION      LOS ANGELES         CA</t>
  </si>
  <si>
    <t>CH_3SYEF2CW +18883102630
DRIP HYDRATION
LOS ANGELES
CA
+18883102630</t>
  </si>
  <si>
    <t>OPENAI *CHATGPT SUBSSAN FRANCISCO       CA</t>
  </si>
  <si>
    <t>CH_3SYHORC6 +14158799686
OPENAI *CHATGPT SUBSCR
SAN FRANCISCO
CA
+14158799686</t>
  </si>
  <si>
    <t>AA PHX CURB         PHOENIX             AZ</t>
  </si>
  <si>
    <t>x4UwJDPlEBs squareup.com/receipts
AA PHX CURB
PHOENIX
AZ
squareup.com/receipts</t>
  </si>
  <si>
    <t>CH_2SYITBWV +14152002133
CARBON HEALTH
OAKLAND
CA
+14152002133</t>
  </si>
  <si>
    <t>10150217    8007467287
CVS PHARMACY
LOS ANGELES
CA
Description : PHARMACIES Price : 0.468
8007467287</t>
  </si>
  <si>
    <t>DNH*GODADDY#40122909Tempe               AZ</t>
  </si>
  <si>
    <t>4012290932 4805058855
Microsoft 365 Email Plus- Renewal - mont
DNH*GODADDY#4012290932
Tempe
AZ
Microsoft 365 Email Plus- Renewal - mont
4805058855</t>
  </si>
  <si>
    <t>CH_3SYKMPCW +18883102630
DRIP HYDRATION
LOS ANGELES
CA
+18883102630</t>
  </si>
  <si>
    <t>NNN.MARKET          CLEARWATER          FL</t>
  </si>
  <si>
    <t>CH_3SYF7QGW +18134214065
NNN.MARKET
CLEARWATER
FL
+18134214065</t>
  </si>
  <si>
    <t>CH_3SY6TEB7 +13854834872
SPONSORCLOUD (SYNPRO)
SALT LAKE CITY
UT
+13854834872</t>
  </si>
  <si>
    <t>Starbucks T4 N4 PHX Phoenix             AZ</t>
  </si>
  <si>
    <t>283528     283528           85034
Starbucks T4 N4 PHX
Phoenix
AZ
283528           85034</t>
  </si>
  <si>
    <t>BRAVE.COM           SAN FRANCISCO       CA</t>
  </si>
  <si>
    <t>CH_3SXK0SBS +16502003351
BRAVE.COM
SAN FRANCISCO
CA
+16502003351</t>
  </si>
  <si>
    <t>CREXI               LOS ANGELES         CA</t>
  </si>
  <si>
    <t>CH_3SXMCUJL +18882730423
CREXI
LOS ANGELES
CA
+18882730423</t>
  </si>
  <si>
    <t>DWG-RE Listing Platform</t>
  </si>
  <si>
    <t>CORPORATE FILINGS LLSHERIDAN            WY</t>
  </si>
  <si>
    <t>31099536036 888-4072122
CORPORATE FILINGS LLC 00-08029641761
SHERIDAN
WY
888-4072122</t>
  </si>
  <si>
    <t>Entity Filing</t>
  </si>
  <si>
    <t>DNH*GODADDY#40108633Tempe               AZ</t>
  </si>
  <si>
    <t>4010863357 4805058855
Email Essentials  - Renewal - monthly
Email - Archiving - Renewal
Microsoft 365 Email Backup - Renewal
DNH*GODADDY#4010863357
Tempe
AZ
Email Essentials  - Renewal - monthly
Email - Archiving - Renewal
Microsoft 365 Email Backup - Renewal
4805058855</t>
  </si>
  <si>
    <t>VENETO TRATTORIA 000SCOTTSDALE          AZ</t>
  </si>
  <si>
    <t>99999996037 4809489928
VENETO TRATTORIA 000000001
SCOTTSDALE
AZ
Description : RESTAURANTS Price : 1.7966
4809489928</t>
  </si>
  <si>
    <t>AMAZON.COM          AMZN.COM/BILL       WA</t>
  </si>
  <si>
    <t>720PUGMRBVL MERCHANDISE
AMAZON.COM
AMZN.COM/BILL
WA
MERCHANDISE</t>
  </si>
  <si>
    <t>Amazon</t>
  </si>
  <si>
    <t>AMZ*UAF9OMAXY DFW GRDALLAS              TX</t>
  </si>
  <si>
    <t>6UVTLVQ1HYZ MISC FOOD STORE
AMZ*UAF9OMAXY DFW GRAB &amp; FLY -D4 PE54D
DALLAS
TX
MISC FOOD STORE</t>
  </si>
  <si>
    <t>American Airlines   FORT WORTH          TX</t>
  </si>
  <si>
    <t>20260204    6823042540 / kristyne
EXCESS BAGGAGE
American Airlines
FORT WORTH
TX
Carrier : American Airlines Inc
Passenger Name : DUNNING/JOHN BARKER
Ticket Number : 0010281515784
Departure Day : 02/04
Additional Info : EXCESS BAGGAGE
From : DALLAS/FORT WORTH
To : PHOENIX SKY HARBOR
Class : H</t>
  </si>
  <si>
    <t>Starbucks T4 BC PHX Phoenix             AZ</t>
  </si>
  <si>
    <t>173284     173284           85034
Starbucks T4 BC PHX
Phoenix
AZ
173284           85034</t>
  </si>
  <si>
    <t>TST* FAT OX 00128991PARADISE VALLEY     AZ</t>
  </si>
  <si>
    <t>00128991030 RESTAURANT
TST* FAT OX 00128991
PARADISE VALLEY
AZ
RESTAURANT</t>
  </si>
  <si>
    <t>20260203    4806933473 / help@aa.
EXCESS BAGGAGE
AMERICAN AIRLINES
800-433-7300
TX
Carrier : American Airlines
Passenger Name : JOHN BARKER DUNNING
Ticket Number : 0014485074080
Departure Day : 02/04
Additional Info : EXCESS BAGGAGE
From : DALLAS/FORT WORTH
To : PHOENIX SKY HARBOR
Class : H</t>
  </si>
  <si>
    <t>20260203    4806933473 / help@aa.
PREFERRED SEAT UPGRADE
AMERICAN AIRLINES
800-433-7300
TX
Carrier : American Airlines
Passenger Name : DUNNING/JOHN BARKER
Ticket Number : 0010642604046
Departure Day : 02/04
Additional Info : PREFERRED SEAT UPGRADE
From : DALLAS/FORT WORTH
To : PHOENIX SKY HARBOR
Class : H</t>
  </si>
  <si>
    <t>CONTACTS+           HUNTINGTON BEACH    CA</t>
  </si>
  <si>
    <t>CH_2SWQ4O3T +18004304095
CONTACTS+
HUNTINGTON BEACH
CA
+18004304095</t>
  </si>
  <si>
    <t>SALESMESSAGE.COM    DELRAY BEACH        FL</t>
  </si>
  <si>
    <t>CH_3SWXLICY +18884092298
SALESMESSAGE.COM
DELRAY BEACH
FL
+18884092298</t>
  </si>
  <si>
    <t>THE ORIGINAL MEXICANFORT WORTH          TX</t>
  </si>
  <si>
    <t>85175306035        USFC1FIT 76107
THE ORIGINAL MEXICAN E
FORT WORTH
TX
USFC1FIT 76107</t>
  </si>
  <si>
    <t>ARHAUS, LLC         BOSTON HEIGHTS      OH</t>
  </si>
  <si>
    <t>######J2SKa 4404397700 / clientse
4404397700 / clientservic
ARHAUS, LLC
BOSTON HEIGHTS
OH
4404397700 / clientservic</t>
  </si>
  <si>
    <t>Points for Amex Trvl</t>
  </si>
  <si>
    <t xml:space="preserve">Points for Amex Trvl
</t>
  </si>
  <si>
    <t>PwP    AMERICAN EXPRSEATTLE             WA</t>
  </si>
  <si>
    <t>020709      AIRLINE/AIR CARRIER
PASSENGER TICKET
PwP    AMERICAN EXPRESS TRAVEL
SEATTLE
WA
Carrier : AMERICAN AIRLINES
Passenger Name : DUNNING/JOHN BARKER
Ticket Number : 00173661396392
Departure Day : 02/04
Additional Info : PASSENGER TICKET
From : DALLAS/FORT WORTH
To : PHOENIX SKY HARBOR
Class : H</t>
  </si>
  <si>
    <t>TARGET              WEATHERFORD         TX</t>
  </si>
  <si>
    <t>001608092   612-3044357
TARGET
WEATHERFORD
TX
Description : SEE INVOICE Price : 2.5944
612-3044357</t>
  </si>
  <si>
    <t>THE FLYING CARPET TUFORT WORTH          TX</t>
  </si>
  <si>
    <t>73011006033 CENGIZYUMRUTAS@OUTLOO
CENGIZYUMRUTAS@OUTLOOK.CO
THE FLYING CARPET TURKISH 068880022037
FORT WORTH
TX
CENGIZYUMRUTAS@OUTLOOK.CO</t>
  </si>
  <si>
    <t>ABC*ICONFIT         LOS ANGELES         CA</t>
  </si>
  <si>
    <t>71094476032 310-836-8000
ABC*ICONFIT
LOS ANGELES
CA
310-836-8000</t>
  </si>
  <si>
    <t>######J0w4G 4404397700 / clientse
4404397700 / clientservic
ARHAUS, LLC
BOSTON HEIGHTS
OH
4404397700 / clientservic</t>
  </si>
  <si>
    <t>DNH*GODADDY#40074777Tempe               AZ</t>
  </si>
  <si>
    <t>4007477794 4805058855
Business Professional  - Renewal - month
Email - Archiving - Renewal
Microsoft 365 Email Backup - Renewal
DNH*GODADDY#4007477794
Tempe
AZ
Business Professional  - Renewal - month
Email - Archiving - Renewal
Microsoft 365 Email Backup - Renewal
4805058855</t>
  </si>
  <si>
    <t>LOOM SUBSCRIPTION   AUSTIN              TX</t>
  </si>
  <si>
    <t>CH_3SW1D7D0 +16780000000
LOOM SUBSCRIPTION
AUSTIN
TX
+16780000000</t>
  </si>
  <si>
    <t>WORLD MARKET  #135 1FT. WORTH           TX</t>
  </si>
  <si>
    <t>00018561    817-737-8370
WORLD MARKET  #135 135
FT. WORTH
TX
Description : HOME SUPPLIES Price : 0.00
817-737-8370</t>
  </si>
  <si>
    <t>GRAPEVINE ANTIQUE MAGRAPEVINE           TX</t>
  </si>
  <si>
    <t>15290024    817-329-2124
GRAPEVINE ANTIQUE MALL
GRAPEVINE
TX
Description : ANTIQUES/COLLECTIBL Price : 0.00
817-329-2124</t>
  </si>
  <si>
    <t>CH_3SVO5RB7 +13854834872
SPONSORCLOUD (SYNPRO)
SALT LAKE CITY
UT
+13854834872</t>
  </si>
  <si>
    <t>CURB SERVICE - TAXI LONG ISLAND CITY    NY</t>
  </si>
  <si>
    <t>01435259522 1(800) 488-8704
CURB SERVICE - TAXI CURB SERVICE -
LONG ISLAND CITY
NY
Description : CURB LV TAXI YCS Price : 0.00
Description : 22:50 Bellagio Dr Price : 0.00
Description : 22:57 Las Vegas Ne Price : 0.00
1(800) 488-8704</t>
  </si>
  <si>
    <t>Southwest Airlines  DALLAS              TX</t>
  </si>
  <si>
    <t>7900414827  (214) 792 - 4223
SUPPORTED REFUND
Southwest Airlines
DALLAS
TX
Carrier : SOUTHWEST AIRLINES (MASTE
Passenger Name : DUNNING/JOHN
Ticket Number : 5264309750075
Additional Info : SUPPORTED REFUND</t>
  </si>
  <si>
    <t>7900414829  (214) 792 - 4223
PASSENGER TICKET
Southwest Airlines
DALLAS
TX
Carrier : SOUTHWEST AIRLINES (MASTE
Passenger Name : DUNNING/JOHN
Ticket Number : 5262126041659
Departure Day : 01/28
Additional Info : PASSENGER TICKET
From : LAS VEGAS MCCARRAN
To : DALLAS/FORT WORTH
Class : H</t>
  </si>
  <si>
    <t>7900414829  (214) 792 - 4223
PASSENGER TICKET
Southwest Airlines
DALLAS
TX
Carrier : SOUTHWEST AIRLINES (MASTE
Passenger Name : DUNNING/JOHN
Ticket Number : 5262126037251
Departure Day : 01/29
Additional Info : PASSENGER TICKET
From : LAS VEGAS MCCARRAN
To : DALLAS/FORT WORTH
Class : W</t>
  </si>
  <si>
    <t>TERRACE POINT CAFE  (702)770-2540       NV</t>
  </si>
  <si>
    <t>2114338006       89109
TERRACE POINT CAFE
(702)770-2540
NV
2114338006       89109</t>
  </si>
  <si>
    <t>THE JUICE STANDARD  LAS VEGAS           NV</t>
  </si>
  <si>
    <t>99786784   12691140         89101
RESTAURANT
THE JUICE STANDARD
LAS VEGAS
NV
RESTAURANT
12691140         89101</t>
  </si>
  <si>
    <t>WYNN LAS VEGAS CASINO</t>
  </si>
  <si>
    <t xml:space="preserve">0000139531  WYNNLASVEGAS.COM
LODGING
WYNN LAS VEGAS HOTEL/H
LAS VEGAS
NV
</t>
  </si>
  <si>
    <t>WYNN LAS VEGAS HOTELLAS VEGAS           NV</t>
  </si>
  <si>
    <t>WYNN SUNDRIES       LAS VEGAS           NV</t>
  </si>
  <si>
    <t>576465322880     89109
WYNN SUNDRIES
LAS VEGAS
NV
576465322880     89109</t>
  </si>
  <si>
    <t>DNH*GODADDY#40029577Tempe               AZ</t>
  </si>
  <si>
    <t>4002957760 4805058855
Hosting - Web - Economy - Linux cPanel -
PHP Extended Support Level 1 - Renewal -
DNH*GODADDY#4002957760
Tempe
AZ
Hosting - Web - Economy - Linux cPanel -
PHP Extended Support Level 1 - Renewal -
4805058855</t>
  </si>
  <si>
    <t>CH_3SUDNZCF 3235775423
SPLICE.COM
NEW YORK
NY
3235775423</t>
  </si>
  <si>
    <t>ZUMA LAS VEGAS      LAS VEGAS           NV</t>
  </si>
  <si>
    <t>12715290   12715290         89129
RESTAURANT
ZUMA LAS VEGAS
LAS VEGAS
NV
RESTAURANT
12715290         89129</t>
  </si>
  <si>
    <t>20260125    4806933473 / kristyne
PASSENGER TICKET
AMERICAN AIRLINES
800-433-7300
TX
Carrier : American Airlines
Passenger Name : JOHN DUNNING
Ticket Number : 0012309208693
Departure Day : 01/25
Additional Info : PASSENGER TICKET
From : LOS ANGELES INTERN
To : LAS VEGAS MCCARRAN
Class : S</t>
  </si>
  <si>
    <t>20260125    4806933473 / kristyne
PASSENGER TICKET
AMERICAN AIRLINES
800-433-7300
TX
Carrier : American Airlines
Passenger Name : JOHN DUNNING
Ticket Number : 0010641976733
Departure Day : 01/25
Additional Info : PASSENGER TICKET
From : LOS ANGELES INTERN
To : LAS VEGAS MCCARRAN
Class : S</t>
  </si>
  <si>
    <t>SUNDRIES ENCORE     LAS VEGAS           NV</t>
  </si>
  <si>
    <t>206215189936     89109
SUNDRIES ENCORE
LAS VEGAS
NV
206215189936     89109</t>
  </si>
  <si>
    <t>546215189899     89109
SUNDRIES ENCORE
LAS VEGAS
NV
546215189899     89109</t>
  </si>
  <si>
    <t>THE DRUG STORE CAFE (702)770-2540       NV</t>
  </si>
  <si>
    <t>325947149780     89109
THE DRUG STORE CAFE
(702)770-2540
NV
325947149780     89109</t>
  </si>
  <si>
    <t>DNH*GODADDY#40011625Tempe               AZ</t>
  </si>
  <si>
    <t>4001162576 4805058855
Email Plus  - Renewal - monthly
Email - Archiving - Renewal
DNH*GODADDY#4001162576
Tempe
AZ
Email Plus  - Renewal - monthly
Email - Archiving - Renewal
4805058855</t>
  </si>
  <si>
    <t>FHR Redeem Cred</t>
  </si>
  <si>
    <t xml:space="preserve">FHR Redeem Cred
</t>
  </si>
  <si>
    <t>JSX AIR             DALLAS              TX</t>
  </si>
  <si>
    <t>53868023    800-435-9579
JSX AIR
DALLAS
TX
Description : TOURS/TICKETS Price : 0.00
800-435-9579</t>
  </si>
  <si>
    <t>53867968    800-435-9579
JSX AIR
DALLAS
TX
Description : TOURS/TICKETS Price : 0.00
800-435-9579</t>
  </si>
  <si>
    <t>Platinum Hotel Credit</t>
  </si>
  <si>
    <t xml:space="preserve">AMEX Fine Hotels and Reso
Platinum Hotel Credit
</t>
  </si>
  <si>
    <t>PwP    AMEX Fine HotAmexTravel.com      IL</t>
  </si>
  <si>
    <t xml:space="preserve">WYNN LAS VE TRAVEL
LODGING
PwP    AMEX Fine Hotels and Resorts
AmexTravel.com
IL
</t>
  </si>
  <si>
    <t>74586146   12690542         89101
RESTAURANT
THE JUICE STANDARD
LAS VEGAS
NV
RESTAURANT
12690542         89101</t>
  </si>
  <si>
    <t>BLUE LOTUS MASSAGE  Los Angeles         CA</t>
  </si>
  <si>
    <t>XhZLkTgQgOC squareup.com/receipts
BLUE LOTUS MASSAGE
Los Angeles
CA
squareup.com/receipts</t>
  </si>
  <si>
    <t>CHEVRON 0308980/CHEVLOS ANGELES         CA</t>
  </si>
  <si>
    <t>00308980 80 CONVENIENCE STORE
CHEVRON 0308980/CHEVRON
LOS ANGELES
CA
Description : CHEVRON Price : 0.00
Description : TAX Price : 0.00
CONVENIENCE STORE</t>
  </si>
  <si>
    <t>10037647   8007467287
PHARMACIES
CVS PHARMACY
LOS ANGELES
CA
PHARMACIES
8007467287</t>
  </si>
  <si>
    <t>FATBURGER 46        LOS ANGELES         CA</t>
  </si>
  <si>
    <t>85300055    310-390-7831
FATBURGER 46
LOS ANGELES
CA
Description : FOOD/BEVERAGE Price : 0.00
310-390-7831</t>
  </si>
  <si>
    <t>GRANDVIEW CLEANERS 5LOS ANGELES         CA</t>
  </si>
  <si>
    <t>73011546025 APPLE619@AOL.COM
GRANDVIEW CLEANERS 545500001455021
LOS ANGELES
CA
APPLE619@AOL.COM</t>
  </si>
  <si>
    <t>20260123    4806933473 / kristyne
PREFERRED SEAT UPGRADE
AMERICAN AIRLINES
800-433-7300
TX
Carrier : American Airlines
Passenger Name : DUNNING/JOHN
Ticket Number : 0010641976733
Departure Day : 01/25
Additional Info : PREFERRED SEAT UPGRADE
From : LOS ANGELES INTERN
To : LAS VEGAS MCCARRAN
Class : S</t>
  </si>
  <si>
    <t>20260123    4806933473 / kristyne
PASSENGER TICKET
AMERICAN AIRLINES
800-433-7300
TX
Carrier : American Airlines
Passenger Name : DUNNING/JOHN
Ticket Number : 0012309208693
Departure Day : 01/25
Additional Info : PASSENGER TICKET
From : LOS ANGELES INTERN
To : LAS VEGAS MCCARRAN
Class : S</t>
  </si>
  <si>
    <t>31099536024 RESTAURANT
CASABLANCA RESTAURANT 00-08045339838
VENICE
CA
RESTAURANT</t>
  </si>
  <si>
    <t>COPYLAND INC 00-0804LOS ANGELES         CA</t>
  </si>
  <si>
    <t>31099536023 PUBLISHING/PRINTING
COPYLAND INC 00-08044549700
LOS ANGELES
CA
PUBLISHING/PRINTING</t>
  </si>
  <si>
    <t>DWGCP Marketing</t>
  </si>
  <si>
    <t>DNH*GODADDY#39998938Tempe               AZ</t>
  </si>
  <si>
    <t>3999893888 4805058855
Business Enterprise - Renewal - 1 month
Email - Archiving - Renewal
Microsoft 365 Email Backup - Renewal
DNH*GODADDY#3999893888
Tempe
AZ
Business Enterprise - Renewal - 1 month
Email - Archiving - Renewal
Microsoft 365 Email Backup - Renewal
4805058855</t>
  </si>
  <si>
    <t>######J84x3 8888959685 / support@
8888959685 / support@goto
GRASSHOPPER GROUP, LLC
BOSTON
MA
8888959685 / support@goto</t>
  </si>
  <si>
    <t>548553     100003875598174  90012
LADOT METER PARKING
LOS ANGELES
CA
100003875598174  90012</t>
  </si>
  <si>
    <t>7900414426  (214) 792 - 4223
MISC. CHARGE ORDER (MCO)/PREPAID TICKET AUTH.
Southwest Airlines
DALLAS
TX
Carrier : SOUTHWEST AIRLINES (MASTE
Passenger Name : DUNNING/JOHN
Ticket Number : 5264309082331
Additional Info : MISC. CHARGE ORDER (MCO)/PREPAID TICKET AUTH.
From : LAS VEGAS MCCARRAN
To : LOS ANGELES INTERN</t>
  </si>
  <si>
    <t>7900414426  (214) 792 - 4223
PASSENGER TICKET
Southwest Airlines
DALLAS
TX
Carrier : SOUTHWEST AIRLINES (MASTE
Passenger Name : DUNNING/JOHN
Ticket Number : 5262124335161
Departure Day : 01/28
Additional Info : PASSENGER TICKET
From : LAS VEGAS MCCARRAN
To : LOS ANGELES INTERN
Class : A</t>
  </si>
  <si>
    <t>TIGER 21 L* 2026 TIGNEW YORK            NY</t>
  </si>
  <si>
    <t>CH_3SSWENIQ +12125840239
TIGER 21 L* 2026 TIGER
NEW YORK
NY
+12125840239</t>
  </si>
  <si>
    <t>DWGCP Conference</t>
  </si>
  <si>
    <t>TLF=GORDON BOSWELL FFORT WORTH          TX</t>
  </si>
  <si>
    <t>31099536022 817-3321343
TLF=GORDON BOSWELL FLOWER 00-080212394
FORT WORTH
TX
817-3321343</t>
  </si>
  <si>
    <t>85700023    310-390-7831
FATBURGER 46
LOS ANGELES
CA
Description : FOOD/BEVERAGE Price : 0.00
310-390-7831</t>
  </si>
  <si>
    <t>MONTAGE LAGUNA BEACHLAGUNA BEACH        CA</t>
  </si>
  <si>
    <t>1521324165       92651
MONTAGE LAGUNA BEACH-L
LAGUNA BEACH
CA
1521324165       92651</t>
  </si>
  <si>
    <t>1302338726       92651
MONTAGE LAGUNA BEACH-L
LAGUNA BEACH
CA
1302338726       92651</t>
  </si>
  <si>
    <t>77100008    310-666-8792
THE SS CO 0
LOS ANGELES
CA
Description : TOBACCO/ACC Price : 0.00
310-666-8792</t>
  </si>
  <si>
    <t>34202517    EMAIL MARKET
CAMPAIGNER SVC
888-845-4544
CA
EMAIL MARKET</t>
  </si>
  <si>
    <t>DNH*GODADDY#39973748Tempe               AZ</t>
  </si>
  <si>
    <t>3997374817 4805058855
Microsoft 365 Email Essentials - Renewal
Email - Archiving - Renewal
Microsoft 365 Email Backup - Renewal
DNH*GODADDY#3997374817
Tempe
AZ
Microsoft 365 Email Essentials - Renewal
Email - Archiving - Renewal
Microsoft 365 Email Backup - Renewal
4805058855</t>
  </si>
  <si>
    <t>THE RITZ CARLTON MARMARINA DEL REY      CA</t>
  </si>
  <si>
    <t>3883       3883             90292
THE RITZ CARLTON MARINA DEL RE
MARINA DEL REY
CA
3883             90292</t>
  </si>
  <si>
    <t>3884       3884             90292
THE RITZ CARLTON MARINA DEL RE
MARINA DEL REY
CA
3884             90292</t>
  </si>
  <si>
    <t>1004       1004             90292
THE RITZ CARLTON MARINA DEL RE
MARINA DEL REY
CA
1004             90292</t>
  </si>
  <si>
    <t>DWG Meeting</t>
  </si>
  <si>
    <t>99999996020 4242318000
TST* CAFE GRATITUDE - VEN 300545147
VENICE
CA
Description : RESTAURANTS Price : 1.2022
4242318000</t>
  </si>
  <si>
    <t>CH_3SRTJMA8 +15125374087
RESTORE.COM
AUSTIN
TX
+15125374087</t>
  </si>
  <si>
    <t>DNH*GODADDY#39954983Tempe               AZ</t>
  </si>
  <si>
    <t>3995498318 4805058855
Microsoft 365 Secure Business Profession
DNH*GODADDY#3995498318
Tempe
AZ
Microsoft 365 Secure Business Profession
4805058855</t>
  </si>
  <si>
    <t>84690108    310-850-1336
PACOS TACOS
LOS ANGELES
CA
Description : FOOD/BEVERAGE Price : 0.00
310-850-1336</t>
  </si>
  <si>
    <t>POWERHOUSE PILATES  VENICE              CA</t>
  </si>
  <si>
    <t>CH_3SR4DELN +18184918387
POWERHOUSE PILATES
VENICE
CA
+18184918387</t>
  </si>
  <si>
    <t>2418 AMC AMC MARINA MARINA DEL RE       CA</t>
  </si>
  <si>
    <t>35565175    913-213-2160
2418 AMC AMC MARINA 6 2418
MARINA DEL RE
CA
Description : ADMISSION/TICKETS Price : 0.00
913-213-2160</t>
  </si>
  <si>
    <t>BAJA FRESH 30675    MARINA DEL RE       CA</t>
  </si>
  <si>
    <t>00000077    310-578-2252
BAJA FRESH 30675
MARINA DEL RE
CA
Description : FAST FOOD RESTAURAN Price : 0.00
310-578-2252</t>
  </si>
  <si>
    <t>CITY OF SANTA MONICASANTA MONICA        CA</t>
  </si>
  <si>
    <t>547856     100003872743725  90401
CITY OF SANTA MONICA
SANTA MONICA
CA
100003872743725  90401</t>
  </si>
  <si>
    <t>502882     100003872830341  90012
LADOT METER PARKING
LOS ANGELES
CA
100003872830341  90012</t>
  </si>
  <si>
    <t>77300040    310-666-8792
THE SS CO 0
LOS ANGELES
CA
Description : TOBACCO/ACC Price : 0.00
310-666-8792</t>
  </si>
  <si>
    <t>TST* JADE RABBIT 001SANTA MONICA        CA</t>
  </si>
  <si>
    <t>21105176018 RESTAURANT
TST* JADE RABBIT 00184219
SANTA MONICA
CA
RESTAURANT</t>
  </si>
  <si>
    <t>UNITED PACIFIC 194 0LOS ANGELES         CA</t>
  </si>
  <si>
    <t>11912733068 UNITED PACIFIC 194
UNITED PACIFIC 194 09502485
LOS ANGELES
CA
UNITED PACIFIC 194</t>
  </si>
  <si>
    <t>AMEX CLEAR PLUS CREDIT</t>
  </si>
  <si>
    <t xml:space="preserve">CLEAR *CLEARME.COM
AMEX CLEAR PLUS CREDIT
</t>
  </si>
  <si>
    <t>CLEAR *CLEARME.COM  NEW YORK            NY</t>
  </si>
  <si>
    <t>CH_3SMVLRC8 +18552532763
CLEAR *CLEARME.COM
NEW YORK
NY
+18552532763</t>
  </si>
  <si>
    <t>CLEAR ME (2026)</t>
  </si>
  <si>
    <t>016I1AHM3U534860            904034
IN *FINGERPRINT PROMOTIONS
SANTA MONICA
CA
34860            904034</t>
  </si>
  <si>
    <t>DWG Swag</t>
  </si>
  <si>
    <t>016I1AHM3U634243            904034
IN *FINGERPRINT PROMOTIONS
SANTA MONICA
CA
34243            904034</t>
  </si>
  <si>
    <t>MANHATTAN BEACH PARKMANHATTAN BEA       CA</t>
  </si>
  <si>
    <t>32310356    310-802-5000
MANHATTAN BEACH PARKING
MANHATTAN BEA
CA
Description : PARKING FEES Price : 0.00
310-802-5000</t>
  </si>
  <si>
    <t>MICROSOFT           MSBILL.INFO</t>
  </si>
  <si>
    <t>Z738J6CKYRUZ738J6CKYRUH     98052
MICROSOFT
MSBILL.INFO
Z738J6CKYRUH     98052</t>
  </si>
  <si>
    <t>CH_2SQHXO04 +14154506060
SOCIALPILOT
LEWES
DE
+14154506060</t>
  </si>
  <si>
    <t>STARBUCKS STORE 6665MANHATTAN BEACH     CA</t>
  </si>
  <si>
    <t>69C8F85C5F5 FAST FOOD RESTAURANT
STARBUCKS STORE 6665
MANHATTAN BEACH
CA
FAST FOOD RESTAURANT</t>
  </si>
  <si>
    <t>THE UPS STORE 4398  LOS ANGELES         CA</t>
  </si>
  <si>
    <t>V4398-2926011622090066
GROUND RESIDENTIAL
THE UPS STORE 4398
LOS ANGELES
CA
GROUND RESIDENTIAL
V4398-2926011622090066</t>
  </si>
  <si>
    <t>99999996016 4242318000
TST* CAFE GRATITUDE - VEN 300545147
VENICE
CA
Description : RESTAURANTS Price : 1.1291
4242318000</t>
  </si>
  <si>
    <t>VITO RESTAURANT     SANTA MONICA        CA</t>
  </si>
  <si>
    <t>######Izw9G sean@crbsocal.com
VITO RESTAURANT
SANTA MONICA
CA
sean@crbsocal.com</t>
  </si>
  <si>
    <t>21105176016 ESTABLISHES
800.COM, LLC
800-800-4321
FL
ESTABLISHES</t>
  </si>
  <si>
    <t>FEDEX397778395440 FeMEMPHIS             TN</t>
  </si>
  <si>
    <t>39777839544397778395440     75035
TO: MEG MARAN                         TX
FROM: JUDD DUNNING                 90066
001                  3LB AWB397778395440
FEDEX #1-800-622-1147
FEDEX397778395440 FedEx
MEMPHIS
TN
TO: MEG MARAN                         TX
FROM: JUDD DUNNING                 90066
001                  3LB AWB397778395440
FEDEX #1-800-622-1147
397778395440     75035</t>
  </si>
  <si>
    <t>FEDEX397778487879 FeMEMPHIS             TN</t>
  </si>
  <si>
    <t>39777848787397778487879     91607
TO: ACME ANVIL CORP  LLC              CA
FROM: JUDD DUNNING                 90066
001                  1LB AWB397778487879
FEDEX #1-800-622-1147
FEDEX397778487879 FedEx
MEMPHIS
TN
TO: ACME ANVIL CORP  LLC              CA
FROM: JUDD DUNNING                 90066
001                  1LB AWB397778487879
FEDEX #1-800-622-1147
397778487879     91607</t>
  </si>
  <si>
    <t>73011546015 APPLE619@AOL.COM
GRANDVIEW CLEANERS 545500001455021
LOS ANGELES
CA
APPLE619@AOL.COM</t>
  </si>
  <si>
    <t>INFUSE  DR. BULL    WEST HOLLYWOOD      CA</t>
  </si>
  <si>
    <t>CH_3SQ0ZXJN +13104500600
INFUSE  DR. BULL
WEST HOLLYWOOD
CA
+13104500600</t>
  </si>
  <si>
    <t>NICHES LLC          CHEYENNE            WY</t>
  </si>
  <si>
    <t>CH_3SPSWLAC +351914154597
NICHES LLC
CHEYENNE
WY
+351914154597</t>
  </si>
  <si>
    <t>?</t>
  </si>
  <si>
    <t>CH_3SPMMRA8 +15125374087
RESTORE.COM
AUSTIN
TX
+15125374087</t>
  </si>
  <si>
    <t>525976     100003871133299  90012
LADOT METER PARKING
LOS ANGELES
CA
100003871133299  90012</t>
  </si>
  <si>
    <t>PAYA THAI LA LLC    LOS ANGELES         CA</t>
  </si>
  <si>
    <t>H1bFeeJrQcV squareup.com/receipts
PAYA THAI LA LLC
LOS ANGELES
CA
squareup.com/receipts</t>
  </si>
  <si>
    <t>QUIADAIYN RESTAURANTLos Angeles         CA</t>
  </si>
  <si>
    <t>v7UNK8GkUPk squareup.com/receipts
QUIADAIYN RESTAURANT INC
Los Angeles
CA
squareup.com/receipts</t>
  </si>
  <si>
    <t>NklvG4tp4SL squareup.com/receipts
ALANA'S COFFEE ROASTERS
Los Angeles
CA
squareup.com/receipts</t>
  </si>
  <si>
    <t>DNH*GODADDY#39917847Tempe               AZ</t>
  </si>
  <si>
    <t>3991784756 4805058855
Microsoft 365 Online Business Essentials
Email - Archiving - Renewal
DNH*GODADDY#3991784756
Tempe
AZ
Microsoft 365 Online Business Essentials
Email - Archiving - Renewal
4805058855</t>
  </si>
  <si>
    <t>84690028    310-850-1336
PACOS TACOS
LOS ANGELES
CA
Description : FOOD/BEVERAGE Price : 0.00
310-850-1336</t>
  </si>
  <si>
    <t>P3E5689F4D  123456789 / support-p
123456789 / support-partn
SPOTIFY USA
NEW YORK
NY
123456789 / support-partn</t>
  </si>
  <si>
    <t>21105176013 RESTAURANT
TST* BLUEYS KITCHEN MAR V 00098618
LOS ANGELES
CA
RESTAURANT</t>
  </si>
  <si>
    <t>DNH*GODADDY#39902526Tempe               AZ</t>
  </si>
  <si>
    <t>3990252677 4805058855
Email Essentials  - Renewal - monthly
Email - Archiving - Renewal
DNH*GODADDY#3990252677
Tempe
AZ
Email Essentials  - Renewal - monthly
Email - Archiving - Renewal
4805058855</t>
  </si>
  <si>
    <t>HOLLOWAY HOUSE F&amp;B  WEST HOLLYWOO       CA</t>
  </si>
  <si>
    <t>00100005080 310-432-9200
HOLLOWAY HOUSE F&amp;B
WEST HOLLYWOO
CA
Description : CONTRIBUTIONS/DONAT Price : 0.00
310-432-9200</t>
  </si>
  <si>
    <t>Donation</t>
  </si>
  <si>
    <t>SAFETY PARK         MARINA DEL RE       CA</t>
  </si>
  <si>
    <t>23000269    310-899-0490
SAFETY PARK
MARINA DEL RE
CA
Description : PARKING FEES Price : 0.00
310-899-0490</t>
  </si>
  <si>
    <t>DNH*GODADDY#39894506Tempe               AZ</t>
  </si>
  <si>
    <t>3989450681 4805058855
Business Professional  - Renewal - month
Email - Archiving - Renewal
DNH*GODADDY#3989450681
Tempe
AZ
Business Professional  - Renewal - month
Email - Archiving - Renewal
4805058855</t>
  </si>
  <si>
    <t>TST* THE FIELD LA 00LOS ANGELES         CA</t>
  </si>
  <si>
    <t>21105176011 RESTAURANT
TST* THE FIELD LA 00230469
LOS ANGELES
CA
RESTAURANT</t>
  </si>
  <si>
    <t>P-07253545  MEMBERSHIP
VIMEO PRO
212-625-0668
NY
MEMBERSHIP</t>
  </si>
  <si>
    <t>FyitanAMzJf squareup.com/receipts
ALANA'S COFFEE ROASTERS
Los Angeles
CA
squareup.com/receipts</t>
  </si>
  <si>
    <t>DNH*GODADDY#39885834Tempe               AZ</t>
  </si>
  <si>
    <t>3988583495 4805058855
Conversations Deluxe - 1 Month - Renewal
DNH*GODADDY#3988583495
Tempe
AZ
Conversations Deluxe - 1 Month - Renewal
4805058855</t>
  </si>
  <si>
    <t>84630123    310-850-1336
PACOS TACOS
LOS ANGELES
CA
Description : FOOD/BEVERAGE Price : 0.00
310-850-1336</t>
  </si>
  <si>
    <t>CH_3SNMUEB7 +13854834872
SPONSORCLOUD (SYNPRO)
SALT LAKE CITY
UT
+13854834872</t>
  </si>
  <si>
    <t>21105176010 RESTAURANT
TST* BLUEYS KITCHEN MAR V 00098618
LOS ANGELES
CA
RESTAURANT</t>
  </si>
  <si>
    <t>DNH*GODADDY#39877488Tempe               AZ</t>
  </si>
  <si>
    <t>3987748805 4805058855
Microsoft 365 Business Professional- Ren
Email - Archiving - Renewal
Microsoft 365 Email Backup - Renewal
DNH*GODADDY#3987748805
Tempe
AZ
Microsoft 365 Business Professional- Ren
Email - Archiving - Renewal
Microsoft 365 Email Backup - Renewal
4805058855</t>
  </si>
  <si>
    <t>CH_3SNTXZC6 +14158799686
OPENAI *CHATGPT SUBSCR
SAN FRANCISCO
CA
+14158799686</t>
  </si>
  <si>
    <t>WP*WORDPRESS 6HWFBTNSAN FRANCISCO       CA</t>
  </si>
  <si>
    <t>CH_3SNV1JAE +18772733049
WP*WORDPRESS 6HWFBTN20
SAN FRANCISCO
CA
+18772733049</t>
  </si>
  <si>
    <t>Personal - Word Press</t>
  </si>
  <si>
    <t>WP*WORDPRESS SY8EMAUSAN FRANCISCO       CA</t>
  </si>
  <si>
    <t>CH_3SNUYFAE +18772733049
WP*WORDPRESS SY8EMAU0X
SAN FRANCISCO
CA
+18772733049</t>
  </si>
  <si>
    <t>DNH*GODADDY#39871192Tempe               AZ</t>
  </si>
  <si>
    <t>3987119289 4805058855
Microsoft 365 Email Plus- Renewal - mont
DNH*GODADDY#3987119289
Tempe
AZ
Microsoft 365 Email Plus- Renewal - mont
4805058855</t>
  </si>
  <si>
    <t>CH_3SN0KYGW +18134214065
NNN.MARKET
CLEARWATER
FL
+18134214065</t>
  </si>
  <si>
    <t>21105176008 RESTAURANT
TST* BLUEYS KITCHEN MAR V 00098618
LOS ANGELES
CA
RESTAURANT</t>
  </si>
  <si>
    <t>CH_3SMVEBBS +16502003351
BRAVE.COM
SAN FRANCISCO
CA
+16502003351</t>
  </si>
  <si>
    <t>CIRCLE K # 09557/CIRMESA                AZ</t>
  </si>
  <si>
    <t>4776386740  CONVENIENCE STORE
CIRCLE K # 09557/CIRCLE K
MESA
AZ
Description : CIRCLE K Price : 0.00
Description : TAX Price : 0.00
CONVENIENCE STORE</t>
  </si>
  <si>
    <t>CONVENIENCE STORE
CIRCLE K # 09557/CIRCLE K
MESA
AZ
Description : CIRCLE K Price : 0.00
Description : TAX Price : 0.00
CONVENIENCE STORE</t>
  </si>
  <si>
    <t>CH_3SMWPCJL +18882730423
CREXI
LOS ANGELES
CA
+18882730423</t>
  </si>
  <si>
    <t>FOOTPRINT CENTER    PHOENIX             AZ</t>
  </si>
  <si>
    <t>######g8q19 2068301741 / geetha.p
2068301741 / geetha.p.man
FOOTPRINT CENTER
PHOENIX
AZ
2068301741 / geetha.p.man</t>
  </si>
  <si>
    <t>THE NILE            Mesa                AZ</t>
  </si>
  <si>
    <t>F68y7zTna2a squareup.com/receipts
THE NILE
Mesa
AZ
squareup.com/receipts</t>
  </si>
  <si>
    <t>D79mRvHiBE1 squareup.com/receipts
THE NILE
Mesa
AZ
squareup.com/receipts</t>
  </si>
  <si>
    <t>TST* CORNISH PASTY CPHOENIX             AZ</t>
  </si>
  <si>
    <t>21105176006 RESTAURANT
TST* CORNISH PASTY CO. DO 00014249
PHOENIX
AZ
RESTAURANT</t>
  </si>
  <si>
    <t>ACE PARKING 3463 346PHOENIX             AZ</t>
  </si>
  <si>
    <t>0010776893  800-925-7275
ACE PARKING 3463 3463
PHOENIX
AZ
Description : AUTOMOBILE PARKING Price : 0.00
800-925-7275</t>
  </si>
  <si>
    <t>AZ LIQUORS          GUADALUPE           AZ</t>
  </si>
  <si>
    <t>00059235    480-335-5653
AZ LIQUORS
GUADALUPE
AZ
Description : LIQUOR/BEVERAGES/SN Price : 0.00
480-335-5653</t>
  </si>
  <si>
    <t>DNH*GODADDY#39853772Tempe               AZ</t>
  </si>
  <si>
    <t>3985377230 4805058855
Email Essentials  - Renewal - monthly
Email - Archiving - Renewal
Microsoft 365 Email Backup - Renewal
DNH*GODADDY#3985377230
Tempe
AZ
Email Essentials  - Renewal - monthly
Email - Archiving - Renewal
Microsoft 365 Email Backup - Renewal
4805058855</t>
  </si>
  <si>
    <t>Starbucks Eve TBIT LLos Angeles         CA</t>
  </si>
  <si>
    <t>190680     190680           90045
Starbucks Eve TBIT LAX
Los Angeles
CA
190680           90045</t>
  </si>
  <si>
    <t>TST* THE BUTCHER'S DVENICE              CA</t>
  </si>
  <si>
    <t>99999996005 3109813004
TST* THE BUTCHER'S DAUGHT 300523174
VENICE
CA
Description : RESTAURANTS Price : 0.5446
3109813004</t>
  </si>
  <si>
    <t>TST* WORTH TAKEAWAY MESA                AZ</t>
  </si>
  <si>
    <t>21105176006 RESTAURANT
TST* WORTH TAKEAWAY 00015314
MESA
AZ
RESTAURANT</t>
  </si>
  <si>
    <t>EVERLANE* R227161775SAN FRANCISCO       CA</t>
  </si>
  <si>
    <t>CH_3SLZXJ2Y +18587358007
EVERLANE* R227161775
SAN FRANCISCO
CA
+18587358007</t>
  </si>
  <si>
    <t>Personal - Clothing</t>
  </si>
  <si>
    <t>MARINE LAYER, INC.  SAN FRANCISCO       CA</t>
  </si>
  <si>
    <t>######Zhu1l FAMILY CLOTHING
MARINE LAYER, INC.
SAN FRANCISCO
CA
FAMILY CLOTHING</t>
  </si>
  <si>
    <t>TST* DAN MODERN - SALOS ANGELES         CA</t>
  </si>
  <si>
    <t>21105176005 RESTAURANT
TST* DAN MODERN - SAWTELL 00196842
LOS ANGELES
CA
RESTAURANT</t>
  </si>
  <si>
    <t>XAI LLC             PALO ALTO           CA</t>
  </si>
  <si>
    <t>CH_3SLVDAAC +18002698161
XAI LLC
PALO ALTO
CA
+18002698161</t>
  </si>
  <si>
    <t>www.TheEpochTimes.coNEW YORK            NY</t>
  </si>
  <si>
    <t>REF3CYJF    8336991888
www.TheEpochTimes.com
NEW YORK
NY
8336991888</t>
  </si>
  <si>
    <t>CH_2SLBIL3T +18004304095
CONTACTS+
HUNTINGTON BEACH
CA
+18004304095</t>
  </si>
  <si>
    <t>CH_3SLJ0PCY +18884092298
SALESMESSAGE.COM
DELRAY BEACH
FL
+18884092298</t>
  </si>
  <si>
    <t>31099536003 RESTAURANT
CASABLANCA RESTAURANT 00-08045339838
VENICE
CA
RESTAURANT</t>
  </si>
  <si>
    <t>Interest Charge on Pay Over Time Purchases</t>
  </si>
  <si>
    <t xml:space="preserve">Interest Charge on Pay Over Time Purchases
</t>
  </si>
  <si>
    <t>MED*CEDARS SINAI MEDLOS ANGELES         CA</t>
  </si>
  <si>
    <t>506042075   866-803-1777
MED*CEDARS SINAI MEDICAL 6082000000120
LOS ANGELES
CA
866-803-1777</t>
  </si>
  <si>
    <t>71094476001 310-836-8000
ABC*ICONFIT
LOS ANGELES
CA
310-836-8000</t>
  </si>
  <si>
    <t>DNH*GODADDY#39824096Tempe               AZ</t>
  </si>
  <si>
    <t>3982409636 4805058855
Business Professional  - Renewal - month
Email - Archiving - Renewal
Microsoft 365 Email Backup - Renewal
DNH*GODADDY#3982409636
Tempe
AZ
Business Professional  - Renewal - month
Email - Archiving - Renewal
Microsoft 365 Email Backup - Renewal
4805058855</t>
  </si>
  <si>
    <t>CH_3SKMF5D0 +16780000000
LOOM SUBSCRIPTION
AUSTIN
TX
+16780000000</t>
  </si>
  <si>
    <t>DWG Conference</t>
  </si>
  <si>
    <t>Month</t>
  </si>
  <si>
    <t>Category (clean)</t>
  </si>
  <si>
    <t>POSEIDON PARTNERS</t>
  </si>
  <si>
    <t>Amex Business Platinum  |  Statement Summary</t>
  </si>
  <si>
    <t>Account Holder</t>
  </si>
  <si>
    <t>John Dunning</t>
  </si>
  <si>
    <t>Account</t>
  </si>
  <si>
    <t>Statement Period (Detail)</t>
  </si>
  <si>
    <t>TOTALS</t>
  </si>
  <si>
    <t>Charges</t>
  </si>
  <si>
    <t>Credits &amp; Payments</t>
  </si>
  <si>
    <t>Net Balance</t>
  </si>
  <si>
    <t>SPEND BY CATEGORY</t>
  </si>
  <si>
    <t>% of Charges</t>
  </si>
  <si>
    <t>DWG / Business</t>
  </si>
  <si>
    <t>Software, Subscriptions &amp; Comms</t>
  </si>
  <si>
    <t>Personal / Living</t>
  </si>
  <si>
    <t>Review / Uncategorized</t>
  </si>
  <si>
    <t>(Uncategorized)</t>
  </si>
  <si>
    <t xml:space="preserve">  Subtotal — Review</t>
  </si>
  <si>
    <t xml:space="preserve">  Subtotal — Credits &amp; Payments</t>
  </si>
  <si>
    <t>GRAND TOTAL</t>
  </si>
  <si>
    <t>SPEND BY MONTH</t>
  </si>
  <si>
    <t>Credits</t>
  </si>
  <si>
    <t>Net</t>
  </si>
  <si>
    <t>Total</t>
  </si>
  <si>
    <t>PAYMENTS, CREDITS &amp; REFUNDS DETAIL</t>
  </si>
  <si>
    <t>Type</t>
  </si>
  <si>
    <t>Online payment received</t>
  </si>
  <si>
    <t>Payment</t>
  </si>
  <si>
    <t>Refund</t>
  </si>
  <si>
    <t>Amex Travel — points credit</t>
  </si>
  <si>
    <t>Points credit</t>
  </si>
  <si>
    <t>Credit</t>
  </si>
  <si>
    <t>Amex online flight statement credit</t>
  </si>
  <si>
    <t>Total Credits &amp; Payments</t>
  </si>
  <si>
    <t>January 2026 - February 2026</t>
  </si>
  <si>
    <t xml:space="preserve">  Subtotal — DWG</t>
  </si>
  <si>
    <t xml:space="preserve">  Subtotal — Software</t>
  </si>
  <si>
    <t xml:space="preserve">  Subtotal — Personal</t>
  </si>
  <si>
    <t>Carbon Health — refund</t>
  </si>
  <si>
    <t>Southwest Airlines — refund</t>
  </si>
  <si>
    <t>American Airlines — refund</t>
  </si>
  <si>
    <t>FHR redeem credit</t>
  </si>
  <si>
    <t>Platinum hotel credit</t>
  </si>
  <si>
    <t>Amex CLEAR Plus credit</t>
  </si>
  <si>
    <t>Amex Business Platinum  |  Monthly Breakdown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</si>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</sst>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mmm\ yyyy"/>
    <numFmt numFmtId="166" formatCode="&quot;$&quot;#,##0.00;\(&quot;$&quot;#,##0.00\)"/>
    <numFmt numFmtId="168" formatCode="0.0%"/>
    <numFmt numFmtId="169" formatCode="mm\-dd\-yy"/>
    <numFmt numFmtId="170" formatCode="mm/dd/yyyy"/>
    <numFmt numFmtId="171" formatCode="&quot;$&quot;#,##0.00;\(&quot;$&quot;#,##0.00\);\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80"/>
      <name val="Calibri"/>
    </font>
    <font>
      <b/>
      <sz val="16"/>
      <color rgb="FFFFFFFF"/>
      <name val="Calibri"/>
    </font>
    <font>
      <sz val="11"/>
      <color rgb="FFFFFFFF"/>
      <name val="Calibri"/>
    </font>
    <font>
      <sz val="10"/>
      <color rgb="FF1A1A1A"/>
      <name val="Calibri"/>
    </font>
    <font>
      <b/>
      <sz val="10"/>
      <color rgb="FF1A1A1A"/>
      <name val="Calibri"/>
    </font>
    <font>
      <b/>
      <sz val="11"/>
      <color rgb="FFFFFFFF"/>
      <name val="Calibri"/>
    </font>
    <font>
      <b/>
      <sz val="10"/>
      <color rgb="FF6B6B6B"/>
      <name val="Calibri"/>
    </font>
    <font>
      <b/>
      <sz val="9"/>
      <color rgb="FFFFFFFF"/>
      <name val="Calibri"/>
    </font>
    <font>
      <b/>
      <sz val="10"/>
      <color rgb="FF6B6B6B"/>
      <name val="Calibri"/>
      <family val="2"/>
    </font>
    <font>
      <sz val="9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E8E8E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9" fillId="0" borderId="0" xfId="0" applyFont="1" applyFill="1"/>
    <xf numFmtId="0" fontId="20" fillId="33" borderId="10" xfId="0" applyFont="1" applyFill="1" applyBorder="1" applyAlignment="1">
      <alignment horizontal="center"/>
    </xf>
    <xf numFmtId="0" fontId="24" fillId="35" borderId="0" xfId="0" applyFont="1" applyFill="1"/>
    <xf numFmtId="0" fontId="23" fillId="35" borderId="0" xfId="0" applyFont="1" applyFill="1"/>
    <xf numFmtId="0" fontId="25" fillId="34" borderId="0" xfId="0" applyFont="1" applyFill="1"/>
    <xf numFmtId="0" fontId="26" fillId="35" borderId="0" xfId="0" applyFont="1" applyFill="1"/>
    <xf numFmtId="0" fontId="26" fillId="36" borderId="0" xfId="0" applyFont="1" applyFill="1"/>
    <xf numFmtId="0" fontId="23" fillId="36" borderId="0" xfId="0" applyFont="1" applyFill="1"/>
    <xf numFmtId="166" fontId="23" fillId="36" borderId="0" xfId="0" applyNumberFormat="1" applyFont="1" applyFill="1"/>
    <xf numFmtId="166" fontId="23" fillId="35" borderId="0" xfId="0" applyNumberFormat="1" applyFont="1" applyFill="1"/>
    <xf numFmtId="166" fontId="24" fillId="36" borderId="0" xfId="0" applyNumberFormat="1" applyFont="1" applyFill="1"/>
    <xf numFmtId="0" fontId="27" fillId="37" borderId="0" xfId="0" applyFont="1" applyFill="1" applyAlignment="1">
      <alignment horizontal="center"/>
    </xf>
    <xf numFmtId="168" fontId="23" fillId="35" borderId="0" xfId="0" applyNumberFormat="1" applyFont="1" applyFill="1"/>
    <xf numFmtId="168" fontId="23" fillId="36" borderId="0" xfId="0" applyNumberFormat="1" applyFont="1" applyFill="1"/>
    <xf numFmtId="0" fontId="24" fillId="38" borderId="0" xfId="0" applyFont="1" applyFill="1"/>
    <xf numFmtId="166" fontId="24" fillId="38" borderId="0" xfId="0" applyNumberFormat="1" applyFont="1" applyFill="1"/>
    <xf numFmtId="168" fontId="24" fillId="38" borderId="0" xfId="0" applyNumberFormat="1" applyFont="1" applyFill="1"/>
    <xf numFmtId="166" fontId="25" fillId="34" borderId="0" xfId="0" applyNumberFormat="1" applyFont="1" applyFill="1"/>
    <xf numFmtId="168" fontId="25" fillId="34" borderId="0" xfId="0" applyNumberFormat="1" applyFont="1" applyFill="1"/>
    <xf numFmtId="165" fontId="23" fillId="35" borderId="0" xfId="0" applyNumberFormat="1" applyFont="1" applyFill="1"/>
    <xf numFmtId="165" fontId="23" fillId="36" borderId="0" xfId="0" applyNumberFormat="1" applyFont="1" applyFill="1"/>
    <xf numFmtId="169" fontId="23" fillId="35" borderId="0" xfId="0" applyNumberFormat="1" applyFont="1" applyFill="1"/>
    <xf numFmtId="169" fontId="23" fillId="36" borderId="0" xfId="0" applyNumberFormat="1" applyFont="1" applyFill="1"/>
    <xf numFmtId="0" fontId="18" fillId="0" borderId="0" xfId="0" applyFont="1" applyFill="1"/>
    <xf numFmtId="0" fontId="20" fillId="0" borderId="0" xfId="0" applyFont="1" applyFill="1"/>
    <xf numFmtId="165" fontId="27" fillId="37" borderId="0" xfId="0" applyNumberFormat="1" applyFont="1" applyFill="1" applyAlignment="1">
      <alignment horizontal="center"/>
    </xf>
    <xf numFmtId="171" fontId="23" fillId="35" borderId="0" xfId="0" applyNumberFormat="1" applyFont="1" applyFill="1"/>
    <xf numFmtId="171" fontId="23" fillId="36" borderId="0" xfId="0" applyNumberFormat="1" applyFont="1" applyFill="1"/>
    <xf numFmtId="171" fontId="24" fillId="38" borderId="0" xfId="0" applyNumberFormat="1" applyFont="1" applyFill="1"/>
    <xf numFmtId="171" fontId="25" fillId="34" borderId="0" xfId="0" applyNumberFormat="1" applyFont="1" applyFill="1"/>
    <xf numFmtId="0" fontId="28" fillId="35" borderId="0" xfId="0" applyFont="1" applyFill="1"/>
    <xf numFmtId="170" fontId="29" fillId="0" borderId="0" xfId="0" applyNumberFormat="1" applyFont="1" applyFill="1" applyAlignment="1"/>
    <xf numFmtId="0" fontId="29" fillId="0" borderId="0" xfId="0" applyFont="1" applyFill="1" applyAlignment="1"/>
    <xf numFmtId="164" fontId="29" fillId="0" borderId="0" xfId="0" applyNumberFormat="1" applyFont="1" applyFill="1" applyAlignment="1"/>
    <xf numFmtId="2" fontId="29" fillId="0" borderId="0" xfId="0" applyNumberFormat="1" applyFont="1" applyFill="1" applyAlignment="1"/>
    <xf numFmtId="165" fontId="29" fillId="0" borderId="0" xfId="0" applyNumberFormat="1" applyFont="1" applyFill="1" applyAlignment="1"/>
    <xf numFmtId="0" fontId="21" fillId="34" borderId="0" xfId="0" applyFont="1" applyFill="1" applyAlignment="1">
      <alignment horizontal="left" vertical="top"/>
    </xf>
    <xf numFmtId="0" fontId="22" fillId="34" borderId="0" xfId="0" applyFont="1" applyFill="1" applyAlignment="1">
      <alignment horizontal="left"/>
    </xf>
    <xf numFmtId="0" fontId="21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9E7B522-B306-4846-9AB4-A60FF518418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96752ea7-688d-43a7-b4d8-2a2eb1989c7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A44C631-61D6-42B3-A4C7-85E9862320F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316e83b-4fae-4ea2-a98a-066170421a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D81E-7169-490D-AF89-4BC5AE457FFE}">
  <dimension ref="A1:D87"/>
  <sheetViews>
    <sheetView tabSelected="1" workbookViewId="0">
      <selection activeCell="B32" sqref="B32"/>
    </sheetView>
  </sheetViews>
  <sheetFormatPr defaultRowHeight="15" x14ac:dyDescent="0.25"/>
  <cols>
    <col min="1" max="1" width="44.7109375" customWidth="1"/>
    <col min="2" max="2" width="31" customWidth="1"/>
    <col min="3" max="3" width="16.140625" customWidth="1"/>
    <col min="4" max="4" width="18.140625" customWidth="1"/>
  </cols>
  <sheetData>
    <row r="1" spans="1:3" ht="21" x14ac:dyDescent="0.35">
      <c r="A1" s="39" t="s">
        <v>468</v>
      </c>
      <c r="B1" s="39"/>
      <c r="C1" s="39"/>
    </row>
    <row r="2" spans="1:3" x14ac:dyDescent="0.25">
      <c r="A2" s="38" t="s">
        <v>469</v>
      </c>
      <c r="B2" s="38"/>
      <c r="C2" s="38"/>
    </row>
    <row r="4" spans="1:3" x14ac:dyDescent="0.25">
      <c r="A4" s="3" t="s">
        <v>470</v>
      </c>
      <c r="B4" s="4" t="s">
        <v>471</v>
      </c>
    </row>
    <row r="5" spans="1:3" x14ac:dyDescent="0.25">
      <c r="A5" s="3" t="s">
        <v>472</v>
      </c>
      <c r="B5" s="4" t="s">
        <v>5</v>
      </c>
    </row>
    <row r="6" spans="1:3" x14ac:dyDescent="0.25">
      <c r="A6" s="3" t="s">
        <v>473</v>
      </c>
      <c r="B6" s="4" t="s">
        <v>502</v>
      </c>
    </row>
    <row r="8" spans="1:3" x14ac:dyDescent="0.25">
      <c r="A8" s="5" t="s">
        <v>474</v>
      </c>
    </row>
    <row r="9" spans="1:3" x14ac:dyDescent="0.25">
      <c r="A9" s="7" t="s">
        <v>475</v>
      </c>
      <c r="B9" s="9">
        <f>SUMIF('Transaction Details'!$E$8:$E$261,"&gt;0")</f>
        <v>44873.290000000023</v>
      </c>
    </row>
    <row r="10" spans="1:3" x14ac:dyDescent="0.25">
      <c r="A10" s="6" t="s">
        <v>476</v>
      </c>
      <c r="B10" s="10">
        <f>SUMIF('Transaction Details'!$E$8:$E$261,"&lt;0")</f>
        <v>-56616.500000000015</v>
      </c>
    </row>
    <row r="11" spans="1:3" x14ac:dyDescent="0.25">
      <c r="A11" s="7" t="s">
        <v>477</v>
      </c>
      <c r="B11" s="11">
        <f>B9+B10</f>
        <v>-11743.209999999992</v>
      </c>
    </row>
    <row r="13" spans="1:3" x14ac:dyDescent="0.25">
      <c r="A13" s="5" t="s">
        <v>478</v>
      </c>
    </row>
    <row r="14" spans="1:3" x14ac:dyDescent="0.25">
      <c r="A14" s="12" t="s">
        <v>13</v>
      </c>
      <c r="B14" s="12" t="s">
        <v>10</v>
      </c>
      <c r="C14" s="12" t="s">
        <v>479</v>
      </c>
    </row>
    <row r="15" spans="1:3" x14ac:dyDescent="0.25">
      <c r="A15" s="31" t="s">
        <v>480</v>
      </c>
    </row>
    <row r="16" spans="1:3" x14ac:dyDescent="0.25">
      <c r="A16" s="4" t="s">
        <v>68</v>
      </c>
      <c r="B16" s="10">
        <f>SUMIFS('Transaction Details'!$E$8:$E$261,'Transaction Details'!$J$8:$J$261,A16)</f>
        <v>6456.3999999999987</v>
      </c>
      <c r="C16" s="13">
        <f>IFERROR(B16/$B$9,0)</f>
        <v>0.14388069160964118</v>
      </c>
    </row>
    <row r="17" spans="1:3" x14ac:dyDescent="0.25">
      <c r="A17" s="8" t="s">
        <v>45</v>
      </c>
      <c r="B17" s="9">
        <f>SUMIFS('Transaction Details'!$E$8:$E$261,'Transaction Details'!$J$8:$J$261,A17)</f>
        <v>1133.8400000000001</v>
      </c>
      <c r="C17" s="14">
        <f>IFERROR(B17/$B$9,0)</f>
        <v>2.5267592369536525E-2</v>
      </c>
    </row>
    <row r="18" spans="1:3" x14ac:dyDescent="0.25">
      <c r="A18" s="4" t="s">
        <v>465</v>
      </c>
      <c r="B18" s="10">
        <f>SUMIFS('Transaction Details'!$E$8:$E$261,'Transaction Details'!$J$8:$J$261,A18)</f>
        <v>1370</v>
      </c>
      <c r="C18" s="13">
        <f>IFERROR(B18/$B$9,0)</f>
        <v>3.0530411298124102E-2</v>
      </c>
    </row>
    <row r="19" spans="1:3" x14ac:dyDescent="0.25">
      <c r="A19" s="8" t="s">
        <v>326</v>
      </c>
      <c r="B19" s="9">
        <f>SUMIFS('Transaction Details'!$E$8:$E$261,'Transaction Details'!$J$8:$J$261,A19)</f>
        <v>259.08</v>
      </c>
      <c r="C19" s="14">
        <f>IFERROR(B19/$B$9,0)</f>
        <v>5.7735904811080235E-3</v>
      </c>
    </row>
    <row r="20" spans="1:3" x14ac:dyDescent="0.25">
      <c r="A20" s="4" t="s">
        <v>352</v>
      </c>
      <c r="B20" s="10">
        <f>SUMIFS('Transaction Details'!$E$8:$E$261,'Transaction Details'!$J$8:$J$261,A20)</f>
        <v>671.44</v>
      </c>
      <c r="C20" s="13">
        <f>IFERROR(B20/$B$9,0)</f>
        <v>1.4963021432125875E-2</v>
      </c>
    </row>
    <row r="21" spans="1:3" x14ac:dyDescent="0.25">
      <c r="A21" s="8" t="s">
        <v>76</v>
      </c>
      <c r="B21" s="9">
        <f>SUMIFS('Transaction Details'!$E$8:$E$261,'Transaction Details'!$J$8:$J$261,A21)</f>
        <v>252</v>
      </c>
      <c r="C21" s="14">
        <f>IFERROR(B21/$B$9,0)</f>
        <v>5.6158128811147987E-3</v>
      </c>
    </row>
    <row r="22" spans="1:3" x14ac:dyDescent="0.25">
      <c r="A22" s="4" t="s">
        <v>200</v>
      </c>
      <c r="B22" s="10">
        <f>SUMIFS('Transaction Details'!$E$8:$E$261,'Transaction Details'!$J$8:$J$261,A22)</f>
        <v>260</v>
      </c>
      <c r="C22" s="13">
        <f>IFERROR(B22/$B$9,0)</f>
        <v>5.7940926551184428E-3</v>
      </c>
    </row>
    <row r="23" spans="1:3" x14ac:dyDescent="0.25">
      <c r="A23" s="8" t="s">
        <v>177</v>
      </c>
      <c r="B23" s="9">
        <f>SUMIFS('Transaction Details'!$E$8:$E$261,'Transaction Details'!$J$8:$J$261,A23)</f>
        <v>2123.37</v>
      </c>
      <c r="C23" s="14">
        <f>IFERROR(B23/$B$9,0)</f>
        <v>4.73192404657648E-2</v>
      </c>
    </row>
    <row r="24" spans="1:3" x14ac:dyDescent="0.25">
      <c r="A24" s="4" t="s">
        <v>311</v>
      </c>
      <c r="B24" s="10">
        <f>SUMIFS('Transaction Details'!$E$8:$E$261,'Transaction Details'!$J$8:$J$261,A24)</f>
        <v>4500</v>
      </c>
      <c r="C24" s="13">
        <f>IFERROR(B24/$B$9,0)</f>
        <v>0.10028237287704997</v>
      </c>
    </row>
    <row r="25" spans="1:3" x14ac:dyDescent="0.25">
      <c r="A25" s="8" t="s">
        <v>159</v>
      </c>
      <c r="B25" s="9">
        <f>SUMIFS('Transaction Details'!$E$8:$E$261,'Transaction Details'!$J$8:$J$261,A25)</f>
        <v>100</v>
      </c>
      <c r="C25" s="14">
        <f>IFERROR(B25/$B$9,0)</f>
        <v>2.2284971750455547E-3</v>
      </c>
    </row>
    <row r="26" spans="1:3" x14ac:dyDescent="0.25">
      <c r="A26" s="4" t="s">
        <v>302</v>
      </c>
      <c r="B26" s="10">
        <f>SUMIFS('Transaction Details'!$E$8:$E$261,'Transaction Details'!$J$8:$J$261,A26)</f>
        <v>151.33000000000001</v>
      </c>
      <c r="C26" s="13">
        <f>IFERROR(B26/$B$9,0)</f>
        <v>3.3723847749964385E-3</v>
      </c>
    </row>
    <row r="27" spans="1:3" x14ac:dyDescent="0.25">
      <c r="A27" s="8" t="s">
        <v>95</v>
      </c>
      <c r="B27" s="9">
        <f>SUMIFS('Transaction Details'!$E$8:$E$261,'Transaction Details'!$J$8:$J$261,A27)</f>
        <v>195</v>
      </c>
      <c r="C27" s="14">
        <f>IFERROR(B27/$B$9,0)</f>
        <v>4.3455694913388321E-3</v>
      </c>
    </row>
    <row r="28" spans="1:3" x14ac:dyDescent="0.25">
      <c r="A28" s="4" t="s">
        <v>164</v>
      </c>
      <c r="B28" s="10">
        <f>SUMIFS('Transaction Details'!$E$8:$E$261,'Transaction Details'!$J$8:$J$261,A28)</f>
        <v>167.58</v>
      </c>
      <c r="C28" s="13">
        <f>IFERROR(B28/$B$9,0)</f>
        <v>3.7345155659413414E-3</v>
      </c>
    </row>
    <row r="29" spans="1:3" x14ac:dyDescent="0.25">
      <c r="A29" s="8" t="s">
        <v>21</v>
      </c>
      <c r="B29" s="9">
        <f>SUMIFS('Transaction Details'!$E$8:$E$261,'Transaction Details'!$J$8:$J$261,A29)</f>
        <v>8978.43</v>
      </c>
      <c r="C29" s="14">
        <f>IFERROR(B29/$B$9,0)</f>
        <v>0.20008405891344264</v>
      </c>
    </row>
    <row r="30" spans="1:3" x14ac:dyDescent="0.25">
      <c r="A30" s="4" t="s">
        <v>393</v>
      </c>
      <c r="B30" s="10">
        <f>SUMIFS('Transaction Details'!$E$8:$E$261,'Transaction Details'!$J$8:$J$261,A30)</f>
        <v>102.47</v>
      </c>
      <c r="C30" s="13">
        <f>IFERROR(B30/$B$9,0)</f>
        <v>2.2835410552691799E-3</v>
      </c>
    </row>
    <row r="31" spans="1:3" x14ac:dyDescent="0.25">
      <c r="A31" s="8" t="s">
        <v>203</v>
      </c>
      <c r="B31" s="9">
        <f>SUMIFS('Transaction Details'!$E$8:$E$261,'Transaction Details'!$J$8:$J$261,A31)</f>
        <v>918</v>
      </c>
      <c r="C31" s="14">
        <f>IFERROR(B31/$B$9,0)</f>
        <v>2.0457604066918194E-2</v>
      </c>
    </row>
    <row r="32" spans="1:3" x14ac:dyDescent="0.25">
      <c r="A32" s="4" t="s">
        <v>101</v>
      </c>
      <c r="B32" s="10">
        <f>SUMIFS('Transaction Details'!$E$8:$E$261,'Transaction Details'!$J$8:$J$261,A32)</f>
        <v>1600</v>
      </c>
      <c r="C32" s="13">
        <f>IFERROR(B32/$B$9,0)</f>
        <v>3.5655954800728876E-2</v>
      </c>
    </row>
    <row r="33" spans="1:3" x14ac:dyDescent="0.25">
      <c r="A33" s="15" t="s">
        <v>503</v>
      </c>
      <c r="B33" s="16">
        <f>SUM(B16:B32)</f>
        <v>29238.940000000002</v>
      </c>
      <c r="C33" s="17">
        <f>IFERROR(B33/$B$9,0)</f>
        <v>0.65158895191326482</v>
      </c>
    </row>
    <row r="34" spans="1:3" x14ac:dyDescent="0.25">
      <c r="A34" s="31" t="s">
        <v>481</v>
      </c>
    </row>
    <row r="35" spans="1:3" x14ac:dyDescent="0.25">
      <c r="A35" s="4" t="s">
        <v>29</v>
      </c>
      <c r="B35" s="10">
        <f>SUMIFS('Transaction Details'!$E$8:$E$261,'Transaction Details'!$J$8:$J$261,A35)</f>
        <v>2046.17</v>
      </c>
      <c r="C35" s="13">
        <f>IFERROR(B35/$B$9,0)</f>
        <v>4.5598840646629633E-2</v>
      </c>
    </row>
    <row r="36" spans="1:3" x14ac:dyDescent="0.25">
      <c r="A36" s="8" t="s">
        <v>58</v>
      </c>
      <c r="B36" s="9">
        <f>SUMIFS('Transaction Details'!$E$8:$E$261,'Transaction Details'!$J$8:$J$261,A36)</f>
        <v>126.28</v>
      </c>
      <c r="C36" s="14">
        <f>IFERROR(B36/$B$9,0)</f>
        <v>2.8141462326475267E-3</v>
      </c>
    </row>
    <row r="37" spans="1:3" x14ac:dyDescent="0.25">
      <c r="A37" s="4" t="s">
        <v>26</v>
      </c>
      <c r="B37" s="10">
        <f>SUMIFS('Transaction Details'!$E$8:$E$261,'Transaction Details'!$J$8:$J$261,A37)</f>
        <v>1054.8400000000001</v>
      </c>
      <c r="C37" s="13">
        <f>IFERROR(B37/$B$9,0)</f>
        <v>2.3507079601250536E-2</v>
      </c>
    </row>
    <row r="38" spans="1:3" x14ac:dyDescent="0.25">
      <c r="A38" s="8" t="s">
        <v>412</v>
      </c>
      <c r="B38" s="9">
        <f>SUMIFS('Transaction Details'!$E$8:$E$261,'Transaction Details'!$J$8:$J$261,A38)</f>
        <v>319.8</v>
      </c>
      <c r="C38" s="14">
        <f>IFERROR(B38/$B$9,0)</f>
        <v>7.1267339657956853E-3</v>
      </c>
    </row>
    <row r="39" spans="1:3" x14ac:dyDescent="0.25">
      <c r="A39" s="4" t="s">
        <v>350</v>
      </c>
      <c r="B39" s="10">
        <f>SUMIFS('Transaction Details'!$E$8:$E$261,'Transaction Details'!$J$8:$J$261,A39)</f>
        <v>334</v>
      </c>
      <c r="C39" s="13">
        <f>IFERROR(B39/$B$9,0)</f>
        <v>7.4431805646521538E-3</v>
      </c>
    </row>
    <row r="40" spans="1:3" x14ac:dyDescent="0.25">
      <c r="A40" s="15" t="s">
        <v>504</v>
      </c>
      <c r="B40" s="16">
        <f>SUM(B35:B39)</f>
        <v>3881.0900000000006</v>
      </c>
      <c r="C40" s="17">
        <f>IFERROR(B40/$B$9,0)</f>
        <v>8.6489981010975547E-2</v>
      </c>
    </row>
    <row r="41" spans="1:3" x14ac:dyDescent="0.25">
      <c r="A41" s="31" t="s">
        <v>482</v>
      </c>
    </row>
    <row r="42" spans="1:3" x14ac:dyDescent="0.25">
      <c r="A42" s="4" t="s">
        <v>16</v>
      </c>
      <c r="B42" s="10">
        <f>SUMIFS('Transaction Details'!$E$8:$E$261,'Transaction Details'!$J$8:$J$261,A42)</f>
        <v>3076.1299999999997</v>
      </c>
      <c r="C42" s="13">
        <f>IFERROR(B42/$B$9,0)</f>
        <v>6.8551470150728822E-2</v>
      </c>
    </row>
    <row r="43" spans="1:3" x14ac:dyDescent="0.25">
      <c r="A43" s="8" t="s">
        <v>73</v>
      </c>
      <c r="B43" s="9">
        <f>SUMIFS('Transaction Details'!$E$8:$E$261,'Transaction Details'!$J$8:$J$261,A43)</f>
        <v>3689.9399999999996</v>
      </c>
      <c r="C43" s="14">
        <f>IFERROR(B43/$B$9,0)</f>
        <v>8.2230208660875936E-2</v>
      </c>
    </row>
    <row r="44" spans="1:3" x14ac:dyDescent="0.25">
      <c r="A44" s="4" t="s">
        <v>42</v>
      </c>
      <c r="B44" s="10">
        <f>SUMIFS('Transaction Details'!$E$8:$E$261,'Transaction Details'!$J$8:$J$261,A44)</f>
        <v>365.46999999999997</v>
      </c>
      <c r="C44" s="13">
        <f>IFERROR(B44/$B$9,0)</f>
        <v>8.1444886256389886E-3</v>
      </c>
    </row>
    <row r="45" spans="1:3" x14ac:dyDescent="0.25">
      <c r="A45" s="8" t="s">
        <v>445</v>
      </c>
      <c r="B45" s="9">
        <f>SUMIFS('Transaction Details'!$E$8:$E$261,'Transaction Details'!$J$8:$J$261,A45)</f>
        <v>439.04</v>
      </c>
      <c r="C45" s="14">
        <f>IFERROR(B45/$B$9,0)</f>
        <v>9.7839939973200056E-3</v>
      </c>
    </row>
    <row r="46" spans="1:3" x14ac:dyDescent="0.25">
      <c r="A46" s="4" t="s">
        <v>63</v>
      </c>
      <c r="B46" s="10">
        <f>SUMIFS('Transaction Details'!$E$8:$E$261,'Transaction Details'!$J$8:$J$261,A46)</f>
        <v>2516.12</v>
      </c>
      <c r="C46" s="13">
        <f>IFERROR(B46/$B$9,0)</f>
        <v>5.6071663120756211E-2</v>
      </c>
    </row>
    <row r="47" spans="1:3" x14ac:dyDescent="0.25">
      <c r="A47" s="8" t="s">
        <v>126</v>
      </c>
      <c r="B47" s="9">
        <f>SUMIFS('Transaction Details'!$E$8:$E$261,'Transaction Details'!$J$8:$J$261,A47)</f>
        <v>102.35999999999999</v>
      </c>
      <c r="C47" s="14">
        <f>IFERROR(B47/$B$9,0)</f>
        <v>2.2810897083766295E-3</v>
      </c>
    </row>
    <row r="48" spans="1:3" x14ac:dyDescent="0.25">
      <c r="A48" s="4" t="s">
        <v>111</v>
      </c>
      <c r="B48" s="10">
        <f>SUMIFS('Transaction Details'!$E$8:$E$261,'Transaction Details'!$J$8:$J$261,A48)</f>
        <v>75.669999999999987</v>
      </c>
      <c r="C48" s="13">
        <f>IFERROR(B48/$B$9,0)</f>
        <v>1.6863038123569711E-3</v>
      </c>
    </row>
    <row r="49" spans="1:3" x14ac:dyDescent="0.25">
      <c r="A49" s="8" t="s">
        <v>210</v>
      </c>
      <c r="B49" s="9">
        <f>SUMIFS('Transaction Details'!$E$8:$E$261,'Transaction Details'!$J$8:$J$261,A49)</f>
        <v>200.29</v>
      </c>
      <c r="C49" s="14">
        <f>IFERROR(B49/$B$9,0)</f>
        <v>4.4634569918987422E-3</v>
      </c>
    </row>
    <row r="50" spans="1:3" x14ac:dyDescent="0.25">
      <c r="A50" s="15" t="s">
        <v>505</v>
      </c>
      <c r="B50" s="16">
        <f>SUM(B42:B49)</f>
        <v>10465.020000000002</v>
      </c>
      <c r="C50" s="17">
        <f>IFERROR(B50/$B$9,0)</f>
        <v>0.23321267506795237</v>
      </c>
    </row>
    <row r="51" spans="1:3" x14ac:dyDescent="0.25">
      <c r="A51" s="31" t="s">
        <v>483</v>
      </c>
    </row>
    <row r="52" spans="1:3" x14ac:dyDescent="0.25">
      <c r="A52" s="4" t="s">
        <v>376</v>
      </c>
      <c r="B52" s="10">
        <f>SUMIFS('Transaction Details'!$E$8:$E$261,'Transaction Details'!$J$8:$J$261,A52)</f>
        <v>559</v>
      </c>
      <c r="C52" s="13">
        <f>IFERROR(B52/$B$9,0)</f>
        <v>1.2457299208504653E-2</v>
      </c>
    </row>
    <row r="53" spans="1:3" x14ac:dyDescent="0.25">
      <c r="A53" s="8" t="s">
        <v>457</v>
      </c>
      <c r="B53" s="9">
        <f>SUMIFS('Transaction Details'!$E$8:$E$261,'Transaction Details'!$J$8:$J$261,A53)</f>
        <v>258.54000000000002</v>
      </c>
      <c r="C53" s="14">
        <f>IFERROR(B53/$B$9,0)</f>
        <v>5.7615565963627779E-3</v>
      </c>
    </row>
    <row r="54" spans="1:3" x14ac:dyDescent="0.25">
      <c r="A54" s="4" t="s">
        <v>484</v>
      </c>
      <c r="B54" s="10">
        <f>SUMIFS('Transaction Details'!$E$8:$E$261,'Transaction Details'!$J$8:$J$261,A54)</f>
        <v>0</v>
      </c>
      <c r="C54" s="13">
        <f>IFERROR(B54/$B$9,0)</f>
        <v>0</v>
      </c>
    </row>
    <row r="55" spans="1:3" x14ac:dyDescent="0.25">
      <c r="A55" s="15" t="s">
        <v>485</v>
      </c>
      <c r="B55" s="16">
        <f>SUM(B52:B54)</f>
        <v>817.54</v>
      </c>
      <c r="C55" s="17">
        <f>IFERROR(B55/$B$9,0)</f>
        <v>1.8218855804867429E-2</v>
      </c>
    </row>
    <row r="56" spans="1:3" x14ac:dyDescent="0.25">
      <c r="A56" s="31" t="s">
        <v>476</v>
      </c>
    </row>
    <row r="57" spans="1:3" x14ac:dyDescent="0.25">
      <c r="A57" s="4" t="s">
        <v>35</v>
      </c>
      <c r="B57" s="10">
        <f>SUMIFS('Transaction Details'!$E$8:$E$261,'Transaction Details'!$J$8:$J$261,A57)</f>
        <v>-54114.770000000004</v>
      </c>
      <c r="C57" s="13">
        <f>IFERROR(B57/$B$9,0)</f>
        <v>-1.2059461207323996</v>
      </c>
    </row>
    <row r="58" spans="1:3" x14ac:dyDescent="0.25">
      <c r="A58" s="8" t="s">
        <v>116</v>
      </c>
      <c r="B58" s="9">
        <f>SUMIFS('Transaction Details'!$E$8:$E$261,'Transaction Details'!$J$8:$J$261,A58)</f>
        <v>-1048.8</v>
      </c>
      <c r="C58" s="14">
        <f>IFERROR(B58/$B$9,0)</f>
        <v>-2.3372478371877781E-2</v>
      </c>
    </row>
    <row r="59" spans="1:3" x14ac:dyDescent="0.25">
      <c r="A59" s="4" t="s">
        <v>346</v>
      </c>
      <c r="B59" s="10">
        <f>SUMIFS('Transaction Details'!$E$8:$E$261,'Transaction Details'!$J$8:$J$261,A59)</f>
        <v>-209</v>
      </c>
      <c r="C59" s="13">
        <f>IFERROR(B59/$B$9,0)</f>
        <v>-4.6575590958452097E-3</v>
      </c>
    </row>
    <row r="60" spans="1:3" x14ac:dyDescent="0.25">
      <c r="A60" s="8" t="s">
        <v>278</v>
      </c>
      <c r="B60" s="9">
        <f>SUMIFS('Transaction Details'!$E$8:$E$261,'Transaction Details'!$J$8:$J$261,A60)</f>
        <v>-323.23</v>
      </c>
      <c r="C60" s="14">
        <f>IFERROR(B60/$B$9,0)</f>
        <v>-7.2031714188997478E-3</v>
      </c>
    </row>
    <row r="61" spans="1:3" x14ac:dyDescent="0.25">
      <c r="A61" s="4" t="s">
        <v>283</v>
      </c>
      <c r="B61" s="10">
        <f>SUMIFS('Transaction Details'!$E$8:$E$261,'Transaction Details'!$J$8:$J$261,A61)</f>
        <v>-300</v>
      </c>
      <c r="C61" s="13">
        <f>IFERROR(B61/$B$9,0)</f>
        <v>-6.6854915251366651E-3</v>
      </c>
    </row>
    <row r="62" spans="1:3" x14ac:dyDescent="0.25">
      <c r="A62" s="8" t="s">
        <v>229</v>
      </c>
      <c r="B62" s="9">
        <f>SUMIFS('Transaction Details'!$E$8:$E$261,'Transaction Details'!$J$8:$J$261,A62)</f>
        <v>-150</v>
      </c>
      <c r="C62" s="14">
        <f>IFERROR(B62/$B$9,0)</f>
        <v>-3.3427457625683325E-3</v>
      </c>
    </row>
    <row r="63" spans="1:3" x14ac:dyDescent="0.25">
      <c r="A63" s="15" t="s">
        <v>486</v>
      </c>
      <c r="B63" s="16">
        <f>SUM(B57:B62)</f>
        <v>-56145.80000000001</v>
      </c>
      <c r="C63" s="17">
        <f>IFERROR(B63/$B$9,0)</f>
        <v>-1.2512075669067273</v>
      </c>
    </row>
    <row r="64" spans="1:3" x14ac:dyDescent="0.25">
      <c r="A64" s="5" t="s">
        <v>487</v>
      </c>
      <c r="B64" s="18">
        <f>B33+B40+B50+B55+B63</f>
        <v>-11743.21</v>
      </c>
      <c r="C64" s="19">
        <f>IFERROR(B64/$B$9,0)</f>
        <v>-0.2616971031096671</v>
      </c>
    </row>
    <row r="66" spans="1:4" x14ac:dyDescent="0.25">
      <c r="A66" s="5" t="s">
        <v>488</v>
      </c>
    </row>
    <row r="67" spans="1:4" x14ac:dyDescent="0.25">
      <c r="A67" s="12" t="s">
        <v>466</v>
      </c>
      <c r="B67" s="12" t="s">
        <v>475</v>
      </c>
      <c r="C67" s="12" t="s">
        <v>489</v>
      </c>
      <c r="D67" s="12" t="s">
        <v>490</v>
      </c>
    </row>
    <row r="68" spans="1:4" x14ac:dyDescent="0.25">
      <c r="A68" s="20">
        <f>DATE(2026,1,1)</f>
        <v>46023</v>
      </c>
      <c r="B68" s="10">
        <f>SUMIFS('Transaction Details'!$E$8:$E$261,'Transaction Details'!$I$8:$I$261,$A68,'Transaction Details'!$E$8:$E$261,"&gt;0")</f>
        <v>18696.849999999999</v>
      </c>
      <c r="C68" s="10">
        <f>SUMIFS('Transaction Details'!$E$8:$E$261,'Transaction Details'!$I$8:$I$261,$A68,'Transaction Details'!$E$8:$E$261,"&lt;0")</f>
        <v>-15091.609999999999</v>
      </c>
      <c r="D68" s="10">
        <f>B68+C68</f>
        <v>3605.24</v>
      </c>
    </row>
    <row r="69" spans="1:4" x14ac:dyDescent="0.25">
      <c r="A69" s="21">
        <f>DATE(2026,2,1)</f>
        <v>46054</v>
      </c>
      <c r="B69" s="9">
        <f>SUMIFS('Transaction Details'!$E$8:$E$261,'Transaction Details'!$I$8:$I$261,$A69,'Transaction Details'!$E$8:$E$261,"&gt;0")</f>
        <v>26176.440000000006</v>
      </c>
      <c r="C69" s="9">
        <f>SUMIFS('Transaction Details'!$E$8:$E$261,'Transaction Details'!$I$8:$I$261,$A69,'Transaction Details'!$E$8:$E$261,"&lt;0")</f>
        <v>-41524.890000000007</v>
      </c>
      <c r="D69" s="9">
        <f>B69+C69</f>
        <v>-15348.45</v>
      </c>
    </row>
    <row r="70" spans="1:4" x14ac:dyDescent="0.25">
      <c r="A70" s="15" t="s">
        <v>491</v>
      </c>
      <c r="B70" s="16">
        <f>SUM(B68:B69)</f>
        <v>44873.290000000008</v>
      </c>
      <c r="C70" s="16">
        <f>SUM(C68:C69)</f>
        <v>-56616.500000000007</v>
      </c>
      <c r="D70" s="16">
        <f>SUM(D68:D69)</f>
        <v>-11743.210000000001</v>
      </c>
    </row>
    <row r="72" spans="1:4" x14ac:dyDescent="0.25">
      <c r="A72" s="5" t="s">
        <v>492</v>
      </c>
    </row>
    <row r="73" spans="1:4" x14ac:dyDescent="0.25">
      <c r="A73" s="12" t="s">
        <v>6</v>
      </c>
      <c r="B73" s="12" t="s">
        <v>7</v>
      </c>
      <c r="C73" s="12" t="s">
        <v>493</v>
      </c>
      <c r="D73" s="12" t="s">
        <v>10</v>
      </c>
    </row>
    <row r="74" spans="1:4" x14ac:dyDescent="0.25">
      <c r="A74" s="22">
        <f>DATE(2026,2,26)</f>
        <v>46079</v>
      </c>
      <c r="B74" s="4" t="s">
        <v>494</v>
      </c>
      <c r="C74" s="4" t="s">
        <v>495</v>
      </c>
      <c r="D74" s="10">
        <v>-40222.68</v>
      </c>
    </row>
    <row r="75" spans="1:4" x14ac:dyDescent="0.25">
      <c r="A75" s="23">
        <f>DATE(2026,2,20)</f>
        <v>46073</v>
      </c>
      <c r="B75" s="8" t="s">
        <v>506</v>
      </c>
      <c r="C75" s="8" t="s">
        <v>496</v>
      </c>
      <c r="D75" s="9">
        <v>-103.41</v>
      </c>
    </row>
    <row r="76" spans="1:4" x14ac:dyDescent="0.25">
      <c r="A76" s="22">
        <f>DATE(2026,2,16)</f>
        <v>46069</v>
      </c>
      <c r="B76" s="4" t="s">
        <v>500</v>
      </c>
      <c r="C76" s="4" t="s">
        <v>499</v>
      </c>
      <c r="D76" s="10">
        <v>-430.4</v>
      </c>
    </row>
    <row r="77" spans="1:4" x14ac:dyDescent="0.25">
      <c r="A77" s="23">
        <f>DATE(2026,2,2)</f>
        <v>46055</v>
      </c>
      <c r="B77" s="8" t="s">
        <v>500</v>
      </c>
      <c r="C77" s="8" t="s">
        <v>499</v>
      </c>
      <c r="D77" s="9">
        <v>-618.4</v>
      </c>
    </row>
    <row r="78" spans="1:4" x14ac:dyDescent="0.25">
      <c r="A78" s="22">
        <f>DATE(2026,2,2)</f>
        <v>46055</v>
      </c>
      <c r="B78" s="4" t="s">
        <v>497</v>
      </c>
      <c r="C78" s="4" t="s">
        <v>498</v>
      </c>
      <c r="D78" s="10">
        <v>-150</v>
      </c>
    </row>
    <row r="79" spans="1:4" x14ac:dyDescent="0.25">
      <c r="A79" s="23">
        <f>DATE(2026,1,28)</f>
        <v>46050</v>
      </c>
      <c r="B79" s="8" t="s">
        <v>507</v>
      </c>
      <c r="C79" s="8" t="s">
        <v>496</v>
      </c>
      <c r="D79" s="9">
        <v>-172</v>
      </c>
    </row>
    <row r="80" spans="1:4" x14ac:dyDescent="0.25">
      <c r="A80" s="22">
        <f>DATE(2026,1,27)</f>
        <v>46049</v>
      </c>
      <c r="B80" s="4" t="s">
        <v>494</v>
      </c>
      <c r="C80" s="4" t="s">
        <v>495</v>
      </c>
      <c r="D80" s="10">
        <v>-13892.09</v>
      </c>
    </row>
    <row r="81" spans="1:4" x14ac:dyDescent="0.25">
      <c r="A81" s="23">
        <f>DATE(2026,1,26)</f>
        <v>46048</v>
      </c>
      <c r="B81" s="8" t="s">
        <v>508</v>
      </c>
      <c r="C81" s="8" t="s">
        <v>496</v>
      </c>
      <c r="D81" s="9">
        <v>-168.4</v>
      </c>
    </row>
    <row r="82" spans="1:4" x14ac:dyDescent="0.25">
      <c r="A82" s="22">
        <f>DATE(2026,1,26)</f>
        <v>46048</v>
      </c>
      <c r="B82" s="4" t="s">
        <v>508</v>
      </c>
      <c r="C82" s="4" t="s">
        <v>496</v>
      </c>
      <c r="D82" s="10">
        <v>-26.89</v>
      </c>
    </row>
    <row r="83" spans="1:4" x14ac:dyDescent="0.25">
      <c r="A83" s="23">
        <f>DATE(2026,1,25)</f>
        <v>46047</v>
      </c>
      <c r="B83" s="8" t="s">
        <v>509</v>
      </c>
      <c r="C83" s="8" t="s">
        <v>499</v>
      </c>
      <c r="D83" s="9">
        <v>-323.23</v>
      </c>
    </row>
    <row r="84" spans="1:4" x14ac:dyDescent="0.25">
      <c r="A84" s="22">
        <f>DATE(2026,1,25)</f>
        <v>46047</v>
      </c>
      <c r="B84" s="4" t="s">
        <v>510</v>
      </c>
      <c r="C84" s="4" t="s">
        <v>499</v>
      </c>
      <c r="D84" s="10">
        <v>-300</v>
      </c>
    </row>
    <row r="85" spans="1:4" x14ac:dyDescent="0.25">
      <c r="A85" s="23">
        <f>DATE(2026,1,16)</f>
        <v>46038</v>
      </c>
      <c r="B85" s="8" t="s">
        <v>511</v>
      </c>
      <c r="C85" s="8" t="s">
        <v>499</v>
      </c>
      <c r="D85" s="9">
        <v>-209</v>
      </c>
    </row>
    <row r="86" spans="1:4" x14ac:dyDescent="0.25">
      <c r="A86" s="15" t="s">
        <v>501</v>
      </c>
      <c r="D86" s="16">
        <f>SUM(D74:D85)</f>
        <v>-56616.500000000015</v>
      </c>
    </row>
    <row r="87" spans="1:4" x14ac:dyDescent="0.25">
      <c r="B87" s="4" t="str">
        <f>IF(ROUND(D86-B10,2)=0,"✓ ties to Credits &amp; Payments total","⚠ mismatch")</f>
        <v>✓ ties to Credits &amp; Payments total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E5D1-E682-4A39-A967-953F79B41C48}">
  <dimension ref="A1:D49"/>
  <sheetViews>
    <sheetView topLeftCell="A21" workbookViewId="0">
      <selection activeCell="G10" sqref="G10"/>
    </sheetView>
  </sheetViews>
  <sheetFormatPr defaultRowHeight="15" x14ac:dyDescent="0.25"/>
  <cols>
    <col min="1" max="1" width="44.7109375" customWidth="1"/>
    <col min="2" max="4" width="18.140625" customWidth="1"/>
  </cols>
  <sheetData>
    <row r="1" spans="1:4" ht="25.5" customHeight="1" x14ac:dyDescent="0.25">
      <c r="A1" s="37" t="s">
        <v>468</v>
      </c>
      <c r="B1" s="37"/>
      <c r="C1" s="37"/>
      <c r="D1" s="37"/>
    </row>
    <row r="2" spans="1:4" ht="18" customHeight="1" x14ac:dyDescent="0.25">
      <c r="A2" s="38" t="s">
        <v>512</v>
      </c>
      <c r="B2" s="38"/>
      <c r="C2" s="38"/>
      <c r="D2" s="38"/>
    </row>
    <row r="4" spans="1:4" x14ac:dyDescent="0.25">
      <c r="A4" s="12" t="s">
        <v>13</v>
      </c>
      <c r="B4" s="26">
        <f>DATE(2026,1,1)</f>
        <v>46023</v>
      </c>
      <c r="C4" s="26">
        <f>DATE(2026,2,1)</f>
        <v>46054</v>
      </c>
      <c r="D4" s="12" t="s">
        <v>491</v>
      </c>
    </row>
    <row r="5" spans="1:4" x14ac:dyDescent="0.25">
      <c r="A5" s="4" t="s">
        <v>68</v>
      </c>
      <c r="B5" s="27">
        <f>SUMIFS('Transaction Details'!$E$8:$E$261,'Transaction Details'!$J$8:$J$261,$A5,'Transaction Details'!$I$8:$I$261,B$4)</f>
        <v>3324.6699999999996</v>
      </c>
      <c r="C5" s="27">
        <f>SUMIFS('Transaction Details'!$E$8:$E$261,'Transaction Details'!$J$8:$J$261,$A5,'Transaction Details'!$I$8:$I$261,C$4)</f>
        <v>3131.7299999999996</v>
      </c>
      <c r="D5" s="27">
        <f>SUM(B5:C5)</f>
        <v>6456.4</v>
      </c>
    </row>
    <row r="6" spans="1:4" x14ac:dyDescent="0.25">
      <c r="A6" s="8" t="s">
        <v>45</v>
      </c>
      <c r="B6" s="28">
        <f>SUMIFS('Transaction Details'!$E$8:$E$261,'Transaction Details'!$J$8:$J$261,$A6,'Transaction Details'!$I$8:$I$261,B$4)</f>
        <v>214.32999999999998</v>
      </c>
      <c r="C6" s="28">
        <f>SUMIFS('Transaction Details'!$E$8:$E$261,'Transaction Details'!$J$8:$J$261,$A6,'Transaction Details'!$I$8:$I$261,C$4)</f>
        <v>919.51</v>
      </c>
      <c r="D6" s="28">
        <f>SUM(B6:C6)</f>
        <v>1133.8399999999999</v>
      </c>
    </row>
    <row r="7" spans="1:4" x14ac:dyDescent="0.25">
      <c r="A7" s="4" t="s">
        <v>465</v>
      </c>
      <c r="B7" s="27">
        <f>SUMIFS('Transaction Details'!$E$8:$E$261,'Transaction Details'!$J$8:$J$261,$A7,'Transaction Details'!$I$8:$I$261,B$4)</f>
        <v>0</v>
      </c>
      <c r="C7" s="27">
        <f>SUMIFS('Transaction Details'!$E$8:$E$261,'Transaction Details'!$J$8:$J$261,$A7,'Transaction Details'!$I$8:$I$261,C$4)</f>
        <v>1370</v>
      </c>
      <c r="D7" s="27">
        <f>SUM(B7:C7)</f>
        <v>1370</v>
      </c>
    </row>
    <row r="8" spans="1:4" x14ac:dyDescent="0.25">
      <c r="A8" s="8" t="s">
        <v>326</v>
      </c>
      <c r="B8" s="28">
        <f>SUMIFS('Transaction Details'!$E$8:$E$261,'Transaction Details'!$J$8:$J$261,$A8,'Transaction Details'!$I$8:$I$261,B$4)</f>
        <v>259.08</v>
      </c>
      <c r="C8" s="28">
        <f>SUMIFS('Transaction Details'!$E$8:$E$261,'Transaction Details'!$J$8:$J$261,$A8,'Transaction Details'!$I$8:$I$261,C$4)</f>
        <v>0</v>
      </c>
      <c r="D8" s="28">
        <f>SUM(B8:C8)</f>
        <v>259.08</v>
      </c>
    </row>
    <row r="9" spans="1:4" x14ac:dyDescent="0.25">
      <c r="A9" s="4" t="s">
        <v>352</v>
      </c>
      <c r="B9" s="27">
        <f>SUMIFS('Transaction Details'!$E$8:$E$261,'Transaction Details'!$J$8:$J$261,$A9,'Transaction Details'!$I$8:$I$261,B$4)</f>
        <v>671.44</v>
      </c>
      <c r="C9" s="27">
        <f>SUMIFS('Transaction Details'!$E$8:$E$261,'Transaction Details'!$J$8:$J$261,$A9,'Transaction Details'!$I$8:$I$261,C$4)</f>
        <v>0</v>
      </c>
      <c r="D9" s="27">
        <f>SUM(B9:C9)</f>
        <v>671.44</v>
      </c>
    </row>
    <row r="10" spans="1:4" x14ac:dyDescent="0.25">
      <c r="A10" s="8" t="s">
        <v>76</v>
      </c>
      <c r="B10" s="28">
        <f>SUMIFS('Transaction Details'!$E$8:$E$261,'Transaction Details'!$J$8:$J$261,$A10,'Transaction Details'!$I$8:$I$261,B$4)</f>
        <v>0</v>
      </c>
      <c r="C10" s="28">
        <f>SUMIFS('Transaction Details'!$E$8:$E$261,'Transaction Details'!$J$8:$J$261,$A10,'Transaction Details'!$I$8:$I$261,C$4)</f>
        <v>252</v>
      </c>
      <c r="D10" s="28">
        <f>SUM(B10:C10)</f>
        <v>252</v>
      </c>
    </row>
    <row r="11" spans="1:4" x14ac:dyDescent="0.25">
      <c r="A11" s="4" t="s">
        <v>200</v>
      </c>
      <c r="B11" s="27">
        <f>SUMIFS('Transaction Details'!$E$8:$E$261,'Transaction Details'!$J$8:$J$261,$A11,'Transaction Details'!$I$8:$I$261,B$4)</f>
        <v>0</v>
      </c>
      <c r="C11" s="27">
        <f>SUMIFS('Transaction Details'!$E$8:$E$261,'Transaction Details'!$J$8:$J$261,$A11,'Transaction Details'!$I$8:$I$261,C$4)</f>
        <v>260</v>
      </c>
      <c r="D11" s="27">
        <f>SUM(B11:C11)</f>
        <v>260</v>
      </c>
    </row>
    <row r="12" spans="1:4" x14ac:dyDescent="0.25">
      <c r="A12" s="8" t="s">
        <v>177</v>
      </c>
      <c r="B12" s="28">
        <f>SUMIFS('Transaction Details'!$E$8:$E$261,'Transaction Details'!$J$8:$J$261,$A12,'Transaction Details'!$I$8:$I$261,B$4)</f>
        <v>455</v>
      </c>
      <c r="C12" s="28">
        <f>SUMIFS('Transaction Details'!$E$8:$E$261,'Transaction Details'!$J$8:$J$261,$A12,'Transaction Details'!$I$8:$I$261,C$4)</f>
        <v>1668.37</v>
      </c>
      <c r="D12" s="28">
        <f>SUM(B12:C12)</f>
        <v>2123.37</v>
      </c>
    </row>
    <row r="13" spans="1:4" x14ac:dyDescent="0.25">
      <c r="A13" s="4" t="s">
        <v>311</v>
      </c>
      <c r="B13" s="27">
        <f>SUMIFS('Transaction Details'!$E$8:$E$261,'Transaction Details'!$J$8:$J$261,$A13,'Transaction Details'!$I$8:$I$261,B$4)</f>
        <v>4500</v>
      </c>
      <c r="C13" s="27">
        <f>SUMIFS('Transaction Details'!$E$8:$E$261,'Transaction Details'!$J$8:$J$261,$A13,'Transaction Details'!$I$8:$I$261,C$4)</f>
        <v>0</v>
      </c>
      <c r="D13" s="27">
        <f>SUM(B13:C13)</f>
        <v>4500</v>
      </c>
    </row>
    <row r="14" spans="1:4" x14ac:dyDescent="0.25">
      <c r="A14" s="8" t="s">
        <v>159</v>
      </c>
      <c r="B14" s="28">
        <f>SUMIFS('Transaction Details'!$E$8:$E$261,'Transaction Details'!$J$8:$J$261,$A14,'Transaction Details'!$I$8:$I$261,B$4)</f>
        <v>0</v>
      </c>
      <c r="C14" s="28">
        <f>SUMIFS('Transaction Details'!$E$8:$E$261,'Transaction Details'!$J$8:$J$261,$A14,'Transaction Details'!$I$8:$I$261,C$4)</f>
        <v>100</v>
      </c>
      <c r="D14" s="28">
        <f>SUM(B14:C14)</f>
        <v>100</v>
      </c>
    </row>
    <row r="15" spans="1:4" x14ac:dyDescent="0.25">
      <c r="A15" s="4" t="s">
        <v>302</v>
      </c>
      <c r="B15" s="27">
        <f>SUMIFS('Transaction Details'!$E$8:$E$261,'Transaction Details'!$J$8:$J$261,$A15,'Transaction Details'!$I$8:$I$261,B$4)</f>
        <v>151.33000000000001</v>
      </c>
      <c r="C15" s="27">
        <f>SUMIFS('Transaction Details'!$E$8:$E$261,'Transaction Details'!$J$8:$J$261,$A15,'Transaction Details'!$I$8:$I$261,C$4)</f>
        <v>0</v>
      </c>
      <c r="D15" s="27">
        <f>SUM(B15:C15)</f>
        <v>151.33000000000001</v>
      </c>
    </row>
    <row r="16" spans="1:4" x14ac:dyDescent="0.25">
      <c r="A16" s="8" t="s">
        <v>95</v>
      </c>
      <c r="B16" s="28">
        <f>SUMIFS('Transaction Details'!$E$8:$E$261,'Transaction Details'!$J$8:$J$261,$A16,'Transaction Details'!$I$8:$I$261,B$4)</f>
        <v>0</v>
      </c>
      <c r="C16" s="28">
        <f>SUMIFS('Transaction Details'!$E$8:$E$261,'Transaction Details'!$J$8:$J$261,$A16,'Transaction Details'!$I$8:$I$261,C$4)</f>
        <v>195</v>
      </c>
      <c r="D16" s="28">
        <f>SUM(B16:C16)</f>
        <v>195</v>
      </c>
    </row>
    <row r="17" spans="1:4" x14ac:dyDescent="0.25">
      <c r="A17" s="4" t="s">
        <v>164</v>
      </c>
      <c r="B17" s="27">
        <f>SUMIFS('Transaction Details'!$E$8:$E$261,'Transaction Details'!$J$8:$J$261,$A17,'Transaction Details'!$I$8:$I$261,B$4)</f>
        <v>0</v>
      </c>
      <c r="C17" s="27">
        <f>SUMIFS('Transaction Details'!$E$8:$E$261,'Transaction Details'!$J$8:$J$261,$A17,'Transaction Details'!$I$8:$I$261,C$4)</f>
        <v>167.58</v>
      </c>
      <c r="D17" s="27">
        <f>SUM(B17:C17)</f>
        <v>167.58</v>
      </c>
    </row>
    <row r="18" spans="1:4" x14ac:dyDescent="0.25">
      <c r="A18" s="8" t="s">
        <v>21</v>
      </c>
      <c r="B18" s="28">
        <f>SUMIFS('Transaction Details'!$E$8:$E$261,'Transaction Details'!$J$8:$J$261,$A18,'Transaction Details'!$I$8:$I$261,B$4)</f>
        <v>209.45</v>
      </c>
      <c r="C18" s="28">
        <f>SUMIFS('Transaction Details'!$E$8:$E$261,'Transaction Details'!$J$8:$J$261,$A18,'Transaction Details'!$I$8:$I$261,C$4)</f>
        <v>8768.98</v>
      </c>
      <c r="D18" s="28">
        <f>SUM(B18:C18)</f>
        <v>8978.43</v>
      </c>
    </row>
    <row r="19" spans="1:4" x14ac:dyDescent="0.25">
      <c r="A19" s="4" t="s">
        <v>393</v>
      </c>
      <c r="B19" s="27">
        <f>SUMIFS('Transaction Details'!$E$8:$E$261,'Transaction Details'!$J$8:$J$261,$A19,'Transaction Details'!$I$8:$I$261,B$4)</f>
        <v>102.47</v>
      </c>
      <c r="C19" s="27">
        <f>SUMIFS('Transaction Details'!$E$8:$E$261,'Transaction Details'!$J$8:$J$261,$A19,'Transaction Details'!$I$8:$I$261,C$4)</f>
        <v>0</v>
      </c>
      <c r="D19" s="27">
        <f>SUM(B19:C19)</f>
        <v>102.47</v>
      </c>
    </row>
    <row r="20" spans="1:4" x14ac:dyDescent="0.25">
      <c r="A20" s="8" t="s">
        <v>203</v>
      </c>
      <c r="B20" s="28">
        <f>SUMIFS('Transaction Details'!$E$8:$E$261,'Transaction Details'!$J$8:$J$261,$A20,'Transaction Details'!$I$8:$I$261,B$4)</f>
        <v>0</v>
      </c>
      <c r="C20" s="28">
        <f>SUMIFS('Transaction Details'!$E$8:$E$261,'Transaction Details'!$J$8:$J$261,$A20,'Transaction Details'!$I$8:$I$261,C$4)</f>
        <v>918</v>
      </c>
      <c r="D20" s="28">
        <f>SUM(B20:C20)</f>
        <v>918</v>
      </c>
    </row>
    <row r="21" spans="1:4" x14ac:dyDescent="0.25">
      <c r="A21" s="4" t="s">
        <v>101</v>
      </c>
      <c r="B21" s="27">
        <f>SUMIFS('Transaction Details'!$E$8:$E$261,'Transaction Details'!$J$8:$J$261,$A21,'Transaction Details'!$I$8:$I$261,B$4)</f>
        <v>0</v>
      </c>
      <c r="C21" s="27">
        <f>SUMIFS('Transaction Details'!$E$8:$E$261,'Transaction Details'!$J$8:$J$261,$A21,'Transaction Details'!$I$8:$I$261,C$4)</f>
        <v>1600</v>
      </c>
      <c r="D21" s="27">
        <f>SUM(B21:C21)</f>
        <v>1600</v>
      </c>
    </row>
    <row r="22" spans="1:4" x14ac:dyDescent="0.25">
      <c r="A22" s="8" t="s">
        <v>29</v>
      </c>
      <c r="B22" s="28">
        <f>SUMIFS('Transaction Details'!$E$8:$E$261,'Transaction Details'!$J$8:$J$261,$A22,'Transaction Details'!$I$8:$I$261,B$4)</f>
        <v>1066.18</v>
      </c>
      <c r="C22" s="28">
        <f>SUMIFS('Transaction Details'!$E$8:$E$261,'Transaction Details'!$J$8:$J$261,$A22,'Transaction Details'!$I$8:$I$261,C$4)</f>
        <v>979.99</v>
      </c>
      <c r="D22" s="28">
        <f>SUM(B22:C22)</f>
        <v>2046.17</v>
      </c>
    </row>
    <row r="23" spans="1:4" x14ac:dyDescent="0.25">
      <c r="A23" s="4" t="s">
        <v>58</v>
      </c>
      <c r="B23" s="27">
        <f>SUMIFS('Transaction Details'!$E$8:$E$261,'Transaction Details'!$J$8:$J$261,$A23,'Transaction Details'!$I$8:$I$261,B$4)</f>
        <v>50</v>
      </c>
      <c r="C23" s="27">
        <f>SUMIFS('Transaction Details'!$E$8:$E$261,'Transaction Details'!$J$8:$J$261,$A23,'Transaction Details'!$I$8:$I$261,C$4)</f>
        <v>76.28</v>
      </c>
      <c r="D23" s="27">
        <f>SUM(B23:C23)</f>
        <v>126.28</v>
      </c>
    </row>
    <row r="24" spans="1:4" x14ac:dyDescent="0.25">
      <c r="A24" s="8" t="s">
        <v>26</v>
      </c>
      <c r="B24" s="28">
        <f>SUMIFS('Transaction Details'!$E$8:$E$261,'Transaction Details'!$J$8:$J$261,$A24,'Transaction Details'!$I$8:$I$261,B$4)</f>
        <v>396.24000000000012</v>
      </c>
      <c r="C24" s="28">
        <f>SUMIFS('Transaction Details'!$E$8:$E$261,'Transaction Details'!$J$8:$J$261,$A24,'Transaction Details'!$I$8:$I$261,C$4)</f>
        <v>658.6</v>
      </c>
      <c r="D24" s="28">
        <f>SUM(B24:C24)</f>
        <v>1054.8400000000001</v>
      </c>
    </row>
    <row r="25" spans="1:4" x14ac:dyDescent="0.25">
      <c r="A25" s="4" t="s">
        <v>412</v>
      </c>
      <c r="B25" s="27">
        <f>SUMIFS('Transaction Details'!$E$8:$E$261,'Transaction Details'!$J$8:$J$261,$A25,'Transaction Details'!$I$8:$I$261,B$4)</f>
        <v>319.8</v>
      </c>
      <c r="C25" s="27">
        <f>SUMIFS('Transaction Details'!$E$8:$E$261,'Transaction Details'!$J$8:$J$261,$A25,'Transaction Details'!$I$8:$I$261,C$4)</f>
        <v>0</v>
      </c>
      <c r="D25" s="27">
        <f>SUM(B25:C25)</f>
        <v>319.8</v>
      </c>
    </row>
    <row r="26" spans="1:4" x14ac:dyDescent="0.25">
      <c r="A26" s="8" t="s">
        <v>350</v>
      </c>
      <c r="B26" s="28">
        <f>SUMIFS('Transaction Details'!$E$8:$E$261,'Transaction Details'!$J$8:$J$261,$A26,'Transaction Details'!$I$8:$I$261,B$4)</f>
        <v>334</v>
      </c>
      <c r="C26" s="28">
        <f>SUMIFS('Transaction Details'!$E$8:$E$261,'Transaction Details'!$J$8:$J$261,$A26,'Transaction Details'!$I$8:$I$261,C$4)</f>
        <v>0</v>
      </c>
      <c r="D26" s="28">
        <f>SUM(B26:C26)</f>
        <v>334</v>
      </c>
    </row>
    <row r="27" spans="1:4" x14ac:dyDescent="0.25">
      <c r="A27" s="4" t="s">
        <v>16</v>
      </c>
      <c r="B27" s="27">
        <f>SUMIFS('Transaction Details'!$E$8:$E$261,'Transaction Details'!$J$8:$J$261,$A27,'Transaction Details'!$I$8:$I$261,B$4)</f>
        <v>1442.1899999999998</v>
      </c>
      <c r="C27" s="27">
        <f>SUMIFS('Transaction Details'!$E$8:$E$261,'Transaction Details'!$J$8:$J$261,$A27,'Transaction Details'!$I$8:$I$261,C$4)</f>
        <v>1633.94</v>
      </c>
      <c r="D27" s="27">
        <f>SUM(B27:C27)</f>
        <v>3076.13</v>
      </c>
    </row>
    <row r="28" spans="1:4" x14ac:dyDescent="0.25">
      <c r="A28" s="8" t="s">
        <v>73</v>
      </c>
      <c r="B28" s="28">
        <f>SUMIFS('Transaction Details'!$E$8:$E$261,'Transaction Details'!$J$8:$J$261,$A28,'Transaction Details'!$I$8:$I$261,B$4)</f>
        <v>2400.92</v>
      </c>
      <c r="C28" s="28">
        <f>SUMIFS('Transaction Details'!$E$8:$E$261,'Transaction Details'!$J$8:$J$261,$A28,'Transaction Details'!$I$8:$I$261,C$4)</f>
        <v>1289.02</v>
      </c>
      <c r="D28" s="28">
        <f>SUM(B28:C28)</f>
        <v>3689.94</v>
      </c>
    </row>
    <row r="29" spans="1:4" x14ac:dyDescent="0.25">
      <c r="A29" s="4" t="s">
        <v>42</v>
      </c>
      <c r="B29" s="27">
        <f>SUMIFS('Transaction Details'!$E$8:$E$261,'Transaction Details'!$J$8:$J$261,$A29,'Transaction Details'!$I$8:$I$261,B$4)</f>
        <v>286.47000000000003</v>
      </c>
      <c r="C29" s="27">
        <f>SUMIFS('Transaction Details'!$E$8:$E$261,'Transaction Details'!$J$8:$J$261,$A29,'Transaction Details'!$I$8:$I$261,C$4)</f>
        <v>79</v>
      </c>
      <c r="D29" s="27">
        <f>SUM(B29:C29)</f>
        <v>365.47</v>
      </c>
    </row>
    <row r="30" spans="1:4" x14ac:dyDescent="0.25">
      <c r="A30" s="8" t="s">
        <v>445</v>
      </c>
      <c r="B30" s="28">
        <f>SUMIFS('Transaction Details'!$E$8:$E$261,'Transaction Details'!$J$8:$J$261,$A30,'Transaction Details'!$I$8:$I$261,B$4)</f>
        <v>439.04</v>
      </c>
      <c r="C30" s="28">
        <f>SUMIFS('Transaction Details'!$E$8:$E$261,'Transaction Details'!$J$8:$J$261,$A30,'Transaction Details'!$I$8:$I$261,C$4)</f>
        <v>0</v>
      </c>
      <c r="D30" s="28">
        <f>SUM(B30:C30)</f>
        <v>439.04</v>
      </c>
    </row>
    <row r="31" spans="1:4" x14ac:dyDescent="0.25">
      <c r="A31" s="4" t="s">
        <v>63</v>
      </c>
      <c r="B31" s="27">
        <f>SUMIFS('Transaction Details'!$E$8:$E$261,'Transaction Details'!$J$8:$J$261,$A31,'Transaction Details'!$I$8:$I$261,B$4)</f>
        <v>800.35</v>
      </c>
      <c r="C31" s="27">
        <f>SUMIFS('Transaction Details'!$E$8:$E$261,'Transaction Details'!$J$8:$J$261,$A31,'Transaction Details'!$I$8:$I$261,C$4)</f>
        <v>1715.77</v>
      </c>
      <c r="D31" s="27">
        <f>SUM(B31:C31)</f>
        <v>2516.12</v>
      </c>
    </row>
    <row r="32" spans="1:4" x14ac:dyDescent="0.25">
      <c r="A32" s="8" t="s">
        <v>126</v>
      </c>
      <c r="B32" s="28">
        <f>SUMIFS('Transaction Details'!$E$8:$E$261,'Transaction Details'!$J$8:$J$261,$A32,'Transaction Details'!$I$8:$I$261,B$4)</f>
        <v>32.04</v>
      </c>
      <c r="C32" s="28">
        <f>SUMIFS('Transaction Details'!$E$8:$E$261,'Transaction Details'!$J$8:$J$261,$A32,'Transaction Details'!$I$8:$I$261,C$4)</f>
        <v>70.319999999999993</v>
      </c>
      <c r="D32" s="28">
        <f>SUM(B32:C32)</f>
        <v>102.35999999999999</v>
      </c>
    </row>
    <row r="33" spans="1:4" x14ac:dyDescent="0.25">
      <c r="A33" s="4" t="s">
        <v>111</v>
      </c>
      <c r="B33" s="27">
        <f>SUMIFS('Transaction Details'!$E$8:$E$261,'Transaction Details'!$J$8:$J$261,$A33,'Transaction Details'!$I$8:$I$261,B$4)</f>
        <v>57.019999999999996</v>
      </c>
      <c r="C33" s="27">
        <f>SUMIFS('Transaction Details'!$E$8:$E$261,'Transaction Details'!$J$8:$J$261,$A33,'Transaction Details'!$I$8:$I$261,C$4)</f>
        <v>18.649999999999999</v>
      </c>
      <c r="D33" s="27">
        <f>SUM(B33:C33)</f>
        <v>75.669999999999987</v>
      </c>
    </row>
    <row r="34" spans="1:4" x14ac:dyDescent="0.25">
      <c r="A34" s="8" t="s">
        <v>210</v>
      </c>
      <c r="B34" s="28">
        <f>SUMIFS('Transaction Details'!$E$8:$E$261,'Transaction Details'!$J$8:$J$261,$A34,'Transaction Details'!$I$8:$I$261,B$4)</f>
        <v>0</v>
      </c>
      <c r="C34" s="28">
        <f>SUMIFS('Transaction Details'!$E$8:$E$261,'Transaction Details'!$J$8:$J$261,$A34,'Transaction Details'!$I$8:$I$261,C$4)</f>
        <v>200.29</v>
      </c>
      <c r="D34" s="28">
        <f>SUM(B34:C34)</f>
        <v>200.29</v>
      </c>
    </row>
    <row r="35" spans="1:4" x14ac:dyDescent="0.25">
      <c r="A35" s="4" t="s">
        <v>376</v>
      </c>
      <c r="B35" s="27">
        <f>SUMIFS('Transaction Details'!$E$8:$E$261,'Transaction Details'!$J$8:$J$261,$A35,'Transaction Details'!$I$8:$I$261,B$4)</f>
        <v>559</v>
      </c>
      <c r="C35" s="27">
        <f>SUMIFS('Transaction Details'!$E$8:$E$261,'Transaction Details'!$J$8:$J$261,$A35,'Transaction Details'!$I$8:$I$261,C$4)</f>
        <v>0</v>
      </c>
      <c r="D35" s="27">
        <f>SUM(B35:C35)</f>
        <v>559</v>
      </c>
    </row>
    <row r="36" spans="1:4" x14ac:dyDescent="0.25">
      <c r="A36" s="8" t="s">
        <v>457</v>
      </c>
      <c r="B36" s="28">
        <f>SUMIFS('Transaction Details'!$E$8:$E$261,'Transaction Details'!$J$8:$J$261,$A36,'Transaction Details'!$I$8:$I$261,B$4)</f>
        <v>258.54000000000002</v>
      </c>
      <c r="C36" s="28">
        <f>SUMIFS('Transaction Details'!$E$8:$E$261,'Transaction Details'!$J$8:$J$261,$A36,'Transaction Details'!$I$8:$I$261,C$4)</f>
        <v>0</v>
      </c>
      <c r="D36" s="28">
        <f>SUM(B36:C36)</f>
        <v>258.54000000000002</v>
      </c>
    </row>
    <row r="37" spans="1:4" x14ac:dyDescent="0.25">
      <c r="A37" s="4" t="s">
        <v>484</v>
      </c>
      <c r="B37" s="27">
        <f>SUMIFS('Transaction Details'!$E$8:$E$261,'Transaction Details'!$J$8:$J$261,$A37,'Transaction Details'!$I$8:$I$261,B$4)</f>
        <v>0</v>
      </c>
      <c r="C37" s="27">
        <f>SUMIFS('Transaction Details'!$E$8:$E$261,'Transaction Details'!$J$8:$J$261,$A37,'Transaction Details'!$I$8:$I$261,C$4)</f>
        <v>0</v>
      </c>
      <c r="D37" s="27">
        <f>SUM(B37:C37)</f>
        <v>0</v>
      </c>
    </row>
    <row r="38" spans="1:4" x14ac:dyDescent="0.25">
      <c r="A38" s="8" t="s">
        <v>35</v>
      </c>
      <c r="B38" s="28">
        <f>SUMIFS('Transaction Details'!$E$8:$E$261,'Transaction Details'!$J$8:$J$261,$A38,'Transaction Details'!$I$8:$I$261,B$4)</f>
        <v>-13892.09</v>
      </c>
      <c r="C38" s="28">
        <f>SUMIFS('Transaction Details'!$E$8:$E$261,'Transaction Details'!$J$8:$J$261,$A38,'Transaction Details'!$I$8:$I$261,C$4)</f>
        <v>-40222.68</v>
      </c>
      <c r="D38" s="28">
        <f>SUM(B38:C38)</f>
        <v>-54114.770000000004</v>
      </c>
    </row>
    <row r="39" spans="1:4" x14ac:dyDescent="0.25">
      <c r="A39" s="4" t="s">
        <v>116</v>
      </c>
      <c r="B39" s="27">
        <f>SUMIFS('Transaction Details'!$E$8:$E$261,'Transaction Details'!$J$8:$J$261,$A39,'Transaction Details'!$I$8:$I$261,B$4)</f>
        <v>0</v>
      </c>
      <c r="C39" s="27">
        <f>SUMIFS('Transaction Details'!$E$8:$E$261,'Transaction Details'!$J$8:$J$261,$A39,'Transaction Details'!$I$8:$I$261,C$4)</f>
        <v>-1048.8</v>
      </c>
      <c r="D39" s="27">
        <f>SUM(B39:C39)</f>
        <v>-1048.8</v>
      </c>
    </row>
    <row r="40" spans="1:4" x14ac:dyDescent="0.25">
      <c r="A40" s="8" t="s">
        <v>346</v>
      </c>
      <c r="B40" s="28">
        <f>SUMIFS('Transaction Details'!$E$8:$E$261,'Transaction Details'!$J$8:$J$261,$A40,'Transaction Details'!$I$8:$I$261,B$4)</f>
        <v>-209</v>
      </c>
      <c r="C40" s="28">
        <f>SUMIFS('Transaction Details'!$E$8:$E$261,'Transaction Details'!$J$8:$J$261,$A40,'Transaction Details'!$I$8:$I$261,C$4)</f>
        <v>0</v>
      </c>
      <c r="D40" s="28">
        <f>SUM(B40:C40)</f>
        <v>-209</v>
      </c>
    </row>
    <row r="41" spans="1:4" x14ac:dyDescent="0.25">
      <c r="A41" s="4" t="s">
        <v>278</v>
      </c>
      <c r="B41" s="27">
        <f>SUMIFS('Transaction Details'!$E$8:$E$261,'Transaction Details'!$J$8:$J$261,$A41,'Transaction Details'!$I$8:$I$261,B$4)</f>
        <v>-323.23</v>
      </c>
      <c r="C41" s="27">
        <f>SUMIFS('Transaction Details'!$E$8:$E$261,'Transaction Details'!$J$8:$J$261,$A41,'Transaction Details'!$I$8:$I$261,C$4)</f>
        <v>0</v>
      </c>
      <c r="D41" s="27">
        <f>SUM(B41:C41)</f>
        <v>-323.23</v>
      </c>
    </row>
    <row r="42" spans="1:4" x14ac:dyDescent="0.25">
      <c r="A42" s="8" t="s">
        <v>283</v>
      </c>
      <c r="B42" s="28">
        <f>SUMIFS('Transaction Details'!$E$8:$E$261,'Transaction Details'!$J$8:$J$261,$A42,'Transaction Details'!$I$8:$I$261,B$4)</f>
        <v>-300</v>
      </c>
      <c r="C42" s="28">
        <f>SUMIFS('Transaction Details'!$E$8:$E$261,'Transaction Details'!$J$8:$J$261,$A42,'Transaction Details'!$I$8:$I$261,C$4)</f>
        <v>0</v>
      </c>
      <c r="D42" s="28">
        <f>SUM(B42:C42)</f>
        <v>-300</v>
      </c>
    </row>
    <row r="43" spans="1:4" x14ac:dyDescent="0.25">
      <c r="A43" s="4" t="s">
        <v>229</v>
      </c>
      <c r="B43" s="27">
        <f>SUMIFS('Transaction Details'!$E$8:$E$261,'Transaction Details'!$J$8:$J$261,$A43,'Transaction Details'!$I$8:$I$261,B$4)</f>
        <v>0</v>
      </c>
      <c r="C43" s="27">
        <f>SUMIFS('Transaction Details'!$E$8:$E$261,'Transaction Details'!$J$8:$J$261,$A43,'Transaction Details'!$I$8:$I$261,C$4)</f>
        <v>-150</v>
      </c>
      <c r="D43" s="27">
        <f>SUM(B43:C43)</f>
        <v>-150</v>
      </c>
    </row>
    <row r="45" spans="1:4" x14ac:dyDescent="0.25">
      <c r="A45" s="15" t="s">
        <v>513</v>
      </c>
      <c r="B45" s="29">
        <f>SUMIFS('Transaction Details'!$E$8:$E$261,'Transaction Details'!$I$8:$I$261,B$4,'Transaction Details'!$E$8:$E$261,"&gt;0")</f>
        <v>18696.849999999999</v>
      </c>
      <c r="C45" s="29">
        <f>SUMIFS('Transaction Details'!$E$8:$E$261,'Transaction Details'!$I$8:$I$261,C$4,'Transaction Details'!$E$8:$E$261,"&gt;0")</f>
        <v>26176.440000000006</v>
      </c>
      <c r="D45" s="29">
        <f>SUM(B45:C45)</f>
        <v>44873.290000000008</v>
      </c>
    </row>
    <row r="46" spans="1:4" x14ac:dyDescent="0.25">
      <c r="A46" s="15" t="s">
        <v>501</v>
      </c>
      <c r="B46" s="29">
        <f>SUMIFS('Transaction Details'!$E$8:$E$261,'Transaction Details'!$I$8:$I$261,B$4,'Transaction Details'!$E$8:$E$261,"&lt;0")</f>
        <v>-15091.609999999999</v>
      </c>
      <c r="C46" s="29">
        <f>SUMIFS('Transaction Details'!$E$8:$E$261,'Transaction Details'!$I$8:$I$261,C$4,'Transaction Details'!$E$8:$E$261,"&lt;0")</f>
        <v>-41524.890000000007</v>
      </c>
      <c r="D46" s="29">
        <f>SUM(B46:C46)</f>
        <v>-56616.500000000007</v>
      </c>
    </row>
    <row r="47" spans="1:4" x14ac:dyDescent="0.25">
      <c r="A47" s="5" t="s">
        <v>490</v>
      </c>
      <c r="B47" s="30">
        <f>B45+B46</f>
        <v>3605.24</v>
      </c>
      <c r="C47" s="30">
        <f>C45+C46</f>
        <v>-15348.45</v>
      </c>
      <c r="D47" s="30">
        <f>D45+D46</f>
        <v>-11743.21</v>
      </c>
    </row>
    <row r="49" spans="1:1" x14ac:dyDescent="0.25">
      <c r="A49" s="4" t="str">
        <f>IF(ROUND(D47-'Transaction Summary'!B11,2)=0,"✓ Net ties to Transaction Summary","⚠ mismatch")</f>
        <v>✓ Net ties to Transaction Summary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4421-E26C-4162-8E83-4BAB9F502DA3}">
  <dimension ref="A1:J261"/>
  <sheetViews>
    <sheetView topLeftCell="A56" workbookViewId="0">
      <selection activeCell="K53" sqref="K53"/>
    </sheetView>
  </sheetViews>
  <sheetFormatPr defaultRowHeight="15" x14ac:dyDescent="0.25"/>
  <cols>
    <col min="1" max="1" width="23.85546875" customWidth="1"/>
    <col min="2" max="2" width="28.5703125" customWidth="1"/>
    <col min="3" max="3" width="15.28515625" customWidth="1"/>
    <col min="4" max="4" width="9.85546875" customWidth="1"/>
    <col min="5" max="5" width="12.140625" customWidth="1"/>
    <col min="6" max="6" width="21" customWidth="1"/>
    <col min="7" max="7" width="28.5703125" customWidth="1"/>
    <col min="8" max="8" width="20" customWidth="1"/>
    <col min="9" max="9" width="11" customWidth="1"/>
    <col min="10" max="10" width="31.28515625" customWidth="1"/>
  </cols>
  <sheetData>
    <row r="1" spans="1:10" x14ac:dyDescent="0.25">
      <c r="A1" s="2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4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466</v>
      </c>
      <c r="J7" s="2" t="s">
        <v>467</v>
      </c>
    </row>
    <row r="8" spans="1:10" ht="12.95" customHeight="1" x14ac:dyDescent="0.25">
      <c r="A8" s="32">
        <v>46081</v>
      </c>
      <c r="B8" s="33" t="s">
        <v>14</v>
      </c>
      <c r="C8" s="33" t="s">
        <v>3</v>
      </c>
      <c r="D8" s="34">
        <v>-2000</v>
      </c>
      <c r="E8" s="35">
        <v>95.7</v>
      </c>
      <c r="F8" s="33" t="s">
        <v>15</v>
      </c>
      <c r="G8" s="33" t="s">
        <v>14</v>
      </c>
      <c r="H8" s="33" t="s">
        <v>16</v>
      </c>
      <c r="I8" s="36">
        <f>DATE(YEAR(A8),MONTH(A8),1)</f>
        <v>46054</v>
      </c>
      <c r="J8" s="33" t="str">
        <f>IF(TRIM(H8)="","(Uncategorized)",TRIM(H8))</f>
        <v>Personal - Food</v>
      </c>
    </row>
    <row r="9" spans="1:10" ht="12.95" customHeight="1" x14ac:dyDescent="0.25">
      <c r="A9" s="32">
        <v>46081</v>
      </c>
      <c r="B9" s="33" t="s">
        <v>17</v>
      </c>
      <c r="C9" s="33" t="s">
        <v>3</v>
      </c>
      <c r="D9" s="34">
        <v>-2000</v>
      </c>
      <c r="E9" s="35">
        <v>126.6</v>
      </c>
      <c r="F9" s="33" t="s">
        <v>18</v>
      </c>
      <c r="G9" s="33" t="s">
        <v>17</v>
      </c>
      <c r="H9" s="33" t="s">
        <v>16</v>
      </c>
      <c r="I9" s="36">
        <f t="shared" ref="I9:I72" si="0">DATE(YEAR(A9),MONTH(A9),1)</f>
        <v>46054</v>
      </c>
      <c r="J9" s="33" t="str">
        <f t="shared" ref="J9:J72" si="1">IF(TRIM(H9)="","(Uncategorized)",TRIM(H9))</f>
        <v>Personal - Food</v>
      </c>
    </row>
    <row r="10" spans="1:10" ht="12.95" customHeight="1" x14ac:dyDescent="0.25">
      <c r="A10" s="32">
        <v>46081</v>
      </c>
      <c r="B10" s="33" t="s">
        <v>19</v>
      </c>
      <c r="C10" s="33" t="s">
        <v>3</v>
      </c>
      <c r="D10" s="34">
        <v>-2000</v>
      </c>
      <c r="E10" s="35">
        <v>182.98</v>
      </c>
      <c r="F10" s="33" t="s">
        <v>20</v>
      </c>
      <c r="G10" s="33" t="s">
        <v>19</v>
      </c>
      <c r="H10" s="33" t="s">
        <v>21</v>
      </c>
      <c r="I10" s="36">
        <f t="shared" si="0"/>
        <v>46054</v>
      </c>
      <c r="J10" s="33" t="str">
        <f t="shared" si="1"/>
        <v>Sponsor Cloud - DWGCP</v>
      </c>
    </row>
    <row r="11" spans="1:10" ht="12.95" customHeight="1" x14ac:dyDescent="0.25">
      <c r="A11" s="32">
        <v>46080</v>
      </c>
      <c r="B11" s="33" t="s">
        <v>22</v>
      </c>
      <c r="C11" s="33" t="s">
        <v>3</v>
      </c>
      <c r="D11" s="34">
        <v>-2000</v>
      </c>
      <c r="E11" s="35">
        <v>47.1</v>
      </c>
      <c r="F11" s="33" t="s">
        <v>23</v>
      </c>
      <c r="G11" s="33" t="s">
        <v>22</v>
      </c>
      <c r="H11" s="33" t="s">
        <v>16</v>
      </c>
      <c r="I11" s="36">
        <f t="shared" si="0"/>
        <v>46054</v>
      </c>
      <c r="J11" s="33" t="str">
        <f t="shared" si="1"/>
        <v>Personal - Food</v>
      </c>
    </row>
    <row r="12" spans="1:10" ht="12.95" customHeight="1" x14ac:dyDescent="0.25">
      <c r="A12" s="32">
        <v>46080</v>
      </c>
      <c r="B12" s="33" t="s">
        <v>24</v>
      </c>
      <c r="C12" s="33" t="s">
        <v>3</v>
      </c>
      <c r="D12" s="34">
        <v>-2000</v>
      </c>
      <c r="E12" s="35">
        <v>17.98</v>
      </c>
      <c r="F12" s="33" t="s">
        <v>25</v>
      </c>
      <c r="G12" s="33" t="s">
        <v>24</v>
      </c>
      <c r="H12" s="33" t="s">
        <v>26</v>
      </c>
      <c r="I12" s="36">
        <f t="shared" si="0"/>
        <v>46054</v>
      </c>
      <c r="J12" s="33" t="str">
        <f t="shared" si="1"/>
        <v>Go Daddy</v>
      </c>
    </row>
    <row r="13" spans="1:10" ht="12.95" customHeight="1" x14ac:dyDescent="0.25">
      <c r="A13" s="32">
        <v>46080</v>
      </c>
      <c r="B13" s="33" t="s">
        <v>27</v>
      </c>
      <c r="C13" s="33" t="s">
        <v>3</v>
      </c>
      <c r="D13" s="34">
        <v>-2000</v>
      </c>
      <c r="E13" s="35">
        <v>39.99</v>
      </c>
      <c r="F13" s="33" t="s">
        <v>28</v>
      </c>
      <c r="G13" s="33" t="s">
        <v>27</v>
      </c>
      <c r="H13" s="33" t="s">
        <v>29</v>
      </c>
      <c r="I13" s="36">
        <f t="shared" si="0"/>
        <v>46054</v>
      </c>
      <c r="J13" s="33" t="str">
        <f t="shared" si="1"/>
        <v>Software &amp; Subscriptions</v>
      </c>
    </row>
    <row r="14" spans="1:10" ht="12.95" customHeight="1" x14ac:dyDescent="0.25">
      <c r="A14" s="32">
        <v>46079</v>
      </c>
      <c r="B14" s="33" t="s">
        <v>22</v>
      </c>
      <c r="C14" s="33" t="s">
        <v>3</v>
      </c>
      <c r="D14" s="34">
        <v>-2000</v>
      </c>
      <c r="E14" s="35">
        <v>19.84</v>
      </c>
      <c r="F14" s="33" t="s">
        <v>30</v>
      </c>
      <c r="G14" s="33" t="s">
        <v>22</v>
      </c>
      <c r="H14" s="33" t="s">
        <v>16</v>
      </c>
      <c r="I14" s="36">
        <f t="shared" si="0"/>
        <v>46054</v>
      </c>
      <c r="J14" s="33" t="str">
        <f t="shared" si="1"/>
        <v>Personal - Food</v>
      </c>
    </row>
    <row r="15" spans="1:10" ht="12.95" customHeight="1" x14ac:dyDescent="0.25">
      <c r="A15" s="32">
        <v>46079</v>
      </c>
      <c r="B15" s="33" t="s">
        <v>31</v>
      </c>
      <c r="C15" s="33" t="s">
        <v>3</v>
      </c>
      <c r="D15" s="34">
        <v>-2000</v>
      </c>
      <c r="E15" s="35">
        <v>1370</v>
      </c>
      <c r="F15" s="33" t="s">
        <v>32</v>
      </c>
      <c r="G15" s="33" t="s">
        <v>31</v>
      </c>
      <c r="H15" s="33" t="s">
        <v>465</v>
      </c>
      <c r="I15" s="36">
        <f t="shared" si="0"/>
        <v>46054</v>
      </c>
      <c r="J15" s="33" t="str">
        <f t="shared" si="1"/>
        <v>DWG Conference</v>
      </c>
    </row>
    <row r="16" spans="1:10" ht="12.95" customHeight="1" x14ac:dyDescent="0.25">
      <c r="A16" s="32">
        <v>46079</v>
      </c>
      <c r="B16" s="33" t="s">
        <v>33</v>
      </c>
      <c r="C16" s="33" t="s">
        <v>3</v>
      </c>
      <c r="D16" s="34">
        <v>-2000</v>
      </c>
      <c r="E16" s="35">
        <v>-40222.68</v>
      </c>
      <c r="F16" s="33" t="s">
        <v>34</v>
      </c>
      <c r="G16" s="33" t="s">
        <v>33</v>
      </c>
      <c r="H16" s="33" t="s">
        <v>35</v>
      </c>
      <c r="I16" s="36">
        <f t="shared" si="0"/>
        <v>46054</v>
      </c>
      <c r="J16" s="33" t="str">
        <f t="shared" si="1"/>
        <v>Online AMEX Payment</v>
      </c>
    </row>
    <row r="17" spans="1:10" ht="12.95" customHeight="1" x14ac:dyDescent="0.25">
      <c r="A17" s="32">
        <v>46078</v>
      </c>
      <c r="B17" s="33" t="s">
        <v>22</v>
      </c>
      <c r="C17" s="33" t="s">
        <v>3</v>
      </c>
      <c r="D17" s="34">
        <v>-2000</v>
      </c>
      <c r="E17" s="35">
        <v>19.55</v>
      </c>
      <c r="F17" s="33" t="s">
        <v>36</v>
      </c>
      <c r="G17" s="33" t="s">
        <v>22</v>
      </c>
      <c r="H17" s="33" t="s">
        <v>16</v>
      </c>
      <c r="I17" s="36">
        <f t="shared" si="0"/>
        <v>46054</v>
      </c>
      <c r="J17" s="33" t="str">
        <f t="shared" si="1"/>
        <v>Personal - Food</v>
      </c>
    </row>
    <row r="18" spans="1:10" ht="12.95" customHeight="1" x14ac:dyDescent="0.25">
      <c r="A18" s="32">
        <v>46078</v>
      </c>
      <c r="B18" s="33" t="s">
        <v>14</v>
      </c>
      <c r="C18" s="33" t="s">
        <v>3</v>
      </c>
      <c r="D18" s="34">
        <v>-2000</v>
      </c>
      <c r="E18" s="35">
        <v>67.849999999999994</v>
      </c>
      <c r="F18" s="33" t="s">
        <v>37</v>
      </c>
      <c r="G18" s="33" t="s">
        <v>14</v>
      </c>
      <c r="H18" s="33" t="s">
        <v>16</v>
      </c>
      <c r="I18" s="36">
        <f t="shared" si="0"/>
        <v>46054</v>
      </c>
      <c r="J18" s="33" t="str">
        <f t="shared" si="1"/>
        <v>Personal - Food</v>
      </c>
    </row>
    <row r="19" spans="1:10" ht="12.95" customHeight="1" x14ac:dyDescent="0.25">
      <c r="A19" s="32">
        <v>46078</v>
      </c>
      <c r="B19" s="33" t="s">
        <v>38</v>
      </c>
      <c r="C19" s="33" t="s">
        <v>3</v>
      </c>
      <c r="D19" s="34">
        <v>-2000</v>
      </c>
      <c r="E19" s="35">
        <v>16.98</v>
      </c>
      <c r="F19" s="33" t="s">
        <v>39</v>
      </c>
      <c r="G19" s="33" t="s">
        <v>38</v>
      </c>
      <c r="H19" s="33" t="s">
        <v>26</v>
      </c>
      <c r="I19" s="36">
        <f t="shared" si="0"/>
        <v>46054</v>
      </c>
      <c r="J19" s="33" t="str">
        <f t="shared" si="1"/>
        <v>Go Daddy</v>
      </c>
    </row>
    <row r="20" spans="1:10" ht="12.95" customHeight="1" x14ac:dyDescent="0.25">
      <c r="A20" s="32">
        <v>46078</v>
      </c>
      <c r="B20" s="33" t="s">
        <v>40</v>
      </c>
      <c r="C20" s="33" t="s">
        <v>3</v>
      </c>
      <c r="D20" s="34">
        <v>-2000</v>
      </c>
      <c r="E20" s="35">
        <v>74.75</v>
      </c>
      <c r="F20" s="33" t="s">
        <v>41</v>
      </c>
      <c r="G20" s="33" t="s">
        <v>40</v>
      </c>
      <c r="H20" s="33" t="s">
        <v>42</v>
      </c>
      <c r="I20" s="36">
        <f t="shared" si="0"/>
        <v>46054</v>
      </c>
      <c r="J20" s="33" t="str">
        <f t="shared" si="1"/>
        <v>Personal - Car</v>
      </c>
    </row>
    <row r="21" spans="1:10" ht="12.95" customHeight="1" x14ac:dyDescent="0.25">
      <c r="A21" s="32">
        <v>46078</v>
      </c>
      <c r="B21" s="33" t="s">
        <v>43</v>
      </c>
      <c r="C21" s="33" t="s">
        <v>3</v>
      </c>
      <c r="D21" s="34">
        <v>-2000</v>
      </c>
      <c r="E21" s="35">
        <v>175.6</v>
      </c>
      <c r="F21" s="33" t="s">
        <v>44</v>
      </c>
      <c r="G21" s="33" t="s">
        <v>43</v>
      </c>
      <c r="H21" s="33" t="s">
        <v>45</v>
      </c>
      <c r="I21" s="36">
        <f t="shared" si="0"/>
        <v>46054</v>
      </c>
      <c r="J21" s="33" t="str">
        <f t="shared" si="1"/>
        <v>Team Lunch</v>
      </c>
    </row>
    <row r="22" spans="1:10" ht="12.95" customHeight="1" x14ac:dyDescent="0.25">
      <c r="A22" s="32">
        <v>46077</v>
      </c>
      <c r="B22" s="33" t="s">
        <v>46</v>
      </c>
      <c r="C22" s="33" t="s">
        <v>3</v>
      </c>
      <c r="D22" s="34">
        <v>-2000</v>
      </c>
      <c r="E22" s="35">
        <v>84.03</v>
      </c>
      <c r="F22" s="33" t="s">
        <v>47</v>
      </c>
      <c r="G22" s="33" t="s">
        <v>46</v>
      </c>
      <c r="H22" s="33" t="s">
        <v>45</v>
      </c>
      <c r="I22" s="36">
        <f t="shared" si="0"/>
        <v>46054</v>
      </c>
      <c r="J22" s="33" t="str">
        <f t="shared" si="1"/>
        <v>Team Lunch</v>
      </c>
    </row>
    <row r="23" spans="1:10" ht="12.95" customHeight="1" x14ac:dyDescent="0.25">
      <c r="A23" s="32">
        <v>46076</v>
      </c>
      <c r="B23" s="33" t="s">
        <v>48</v>
      </c>
      <c r="C23" s="33" t="s">
        <v>3</v>
      </c>
      <c r="D23" s="34">
        <v>-2000</v>
      </c>
      <c r="E23" s="35">
        <v>43.97</v>
      </c>
      <c r="F23" s="33" t="s">
        <v>49</v>
      </c>
      <c r="G23" s="33" t="s">
        <v>48</v>
      </c>
      <c r="H23" s="33" t="s">
        <v>26</v>
      </c>
      <c r="I23" s="36">
        <f t="shared" si="0"/>
        <v>46054</v>
      </c>
      <c r="J23" s="33" t="str">
        <f t="shared" si="1"/>
        <v>Go Daddy</v>
      </c>
    </row>
    <row r="24" spans="1:10" ht="12.95" customHeight="1" x14ac:dyDescent="0.25">
      <c r="A24" s="32">
        <v>46076</v>
      </c>
      <c r="B24" s="33" t="s">
        <v>50</v>
      </c>
      <c r="C24" s="33" t="s">
        <v>3</v>
      </c>
      <c r="D24" s="34">
        <v>-2000</v>
      </c>
      <c r="E24" s="35">
        <v>52.27</v>
      </c>
      <c r="F24" s="33" t="s">
        <v>51</v>
      </c>
      <c r="G24" s="33" t="s">
        <v>50</v>
      </c>
      <c r="H24" s="33" t="s">
        <v>29</v>
      </c>
      <c r="I24" s="36">
        <f t="shared" si="0"/>
        <v>46054</v>
      </c>
      <c r="J24" s="33" t="str">
        <f t="shared" si="1"/>
        <v>Software &amp; Subscriptions</v>
      </c>
    </row>
    <row r="25" spans="1:10" ht="12.95" customHeight="1" x14ac:dyDescent="0.25">
      <c r="A25" s="32">
        <v>46076</v>
      </c>
      <c r="B25" s="33" t="s">
        <v>52</v>
      </c>
      <c r="C25" s="33" t="s">
        <v>3</v>
      </c>
      <c r="D25" s="34">
        <v>-2000</v>
      </c>
      <c r="E25" s="35">
        <v>174.98</v>
      </c>
      <c r="F25" s="33" t="s">
        <v>53</v>
      </c>
      <c r="G25" s="33" t="s">
        <v>52</v>
      </c>
      <c r="H25" s="33" t="s">
        <v>45</v>
      </c>
      <c r="I25" s="36">
        <f t="shared" si="0"/>
        <v>46054</v>
      </c>
      <c r="J25" s="33" t="str">
        <f t="shared" si="1"/>
        <v>Team Lunch</v>
      </c>
    </row>
    <row r="26" spans="1:10" ht="12.95" customHeight="1" x14ac:dyDescent="0.25">
      <c r="A26" s="32">
        <v>46076</v>
      </c>
      <c r="B26" s="33" t="s">
        <v>54</v>
      </c>
      <c r="C26" s="33" t="s">
        <v>3</v>
      </c>
      <c r="D26" s="34">
        <v>-2000</v>
      </c>
      <c r="E26" s="35">
        <v>117.24</v>
      </c>
      <c r="F26" s="33" t="s">
        <v>55</v>
      </c>
      <c r="G26" s="33" t="s">
        <v>54</v>
      </c>
      <c r="H26" s="33" t="s">
        <v>45</v>
      </c>
      <c r="I26" s="36">
        <f t="shared" si="0"/>
        <v>46054</v>
      </c>
      <c r="J26" s="33" t="str">
        <f t="shared" si="1"/>
        <v>Team Lunch</v>
      </c>
    </row>
    <row r="27" spans="1:10" ht="12.95" customHeight="1" x14ac:dyDescent="0.25">
      <c r="A27" s="32">
        <v>46075</v>
      </c>
      <c r="B27" s="33" t="s">
        <v>56</v>
      </c>
      <c r="C27" s="33" t="s">
        <v>3</v>
      </c>
      <c r="D27" s="34">
        <v>-2000</v>
      </c>
      <c r="E27" s="35">
        <v>15</v>
      </c>
      <c r="F27" s="33" t="s">
        <v>57</v>
      </c>
      <c r="G27" s="33" t="s">
        <v>56</v>
      </c>
      <c r="H27" s="33" t="s">
        <v>58</v>
      </c>
      <c r="I27" s="36">
        <f t="shared" si="0"/>
        <v>46054</v>
      </c>
      <c r="J27" s="33" t="str">
        <f t="shared" si="1"/>
        <v>AI Subscription</v>
      </c>
    </row>
    <row r="28" spans="1:10" ht="12.95" customHeight="1" x14ac:dyDescent="0.25">
      <c r="A28" s="32">
        <v>46075</v>
      </c>
      <c r="B28" s="33" t="s">
        <v>59</v>
      </c>
      <c r="C28" s="33" t="s">
        <v>3</v>
      </c>
      <c r="D28" s="34">
        <v>-2000</v>
      </c>
      <c r="E28" s="35">
        <v>20</v>
      </c>
      <c r="F28" s="33" t="s">
        <v>60</v>
      </c>
      <c r="G28" s="33" t="s">
        <v>59</v>
      </c>
      <c r="H28" s="33" t="s">
        <v>58</v>
      </c>
      <c r="I28" s="36">
        <f t="shared" si="0"/>
        <v>46054</v>
      </c>
      <c r="J28" s="33" t="str">
        <f t="shared" si="1"/>
        <v>AI Subscription</v>
      </c>
    </row>
    <row r="29" spans="1:10" ht="12.95" customHeight="1" x14ac:dyDescent="0.25">
      <c r="A29" s="32">
        <v>46074</v>
      </c>
      <c r="B29" s="33" t="s">
        <v>61</v>
      </c>
      <c r="C29" s="33" t="s">
        <v>3</v>
      </c>
      <c r="D29" s="34">
        <v>-2000</v>
      </c>
      <c r="E29" s="35">
        <v>276.01</v>
      </c>
      <c r="F29" s="33" t="s">
        <v>62</v>
      </c>
      <c r="G29" s="33" t="s">
        <v>61</v>
      </c>
      <c r="H29" s="33" t="s">
        <v>63</v>
      </c>
      <c r="I29" s="36">
        <f t="shared" si="0"/>
        <v>46054</v>
      </c>
      <c r="J29" s="33" t="str">
        <f t="shared" si="1"/>
        <v>Personal - Family</v>
      </c>
    </row>
    <row r="30" spans="1:10" ht="12.95" customHeight="1" x14ac:dyDescent="0.25">
      <c r="A30" s="32">
        <v>46074</v>
      </c>
      <c r="B30" s="33" t="s">
        <v>64</v>
      </c>
      <c r="C30" s="33" t="s">
        <v>3</v>
      </c>
      <c r="D30" s="34">
        <v>-2000</v>
      </c>
      <c r="E30" s="35">
        <v>1.25</v>
      </c>
      <c r="F30" s="33" t="s">
        <v>65</v>
      </c>
      <c r="G30" s="33" t="s">
        <v>64</v>
      </c>
      <c r="H30" s="33" t="s">
        <v>42</v>
      </c>
      <c r="I30" s="36">
        <f t="shared" si="0"/>
        <v>46054</v>
      </c>
      <c r="J30" s="33" t="str">
        <f t="shared" si="1"/>
        <v>Personal - Car</v>
      </c>
    </row>
    <row r="31" spans="1:10" ht="12.95" customHeight="1" x14ac:dyDescent="0.25">
      <c r="A31" s="32">
        <v>46073</v>
      </c>
      <c r="B31" s="33" t="s">
        <v>66</v>
      </c>
      <c r="C31" s="33" t="s">
        <v>3</v>
      </c>
      <c r="D31" s="34">
        <v>-2000</v>
      </c>
      <c r="E31" s="35">
        <v>461.4</v>
      </c>
      <c r="F31" s="33" t="s">
        <v>67</v>
      </c>
      <c r="G31" s="33" t="s">
        <v>66</v>
      </c>
      <c r="H31" s="33" t="s">
        <v>68</v>
      </c>
      <c r="I31" s="36">
        <f t="shared" si="0"/>
        <v>46054</v>
      </c>
      <c r="J31" s="33" t="str">
        <f t="shared" si="1"/>
        <v>Team Travel</v>
      </c>
    </row>
    <row r="32" spans="1:10" ht="12.95" customHeight="1" x14ac:dyDescent="0.25">
      <c r="A32" s="32">
        <v>46073</v>
      </c>
      <c r="B32" s="33" t="s">
        <v>69</v>
      </c>
      <c r="C32" s="33" t="s">
        <v>3</v>
      </c>
      <c r="D32" s="34">
        <v>-2000</v>
      </c>
      <c r="E32" s="35">
        <v>584</v>
      </c>
      <c r="F32" s="33" t="s">
        <v>70</v>
      </c>
      <c r="G32" s="33" t="s">
        <v>69</v>
      </c>
      <c r="H32" s="33" t="s">
        <v>29</v>
      </c>
      <c r="I32" s="36">
        <f t="shared" si="0"/>
        <v>46054</v>
      </c>
      <c r="J32" s="33" t="str">
        <f t="shared" si="1"/>
        <v>Software &amp; Subscriptions</v>
      </c>
    </row>
    <row r="33" spans="1:10" ht="12.95" customHeight="1" x14ac:dyDescent="0.25">
      <c r="A33" s="32">
        <v>46073</v>
      </c>
      <c r="B33" s="33" t="s">
        <v>71</v>
      </c>
      <c r="C33" s="33" t="s">
        <v>3</v>
      </c>
      <c r="D33" s="34">
        <v>-2000</v>
      </c>
      <c r="E33" s="35">
        <v>-103.41</v>
      </c>
      <c r="F33" s="33" t="s">
        <v>72</v>
      </c>
      <c r="G33" s="33" t="s">
        <v>71</v>
      </c>
      <c r="H33" s="33" t="s">
        <v>73</v>
      </c>
      <c r="I33" s="36">
        <f t="shared" si="0"/>
        <v>46054</v>
      </c>
      <c r="J33" s="33" t="str">
        <f t="shared" si="1"/>
        <v>Personal - Health</v>
      </c>
    </row>
    <row r="34" spans="1:10" ht="12.95" customHeight="1" x14ac:dyDescent="0.25">
      <c r="A34" s="32">
        <v>46073</v>
      </c>
      <c r="B34" s="33" t="s">
        <v>74</v>
      </c>
      <c r="C34" s="33" t="s">
        <v>3</v>
      </c>
      <c r="D34" s="34">
        <v>-2000</v>
      </c>
      <c r="E34" s="35">
        <v>252</v>
      </c>
      <c r="F34" s="33" t="s">
        <v>75</v>
      </c>
      <c r="G34" s="33" t="s">
        <v>74</v>
      </c>
      <c r="H34" s="33" t="s">
        <v>76</v>
      </c>
      <c r="I34" s="36">
        <f t="shared" si="0"/>
        <v>46054</v>
      </c>
      <c r="J34" s="33" t="str">
        <f t="shared" si="1"/>
        <v>DWG Listing Platform</v>
      </c>
    </row>
    <row r="35" spans="1:10" ht="12.95" customHeight="1" x14ac:dyDescent="0.25">
      <c r="A35" s="32">
        <v>46073</v>
      </c>
      <c r="B35" s="33" t="s">
        <v>77</v>
      </c>
      <c r="C35" s="33" t="s">
        <v>3</v>
      </c>
      <c r="D35" s="34">
        <v>-2000</v>
      </c>
      <c r="E35" s="35">
        <v>75</v>
      </c>
      <c r="F35" s="33" t="s">
        <v>78</v>
      </c>
      <c r="G35" s="33" t="s">
        <v>77</v>
      </c>
      <c r="H35" s="33" t="s">
        <v>68</v>
      </c>
      <c r="I35" s="36">
        <f t="shared" si="0"/>
        <v>46054</v>
      </c>
      <c r="J35" s="33" t="str">
        <f t="shared" si="1"/>
        <v>Team Travel</v>
      </c>
    </row>
    <row r="36" spans="1:10" ht="12.95" customHeight="1" x14ac:dyDescent="0.25">
      <c r="A36" s="32">
        <v>46073</v>
      </c>
      <c r="B36" s="33" t="s">
        <v>79</v>
      </c>
      <c r="C36" s="33" t="s">
        <v>3</v>
      </c>
      <c r="D36" s="34">
        <v>-2000</v>
      </c>
      <c r="E36" s="35">
        <v>19.97</v>
      </c>
      <c r="F36" s="33" t="s">
        <v>80</v>
      </c>
      <c r="G36" s="33" t="s">
        <v>79</v>
      </c>
      <c r="H36" s="33" t="s">
        <v>26</v>
      </c>
      <c r="I36" s="36">
        <f t="shared" si="0"/>
        <v>46054</v>
      </c>
      <c r="J36" s="33" t="str">
        <f t="shared" si="1"/>
        <v>Go Daddy</v>
      </c>
    </row>
    <row r="37" spans="1:10" ht="12.95" customHeight="1" x14ac:dyDescent="0.25">
      <c r="A37" s="32">
        <v>46073</v>
      </c>
      <c r="B37" s="33" t="s">
        <v>81</v>
      </c>
      <c r="C37" s="33" t="s">
        <v>3</v>
      </c>
      <c r="D37" s="34">
        <v>-2000</v>
      </c>
      <c r="E37" s="35">
        <v>17.2</v>
      </c>
      <c r="F37" s="33" t="s">
        <v>82</v>
      </c>
      <c r="G37" s="33" t="s">
        <v>81</v>
      </c>
      <c r="H37" s="33" t="s">
        <v>68</v>
      </c>
      <c r="I37" s="36">
        <f t="shared" si="0"/>
        <v>46054</v>
      </c>
      <c r="J37" s="33" t="str">
        <f t="shared" si="1"/>
        <v>Team Travel</v>
      </c>
    </row>
    <row r="38" spans="1:10" ht="12.95" customHeight="1" x14ac:dyDescent="0.25">
      <c r="A38" s="32">
        <v>46073</v>
      </c>
      <c r="B38" s="33" t="s">
        <v>81</v>
      </c>
      <c r="C38" s="33" t="s">
        <v>3</v>
      </c>
      <c r="D38" s="34">
        <v>-2000</v>
      </c>
      <c r="E38" s="35">
        <v>950.1</v>
      </c>
      <c r="F38" s="33" t="s">
        <v>83</v>
      </c>
      <c r="G38" s="33" t="s">
        <v>81</v>
      </c>
      <c r="H38" s="33" t="s">
        <v>68</v>
      </c>
      <c r="I38" s="36">
        <f t="shared" si="0"/>
        <v>46054</v>
      </c>
      <c r="J38" s="33" t="str">
        <f t="shared" si="1"/>
        <v>Team Travel</v>
      </c>
    </row>
    <row r="39" spans="1:10" ht="12.95" customHeight="1" x14ac:dyDescent="0.25">
      <c r="A39" s="32">
        <v>46073</v>
      </c>
      <c r="B39" s="33" t="s">
        <v>84</v>
      </c>
      <c r="C39" s="33" t="s">
        <v>3</v>
      </c>
      <c r="D39" s="34">
        <v>-2000</v>
      </c>
      <c r="E39" s="35">
        <v>172.68</v>
      </c>
      <c r="F39" s="33" t="s">
        <v>85</v>
      </c>
      <c r="G39" s="33" t="s">
        <v>84</v>
      </c>
      <c r="H39" s="33" t="s">
        <v>16</v>
      </c>
      <c r="I39" s="36">
        <f t="shared" si="0"/>
        <v>46054</v>
      </c>
      <c r="J39" s="33" t="str">
        <f t="shared" si="1"/>
        <v>Personal - Food</v>
      </c>
    </row>
    <row r="40" spans="1:10" ht="12.95" customHeight="1" x14ac:dyDescent="0.25">
      <c r="A40" s="32">
        <v>46073</v>
      </c>
      <c r="B40" s="33" t="s">
        <v>86</v>
      </c>
      <c r="C40" s="33" t="s">
        <v>3</v>
      </c>
      <c r="D40" s="34">
        <v>-2000</v>
      </c>
      <c r="E40" s="35">
        <v>230</v>
      </c>
      <c r="F40" s="33" t="s">
        <v>87</v>
      </c>
      <c r="G40" s="33" t="s">
        <v>86</v>
      </c>
      <c r="H40" s="33" t="s">
        <v>73</v>
      </c>
      <c r="I40" s="36">
        <f t="shared" si="0"/>
        <v>46054</v>
      </c>
      <c r="J40" s="33" t="str">
        <f t="shared" si="1"/>
        <v>Personal - Health</v>
      </c>
    </row>
    <row r="41" spans="1:10" ht="12.95" customHeight="1" x14ac:dyDescent="0.25">
      <c r="A41" s="32">
        <v>46073</v>
      </c>
      <c r="B41" s="33" t="s">
        <v>88</v>
      </c>
      <c r="C41" s="33" t="s">
        <v>3</v>
      </c>
      <c r="D41" s="34">
        <v>-2000</v>
      </c>
      <c r="E41" s="35">
        <v>31.35</v>
      </c>
      <c r="F41" s="33" t="s">
        <v>89</v>
      </c>
      <c r="G41" s="33" t="s">
        <v>88</v>
      </c>
      <c r="H41" s="33" t="s">
        <v>68</v>
      </c>
      <c r="I41" s="36">
        <f t="shared" si="0"/>
        <v>46054</v>
      </c>
      <c r="J41" s="33" t="str">
        <f t="shared" si="1"/>
        <v>Team Travel</v>
      </c>
    </row>
    <row r="42" spans="1:10" ht="12.95" customHeight="1" x14ac:dyDescent="0.25">
      <c r="A42" s="32">
        <v>46072</v>
      </c>
      <c r="B42" s="33" t="s">
        <v>81</v>
      </c>
      <c r="C42" s="33" t="s">
        <v>3</v>
      </c>
      <c r="D42" s="34">
        <v>-2000</v>
      </c>
      <c r="E42" s="35">
        <v>10.57</v>
      </c>
      <c r="F42" s="33" t="s">
        <v>90</v>
      </c>
      <c r="G42" s="33" t="s">
        <v>81</v>
      </c>
      <c r="H42" s="33" t="s">
        <v>68</v>
      </c>
      <c r="I42" s="36">
        <f t="shared" si="0"/>
        <v>46054</v>
      </c>
      <c r="J42" s="33" t="str">
        <f t="shared" si="1"/>
        <v>Team Travel</v>
      </c>
    </row>
    <row r="43" spans="1:10" ht="12.95" customHeight="1" x14ac:dyDescent="0.25">
      <c r="A43" s="32">
        <v>46072</v>
      </c>
      <c r="B43" s="33" t="s">
        <v>81</v>
      </c>
      <c r="C43" s="33" t="s">
        <v>3</v>
      </c>
      <c r="D43" s="34">
        <v>-2000</v>
      </c>
      <c r="E43" s="35">
        <v>13.05</v>
      </c>
      <c r="F43" s="33" t="s">
        <v>91</v>
      </c>
      <c r="G43" s="33" t="s">
        <v>81</v>
      </c>
      <c r="H43" s="33" t="s">
        <v>68</v>
      </c>
      <c r="I43" s="36">
        <f t="shared" si="0"/>
        <v>46054</v>
      </c>
      <c r="J43" s="33" t="str">
        <f t="shared" si="1"/>
        <v>Team Travel</v>
      </c>
    </row>
    <row r="44" spans="1:10" ht="12.95" customHeight="1" x14ac:dyDescent="0.25">
      <c r="A44" s="32">
        <v>46072</v>
      </c>
      <c r="B44" s="33" t="s">
        <v>81</v>
      </c>
      <c r="C44" s="33" t="s">
        <v>3</v>
      </c>
      <c r="D44" s="34">
        <v>-2000</v>
      </c>
      <c r="E44" s="35">
        <v>89.85</v>
      </c>
      <c r="F44" s="33" t="s">
        <v>92</v>
      </c>
      <c r="G44" s="33" t="s">
        <v>81</v>
      </c>
      <c r="H44" s="33" t="s">
        <v>68</v>
      </c>
      <c r="I44" s="36">
        <f t="shared" si="0"/>
        <v>46054</v>
      </c>
      <c r="J44" s="33" t="str">
        <f t="shared" si="1"/>
        <v>Team Travel</v>
      </c>
    </row>
    <row r="45" spans="1:10" ht="12.95" customHeight="1" x14ac:dyDescent="0.25">
      <c r="A45" s="32">
        <v>46072</v>
      </c>
      <c r="B45" s="33" t="s">
        <v>93</v>
      </c>
      <c r="C45" s="33" t="s">
        <v>3</v>
      </c>
      <c r="D45" s="34">
        <v>-2000</v>
      </c>
      <c r="E45" s="35">
        <v>195</v>
      </c>
      <c r="F45" s="33" t="s">
        <v>94</v>
      </c>
      <c r="G45" s="33" t="s">
        <v>93</v>
      </c>
      <c r="H45" s="33" t="s">
        <v>95</v>
      </c>
      <c r="I45" s="36">
        <f t="shared" si="0"/>
        <v>46054</v>
      </c>
      <c r="J45" s="33" t="str">
        <f t="shared" si="1"/>
        <v>DWGCP Supplies (Prints)</v>
      </c>
    </row>
    <row r="46" spans="1:10" ht="12.95" customHeight="1" x14ac:dyDescent="0.25">
      <c r="A46" s="32">
        <v>46071</v>
      </c>
      <c r="B46" s="33" t="s">
        <v>77</v>
      </c>
      <c r="C46" s="33" t="s">
        <v>3</v>
      </c>
      <c r="D46" s="34">
        <v>-2000</v>
      </c>
      <c r="E46" s="35">
        <v>35</v>
      </c>
      <c r="F46" s="33" t="s">
        <v>96</v>
      </c>
      <c r="G46" s="33" t="s">
        <v>77</v>
      </c>
      <c r="H46" s="33" t="s">
        <v>68</v>
      </c>
      <c r="I46" s="36">
        <f t="shared" si="0"/>
        <v>46054</v>
      </c>
      <c r="J46" s="33" t="str">
        <f t="shared" si="1"/>
        <v>Team Travel</v>
      </c>
    </row>
    <row r="47" spans="1:10" ht="12.95" customHeight="1" x14ac:dyDescent="0.25">
      <c r="A47" s="32">
        <v>46071</v>
      </c>
      <c r="B47" s="33" t="s">
        <v>97</v>
      </c>
      <c r="C47" s="33" t="s">
        <v>3</v>
      </c>
      <c r="D47" s="34">
        <v>-2000</v>
      </c>
      <c r="E47" s="35">
        <v>70.36</v>
      </c>
      <c r="F47" s="33" t="s">
        <v>98</v>
      </c>
      <c r="G47" s="33" t="s">
        <v>97</v>
      </c>
      <c r="H47" s="33" t="s">
        <v>26</v>
      </c>
      <c r="I47" s="36">
        <f t="shared" si="0"/>
        <v>46054</v>
      </c>
      <c r="J47" s="33" t="str">
        <f t="shared" si="1"/>
        <v>Go Daddy</v>
      </c>
    </row>
    <row r="48" spans="1:10" ht="12.95" customHeight="1" x14ac:dyDescent="0.25">
      <c r="A48" s="32">
        <v>46071</v>
      </c>
      <c r="B48" s="33" t="s">
        <v>99</v>
      </c>
      <c r="C48" s="33" t="s">
        <v>3</v>
      </c>
      <c r="D48" s="34">
        <v>-2000</v>
      </c>
      <c r="E48" s="35">
        <v>1600</v>
      </c>
      <c r="F48" s="33" t="s">
        <v>100</v>
      </c>
      <c r="G48" s="33" t="s">
        <v>99</v>
      </c>
      <c r="H48" s="33" t="s">
        <v>101</v>
      </c>
      <c r="I48" s="36">
        <f t="shared" si="0"/>
        <v>46054</v>
      </c>
      <c r="J48" s="33" t="str">
        <f t="shared" si="1"/>
        <v>Jeff Farjado - Case</v>
      </c>
    </row>
    <row r="49" spans="1:10" ht="12.95" customHeight="1" x14ac:dyDescent="0.25">
      <c r="A49" s="32">
        <v>46071</v>
      </c>
      <c r="B49" s="33" t="s">
        <v>81</v>
      </c>
      <c r="C49" s="33" t="s">
        <v>3</v>
      </c>
      <c r="D49" s="34">
        <v>-2000</v>
      </c>
      <c r="E49" s="35">
        <v>13.27</v>
      </c>
      <c r="F49" s="33" t="s">
        <v>102</v>
      </c>
      <c r="G49" s="33" t="s">
        <v>81</v>
      </c>
      <c r="H49" s="33" t="s">
        <v>68</v>
      </c>
      <c r="I49" s="36">
        <f t="shared" si="0"/>
        <v>46054</v>
      </c>
      <c r="J49" s="33" t="str">
        <f t="shared" si="1"/>
        <v>Team Travel</v>
      </c>
    </row>
    <row r="50" spans="1:10" ht="12.95" customHeight="1" x14ac:dyDescent="0.25">
      <c r="A50" s="32">
        <v>46071</v>
      </c>
      <c r="B50" s="33" t="s">
        <v>103</v>
      </c>
      <c r="C50" s="33" t="s">
        <v>3</v>
      </c>
      <c r="D50" s="34">
        <v>-2000</v>
      </c>
      <c r="E50" s="35">
        <v>14.81</v>
      </c>
      <c r="F50" s="33" t="s">
        <v>104</v>
      </c>
      <c r="G50" s="33" t="s">
        <v>103</v>
      </c>
      <c r="H50" s="33" t="s">
        <v>68</v>
      </c>
      <c r="I50" s="36">
        <f t="shared" si="0"/>
        <v>46054</v>
      </c>
      <c r="J50" s="33" t="str">
        <f t="shared" si="1"/>
        <v>Team Travel</v>
      </c>
    </row>
    <row r="51" spans="1:10" ht="12.95" customHeight="1" x14ac:dyDescent="0.25">
      <c r="A51" s="32">
        <v>46070</v>
      </c>
      <c r="B51" s="33" t="s">
        <v>105</v>
      </c>
      <c r="C51" s="33" t="s">
        <v>3</v>
      </c>
      <c r="D51" s="34">
        <v>-2000</v>
      </c>
      <c r="E51" s="35">
        <v>124.23</v>
      </c>
      <c r="F51" s="33" t="s">
        <v>106</v>
      </c>
      <c r="G51" s="33" t="s">
        <v>105</v>
      </c>
      <c r="H51" s="33" t="s">
        <v>68</v>
      </c>
      <c r="I51" s="36">
        <f t="shared" si="0"/>
        <v>46054</v>
      </c>
      <c r="J51" s="33" t="str">
        <f t="shared" si="1"/>
        <v>Team Travel</v>
      </c>
    </row>
    <row r="52" spans="1:10" ht="12.95" customHeight="1" x14ac:dyDescent="0.25">
      <c r="A52" s="32">
        <v>46070</v>
      </c>
      <c r="B52" s="33" t="s">
        <v>107</v>
      </c>
      <c r="C52" s="33" t="s">
        <v>3</v>
      </c>
      <c r="D52" s="34">
        <v>-2000</v>
      </c>
      <c r="E52" s="35">
        <v>15.67</v>
      </c>
      <c r="F52" s="33" t="s">
        <v>108</v>
      </c>
      <c r="G52" s="33" t="s">
        <v>107</v>
      </c>
      <c r="H52" s="33" t="s">
        <v>68</v>
      </c>
      <c r="I52" s="36">
        <f t="shared" si="0"/>
        <v>46054</v>
      </c>
      <c r="J52" s="33" t="str">
        <f t="shared" si="1"/>
        <v>Team Travel</v>
      </c>
    </row>
    <row r="53" spans="1:10" ht="12.95" customHeight="1" x14ac:dyDescent="0.25">
      <c r="A53" s="32">
        <v>46070</v>
      </c>
      <c r="B53" s="33" t="s">
        <v>109</v>
      </c>
      <c r="C53" s="33" t="s">
        <v>3</v>
      </c>
      <c r="D53" s="34">
        <v>-2000</v>
      </c>
      <c r="E53" s="35">
        <v>18.649999999999999</v>
      </c>
      <c r="F53" s="33" t="s">
        <v>110</v>
      </c>
      <c r="G53" s="33" t="s">
        <v>109</v>
      </c>
      <c r="H53" s="33" t="s">
        <v>111</v>
      </c>
      <c r="I53" s="36">
        <f t="shared" si="0"/>
        <v>46054</v>
      </c>
      <c r="J53" s="33" t="str">
        <f t="shared" si="1"/>
        <v>Personal</v>
      </c>
    </row>
    <row r="54" spans="1:10" ht="12.95" customHeight="1" x14ac:dyDescent="0.25">
      <c r="A54" s="32">
        <v>46070</v>
      </c>
      <c r="B54" s="33" t="s">
        <v>112</v>
      </c>
      <c r="C54" s="33" t="s">
        <v>3</v>
      </c>
      <c r="D54" s="34">
        <v>-2000</v>
      </c>
      <c r="E54" s="35">
        <v>35.08</v>
      </c>
      <c r="F54" s="33" t="s">
        <v>113</v>
      </c>
      <c r="G54" s="33" t="s">
        <v>112</v>
      </c>
      <c r="H54" s="33" t="s">
        <v>68</v>
      </c>
      <c r="I54" s="36">
        <f t="shared" si="0"/>
        <v>46054</v>
      </c>
      <c r="J54" s="33" t="str">
        <f t="shared" si="1"/>
        <v>Team Travel</v>
      </c>
    </row>
    <row r="55" spans="1:10" ht="12.95" customHeight="1" x14ac:dyDescent="0.25">
      <c r="A55" s="32">
        <v>46069</v>
      </c>
      <c r="B55" s="33" t="s">
        <v>114</v>
      </c>
      <c r="C55" s="33" t="s">
        <v>3</v>
      </c>
      <c r="D55" s="34">
        <v>-2000</v>
      </c>
      <c r="E55" s="35">
        <v>430.4</v>
      </c>
      <c r="F55" s="33" t="s">
        <v>115</v>
      </c>
      <c r="G55" s="33" t="s">
        <v>114</v>
      </c>
      <c r="H55" s="33" t="s">
        <v>68</v>
      </c>
      <c r="I55" s="36">
        <f t="shared" si="0"/>
        <v>46054</v>
      </c>
      <c r="J55" s="33" t="str">
        <f t="shared" si="1"/>
        <v>Team Travel</v>
      </c>
    </row>
    <row r="56" spans="1:10" ht="12.95" customHeight="1" x14ac:dyDescent="0.25">
      <c r="A56" s="32">
        <v>46069</v>
      </c>
      <c r="B56" s="33" t="s">
        <v>116</v>
      </c>
      <c r="C56" s="33" t="s">
        <v>3</v>
      </c>
      <c r="D56" s="34">
        <v>-2000</v>
      </c>
      <c r="E56" s="35">
        <v>-430.4</v>
      </c>
      <c r="F56" s="33" t="s">
        <v>117</v>
      </c>
      <c r="G56" s="33" t="s">
        <v>116</v>
      </c>
      <c r="H56" s="33" t="s">
        <v>116</v>
      </c>
      <c r="I56" s="36">
        <f t="shared" si="0"/>
        <v>46054</v>
      </c>
      <c r="J56" s="33" t="str">
        <f t="shared" si="1"/>
        <v>Amex Online Flight Statement Credit</v>
      </c>
    </row>
    <row r="57" spans="1:10" ht="12.95" customHeight="1" x14ac:dyDescent="0.25">
      <c r="A57" s="32">
        <v>46069</v>
      </c>
      <c r="B57" s="33" t="s">
        <v>118</v>
      </c>
      <c r="C57" s="33" t="s">
        <v>3</v>
      </c>
      <c r="D57" s="34">
        <v>-2000</v>
      </c>
      <c r="E57" s="35">
        <v>239.98</v>
      </c>
      <c r="F57" s="33" t="s">
        <v>119</v>
      </c>
      <c r="G57" s="33" t="s">
        <v>118</v>
      </c>
      <c r="H57" s="33" t="s">
        <v>26</v>
      </c>
      <c r="I57" s="36">
        <f t="shared" si="0"/>
        <v>46054</v>
      </c>
      <c r="J57" s="33" t="str">
        <f t="shared" si="1"/>
        <v>Go Daddy</v>
      </c>
    </row>
    <row r="58" spans="1:10" ht="12.95" customHeight="1" x14ac:dyDescent="0.25">
      <c r="A58" s="32">
        <v>46069</v>
      </c>
      <c r="B58" s="33" t="s">
        <v>120</v>
      </c>
      <c r="C58" s="33" t="s">
        <v>3</v>
      </c>
      <c r="D58" s="34">
        <v>-2000</v>
      </c>
      <c r="E58" s="35">
        <v>50</v>
      </c>
      <c r="F58" s="33" t="s">
        <v>121</v>
      </c>
      <c r="G58" s="33" t="s">
        <v>120</v>
      </c>
      <c r="H58" s="33" t="s">
        <v>29</v>
      </c>
      <c r="I58" s="36">
        <f t="shared" si="0"/>
        <v>46054</v>
      </c>
      <c r="J58" s="33" t="str">
        <f t="shared" si="1"/>
        <v>Software &amp; Subscriptions</v>
      </c>
    </row>
    <row r="59" spans="1:10" ht="12.95" customHeight="1" x14ac:dyDescent="0.25">
      <c r="A59" s="32">
        <v>46068</v>
      </c>
      <c r="B59" s="33" t="s">
        <v>122</v>
      </c>
      <c r="C59" s="33" t="s">
        <v>3</v>
      </c>
      <c r="D59" s="34">
        <v>-2000</v>
      </c>
      <c r="E59" s="35">
        <v>69.62</v>
      </c>
      <c r="F59" s="33" t="s">
        <v>123</v>
      </c>
      <c r="G59" s="33" t="s">
        <v>122</v>
      </c>
      <c r="H59" s="33" t="s">
        <v>29</v>
      </c>
      <c r="I59" s="36">
        <f t="shared" si="0"/>
        <v>46054</v>
      </c>
      <c r="J59" s="33" t="str">
        <f t="shared" si="1"/>
        <v>Software &amp; Subscriptions</v>
      </c>
    </row>
    <row r="60" spans="1:10" ht="12.95" customHeight="1" x14ac:dyDescent="0.25">
      <c r="A60" s="32">
        <v>46068</v>
      </c>
      <c r="B60" s="33" t="s">
        <v>124</v>
      </c>
      <c r="C60" s="33" t="s">
        <v>3</v>
      </c>
      <c r="D60" s="34">
        <v>-2000</v>
      </c>
      <c r="E60" s="35">
        <v>26.85</v>
      </c>
      <c r="F60" s="33" t="s">
        <v>125</v>
      </c>
      <c r="G60" s="33" t="s">
        <v>124</v>
      </c>
      <c r="H60" s="33" t="s">
        <v>126</v>
      </c>
      <c r="I60" s="36">
        <f t="shared" si="0"/>
        <v>46054</v>
      </c>
      <c r="J60" s="33" t="str">
        <f t="shared" si="1"/>
        <v>Personal - Entertainment</v>
      </c>
    </row>
    <row r="61" spans="1:10" ht="12.95" customHeight="1" x14ac:dyDescent="0.25">
      <c r="A61" s="32">
        <v>46068</v>
      </c>
      <c r="B61" s="33" t="s">
        <v>127</v>
      </c>
      <c r="C61" s="33" t="s">
        <v>3</v>
      </c>
      <c r="D61" s="34">
        <v>-2000</v>
      </c>
      <c r="E61" s="35">
        <v>29</v>
      </c>
      <c r="F61" s="33" t="s">
        <v>128</v>
      </c>
      <c r="G61" s="33" t="s">
        <v>127</v>
      </c>
      <c r="H61" s="33" t="s">
        <v>16</v>
      </c>
      <c r="I61" s="36">
        <f t="shared" si="0"/>
        <v>46054</v>
      </c>
      <c r="J61" s="33" t="str">
        <f t="shared" si="1"/>
        <v>Personal - Food</v>
      </c>
    </row>
    <row r="62" spans="1:10" ht="12.95" customHeight="1" x14ac:dyDescent="0.25">
      <c r="A62" s="32">
        <v>46068</v>
      </c>
      <c r="B62" s="33" t="s">
        <v>86</v>
      </c>
      <c r="C62" s="33" t="s">
        <v>3</v>
      </c>
      <c r="D62" s="34">
        <v>-2000</v>
      </c>
      <c r="E62" s="35">
        <v>199</v>
      </c>
      <c r="F62" s="33" t="s">
        <v>129</v>
      </c>
      <c r="G62" s="33" t="s">
        <v>86</v>
      </c>
      <c r="H62" s="33" t="s">
        <v>73</v>
      </c>
      <c r="I62" s="36">
        <f t="shared" si="0"/>
        <v>46054</v>
      </c>
      <c r="J62" s="33" t="str">
        <f t="shared" si="1"/>
        <v>Personal - Health</v>
      </c>
    </row>
    <row r="63" spans="1:10" ht="12.95" customHeight="1" x14ac:dyDescent="0.25">
      <c r="A63" s="32">
        <v>46068</v>
      </c>
      <c r="B63" s="33" t="s">
        <v>52</v>
      </c>
      <c r="C63" s="33" t="s">
        <v>3</v>
      </c>
      <c r="D63" s="34">
        <v>-2000</v>
      </c>
      <c r="E63" s="35">
        <v>162.16</v>
      </c>
      <c r="F63" s="33" t="s">
        <v>130</v>
      </c>
      <c r="G63" s="33" t="s">
        <v>52</v>
      </c>
      <c r="H63" s="33" t="s">
        <v>45</v>
      </c>
      <c r="I63" s="36">
        <f t="shared" si="0"/>
        <v>46054</v>
      </c>
      <c r="J63" s="33" t="str">
        <f t="shared" si="1"/>
        <v>Team Lunch</v>
      </c>
    </row>
    <row r="64" spans="1:10" ht="12.95" customHeight="1" x14ac:dyDescent="0.25">
      <c r="A64" s="32">
        <v>46067</v>
      </c>
      <c r="B64" s="33" t="s">
        <v>131</v>
      </c>
      <c r="C64" s="33" t="s">
        <v>3</v>
      </c>
      <c r="D64" s="34">
        <v>-2000</v>
      </c>
      <c r="E64" s="35">
        <v>26.99</v>
      </c>
      <c r="F64" s="33" t="s">
        <v>132</v>
      </c>
      <c r="G64" s="33" t="s">
        <v>131</v>
      </c>
      <c r="H64" s="33" t="s">
        <v>73</v>
      </c>
      <c r="I64" s="36">
        <f t="shared" si="0"/>
        <v>46054</v>
      </c>
      <c r="J64" s="33" t="str">
        <f t="shared" si="1"/>
        <v>Personal - Health</v>
      </c>
    </row>
    <row r="65" spans="1:10" ht="12.95" customHeight="1" x14ac:dyDescent="0.25">
      <c r="A65" s="32">
        <v>46067</v>
      </c>
      <c r="B65" s="33" t="s">
        <v>133</v>
      </c>
      <c r="C65" s="33" t="s">
        <v>3</v>
      </c>
      <c r="D65" s="34">
        <v>-2000</v>
      </c>
      <c r="E65" s="35">
        <v>20.38</v>
      </c>
      <c r="F65" s="33" t="s">
        <v>134</v>
      </c>
      <c r="G65" s="33" t="s">
        <v>133</v>
      </c>
      <c r="H65" s="33" t="s">
        <v>16</v>
      </c>
      <c r="I65" s="36">
        <f t="shared" si="0"/>
        <v>46054</v>
      </c>
      <c r="J65" s="33" t="str">
        <f t="shared" si="1"/>
        <v>Personal - Food</v>
      </c>
    </row>
    <row r="66" spans="1:10" ht="12.95" customHeight="1" x14ac:dyDescent="0.25">
      <c r="A66" s="32">
        <v>46067</v>
      </c>
      <c r="B66" s="33" t="s">
        <v>135</v>
      </c>
      <c r="C66" s="33" t="s">
        <v>3</v>
      </c>
      <c r="D66" s="34">
        <v>-2000</v>
      </c>
      <c r="E66" s="35">
        <v>3</v>
      </c>
      <c r="F66" s="33" t="s">
        <v>136</v>
      </c>
      <c r="G66" s="33" t="s">
        <v>135</v>
      </c>
      <c r="H66" s="33" t="s">
        <v>42</v>
      </c>
      <c r="I66" s="36">
        <f t="shared" si="0"/>
        <v>46054</v>
      </c>
      <c r="J66" s="33" t="str">
        <f t="shared" si="1"/>
        <v>Personal - Car</v>
      </c>
    </row>
    <row r="67" spans="1:10" ht="12.95" customHeight="1" x14ac:dyDescent="0.25">
      <c r="A67" s="32">
        <v>46067</v>
      </c>
      <c r="B67" s="33" t="s">
        <v>137</v>
      </c>
      <c r="C67" s="33" t="s">
        <v>3</v>
      </c>
      <c r="D67" s="34">
        <v>-2000</v>
      </c>
      <c r="E67" s="35">
        <v>221.5</v>
      </c>
      <c r="F67" s="33" t="s">
        <v>138</v>
      </c>
      <c r="G67" s="33" t="s">
        <v>137</v>
      </c>
      <c r="H67" s="33" t="s">
        <v>63</v>
      </c>
      <c r="I67" s="36">
        <f t="shared" si="0"/>
        <v>46054</v>
      </c>
      <c r="J67" s="33" t="str">
        <f t="shared" si="1"/>
        <v>Personal - Family</v>
      </c>
    </row>
    <row r="68" spans="1:10" ht="12.95" customHeight="1" x14ac:dyDescent="0.25">
      <c r="A68" s="32">
        <v>46067</v>
      </c>
      <c r="B68" s="33" t="s">
        <v>139</v>
      </c>
      <c r="C68" s="33" t="s">
        <v>3</v>
      </c>
      <c r="D68" s="34">
        <v>-2000</v>
      </c>
      <c r="E68" s="35">
        <v>67.56</v>
      </c>
      <c r="F68" s="33" t="s">
        <v>140</v>
      </c>
      <c r="G68" s="33" t="s">
        <v>139</v>
      </c>
      <c r="H68" s="33" t="s">
        <v>16</v>
      </c>
      <c r="I68" s="36">
        <f t="shared" si="0"/>
        <v>46054</v>
      </c>
      <c r="J68" s="33" t="str">
        <f t="shared" si="1"/>
        <v>Personal - Food</v>
      </c>
    </row>
    <row r="69" spans="1:10" ht="12.95" customHeight="1" x14ac:dyDescent="0.25">
      <c r="A69" s="32">
        <v>46067</v>
      </c>
      <c r="B69" s="33" t="s">
        <v>141</v>
      </c>
      <c r="C69" s="33" t="s">
        <v>3</v>
      </c>
      <c r="D69" s="34">
        <v>-2000</v>
      </c>
      <c r="E69" s="35">
        <v>10.54</v>
      </c>
      <c r="F69" s="33" t="s">
        <v>142</v>
      </c>
      <c r="G69" s="33" t="s">
        <v>141</v>
      </c>
      <c r="H69" s="33" t="s">
        <v>126</v>
      </c>
      <c r="I69" s="36">
        <f t="shared" si="0"/>
        <v>46054</v>
      </c>
      <c r="J69" s="33" t="str">
        <f t="shared" si="1"/>
        <v>Personal - Entertainment</v>
      </c>
    </row>
    <row r="70" spans="1:10" ht="12.95" customHeight="1" x14ac:dyDescent="0.25">
      <c r="A70" s="32">
        <v>46067</v>
      </c>
      <c r="B70" s="33" t="s">
        <v>141</v>
      </c>
      <c r="C70" s="33" t="s">
        <v>3</v>
      </c>
      <c r="D70" s="34">
        <v>-2000</v>
      </c>
      <c r="E70" s="35">
        <v>13.18</v>
      </c>
      <c r="F70" s="33" t="s">
        <v>143</v>
      </c>
      <c r="G70" s="33" t="s">
        <v>141</v>
      </c>
      <c r="H70" s="33" t="s">
        <v>126</v>
      </c>
      <c r="I70" s="36">
        <f t="shared" si="0"/>
        <v>46054</v>
      </c>
      <c r="J70" s="33" t="str">
        <f t="shared" si="1"/>
        <v>Personal - Entertainment</v>
      </c>
    </row>
    <row r="71" spans="1:10" ht="12.95" customHeight="1" x14ac:dyDescent="0.25">
      <c r="A71" s="32">
        <v>46067</v>
      </c>
      <c r="B71" s="33" t="s">
        <v>141</v>
      </c>
      <c r="C71" s="33" t="s">
        <v>3</v>
      </c>
      <c r="D71" s="34">
        <v>-2000</v>
      </c>
      <c r="E71" s="35">
        <v>19.75</v>
      </c>
      <c r="F71" s="33" t="s">
        <v>144</v>
      </c>
      <c r="G71" s="33" t="s">
        <v>141</v>
      </c>
      <c r="H71" s="33" t="s">
        <v>126</v>
      </c>
      <c r="I71" s="36">
        <f t="shared" si="0"/>
        <v>46054</v>
      </c>
      <c r="J71" s="33" t="str">
        <f t="shared" si="1"/>
        <v>Personal - Entertainment</v>
      </c>
    </row>
    <row r="72" spans="1:10" ht="12.95" customHeight="1" x14ac:dyDescent="0.25">
      <c r="A72" s="32">
        <v>46066</v>
      </c>
      <c r="B72" s="33" t="s">
        <v>145</v>
      </c>
      <c r="C72" s="33" t="s">
        <v>3</v>
      </c>
      <c r="D72" s="34">
        <v>-2000</v>
      </c>
      <c r="E72" s="35">
        <v>65</v>
      </c>
      <c r="F72" s="33" t="s">
        <v>146</v>
      </c>
      <c r="G72" s="33" t="s">
        <v>145</v>
      </c>
      <c r="H72" s="33" t="s">
        <v>29</v>
      </c>
      <c r="I72" s="36">
        <f t="shared" si="0"/>
        <v>46054</v>
      </c>
      <c r="J72" s="33" t="str">
        <f t="shared" si="1"/>
        <v>Software &amp; Subscriptions</v>
      </c>
    </row>
    <row r="73" spans="1:10" ht="12.95" customHeight="1" x14ac:dyDescent="0.25">
      <c r="A73" s="32">
        <v>46066</v>
      </c>
      <c r="B73" s="33" t="s">
        <v>147</v>
      </c>
      <c r="C73" s="33" t="s">
        <v>3</v>
      </c>
      <c r="D73" s="34">
        <v>-2000</v>
      </c>
      <c r="E73" s="35">
        <v>45.96</v>
      </c>
      <c r="F73" s="33" t="s">
        <v>148</v>
      </c>
      <c r="G73" s="33" t="s">
        <v>147</v>
      </c>
      <c r="H73" s="33" t="s">
        <v>26</v>
      </c>
      <c r="I73" s="36">
        <f t="shared" ref="I73:I136" si="2">DATE(YEAR(A73),MONTH(A73),1)</f>
        <v>46054</v>
      </c>
      <c r="J73" s="33" t="str">
        <f t="shared" ref="J73:J136" si="3">IF(TRIM(H73)="","(Uncategorized)",TRIM(H73))</f>
        <v>Go Daddy</v>
      </c>
    </row>
    <row r="74" spans="1:10" ht="12.95" customHeight="1" x14ac:dyDescent="0.25">
      <c r="A74" s="32">
        <v>46066</v>
      </c>
      <c r="B74" s="33" t="s">
        <v>46</v>
      </c>
      <c r="C74" s="33" t="s">
        <v>3</v>
      </c>
      <c r="D74" s="34">
        <v>-2000</v>
      </c>
      <c r="E74" s="35">
        <v>98.22</v>
      </c>
      <c r="F74" s="33" t="s">
        <v>149</v>
      </c>
      <c r="G74" s="33" t="s">
        <v>46</v>
      </c>
      <c r="H74" s="33" t="s">
        <v>45</v>
      </c>
      <c r="I74" s="36">
        <f t="shared" si="2"/>
        <v>46054</v>
      </c>
      <c r="J74" s="33" t="str">
        <f t="shared" si="3"/>
        <v>Team Lunch</v>
      </c>
    </row>
    <row r="75" spans="1:10" ht="12.95" customHeight="1" x14ac:dyDescent="0.25">
      <c r="A75" s="32">
        <v>46065</v>
      </c>
      <c r="B75" s="33" t="s">
        <v>150</v>
      </c>
      <c r="C75" s="33" t="s">
        <v>3</v>
      </c>
      <c r="D75" s="34">
        <v>-2000</v>
      </c>
      <c r="E75" s="35">
        <v>400</v>
      </c>
      <c r="F75" s="33" t="s">
        <v>151</v>
      </c>
      <c r="G75" s="33" t="s">
        <v>150</v>
      </c>
      <c r="H75" s="33" t="s">
        <v>63</v>
      </c>
      <c r="I75" s="36">
        <f t="shared" si="2"/>
        <v>46054</v>
      </c>
      <c r="J75" s="33" t="str">
        <f t="shared" si="3"/>
        <v>Personal - Family</v>
      </c>
    </row>
    <row r="76" spans="1:10" ht="12.95" customHeight="1" x14ac:dyDescent="0.25">
      <c r="A76" s="32">
        <v>46065</v>
      </c>
      <c r="B76" s="33" t="s">
        <v>152</v>
      </c>
      <c r="C76" s="33" t="s">
        <v>3</v>
      </c>
      <c r="D76" s="34">
        <v>-2000</v>
      </c>
      <c r="E76" s="35">
        <v>6.53</v>
      </c>
      <c r="F76" s="33" t="s">
        <v>153</v>
      </c>
      <c r="G76" s="33" t="s">
        <v>152</v>
      </c>
      <c r="H76" s="33" t="s">
        <v>63</v>
      </c>
      <c r="I76" s="36">
        <f t="shared" si="2"/>
        <v>46054</v>
      </c>
      <c r="J76" s="33" t="str">
        <f t="shared" si="3"/>
        <v>Personal - Family</v>
      </c>
    </row>
    <row r="77" spans="1:10" ht="12.95" customHeight="1" x14ac:dyDescent="0.25">
      <c r="A77" s="32">
        <v>46065</v>
      </c>
      <c r="B77" s="33" t="s">
        <v>154</v>
      </c>
      <c r="C77" s="33" t="s">
        <v>3</v>
      </c>
      <c r="D77" s="34">
        <v>-2000</v>
      </c>
      <c r="E77" s="35">
        <v>12.98</v>
      </c>
      <c r="F77" s="33" t="s">
        <v>155</v>
      </c>
      <c r="G77" s="33" t="s">
        <v>154</v>
      </c>
      <c r="H77" s="33" t="s">
        <v>29</v>
      </c>
      <c r="I77" s="36">
        <f t="shared" si="2"/>
        <v>46054</v>
      </c>
      <c r="J77" s="33" t="str">
        <f t="shared" si="3"/>
        <v>Software &amp; Subscriptions</v>
      </c>
    </row>
    <row r="78" spans="1:10" ht="12.95" customHeight="1" x14ac:dyDescent="0.25">
      <c r="A78" s="32">
        <v>46064</v>
      </c>
      <c r="B78" s="33" t="s">
        <v>22</v>
      </c>
      <c r="C78" s="33" t="s">
        <v>3</v>
      </c>
      <c r="D78" s="34">
        <v>-2000</v>
      </c>
      <c r="E78" s="35">
        <v>13.96</v>
      </c>
      <c r="F78" s="33" t="s">
        <v>156</v>
      </c>
      <c r="G78" s="33" t="s">
        <v>22</v>
      </c>
      <c r="H78" s="33" t="s">
        <v>16</v>
      </c>
      <c r="I78" s="36">
        <f t="shared" si="2"/>
        <v>46054</v>
      </c>
      <c r="J78" s="33" t="str">
        <f t="shared" si="3"/>
        <v>Personal - Food</v>
      </c>
    </row>
    <row r="79" spans="1:10" ht="12.95" customHeight="1" x14ac:dyDescent="0.25">
      <c r="A79" s="32">
        <v>46064</v>
      </c>
      <c r="B79" s="33" t="s">
        <v>157</v>
      </c>
      <c r="C79" s="33" t="s">
        <v>3</v>
      </c>
      <c r="D79" s="34">
        <v>-2000</v>
      </c>
      <c r="E79" s="35">
        <v>100</v>
      </c>
      <c r="F79" s="33" t="s">
        <v>158</v>
      </c>
      <c r="G79" s="33" t="s">
        <v>157</v>
      </c>
      <c r="H79" s="33" t="s">
        <v>159</v>
      </c>
      <c r="I79" s="36">
        <f t="shared" si="2"/>
        <v>46054</v>
      </c>
      <c r="J79" s="33" t="str">
        <f t="shared" si="3"/>
        <v>DWGCP Lawsuit</v>
      </c>
    </row>
    <row r="80" spans="1:10" ht="12.95" customHeight="1" x14ac:dyDescent="0.25">
      <c r="A80" s="32">
        <v>46064</v>
      </c>
      <c r="B80" s="33" t="s">
        <v>160</v>
      </c>
      <c r="C80" s="33" t="s">
        <v>3</v>
      </c>
      <c r="D80" s="34">
        <v>-2000</v>
      </c>
      <c r="E80" s="35">
        <v>60.73</v>
      </c>
      <c r="F80" s="33" t="s">
        <v>161</v>
      </c>
      <c r="G80" s="33" t="s">
        <v>160</v>
      </c>
      <c r="H80" s="33" t="s">
        <v>26</v>
      </c>
      <c r="I80" s="36">
        <f t="shared" si="2"/>
        <v>46054</v>
      </c>
      <c r="J80" s="33" t="str">
        <f t="shared" si="3"/>
        <v>Go Daddy</v>
      </c>
    </row>
    <row r="81" spans="1:10" ht="12.95" customHeight="1" x14ac:dyDescent="0.25">
      <c r="A81" s="32">
        <v>46064</v>
      </c>
      <c r="B81" s="33" t="s">
        <v>162</v>
      </c>
      <c r="C81" s="33" t="s">
        <v>3</v>
      </c>
      <c r="D81" s="34">
        <v>-2000</v>
      </c>
      <c r="E81" s="35">
        <v>167.58</v>
      </c>
      <c r="F81" s="33" t="s">
        <v>163</v>
      </c>
      <c r="G81" s="33" t="s">
        <v>162</v>
      </c>
      <c r="H81" s="33" t="s">
        <v>164</v>
      </c>
      <c r="I81" s="36">
        <f t="shared" si="2"/>
        <v>46054</v>
      </c>
      <c r="J81" s="33" t="str">
        <f t="shared" si="3"/>
        <v>DWGCP Swag</v>
      </c>
    </row>
    <row r="82" spans="1:10" ht="12.95" customHeight="1" x14ac:dyDescent="0.25">
      <c r="A82" s="32">
        <v>46064</v>
      </c>
      <c r="B82" s="33" t="s">
        <v>84</v>
      </c>
      <c r="C82" s="33" t="s">
        <v>3</v>
      </c>
      <c r="D82" s="34">
        <v>-2000</v>
      </c>
      <c r="E82" s="35">
        <v>183</v>
      </c>
      <c r="F82" s="33" t="s">
        <v>165</v>
      </c>
      <c r="G82" s="33" t="s">
        <v>84</v>
      </c>
      <c r="H82" s="33" t="s">
        <v>16</v>
      </c>
      <c r="I82" s="36">
        <f t="shared" si="2"/>
        <v>46054</v>
      </c>
      <c r="J82" s="33" t="str">
        <f t="shared" si="3"/>
        <v>Personal - Food</v>
      </c>
    </row>
    <row r="83" spans="1:10" ht="12.95" customHeight="1" x14ac:dyDescent="0.25">
      <c r="A83" s="32">
        <v>46063</v>
      </c>
      <c r="B83" s="33" t="s">
        <v>166</v>
      </c>
      <c r="C83" s="33" t="s">
        <v>3</v>
      </c>
      <c r="D83" s="34">
        <v>-2000</v>
      </c>
      <c r="E83" s="35">
        <v>28.98</v>
      </c>
      <c r="F83" s="33" t="s">
        <v>167</v>
      </c>
      <c r="G83" s="33" t="s">
        <v>166</v>
      </c>
      <c r="H83" s="33" t="s">
        <v>26</v>
      </c>
      <c r="I83" s="36">
        <f t="shared" si="2"/>
        <v>46054</v>
      </c>
      <c r="J83" s="33" t="str">
        <f t="shared" si="3"/>
        <v>Go Daddy</v>
      </c>
    </row>
    <row r="84" spans="1:10" ht="12.95" customHeight="1" x14ac:dyDescent="0.25">
      <c r="A84" s="32">
        <v>46063</v>
      </c>
      <c r="B84" s="33" t="s">
        <v>46</v>
      </c>
      <c r="C84" s="33" t="s">
        <v>3</v>
      </c>
      <c r="D84" s="34">
        <v>-2000</v>
      </c>
      <c r="E84" s="35">
        <v>107.28</v>
      </c>
      <c r="F84" s="33" t="s">
        <v>168</v>
      </c>
      <c r="G84" s="33" t="s">
        <v>46</v>
      </c>
      <c r="H84" s="33" t="s">
        <v>45</v>
      </c>
      <c r="I84" s="36">
        <f t="shared" si="2"/>
        <v>46054</v>
      </c>
      <c r="J84" s="33" t="str">
        <f t="shared" si="3"/>
        <v>Team Lunch</v>
      </c>
    </row>
    <row r="85" spans="1:10" ht="12.95" customHeight="1" x14ac:dyDescent="0.25">
      <c r="A85" s="32">
        <v>46063</v>
      </c>
      <c r="B85" s="33" t="s">
        <v>169</v>
      </c>
      <c r="C85" s="33" t="s">
        <v>3</v>
      </c>
      <c r="D85" s="34">
        <v>-2000</v>
      </c>
      <c r="E85" s="35">
        <v>24</v>
      </c>
      <c r="F85" s="33" t="s">
        <v>170</v>
      </c>
      <c r="G85" s="33" t="s">
        <v>169</v>
      </c>
      <c r="H85" s="33" t="s">
        <v>29</v>
      </c>
      <c r="I85" s="36">
        <f t="shared" si="2"/>
        <v>46054</v>
      </c>
      <c r="J85" s="33" t="str">
        <f t="shared" si="3"/>
        <v>Software &amp; Subscriptions</v>
      </c>
    </row>
    <row r="86" spans="1:10" ht="12.95" customHeight="1" x14ac:dyDescent="0.25">
      <c r="A86" s="32">
        <v>46063</v>
      </c>
      <c r="B86" s="33" t="s">
        <v>171</v>
      </c>
      <c r="C86" s="33" t="s">
        <v>3</v>
      </c>
      <c r="D86" s="34">
        <v>-2000</v>
      </c>
      <c r="E86" s="35">
        <v>21.28</v>
      </c>
      <c r="F86" s="33" t="s">
        <v>172</v>
      </c>
      <c r="G86" s="33" t="s">
        <v>171</v>
      </c>
      <c r="H86" s="33" t="s">
        <v>58</v>
      </c>
      <c r="I86" s="36">
        <f t="shared" si="2"/>
        <v>46054</v>
      </c>
      <c r="J86" s="33" t="str">
        <f t="shared" si="3"/>
        <v>AI Subscription</v>
      </c>
    </row>
    <row r="87" spans="1:10" ht="12.95" customHeight="1" x14ac:dyDescent="0.25">
      <c r="A87" s="32">
        <v>46062</v>
      </c>
      <c r="B87" s="33" t="s">
        <v>173</v>
      </c>
      <c r="C87" s="33" t="s">
        <v>3</v>
      </c>
      <c r="D87" s="34">
        <v>-2000</v>
      </c>
      <c r="E87" s="35">
        <v>13.79</v>
      </c>
      <c r="F87" s="33" t="s">
        <v>174</v>
      </c>
      <c r="G87" s="33" t="s">
        <v>173</v>
      </c>
      <c r="H87" s="33" t="s">
        <v>26</v>
      </c>
      <c r="I87" s="36">
        <f t="shared" si="2"/>
        <v>46054</v>
      </c>
      <c r="J87" s="33" t="str">
        <f t="shared" si="3"/>
        <v>Go Daddy</v>
      </c>
    </row>
    <row r="88" spans="1:10" ht="12.95" customHeight="1" x14ac:dyDescent="0.25">
      <c r="A88" s="32">
        <v>46062</v>
      </c>
      <c r="B88" s="33" t="s">
        <v>175</v>
      </c>
      <c r="C88" s="33" t="s">
        <v>3</v>
      </c>
      <c r="D88" s="34">
        <v>-2000</v>
      </c>
      <c r="E88" s="35">
        <v>1473.37</v>
      </c>
      <c r="F88" s="33" t="s">
        <v>176</v>
      </c>
      <c r="G88" s="33" t="s">
        <v>175</v>
      </c>
      <c r="H88" s="33" t="s">
        <v>177</v>
      </c>
      <c r="I88" s="36">
        <f t="shared" si="2"/>
        <v>46054</v>
      </c>
      <c r="J88" s="33" t="str">
        <f t="shared" si="3"/>
        <v>DWG-RE Marketing</v>
      </c>
    </row>
    <row r="89" spans="1:10" ht="12.95" customHeight="1" x14ac:dyDescent="0.25">
      <c r="A89" s="32">
        <v>46061</v>
      </c>
      <c r="B89" s="33" t="s">
        <v>178</v>
      </c>
      <c r="C89" s="33" t="s">
        <v>3</v>
      </c>
      <c r="D89" s="34">
        <v>-2000</v>
      </c>
      <c r="E89" s="35">
        <v>33.97</v>
      </c>
      <c r="F89" s="33" t="s">
        <v>179</v>
      </c>
      <c r="G89" s="33" t="s">
        <v>178</v>
      </c>
      <c r="H89" s="33" t="s">
        <v>26</v>
      </c>
      <c r="I89" s="36">
        <f t="shared" si="2"/>
        <v>46054</v>
      </c>
      <c r="J89" s="33" t="str">
        <f t="shared" si="3"/>
        <v>Go Daddy</v>
      </c>
    </row>
    <row r="90" spans="1:10" ht="12.95" customHeight="1" x14ac:dyDescent="0.25">
      <c r="A90" s="32">
        <v>46061</v>
      </c>
      <c r="B90" s="33" t="s">
        <v>180</v>
      </c>
      <c r="C90" s="33" t="s">
        <v>3</v>
      </c>
      <c r="D90" s="34">
        <v>-2000</v>
      </c>
      <c r="E90" s="35">
        <v>341.55</v>
      </c>
      <c r="F90" s="33" t="s">
        <v>181</v>
      </c>
      <c r="G90" s="33" t="s">
        <v>180</v>
      </c>
      <c r="H90" s="33" t="s">
        <v>73</v>
      </c>
      <c r="I90" s="36">
        <f t="shared" si="2"/>
        <v>46054</v>
      </c>
      <c r="J90" s="33" t="str">
        <f t="shared" si="3"/>
        <v>Personal - Health</v>
      </c>
    </row>
    <row r="91" spans="1:10" ht="12.95" customHeight="1" x14ac:dyDescent="0.25">
      <c r="A91" s="32">
        <v>46061</v>
      </c>
      <c r="B91" s="33" t="s">
        <v>182</v>
      </c>
      <c r="C91" s="33" t="s">
        <v>3</v>
      </c>
      <c r="D91" s="34">
        <v>-2000</v>
      </c>
      <c r="E91" s="35">
        <v>20</v>
      </c>
      <c r="F91" s="33" t="s">
        <v>183</v>
      </c>
      <c r="G91" s="33" t="s">
        <v>182</v>
      </c>
      <c r="H91" s="33" t="s">
        <v>58</v>
      </c>
      <c r="I91" s="36">
        <f t="shared" si="2"/>
        <v>46054</v>
      </c>
      <c r="J91" s="33" t="str">
        <f t="shared" si="3"/>
        <v>AI Subscription</v>
      </c>
    </row>
    <row r="92" spans="1:10" ht="12.95" customHeight="1" x14ac:dyDescent="0.25">
      <c r="A92" s="32">
        <v>46060</v>
      </c>
      <c r="B92" s="33" t="s">
        <v>184</v>
      </c>
      <c r="C92" s="33" t="s">
        <v>3</v>
      </c>
      <c r="D92" s="34">
        <v>-2000</v>
      </c>
      <c r="E92" s="35">
        <v>7</v>
      </c>
      <c r="F92" s="33" t="s">
        <v>185</v>
      </c>
      <c r="G92" s="33" t="s">
        <v>184</v>
      </c>
      <c r="H92" s="33" t="s">
        <v>68</v>
      </c>
      <c r="I92" s="36">
        <f t="shared" si="2"/>
        <v>46054</v>
      </c>
      <c r="J92" s="33" t="str">
        <f t="shared" si="3"/>
        <v>Team Travel</v>
      </c>
    </row>
    <row r="93" spans="1:10" ht="12.95" customHeight="1" x14ac:dyDescent="0.25">
      <c r="A93" s="32">
        <v>46060</v>
      </c>
      <c r="B93" s="33" t="s">
        <v>71</v>
      </c>
      <c r="C93" s="33" t="s">
        <v>3</v>
      </c>
      <c r="D93" s="34">
        <v>-2000</v>
      </c>
      <c r="E93" s="35">
        <v>113.03</v>
      </c>
      <c r="F93" s="33" t="s">
        <v>186</v>
      </c>
      <c r="G93" s="33" t="s">
        <v>71</v>
      </c>
      <c r="H93" s="33" t="s">
        <v>73</v>
      </c>
      <c r="I93" s="36">
        <f t="shared" si="2"/>
        <v>46054</v>
      </c>
      <c r="J93" s="33" t="str">
        <f t="shared" si="3"/>
        <v>Personal - Health</v>
      </c>
    </row>
    <row r="94" spans="1:10" ht="12.95" customHeight="1" x14ac:dyDescent="0.25">
      <c r="A94" s="32">
        <v>46060</v>
      </c>
      <c r="B94" s="33" t="s">
        <v>131</v>
      </c>
      <c r="C94" s="33" t="s">
        <v>3</v>
      </c>
      <c r="D94" s="34">
        <v>-2000</v>
      </c>
      <c r="E94" s="35">
        <v>46.8</v>
      </c>
      <c r="F94" s="33" t="s">
        <v>187</v>
      </c>
      <c r="G94" s="33" t="s">
        <v>131</v>
      </c>
      <c r="H94" s="33" t="s">
        <v>73</v>
      </c>
      <c r="I94" s="36">
        <f t="shared" si="2"/>
        <v>46054</v>
      </c>
      <c r="J94" s="33" t="str">
        <f t="shared" si="3"/>
        <v>Personal - Health</v>
      </c>
    </row>
    <row r="95" spans="1:10" ht="12.95" customHeight="1" x14ac:dyDescent="0.25">
      <c r="A95" s="32">
        <v>46060</v>
      </c>
      <c r="B95" s="33" t="s">
        <v>188</v>
      </c>
      <c r="C95" s="33" t="s">
        <v>3</v>
      </c>
      <c r="D95" s="34">
        <v>-2000</v>
      </c>
      <c r="E95" s="35">
        <v>11.99</v>
      </c>
      <c r="F95" s="33" t="s">
        <v>189</v>
      </c>
      <c r="G95" s="33" t="s">
        <v>188</v>
      </c>
      <c r="H95" s="33" t="s">
        <v>26</v>
      </c>
      <c r="I95" s="36">
        <f t="shared" si="2"/>
        <v>46054</v>
      </c>
      <c r="J95" s="33" t="str">
        <f t="shared" si="3"/>
        <v>Go Daddy</v>
      </c>
    </row>
    <row r="96" spans="1:10" ht="12.95" customHeight="1" x14ac:dyDescent="0.25">
      <c r="A96" s="32">
        <v>46060</v>
      </c>
      <c r="B96" s="33" t="s">
        <v>180</v>
      </c>
      <c r="C96" s="33" t="s">
        <v>3</v>
      </c>
      <c r="D96" s="34">
        <v>-2000</v>
      </c>
      <c r="E96" s="35">
        <v>291.55</v>
      </c>
      <c r="F96" s="33" t="s">
        <v>190</v>
      </c>
      <c r="G96" s="33" t="s">
        <v>180</v>
      </c>
      <c r="H96" s="33" t="s">
        <v>73</v>
      </c>
      <c r="I96" s="36">
        <f t="shared" si="2"/>
        <v>46054</v>
      </c>
      <c r="J96" s="33" t="str">
        <f t="shared" si="3"/>
        <v>Personal - Health</v>
      </c>
    </row>
    <row r="97" spans="1:10" ht="12.95" customHeight="1" x14ac:dyDescent="0.25">
      <c r="A97" s="32">
        <v>46060</v>
      </c>
      <c r="B97" s="33" t="s">
        <v>191</v>
      </c>
      <c r="C97" s="33" t="s">
        <v>3</v>
      </c>
      <c r="D97" s="34">
        <v>-2000</v>
      </c>
      <c r="E97" s="35">
        <v>195</v>
      </c>
      <c r="F97" s="33" t="s">
        <v>192</v>
      </c>
      <c r="G97" s="33" t="s">
        <v>191</v>
      </c>
      <c r="H97" s="33" t="s">
        <v>177</v>
      </c>
      <c r="I97" s="36">
        <f t="shared" si="2"/>
        <v>46054</v>
      </c>
      <c r="J97" s="33" t="str">
        <f t="shared" si="3"/>
        <v>DWG-RE Marketing</v>
      </c>
    </row>
    <row r="98" spans="1:10" ht="12.95" customHeight="1" x14ac:dyDescent="0.25">
      <c r="A98" s="32">
        <v>46060</v>
      </c>
      <c r="B98" s="33" t="s">
        <v>19</v>
      </c>
      <c r="C98" s="33" t="s">
        <v>3</v>
      </c>
      <c r="D98" s="34">
        <v>-2000</v>
      </c>
      <c r="E98" s="35">
        <v>8586</v>
      </c>
      <c r="F98" s="33" t="s">
        <v>193</v>
      </c>
      <c r="G98" s="33" t="s">
        <v>19</v>
      </c>
      <c r="H98" s="33" t="s">
        <v>21</v>
      </c>
      <c r="I98" s="36">
        <f t="shared" si="2"/>
        <v>46054</v>
      </c>
      <c r="J98" s="33" t="str">
        <f t="shared" si="3"/>
        <v>Sponsor Cloud - DWGCP</v>
      </c>
    </row>
    <row r="99" spans="1:10" ht="12.95" customHeight="1" x14ac:dyDescent="0.25">
      <c r="A99" s="32">
        <v>46060</v>
      </c>
      <c r="B99" s="33" t="s">
        <v>194</v>
      </c>
      <c r="C99" s="33" t="s">
        <v>3</v>
      </c>
      <c r="D99" s="34">
        <v>-2000</v>
      </c>
      <c r="E99" s="35">
        <v>16.97</v>
      </c>
      <c r="F99" s="33" t="s">
        <v>195</v>
      </c>
      <c r="G99" s="33" t="s">
        <v>194</v>
      </c>
      <c r="H99" s="33" t="s">
        <v>16</v>
      </c>
      <c r="I99" s="36">
        <f t="shared" si="2"/>
        <v>46054</v>
      </c>
      <c r="J99" s="33" t="str">
        <f t="shared" si="3"/>
        <v>Personal - Food</v>
      </c>
    </row>
    <row r="100" spans="1:10" ht="12.95" customHeight="1" x14ac:dyDescent="0.25">
      <c r="A100" s="32">
        <v>46059</v>
      </c>
      <c r="B100" s="33" t="s">
        <v>196</v>
      </c>
      <c r="C100" s="33" t="s">
        <v>3</v>
      </c>
      <c r="D100" s="34">
        <v>-2000</v>
      </c>
      <c r="E100" s="35">
        <v>9.99</v>
      </c>
      <c r="F100" s="33" t="s">
        <v>197</v>
      </c>
      <c r="G100" s="33" t="s">
        <v>196</v>
      </c>
      <c r="H100" s="33" t="s">
        <v>29</v>
      </c>
      <c r="I100" s="36">
        <f t="shared" si="2"/>
        <v>46054</v>
      </c>
      <c r="J100" s="33" t="str">
        <f t="shared" si="3"/>
        <v>Software &amp; Subscriptions</v>
      </c>
    </row>
    <row r="101" spans="1:10" ht="12.95" customHeight="1" x14ac:dyDescent="0.25">
      <c r="A101" s="32">
        <v>46059</v>
      </c>
      <c r="B101" s="33" t="s">
        <v>198</v>
      </c>
      <c r="C101" s="33" t="s">
        <v>3</v>
      </c>
      <c r="D101" s="34">
        <v>-2000</v>
      </c>
      <c r="E101" s="35">
        <v>260</v>
      </c>
      <c r="F101" s="33" t="s">
        <v>199</v>
      </c>
      <c r="G101" s="33" t="s">
        <v>198</v>
      </c>
      <c r="H101" s="33" t="s">
        <v>200</v>
      </c>
      <c r="I101" s="36">
        <f t="shared" si="2"/>
        <v>46054</v>
      </c>
      <c r="J101" s="33" t="str">
        <f t="shared" si="3"/>
        <v>DWG-RE Listing Platform</v>
      </c>
    </row>
    <row r="102" spans="1:10" ht="12.95" customHeight="1" x14ac:dyDescent="0.25">
      <c r="A102" s="32">
        <v>46058</v>
      </c>
      <c r="B102" s="33" t="s">
        <v>201</v>
      </c>
      <c r="C102" s="33" t="s">
        <v>3</v>
      </c>
      <c r="D102" s="34">
        <v>-2000</v>
      </c>
      <c r="E102" s="35">
        <v>459</v>
      </c>
      <c r="F102" s="33" t="s">
        <v>202</v>
      </c>
      <c r="G102" s="33" t="s">
        <v>201</v>
      </c>
      <c r="H102" s="33" t="s">
        <v>203</v>
      </c>
      <c r="I102" s="36">
        <f t="shared" si="2"/>
        <v>46054</v>
      </c>
      <c r="J102" s="33" t="str">
        <f t="shared" si="3"/>
        <v>Entity Filing</v>
      </c>
    </row>
    <row r="103" spans="1:10" ht="12.95" customHeight="1" x14ac:dyDescent="0.25">
      <c r="A103" s="32">
        <v>46058</v>
      </c>
      <c r="B103" s="33" t="s">
        <v>201</v>
      </c>
      <c r="C103" s="33" t="s">
        <v>3</v>
      </c>
      <c r="D103" s="34">
        <v>-2000</v>
      </c>
      <c r="E103" s="35">
        <v>459</v>
      </c>
      <c r="F103" s="33" t="s">
        <v>202</v>
      </c>
      <c r="G103" s="33" t="s">
        <v>201</v>
      </c>
      <c r="H103" s="33" t="s">
        <v>203</v>
      </c>
      <c r="I103" s="36">
        <f t="shared" si="2"/>
        <v>46054</v>
      </c>
      <c r="J103" s="33" t="str">
        <f t="shared" si="3"/>
        <v>Entity Filing</v>
      </c>
    </row>
    <row r="104" spans="1:10" ht="12.95" customHeight="1" x14ac:dyDescent="0.25">
      <c r="A104" s="32">
        <v>46058</v>
      </c>
      <c r="B104" s="33" t="s">
        <v>204</v>
      </c>
      <c r="C104" s="33" t="s">
        <v>3</v>
      </c>
      <c r="D104" s="34">
        <v>-2000</v>
      </c>
      <c r="E104" s="35">
        <v>19.97</v>
      </c>
      <c r="F104" s="33" t="s">
        <v>205</v>
      </c>
      <c r="G104" s="33" t="s">
        <v>204</v>
      </c>
      <c r="H104" s="33" t="s">
        <v>26</v>
      </c>
      <c r="I104" s="36">
        <f t="shared" si="2"/>
        <v>46054</v>
      </c>
      <c r="J104" s="33" t="str">
        <f t="shared" si="3"/>
        <v>Go Daddy</v>
      </c>
    </row>
    <row r="105" spans="1:10" ht="12.95" customHeight="1" x14ac:dyDescent="0.25">
      <c r="A105" s="32">
        <v>46058</v>
      </c>
      <c r="B105" s="33" t="s">
        <v>206</v>
      </c>
      <c r="C105" s="33" t="s">
        <v>3</v>
      </c>
      <c r="D105" s="34">
        <v>-2000</v>
      </c>
      <c r="E105" s="35">
        <v>179.66</v>
      </c>
      <c r="F105" s="33" t="s">
        <v>207</v>
      </c>
      <c r="G105" s="33" t="s">
        <v>206</v>
      </c>
      <c r="H105" s="33" t="s">
        <v>16</v>
      </c>
      <c r="I105" s="36">
        <f t="shared" si="2"/>
        <v>46054</v>
      </c>
      <c r="J105" s="33" t="str">
        <f t="shared" si="3"/>
        <v>Personal - Food</v>
      </c>
    </row>
    <row r="106" spans="1:10" ht="12.95" customHeight="1" x14ac:dyDescent="0.25">
      <c r="A106" s="32">
        <v>46057</v>
      </c>
      <c r="B106" s="33" t="s">
        <v>208</v>
      </c>
      <c r="C106" s="33" t="s">
        <v>3</v>
      </c>
      <c r="D106" s="34">
        <v>-2000</v>
      </c>
      <c r="E106" s="35">
        <v>200.29</v>
      </c>
      <c r="F106" s="33" t="s">
        <v>209</v>
      </c>
      <c r="G106" s="33" t="s">
        <v>208</v>
      </c>
      <c r="H106" s="33" t="s">
        <v>210</v>
      </c>
      <c r="I106" s="36">
        <f t="shared" si="2"/>
        <v>46054</v>
      </c>
      <c r="J106" s="33" t="str">
        <f t="shared" si="3"/>
        <v>Amazon</v>
      </c>
    </row>
    <row r="107" spans="1:10" ht="12.95" customHeight="1" x14ac:dyDescent="0.25">
      <c r="A107" s="32">
        <v>46057</v>
      </c>
      <c r="B107" s="33" t="s">
        <v>211</v>
      </c>
      <c r="C107" s="33" t="s">
        <v>3</v>
      </c>
      <c r="D107" s="34">
        <v>-2000</v>
      </c>
      <c r="E107" s="35">
        <v>106.04</v>
      </c>
      <c r="F107" s="33" t="s">
        <v>212</v>
      </c>
      <c r="G107" s="33" t="s">
        <v>211</v>
      </c>
      <c r="H107" s="33" t="s">
        <v>16</v>
      </c>
      <c r="I107" s="36">
        <f t="shared" si="2"/>
        <v>46054</v>
      </c>
      <c r="J107" s="33" t="str">
        <f t="shared" si="3"/>
        <v>Personal - Food</v>
      </c>
    </row>
    <row r="108" spans="1:10" ht="12.95" customHeight="1" x14ac:dyDescent="0.25">
      <c r="A108" s="32">
        <v>46057</v>
      </c>
      <c r="B108" s="33" t="s">
        <v>213</v>
      </c>
      <c r="C108" s="33" t="s">
        <v>3</v>
      </c>
      <c r="D108" s="34">
        <v>-2000</v>
      </c>
      <c r="E108" s="35">
        <v>45</v>
      </c>
      <c r="F108" s="33" t="s">
        <v>214</v>
      </c>
      <c r="G108" s="33" t="s">
        <v>213</v>
      </c>
      <c r="H108" s="33" t="s">
        <v>68</v>
      </c>
      <c r="I108" s="36">
        <f t="shared" si="2"/>
        <v>46054</v>
      </c>
      <c r="J108" s="33" t="str">
        <f t="shared" si="3"/>
        <v>Team Travel</v>
      </c>
    </row>
    <row r="109" spans="1:10" ht="12.95" customHeight="1" x14ac:dyDescent="0.25">
      <c r="A109" s="32">
        <v>46057</v>
      </c>
      <c r="B109" s="33" t="s">
        <v>215</v>
      </c>
      <c r="C109" s="33" t="s">
        <v>3</v>
      </c>
      <c r="D109" s="34">
        <v>-2000</v>
      </c>
      <c r="E109" s="35">
        <v>8.4600000000000009</v>
      </c>
      <c r="F109" s="33" t="s">
        <v>216</v>
      </c>
      <c r="G109" s="33" t="s">
        <v>215</v>
      </c>
      <c r="H109" s="33" t="s">
        <v>16</v>
      </c>
      <c r="I109" s="36">
        <f t="shared" si="2"/>
        <v>46054</v>
      </c>
      <c r="J109" s="33" t="str">
        <f t="shared" si="3"/>
        <v>Personal - Food</v>
      </c>
    </row>
    <row r="110" spans="1:10" ht="12.95" customHeight="1" x14ac:dyDescent="0.25">
      <c r="A110" s="32">
        <v>46057</v>
      </c>
      <c r="B110" s="33" t="s">
        <v>217</v>
      </c>
      <c r="C110" s="33" t="s">
        <v>3</v>
      </c>
      <c r="D110" s="34">
        <v>-2000</v>
      </c>
      <c r="E110" s="35">
        <v>330.04</v>
      </c>
      <c r="F110" s="33" t="s">
        <v>218</v>
      </c>
      <c r="G110" s="33" t="s">
        <v>217</v>
      </c>
      <c r="H110" s="33" t="s">
        <v>16</v>
      </c>
      <c r="I110" s="36">
        <f t="shared" si="2"/>
        <v>46054</v>
      </c>
      <c r="J110" s="33" t="str">
        <f t="shared" si="3"/>
        <v>Personal - Food</v>
      </c>
    </row>
    <row r="111" spans="1:10" ht="12.95" customHeight="1" x14ac:dyDescent="0.25">
      <c r="A111" s="32">
        <v>46056</v>
      </c>
      <c r="B111" s="33" t="s">
        <v>66</v>
      </c>
      <c r="C111" s="33" t="s">
        <v>3</v>
      </c>
      <c r="D111" s="34">
        <v>-2000</v>
      </c>
      <c r="E111" s="35">
        <v>35</v>
      </c>
      <c r="F111" s="33" t="s">
        <v>219</v>
      </c>
      <c r="G111" s="33" t="s">
        <v>66</v>
      </c>
      <c r="H111" s="33" t="s">
        <v>68</v>
      </c>
      <c r="I111" s="36">
        <f t="shared" si="2"/>
        <v>46054</v>
      </c>
      <c r="J111" s="33" t="str">
        <f t="shared" si="3"/>
        <v>Team Travel</v>
      </c>
    </row>
    <row r="112" spans="1:10" ht="12.95" customHeight="1" x14ac:dyDescent="0.25">
      <c r="A112" s="32">
        <v>46056</v>
      </c>
      <c r="B112" s="33" t="s">
        <v>66</v>
      </c>
      <c r="C112" s="33" t="s">
        <v>3</v>
      </c>
      <c r="D112" s="34">
        <v>-2000</v>
      </c>
      <c r="E112" s="35">
        <v>109.35</v>
      </c>
      <c r="F112" s="33" t="s">
        <v>220</v>
      </c>
      <c r="G112" s="33" t="s">
        <v>66</v>
      </c>
      <c r="H112" s="33" t="s">
        <v>68</v>
      </c>
      <c r="I112" s="36">
        <f t="shared" si="2"/>
        <v>46054</v>
      </c>
      <c r="J112" s="33" t="str">
        <f t="shared" si="3"/>
        <v>Team Travel</v>
      </c>
    </row>
    <row r="113" spans="1:10" ht="12.95" customHeight="1" x14ac:dyDescent="0.25">
      <c r="A113" s="32">
        <v>46056</v>
      </c>
      <c r="B113" s="33" t="s">
        <v>221</v>
      </c>
      <c r="C113" s="33" t="s">
        <v>3</v>
      </c>
      <c r="D113" s="34">
        <v>-2000</v>
      </c>
      <c r="E113" s="35">
        <v>13.99</v>
      </c>
      <c r="F113" s="33" t="s">
        <v>222</v>
      </c>
      <c r="G113" s="33" t="s">
        <v>221</v>
      </c>
      <c r="H113" s="33" t="s">
        <v>73</v>
      </c>
      <c r="I113" s="36">
        <f t="shared" si="2"/>
        <v>46054</v>
      </c>
      <c r="J113" s="33" t="str">
        <f t="shared" si="3"/>
        <v>Personal - Health</v>
      </c>
    </row>
    <row r="114" spans="1:10" ht="12.95" customHeight="1" x14ac:dyDescent="0.25">
      <c r="A114" s="32">
        <v>46056</v>
      </c>
      <c r="B114" s="33" t="s">
        <v>223</v>
      </c>
      <c r="C114" s="33" t="s">
        <v>3</v>
      </c>
      <c r="D114" s="34">
        <v>-2000</v>
      </c>
      <c r="E114" s="35">
        <v>52.14</v>
      </c>
      <c r="F114" s="33" t="s">
        <v>224</v>
      </c>
      <c r="G114" s="33" t="s">
        <v>223</v>
      </c>
      <c r="H114" s="33" t="s">
        <v>29</v>
      </c>
      <c r="I114" s="36">
        <f t="shared" si="2"/>
        <v>46054</v>
      </c>
      <c r="J114" s="33" t="str">
        <f t="shared" si="3"/>
        <v>Software &amp; Subscriptions</v>
      </c>
    </row>
    <row r="115" spans="1:10" ht="12.95" customHeight="1" x14ac:dyDescent="0.25">
      <c r="A115" s="32">
        <v>46056</v>
      </c>
      <c r="B115" s="33" t="s">
        <v>225</v>
      </c>
      <c r="C115" s="33" t="s">
        <v>3</v>
      </c>
      <c r="D115" s="34">
        <v>-2000</v>
      </c>
      <c r="E115" s="35">
        <v>129.55000000000001</v>
      </c>
      <c r="F115" s="33" t="s">
        <v>226</v>
      </c>
      <c r="G115" s="33" t="s">
        <v>225</v>
      </c>
      <c r="H115" s="33" t="s">
        <v>16</v>
      </c>
      <c r="I115" s="36">
        <f t="shared" si="2"/>
        <v>46054</v>
      </c>
      <c r="J115" s="33" t="str">
        <f t="shared" si="3"/>
        <v>Personal - Food</v>
      </c>
    </row>
    <row r="116" spans="1:10" ht="12.95" customHeight="1" x14ac:dyDescent="0.25">
      <c r="A116" s="32">
        <v>46055</v>
      </c>
      <c r="B116" s="33" t="s">
        <v>227</v>
      </c>
      <c r="C116" s="33" t="s">
        <v>3</v>
      </c>
      <c r="D116" s="34">
        <v>-2000</v>
      </c>
      <c r="E116" s="35">
        <v>121.24</v>
      </c>
      <c r="F116" s="33" t="s">
        <v>228</v>
      </c>
      <c r="G116" s="33" t="s">
        <v>227</v>
      </c>
      <c r="H116" s="33" t="s">
        <v>63</v>
      </c>
      <c r="I116" s="36">
        <f t="shared" si="2"/>
        <v>46054</v>
      </c>
      <c r="J116" s="33" t="str">
        <f t="shared" si="3"/>
        <v>Personal - Family</v>
      </c>
    </row>
    <row r="117" spans="1:10" ht="12.95" customHeight="1" x14ac:dyDescent="0.25">
      <c r="A117" s="32">
        <v>46055</v>
      </c>
      <c r="B117" s="33" t="s">
        <v>116</v>
      </c>
      <c r="C117" s="33" t="s">
        <v>3</v>
      </c>
      <c r="D117" s="34">
        <v>-2000</v>
      </c>
      <c r="E117" s="35">
        <v>-618.4</v>
      </c>
      <c r="F117" s="33" t="s">
        <v>117</v>
      </c>
      <c r="G117" s="33" t="s">
        <v>116</v>
      </c>
      <c r="H117" s="33" t="s">
        <v>116</v>
      </c>
      <c r="I117" s="36">
        <f t="shared" si="2"/>
        <v>46054</v>
      </c>
      <c r="J117" s="33" t="str">
        <f t="shared" si="3"/>
        <v>Amex Online Flight Statement Credit</v>
      </c>
    </row>
    <row r="118" spans="1:10" ht="12.95" customHeight="1" x14ac:dyDescent="0.25">
      <c r="A118" s="32">
        <v>46055</v>
      </c>
      <c r="B118" s="33" t="s">
        <v>229</v>
      </c>
      <c r="C118" s="33" t="s">
        <v>3</v>
      </c>
      <c r="D118" s="34">
        <v>-2000</v>
      </c>
      <c r="E118" s="35">
        <v>-150</v>
      </c>
      <c r="F118" s="33" t="s">
        <v>230</v>
      </c>
      <c r="G118" s="33" t="s">
        <v>229</v>
      </c>
      <c r="H118" s="33" t="s">
        <v>229</v>
      </c>
      <c r="I118" s="36">
        <f t="shared" si="2"/>
        <v>46054</v>
      </c>
      <c r="J118" s="33" t="str">
        <f t="shared" si="3"/>
        <v>Points for Amex Trvl</v>
      </c>
    </row>
    <row r="119" spans="1:10" ht="12.95" customHeight="1" x14ac:dyDescent="0.25">
      <c r="A119" s="32">
        <v>46055</v>
      </c>
      <c r="B119" s="33" t="s">
        <v>231</v>
      </c>
      <c r="C119" s="33" t="s">
        <v>3</v>
      </c>
      <c r="D119" s="34">
        <v>-2000</v>
      </c>
      <c r="E119" s="35">
        <v>618.4</v>
      </c>
      <c r="F119" s="33" t="s">
        <v>232</v>
      </c>
      <c r="G119" s="33" t="s">
        <v>231</v>
      </c>
      <c r="H119" s="33" t="s">
        <v>68</v>
      </c>
      <c r="I119" s="36">
        <f t="shared" si="2"/>
        <v>46054</v>
      </c>
      <c r="J119" s="33" t="str">
        <f t="shared" si="3"/>
        <v>Team Travel</v>
      </c>
    </row>
    <row r="120" spans="1:10" ht="12.95" customHeight="1" x14ac:dyDescent="0.25">
      <c r="A120" s="32">
        <v>46055</v>
      </c>
      <c r="B120" s="33" t="s">
        <v>233</v>
      </c>
      <c r="C120" s="33" t="s">
        <v>3</v>
      </c>
      <c r="D120" s="34">
        <v>-2000</v>
      </c>
      <c r="E120" s="35">
        <v>259.44</v>
      </c>
      <c r="F120" s="33" t="s">
        <v>234</v>
      </c>
      <c r="G120" s="33" t="s">
        <v>233</v>
      </c>
      <c r="H120" s="33" t="s">
        <v>63</v>
      </c>
      <c r="I120" s="36">
        <f t="shared" si="2"/>
        <v>46054</v>
      </c>
      <c r="J120" s="33" t="str">
        <f t="shared" si="3"/>
        <v>Personal - Family</v>
      </c>
    </row>
    <row r="121" spans="1:10" ht="12.95" customHeight="1" x14ac:dyDescent="0.25">
      <c r="A121" s="32">
        <v>46055</v>
      </c>
      <c r="B121" s="33" t="s">
        <v>235</v>
      </c>
      <c r="C121" s="33" t="s">
        <v>3</v>
      </c>
      <c r="D121" s="34">
        <v>-2000</v>
      </c>
      <c r="E121" s="35">
        <v>217.08</v>
      </c>
      <c r="F121" s="33" t="s">
        <v>236</v>
      </c>
      <c r="G121" s="33" t="s">
        <v>235</v>
      </c>
      <c r="H121" s="33" t="s">
        <v>63</v>
      </c>
      <c r="I121" s="36">
        <f t="shared" si="2"/>
        <v>46054</v>
      </c>
      <c r="J121" s="33" t="str">
        <f t="shared" si="3"/>
        <v>Personal - Family</v>
      </c>
    </row>
    <row r="122" spans="1:10" ht="12.95" customHeight="1" x14ac:dyDescent="0.25">
      <c r="A122" s="32">
        <v>46054</v>
      </c>
      <c r="B122" s="33" t="s">
        <v>237</v>
      </c>
      <c r="C122" s="33" t="s">
        <v>3</v>
      </c>
      <c r="D122" s="34">
        <v>-2000</v>
      </c>
      <c r="E122" s="35">
        <v>129.52000000000001</v>
      </c>
      <c r="F122" s="33" t="s">
        <v>238</v>
      </c>
      <c r="G122" s="33" t="s">
        <v>237</v>
      </c>
      <c r="H122" s="33" t="s">
        <v>73</v>
      </c>
      <c r="I122" s="36">
        <f t="shared" si="2"/>
        <v>46054</v>
      </c>
      <c r="J122" s="33" t="str">
        <f t="shared" si="3"/>
        <v>Personal - Health</v>
      </c>
    </row>
    <row r="123" spans="1:10" ht="12.95" customHeight="1" x14ac:dyDescent="0.25">
      <c r="A123" s="32">
        <v>46054</v>
      </c>
      <c r="B123" s="33" t="s">
        <v>227</v>
      </c>
      <c r="C123" s="33" t="s">
        <v>3</v>
      </c>
      <c r="D123" s="34">
        <v>-2000</v>
      </c>
      <c r="E123" s="35">
        <v>173.2</v>
      </c>
      <c r="F123" s="33" t="s">
        <v>239</v>
      </c>
      <c r="G123" s="33" t="s">
        <v>227</v>
      </c>
      <c r="H123" s="33" t="s">
        <v>63</v>
      </c>
      <c r="I123" s="36">
        <f t="shared" si="2"/>
        <v>46054</v>
      </c>
      <c r="J123" s="33" t="str">
        <f t="shared" si="3"/>
        <v>Personal - Family</v>
      </c>
    </row>
    <row r="124" spans="1:10" ht="12.95" customHeight="1" x14ac:dyDescent="0.25">
      <c r="A124" s="32">
        <v>46054</v>
      </c>
      <c r="B124" s="33" t="s">
        <v>240</v>
      </c>
      <c r="C124" s="33" t="s">
        <v>3</v>
      </c>
      <c r="D124" s="34">
        <v>-2000</v>
      </c>
      <c r="E124" s="35">
        <v>33.97</v>
      </c>
      <c r="F124" s="33" t="s">
        <v>241</v>
      </c>
      <c r="G124" s="33" t="s">
        <v>240</v>
      </c>
      <c r="H124" s="33" t="s">
        <v>26</v>
      </c>
      <c r="I124" s="36">
        <f t="shared" si="2"/>
        <v>46054</v>
      </c>
      <c r="J124" s="33" t="str">
        <f t="shared" si="3"/>
        <v>Go Daddy</v>
      </c>
    </row>
    <row r="125" spans="1:10" ht="12.95" customHeight="1" x14ac:dyDescent="0.25">
      <c r="A125" s="32">
        <v>46054</v>
      </c>
      <c r="B125" s="33" t="s">
        <v>242</v>
      </c>
      <c r="C125" s="33" t="s">
        <v>3</v>
      </c>
      <c r="D125" s="34">
        <v>-2000</v>
      </c>
      <c r="E125" s="35">
        <v>20</v>
      </c>
      <c r="F125" s="33" t="s">
        <v>243</v>
      </c>
      <c r="G125" s="33" t="s">
        <v>242</v>
      </c>
      <c r="H125" s="33" t="s">
        <v>29</v>
      </c>
      <c r="I125" s="36">
        <f t="shared" si="2"/>
        <v>46054</v>
      </c>
      <c r="J125" s="33" t="str">
        <f t="shared" si="3"/>
        <v>Software &amp; Subscriptions</v>
      </c>
    </row>
    <row r="126" spans="1:10" ht="12.95" customHeight="1" x14ac:dyDescent="0.25">
      <c r="A126" s="32">
        <v>46054</v>
      </c>
      <c r="B126" s="33" t="s">
        <v>244</v>
      </c>
      <c r="C126" s="33" t="s">
        <v>3</v>
      </c>
      <c r="D126" s="34">
        <v>-2000</v>
      </c>
      <c r="E126" s="35">
        <v>40.770000000000003</v>
      </c>
      <c r="F126" s="33" t="s">
        <v>245</v>
      </c>
      <c r="G126" s="33" t="s">
        <v>244</v>
      </c>
      <c r="H126" s="33" t="s">
        <v>63</v>
      </c>
      <c r="I126" s="36">
        <f t="shared" si="2"/>
        <v>46054</v>
      </c>
      <c r="J126" s="33" t="str">
        <f t="shared" si="3"/>
        <v>Personal - Family</v>
      </c>
    </row>
    <row r="127" spans="1:10" ht="12.95" customHeight="1" x14ac:dyDescent="0.25">
      <c r="A127" s="32">
        <v>46053</v>
      </c>
      <c r="B127" s="33" t="s">
        <v>246</v>
      </c>
      <c r="C127" s="33" t="s">
        <v>3</v>
      </c>
      <c r="D127" s="34">
        <v>-2000</v>
      </c>
      <c r="E127" s="35">
        <v>181.96</v>
      </c>
      <c r="F127" s="33" t="s">
        <v>247</v>
      </c>
      <c r="G127" s="33" t="s">
        <v>246</v>
      </c>
      <c r="H127" s="33" t="s">
        <v>63</v>
      </c>
      <c r="I127" s="36">
        <f t="shared" si="2"/>
        <v>46023</v>
      </c>
      <c r="J127" s="33" t="str">
        <f t="shared" si="3"/>
        <v>Personal - Family</v>
      </c>
    </row>
    <row r="128" spans="1:10" ht="12.95" customHeight="1" x14ac:dyDescent="0.25">
      <c r="A128" s="32">
        <v>46053</v>
      </c>
      <c r="B128" s="33" t="s">
        <v>19</v>
      </c>
      <c r="C128" s="33" t="s">
        <v>3</v>
      </c>
      <c r="D128" s="34">
        <v>-2000</v>
      </c>
      <c r="E128" s="35">
        <v>194.45</v>
      </c>
      <c r="F128" s="33" t="s">
        <v>248</v>
      </c>
      <c r="G128" s="33" t="s">
        <v>19</v>
      </c>
      <c r="H128" s="33" t="s">
        <v>21</v>
      </c>
      <c r="I128" s="36">
        <f t="shared" si="2"/>
        <v>46023</v>
      </c>
      <c r="J128" s="33" t="str">
        <f t="shared" si="3"/>
        <v>Sponsor Cloud - DWGCP</v>
      </c>
    </row>
    <row r="129" spans="1:10" ht="12.95" customHeight="1" x14ac:dyDescent="0.25">
      <c r="A129" s="32">
        <v>46050</v>
      </c>
      <c r="B129" s="33" t="s">
        <v>249</v>
      </c>
      <c r="C129" s="33" t="s">
        <v>3</v>
      </c>
      <c r="D129" s="34">
        <v>-2000</v>
      </c>
      <c r="E129" s="35">
        <v>21.61</v>
      </c>
      <c r="F129" s="33" t="s">
        <v>250</v>
      </c>
      <c r="G129" s="33" t="s">
        <v>249</v>
      </c>
      <c r="H129" s="33" t="s">
        <v>68</v>
      </c>
      <c r="I129" s="36">
        <f t="shared" si="2"/>
        <v>46023</v>
      </c>
      <c r="J129" s="33" t="str">
        <f t="shared" si="3"/>
        <v>Team Travel</v>
      </c>
    </row>
    <row r="130" spans="1:10" ht="12.95" customHeight="1" x14ac:dyDescent="0.25">
      <c r="A130" s="32">
        <v>46050</v>
      </c>
      <c r="B130" s="33" t="s">
        <v>251</v>
      </c>
      <c r="C130" s="33" t="s">
        <v>3</v>
      </c>
      <c r="D130" s="34">
        <v>-2000</v>
      </c>
      <c r="E130" s="35">
        <v>-172</v>
      </c>
      <c r="F130" s="33" t="s">
        <v>252</v>
      </c>
      <c r="G130" s="33" t="s">
        <v>251</v>
      </c>
      <c r="H130" s="33" t="s">
        <v>68</v>
      </c>
      <c r="I130" s="36">
        <f t="shared" si="2"/>
        <v>46023</v>
      </c>
      <c r="J130" s="33" t="str">
        <f t="shared" si="3"/>
        <v>Team Travel</v>
      </c>
    </row>
    <row r="131" spans="1:10" ht="12.95" customHeight="1" x14ac:dyDescent="0.25">
      <c r="A131" s="32">
        <v>46050</v>
      </c>
      <c r="B131" s="33" t="s">
        <v>251</v>
      </c>
      <c r="C131" s="33" t="s">
        <v>3</v>
      </c>
      <c r="D131" s="34">
        <v>-2000</v>
      </c>
      <c r="E131" s="35">
        <v>172</v>
      </c>
      <c r="F131" s="33" t="s">
        <v>253</v>
      </c>
      <c r="G131" s="33" t="s">
        <v>251</v>
      </c>
      <c r="H131" s="33" t="s">
        <v>68</v>
      </c>
      <c r="I131" s="36">
        <f t="shared" si="2"/>
        <v>46023</v>
      </c>
      <c r="J131" s="33" t="str">
        <f t="shared" si="3"/>
        <v>Team Travel</v>
      </c>
    </row>
    <row r="132" spans="1:10" ht="12.95" customHeight="1" x14ac:dyDescent="0.25">
      <c r="A132" s="32">
        <v>46050</v>
      </c>
      <c r="B132" s="33" t="s">
        <v>251</v>
      </c>
      <c r="C132" s="33" t="s">
        <v>3</v>
      </c>
      <c r="D132" s="34">
        <v>-2000</v>
      </c>
      <c r="E132" s="35">
        <v>213.92</v>
      </c>
      <c r="F132" s="33" t="s">
        <v>254</v>
      </c>
      <c r="G132" s="33" t="s">
        <v>251</v>
      </c>
      <c r="H132" s="33" t="s">
        <v>68</v>
      </c>
      <c r="I132" s="36">
        <f t="shared" si="2"/>
        <v>46023</v>
      </c>
      <c r="J132" s="33" t="str">
        <f t="shared" si="3"/>
        <v>Team Travel</v>
      </c>
    </row>
    <row r="133" spans="1:10" ht="12.95" customHeight="1" x14ac:dyDescent="0.25">
      <c r="A133" s="32">
        <v>46050</v>
      </c>
      <c r="B133" s="33" t="s">
        <v>255</v>
      </c>
      <c r="C133" s="33" t="s">
        <v>3</v>
      </c>
      <c r="D133" s="34">
        <v>-2000</v>
      </c>
      <c r="E133" s="35">
        <v>283.55</v>
      </c>
      <c r="F133" s="33" t="s">
        <v>256</v>
      </c>
      <c r="G133" s="33" t="s">
        <v>255</v>
      </c>
      <c r="H133" s="33" t="s">
        <v>68</v>
      </c>
      <c r="I133" s="36">
        <f t="shared" si="2"/>
        <v>46023</v>
      </c>
      <c r="J133" s="33" t="str">
        <f t="shared" si="3"/>
        <v>Team Travel</v>
      </c>
    </row>
    <row r="134" spans="1:10" ht="12.95" customHeight="1" x14ac:dyDescent="0.25">
      <c r="A134" s="32">
        <v>46050</v>
      </c>
      <c r="B134" s="33" t="s">
        <v>257</v>
      </c>
      <c r="C134" s="33" t="s">
        <v>3</v>
      </c>
      <c r="D134" s="34">
        <v>-2000</v>
      </c>
      <c r="E134" s="35">
        <v>34.549999999999997</v>
      </c>
      <c r="F134" s="33" t="s">
        <v>258</v>
      </c>
      <c r="G134" s="33" t="s">
        <v>257</v>
      </c>
      <c r="H134" s="33" t="s">
        <v>68</v>
      </c>
      <c r="I134" s="36">
        <f t="shared" si="2"/>
        <v>46023</v>
      </c>
      <c r="J134" s="33" t="str">
        <f t="shared" si="3"/>
        <v>Team Travel</v>
      </c>
    </row>
    <row r="135" spans="1:10" ht="12.95" customHeight="1" x14ac:dyDescent="0.25">
      <c r="A135" s="32">
        <v>46050</v>
      </c>
      <c r="B135" s="33" t="s">
        <v>259</v>
      </c>
      <c r="C135" s="33" t="s">
        <v>3</v>
      </c>
      <c r="D135" s="34">
        <v>-2000</v>
      </c>
      <c r="E135" s="35">
        <v>173.03</v>
      </c>
      <c r="F135" s="33" t="s">
        <v>260</v>
      </c>
      <c r="G135" s="33" t="s">
        <v>261</v>
      </c>
      <c r="H135" s="33" t="s">
        <v>68</v>
      </c>
      <c r="I135" s="36">
        <f t="shared" si="2"/>
        <v>46023</v>
      </c>
      <c r="J135" s="33" t="str">
        <f t="shared" si="3"/>
        <v>Team Travel</v>
      </c>
    </row>
    <row r="136" spans="1:10" ht="12.95" customHeight="1" x14ac:dyDescent="0.25">
      <c r="A136" s="32">
        <v>46050</v>
      </c>
      <c r="B136" s="33" t="s">
        <v>262</v>
      </c>
      <c r="C136" s="33" t="s">
        <v>3</v>
      </c>
      <c r="D136" s="34">
        <v>-2000</v>
      </c>
      <c r="E136" s="35">
        <v>26.01</v>
      </c>
      <c r="F136" s="33" t="s">
        <v>263</v>
      </c>
      <c r="G136" s="33" t="s">
        <v>262</v>
      </c>
      <c r="H136" s="33" t="s">
        <v>68</v>
      </c>
      <c r="I136" s="36">
        <f t="shared" si="2"/>
        <v>46023</v>
      </c>
      <c r="J136" s="33" t="str">
        <f t="shared" si="3"/>
        <v>Team Travel</v>
      </c>
    </row>
    <row r="137" spans="1:10" ht="12.95" customHeight="1" x14ac:dyDescent="0.25">
      <c r="A137" s="32">
        <v>46049</v>
      </c>
      <c r="B137" s="33" t="s">
        <v>264</v>
      </c>
      <c r="C137" s="33" t="s">
        <v>3</v>
      </c>
      <c r="D137" s="34">
        <v>-2000</v>
      </c>
      <c r="E137" s="35">
        <v>17.98</v>
      </c>
      <c r="F137" s="33" t="s">
        <v>265</v>
      </c>
      <c r="G137" s="33" t="s">
        <v>264</v>
      </c>
      <c r="H137" s="33" t="s">
        <v>26</v>
      </c>
      <c r="I137" s="36">
        <f t="shared" ref="I137:I200" si="4">DATE(YEAR(A137),MONTH(A137),1)</f>
        <v>46023</v>
      </c>
      <c r="J137" s="33" t="str">
        <f t="shared" ref="J137:J200" si="5">IF(TRIM(H137)="","(Uncategorized)",TRIM(H137))</f>
        <v>Go Daddy</v>
      </c>
    </row>
    <row r="138" spans="1:10" ht="12.95" customHeight="1" x14ac:dyDescent="0.25">
      <c r="A138" s="32">
        <v>46049</v>
      </c>
      <c r="B138" s="33" t="s">
        <v>33</v>
      </c>
      <c r="C138" s="33" t="s">
        <v>3</v>
      </c>
      <c r="D138" s="34">
        <v>-2000</v>
      </c>
      <c r="E138" s="35">
        <v>-13892.09</v>
      </c>
      <c r="F138" s="33" t="s">
        <v>34</v>
      </c>
      <c r="G138" s="33" t="s">
        <v>33</v>
      </c>
      <c r="H138" s="33" t="s">
        <v>35</v>
      </c>
      <c r="I138" s="36">
        <f t="shared" si="4"/>
        <v>46023</v>
      </c>
      <c r="J138" s="33" t="str">
        <f t="shared" si="5"/>
        <v>Online AMEX Payment</v>
      </c>
    </row>
    <row r="139" spans="1:10" ht="12.95" customHeight="1" x14ac:dyDescent="0.25">
      <c r="A139" s="32">
        <v>46049</v>
      </c>
      <c r="B139" s="33" t="s">
        <v>27</v>
      </c>
      <c r="C139" s="33" t="s">
        <v>3</v>
      </c>
      <c r="D139" s="34">
        <v>-2000</v>
      </c>
      <c r="E139" s="35">
        <v>39.99</v>
      </c>
      <c r="F139" s="33" t="s">
        <v>266</v>
      </c>
      <c r="G139" s="33" t="s">
        <v>27</v>
      </c>
      <c r="H139" s="33" t="s">
        <v>29</v>
      </c>
      <c r="I139" s="36">
        <f t="shared" si="4"/>
        <v>46023</v>
      </c>
      <c r="J139" s="33" t="str">
        <f t="shared" si="5"/>
        <v>Software &amp; Subscriptions</v>
      </c>
    </row>
    <row r="140" spans="1:10" ht="12.95" customHeight="1" x14ac:dyDescent="0.25">
      <c r="A140" s="32">
        <v>46049</v>
      </c>
      <c r="B140" s="33" t="s">
        <v>267</v>
      </c>
      <c r="C140" s="33" t="s">
        <v>3</v>
      </c>
      <c r="D140" s="34">
        <v>-2000</v>
      </c>
      <c r="E140" s="35">
        <v>44.68</v>
      </c>
      <c r="F140" s="33" t="s">
        <v>268</v>
      </c>
      <c r="G140" s="33" t="s">
        <v>267</v>
      </c>
      <c r="H140" s="33" t="s">
        <v>68</v>
      </c>
      <c r="I140" s="36">
        <f t="shared" si="4"/>
        <v>46023</v>
      </c>
      <c r="J140" s="33" t="str">
        <f t="shared" si="5"/>
        <v>Team Travel</v>
      </c>
    </row>
    <row r="141" spans="1:10" ht="12.95" customHeight="1" x14ac:dyDescent="0.25">
      <c r="A141" s="32">
        <v>46048</v>
      </c>
      <c r="B141" s="33" t="s">
        <v>66</v>
      </c>
      <c r="C141" s="33" t="s">
        <v>3</v>
      </c>
      <c r="D141" s="34">
        <v>-2000</v>
      </c>
      <c r="E141" s="35">
        <v>-168.4</v>
      </c>
      <c r="F141" s="33" t="s">
        <v>269</v>
      </c>
      <c r="G141" s="33" t="s">
        <v>66</v>
      </c>
      <c r="H141" s="33" t="s">
        <v>68</v>
      </c>
      <c r="I141" s="36">
        <f t="shared" si="4"/>
        <v>46023</v>
      </c>
      <c r="J141" s="33" t="str">
        <f t="shared" si="5"/>
        <v>Team Travel</v>
      </c>
    </row>
    <row r="142" spans="1:10" ht="12.95" customHeight="1" x14ac:dyDescent="0.25">
      <c r="A142" s="32">
        <v>46048</v>
      </c>
      <c r="B142" s="33" t="s">
        <v>66</v>
      </c>
      <c r="C142" s="33" t="s">
        <v>3</v>
      </c>
      <c r="D142" s="34">
        <v>-2000</v>
      </c>
      <c r="E142" s="35">
        <v>-26.89</v>
      </c>
      <c r="F142" s="33" t="s">
        <v>270</v>
      </c>
      <c r="G142" s="33" t="s">
        <v>66</v>
      </c>
      <c r="H142" s="33" t="s">
        <v>68</v>
      </c>
      <c r="I142" s="36">
        <f t="shared" si="4"/>
        <v>46023</v>
      </c>
      <c r="J142" s="33" t="str">
        <f t="shared" si="5"/>
        <v>Team Travel</v>
      </c>
    </row>
    <row r="143" spans="1:10" ht="12.95" customHeight="1" x14ac:dyDescent="0.25">
      <c r="A143" s="32">
        <v>46048</v>
      </c>
      <c r="B143" s="33" t="s">
        <v>271</v>
      </c>
      <c r="C143" s="33" t="s">
        <v>3</v>
      </c>
      <c r="D143" s="34">
        <v>-2000</v>
      </c>
      <c r="E143" s="35">
        <v>48.77</v>
      </c>
      <c r="F143" s="33" t="s">
        <v>272</v>
      </c>
      <c r="G143" s="33" t="s">
        <v>271</v>
      </c>
      <c r="H143" s="33" t="s">
        <v>68</v>
      </c>
      <c r="I143" s="36">
        <f t="shared" si="4"/>
        <v>46023</v>
      </c>
      <c r="J143" s="33" t="str">
        <f t="shared" si="5"/>
        <v>Team Travel</v>
      </c>
    </row>
    <row r="144" spans="1:10" ht="12.95" customHeight="1" x14ac:dyDescent="0.25">
      <c r="A144" s="32">
        <v>46048</v>
      </c>
      <c r="B144" s="33" t="s">
        <v>271</v>
      </c>
      <c r="C144" s="33" t="s">
        <v>3</v>
      </c>
      <c r="D144" s="34">
        <v>-2000</v>
      </c>
      <c r="E144" s="35">
        <v>97.54</v>
      </c>
      <c r="F144" s="33" t="s">
        <v>273</v>
      </c>
      <c r="G144" s="33" t="s">
        <v>271</v>
      </c>
      <c r="H144" s="33" t="s">
        <v>68</v>
      </c>
      <c r="I144" s="36">
        <f t="shared" si="4"/>
        <v>46023</v>
      </c>
      <c r="J144" s="33" t="str">
        <f t="shared" si="5"/>
        <v>Team Travel</v>
      </c>
    </row>
    <row r="145" spans="1:10" ht="12.95" customHeight="1" x14ac:dyDescent="0.25">
      <c r="A145" s="32">
        <v>46048</v>
      </c>
      <c r="B145" s="33" t="s">
        <v>274</v>
      </c>
      <c r="C145" s="33" t="s">
        <v>3</v>
      </c>
      <c r="D145" s="34">
        <v>-2000</v>
      </c>
      <c r="E145" s="35">
        <v>9.09</v>
      </c>
      <c r="F145" s="33" t="s">
        <v>275</v>
      </c>
      <c r="G145" s="33" t="s">
        <v>274</v>
      </c>
      <c r="H145" s="33" t="s">
        <v>68</v>
      </c>
      <c r="I145" s="36">
        <f t="shared" si="4"/>
        <v>46023</v>
      </c>
      <c r="J145" s="33" t="str">
        <f t="shared" si="5"/>
        <v>Team Travel</v>
      </c>
    </row>
    <row r="146" spans="1:10" ht="12.95" customHeight="1" x14ac:dyDescent="0.25">
      <c r="A146" s="32">
        <v>46047</v>
      </c>
      <c r="B146" s="33" t="s">
        <v>276</v>
      </c>
      <c r="C146" s="33" t="s">
        <v>3</v>
      </c>
      <c r="D146" s="34">
        <v>-2000</v>
      </c>
      <c r="E146" s="35">
        <v>16.98</v>
      </c>
      <c r="F146" s="33" t="s">
        <v>277</v>
      </c>
      <c r="G146" s="33" t="s">
        <v>276</v>
      </c>
      <c r="H146" s="33" t="s">
        <v>26</v>
      </c>
      <c r="I146" s="36">
        <f t="shared" si="4"/>
        <v>46023</v>
      </c>
      <c r="J146" s="33" t="str">
        <f t="shared" si="5"/>
        <v>Go Daddy</v>
      </c>
    </row>
    <row r="147" spans="1:10" ht="12.95" customHeight="1" x14ac:dyDescent="0.25">
      <c r="A147" s="32">
        <v>46047</v>
      </c>
      <c r="B147" s="33" t="s">
        <v>278</v>
      </c>
      <c r="C147" s="33" t="s">
        <v>3</v>
      </c>
      <c r="D147" s="34">
        <v>-2000</v>
      </c>
      <c r="E147" s="35">
        <v>-323.23</v>
      </c>
      <c r="F147" s="33" t="s">
        <v>279</v>
      </c>
      <c r="G147" s="33" t="s">
        <v>278</v>
      </c>
      <c r="H147" s="33" t="s">
        <v>278</v>
      </c>
      <c r="I147" s="36">
        <f t="shared" si="4"/>
        <v>46023</v>
      </c>
      <c r="J147" s="33" t="str">
        <f t="shared" si="5"/>
        <v>FHR Redeem Cred</v>
      </c>
    </row>
    <row r="148" spans="1:10" ht="12.95" customHeight="1" x14ac:dyDescent="0.25">
      <c r="A148" s="32">
        <v>46047</v>
      </c>
      <c r="B148" s="33" t="s">
        <v>280</v>
      </c>
      <c r="C148" s="33" t="s">
        <v>3</v>
      </c>
      <c r="D148" s="34">
        <v>-2000</v>
      </c>
      <c r="E148" s="35">
        <v>70</v>
      </c>
      <c r="F148" s="33" t="s">
        <v>281</v>
      </c>
      <c r="G148" s="33" t="s">
        <v>280</v>
      </c>
      <c r="H148" s="33" t="s">
        <v>68</v>
      </c>
      <c r="I148" s="36">
        <f t="shared" si="4"/>
        <v>46023</v>
      </c>
      <c r="J148" s="33" t="str">
        <f t="shared" si="5"/>
        <v>Team Travel</v>
      </c>
    </row>
    <row r="149" spans="1:10" ht="12.95" customHeight="1" x14ac:dyDescent="0.25">
      <c r="A149" s="32">
        <v>46047</v>
      </c>
      <c r="B149" s="33" t="s">
        <v>280</v>
      </c>
      <c r="C149" s="33" t="s">
        <v>3</v>
      </c>
      <c r="D149" s="34">
        <v>-2000</v>
      </c>
      <c r="E149" s="35">
        <v>284</v>
      </c>
      <c r="F149" s="33" t="s">
        <v>282</v>
      </c>
      <c r="G149" s="33" t="s">
        <v>280</v>
      </c>
      <c r="H149" s="33" t="s">
        <v>68</v>
      </c>
      <c r="I149" s="36">
        <f t="shared" si="4"/>
        <v>46023</v>
      </c>
      <c r="J149" s="33" t="str">
        <f t="shared" si="5"/>
        <v>Team Travel</v>
      </c>
    </row>
    <row r="150" spans="1:10" ht="12.95" customHeight="1" x14ac:dyDescent="0.25">
      <c r="A150" s="32">
        <v>46047</v>
      </c>
      <c r="B150" s="33" t="s">
        <v>283</v>
      </c>
      <c r="C150" s="33" t="s">
        <v>3</v>
      </c>
      <c r="D150" s="34">
        <v>-2000</v>
      </c>
      <c r="E150" s="35">
        <v>-300</v>
      </c>
      <c r="F150" s="33" t="s">
        <v>284</v>
      </c>
      <c r="G150" s="33" t="s">
        <v>283</v>
      </c>
      <c r="H150" s="33" t="s">
        <v>283</v>
      </c>
      <c r="I150" s="36">
        <f t="shared" si="4"/>
        <v>46023</v>
      </c>
      <c r="J150" s="33" t="str">
        <f t="shared" si="5"/>
        <v>Platinum Hotel Credit</v>
      </c>
    </row>
    <row r="151" spans="1:10" ht="12.95" customHeight="1" x14ac:dyDescent="0.25">
      <c r="A151" s="32">
        <v>46047</v>
      </c>
      <c r="B151" s="33" t="s">
        <v>285</v>
      </c>
      <c r="C151" s="33" t="s">
        <v>3</v>
      </c>
      <c r="D151" s="34">
        <v>-2000</v>
      </c>
      <c r="E151" s="35">
        <v>1587.27</v>
      </c>
      <c r="F151" s="33" t="s">
        <v>286</v>
      </c>
      <c r="G151" s="33" t="s">
        <v>285</v>
      </c>
      <c r="H151" s="33" t="s">
        <v>68</v>
      </c>
      <c r="I151" s="36">
        <f t="shared" si="4"/>
        <v>46023</v>
      </c>
      <c r="J151" s="33" t="str">
        <f t="shared" si="5"/>
        <v>Team Travel</v>
      </c>
    </row>
    <row r="152" spans="1:10" ht="12.95" customHeight="1" x14ac:dyDescent="0.25">
      <c r="A152" s="32">
        <v>46047</v>
      </c>
      <c r="B152" s="33" t="s">
        <v>257</v>
      </c>
      <c r="C152" s="33" t="s">
        <v>3</v>
      </c>
      <c r="D152" s="34">
        <v>-2000</v>
      </c>
      <c r="E152" s="35">
        <v>32.08</v>
      </c>
      <c r="F152" s="33" t="s">
        <v>287</v>
      </c>
      <c r="G152" s="33" t="s">
        <v>257</v>
      </c>
      <c r="H152" s="33" t="s">
        <v>68</v>
      </c>
      <c r="I152" s="36">
        <f t="shared" si="4"/>
        <v>46023</v>
      </c>
      <c r="J152" s="33" t="str">
        <f t="shared" si="5"/>
        <v>Team Travel</v>
      </c>
    </row>
    <row r="153" spans="1:10" ht="12.95" customHeight="1" x14ac:dyDescent="0.25">
      <c r="A153" s="32">
        <v>46046</v>
      </c>
      <c r="B153" s="33" t="s">
        <v>288</v>
      </c>
      <c r="C153" s="33" t="s">
        <v>3</v>
      </c>
      <c r="D153" s="34">
        <v>-2000</v>
      </c>
      <c r="E153" s="35">
        <v>160</v>
      </c>
      <c r="F153" s="33" t="s">
        <v>289</v>
      </c>
      <c r="G153" s="33" t="s">
        <v>288</v>
      </c>
      <c r="H153" s="33" t="s">
        <v>73</v>
      </c>
      <c r="I153" s="36">
        <f t="shared" si="4"/>
        <v>46023</v>
      </c>
      <c r="J153" s="33" t="str">
        <f t="shared" si="5"/>
        <v>Personal - Health</v>
      </c>
    </row>
    <row r="154" spans="1:10" ht="12.95" customHeight="1" x14ac:dyDescent="0.25">
      <c r="A154" s="32">
        <v>46046</v>
      </c>
      <c r="B154" s="33" t="s">
        <v>290</v>
      </c>
      <c r="C154" s="33" t="s">
        <v>3</v>
      </c>
      <c r="D154" s="34">
        <v>-2000</v>
      </c>
      <c r="E154" s="35">
        <v>61.6</v>
      </c>
      <c r="F154" s="33" t="s">
        <v>291</v>
      </c>
      <c r="G154" s="33" t="s">
        <v>290</v>
      </c>
      <c r="H154" s="33" t="s">
        <v>42</v>
      </c>
      <c r="I154" s="36">
        <f t="shared" si="4"/>
        <v>46023</v>
      </c>
      <c r="J154" s="33" t="str">
        <f t="shared" si="5"/>
        <v>Personal - Car</v>
      </c>
    </row>
    <row r="155" spans="1:10" ht="12.95" customHeight="1" x14ac:dyDescent="0.25">
      <c r="A155" s="32">
        <v>46046</v>
      </c>
      <c r="B155" s="33" t="s">
        <v>131</v>
      </c>
      <c r="C155" s="33" t="s">
        <v>3</v>
      </c>
      <c r="D155" s="34">
        <v>-2000</v>
      </c>
      <c r="E155" s="35">
        <v>28.29</v>
      </c>
      <c r="F155" s="33" t="s">
        <v>292</v>
      </c>
      <c r="G155" s="33" t="s">
        <v>131</v>
      </c>
      <c r="H155" s="33" t="s">
        <v>73</v>
      </c>
      <c r="I155" s="36">
        <f t="shared" si="4"/>
        <v>46023</v>
      </c>
      <c r="J155" s="33" t="str">
        <f t="shared" si="5"/>
        <v>Personal - Health</v>
      </c>
    </row>
    <row r="156" spans="1:10" ht="12.95" customHeight="1" x14ac:dyDescent="0.25">
      <c r="A156" s="32">
        <v>46046</v>
      </c>
      <c r="B156" s="33" t="s">
        <v>293</v>
      </c>
      <c r="C156" s="33" t="s">
        <v>3</v>
      </c>
      <c r="D156" s="34">
        <v>-2000</v>
      </c>
      <c r="E156" s="35">
        <v>20.23</v>
      </c>
      <c r="F156" s="33" t="s">
        <v>294</v>
      </c>
      <c r="G156" s="33" t="s">
        <v>293</v>
      </c>
      <c r="H156" s="33" t="s">
        <v>16</v>
      </c>
      <c r="I156" s="36">
        <f t="shared" si="4"/>
        <v>46023</v>
      </c>
      <c r="J156" s="33" t="str">
        <f t="shared" si="5"/>
        <v>Personal - Food</v>
      </c>
    </row>
    <row r="157" spans="1:10" ht="12.95" customHeight="1" x14ac:dyDescent="0.25">
      <c r="A157" s="32">
        <v>46046</v>
      </c>
      <c r="B157" s="33" t="s">
        <v>295</v>
      </c>
      <c r="C157" s="33" t="s">
        <v>3</v>
      </c>
      <c r="D157" s="34">
        <v>-2000</v>
      </c>
      <c r="E157" s="35">
        <v>50</v>
      </c>
      <c r="F157" s="33" t="s">
        <v>296</v>
      </c>
      <c r="G157" s="33" t="s">
        <v>295</v>
      </c>
      <c r="H157" s="33" t="s">
        <v>63</v>
      </c>
      <c r="I157" s="36">
        <f t="shared" si="4"/>
        <v>46023</v>
      </c>
      <c r="J157" s="33" t="str">
        <f t="shared" si="5"/>
        <v>Personal - Family</v>
      </c>
    </row>
    <row r="158" spans="1:10" ht="12.95" customHeight="1" x14ac:dyDescent="0.25">
      <c r="A158" s="32">
        <v>46045</v>
      </c>
      <c r="B158" s="33" t="s">
        <v>66</v>
      </c>
      <c r="C158" s="33" t="s">
        <v>3</v>
      </c>
      <c r="D158" s="34">
        <v>-2000</v>
      </c>
      <c r="E158" s="35">
        <v>26.89</v>
      </c>
      <c r="F158" s="33" t="s">
        <v>297</v>
      </c>
      <c r="G158" s="33" t="s">
        <v>66</v>
      </c>
      <c r="H158" s="33" t="s">
        <v>68</v>
      </c>
      <c r="I158" s="36">
        <f t="shared" si="4"/>
        <v>46023</v>
      </c>
      <c r="J158" s="33" t="str">
        <f t="shared" si="5"/>
        <v>Team Travel</v>
      </c>
    </row>
    <row r="159" spans="1:10" ht="12.95" customHeight="1" x14ac:dyDescent="0.25">
      <c r="A159" s="32">
        <v>46045</v>
      </c>
      <c r="B159" s="33" t="s">
        <v>66</v>
      </c>
      <c r="C159" s="33" t="s">
        <v>3</v>
      </c>
      <c r="D159" s="34">
        <v>-2000</v>
      </c>
      <c r="E159" s="35">
        <v>168.4</v>
      </c>
      <c r="F159" s="33" t="s">
        <v>298</v>
      </c>
      <c r="G159" s="33" t="s">
        <v>66</v>
      </c>
      <c r="H159" s="33" t="s">
        <v>68</v>
      </c>
      <c r="I159" s="36">
        <f t="shared" si="4"/>
        <v>46023</v>
      </c>
      <c r="J159" s="33" t="str">
        <f t="shared" si="5"/>
        <v>Team Travel</v>
      </c>
    </row>
    <row r="160" spans="1:10" ht="12.95" customHeight="1" x14ac:dyDescent="0.25">
      <c r="A160" s="32">
        <v>46045</v>
      </c>
      <c r="B160" s="33" t="s">
        <v>14</v>
      </c>
      <c r="C160" s="33" t="s">
        <v>3</v>
      </c>
      <c r="D160" s="34">
        <v>-2000</v>
      </c>
      <c r="E160" s="35">
        <v>56.08</v>
      </c>
      <c r="F160" s="33" t="s">
        <v>299</v>
      </c>
      <c r="G160" s="33" t="s">
        <v>14</v>
      </c>
      <c r="H160" s="33" t="s">
        <v>16</v>
      </c>
      <c r="I160" s="36">
        <f t="shared" si="4"/>
        <v>46023</v>
      </c>
      <c r="J160" s="33" t="str">
        <f t="shared" si="5"/>
        <v>Personal - Food</v>
      </c>
    </row>
    <row r="161" spans="1:10" ht="12.95" customHeight="1" x14ac:dyDescent="0.25">
      <c r="A161" s="32">
        <v>46045</v>
      </c>
      <c r="B161" s="33" t="s">
        <v>300</v>
      </c>
      <c r="C161" s="33" t="s">
        <v>3</v>
      </c>
      <c r="D161" s="34">
        <v>-2000</v>
      </c>
      <c r="E161" s="35">
        <v>151.33000000000001</v>
      </c>
      <c r="F161" s="33" t="s">
        <v>301</v>
      </c>
      <c r="G161" s="33" t="s">
        <v>300</v>
      </c>
      <c r="H161" s="33" t="s">
        <v>302</v>
      </c>
      <c r="I161" s="36">
        <f t="shared" si="4"/>
        <v>46023</v>
      </c>
      <c r="J161" s="33" t="str">
        <f t="shared" si="5"/>
        <v>DWGCP Marketing</v>
      </c>
    </row>
    <row r="162" spans="1:10" ht="12.95" customHeight="1" x14ac:dyDescent="0.25">
      <c r="A162" s="32">
        <v>46045</v>
      </c>
      <c r="B162" s="33" t="s">
        <v>303</v>
      </c>
      <c r="C162" s="33" t="s">
        <v>3</v>
      </c>
      <c r="D162" s="34">
        <v>-2000</v>
      </c>
      <c r="E162" s="35">
        <v>43.97</v>
      </c>
      <c r="F162" s="33" t="s">
        <v>304</v>
      </c>
      <c r="G162" s="33" t="s">
        <v>303</v>
      </c>
      <c r="H162" s="33" t="s">
        <v>26</v>
      </c>
      <c r="I162" s="36">
        <f t="shared" si="4"/>
        <v>46023</v>
      </c>
      <c r="J162" s="33" t="str">
        <f t="shared" si="5"/>
        <v>Go Daddy</v>
      </c>
    </row>
    <row r="163" spans="1:10" ht="12.95" customHeight="1" x14ac:dyDescent="0.25">
      <c r="A163" s="32">
        <v>46045</v>
      </c>
      <c r="B163" s="33" t="s">
        <v>50</v>
      </c>
      <c r="C163" s="33" t="s">
        <v>3</v>
      </c>
      <c r="D163" s="34">
        <v>-2000</v>
      </c>
      <c r="E163" s="35">
        <v>26.47</v>
      </c>
      <c r="F163" s="33" t="s">
        <v>305</v>
      </c>
      <c r="G163" s="33" t="s">
        <v>50</v>
      </c>
      <c r="H163" s="33" t="s">
        <v>29</v>
      </c>
      <c r="I163" s="36">
        <f t="shared" si="4"/>
        <v>46023</v>
      </c>
      <c r="J163" s="33" t="str">
        <f t="shared" si="5"/>
        <v>Software &amp; Subscriptions</v>
      </c>
    </row>
    <row r="164" spans="1:10" ht="12.95" customHeight="1" x14ac:dyDescent="0.25">
      <c r="A164" s="32">
        <v>46045</v>
      </c>
      <c r="B164" s="33" t="s">
        <v>64</v>
      </c>
      <c r="C164" s="33" t="s">
        <v>3</v>
      </c>
      <c r="D164" s="34">
        <v>-2000</v>
      </c>
      <c r="E164" s="35">
        <v>0.75</v>
      </c>
      <c r="F164" s="33" t="s">
        <v>306</v>
      </c>
      <c r="G164" s="33" t="s">
        <v>64</v>
      </c>
      <c r="H164" s="33" t="s">
        <v>42</v>
      </c>
      <c r="I164" s="36">
        <f t="shared" si="4"/>
        <v>46023</v>
      </c>
      <c r="J164" s="33" t="str">
        <f t="shared" si="5"/>
        <v>Personal - Car</v>
      </c>
    </row>
    <row r="165" spans="1:10" ht="12.95" customHeight="1" x14ac:dyDescent="0.25">
      <c r="A165" s="32">
        <v>46045</v>
      </c>
      <c r="B165" s="33" t="s">
        <v>251</v>
      </c>
      <c r="C165" s="33" t="s">
        <v>3</v>
      </c>
      <c r="D165" s="34">
        <v>-2000</v>
      </c>
      <c r="E165" s="35">
        <v>39</v>
      </c>
      <c r="F165" s="33" t="s">
        <v>307</v>
      </c>
      <c r="G165" s="33" t="s">
        <v>251</v>
      </c>
      <c r="H165" s="33" t="s">
        <v>68</v>
      </c>
      <c r="I165" s="36">
        <f t="shared" si="4"/>
        <v>46023</v>
      </c>
      <c r="J165" s="33" t="str">
        <f t="shared" si="5"/>
        <v>Team Travel</v>
      </c>
    </row>
    <row r="166" spans="1:10" ht="12.95" customHeight="1" x14ac:dyDescent="0.25">
      <c r="A166" s="32">
        <v>46045</v>
      </c>
      <c r="B166" s="33" t="s">
        <v>251</v>
      </c>
      <c r="C166" s="33" t="s">
        <v>3</v>
      </c>
      <c r="D166" s="34">
        <v>-2000</v>
      </c>
      <c r="E166" s="35">
        <v>138.47999999999999</v>
      </c>
      <c r="F166" s="33" t="s">
        <v>308</v>
      </c>
      <c r="G166" s="33" t="s">
        <v>251</v>
      </c>
      <c r="H166" s="33" t="s">
        <v>68</v>
      </c>
      <c r="I166" s="36">
        <f t="shared" si="4"/>
        <v>46023</v>
      </c>
      <c r="J166" s="33" t="str">
        <f t="shared" si="5"/>
        <v>Team Travel</v>
      </c>
    </row>
    <row r="167" spans="1:10" ht="12.95" customHeight="1" x14ac:dyDescent="0.25">
      <c r="A167" s="32">
        <v>46044</v>
      </c>
      <c r="B167" s="33" t="s">
        <v>309</v>
      </c>
      <c r="C167" s="33" t="s">
        <v>3</v>
      </c>
      <c r="D167" s="34">
        <v>-2000</v>
      </c>
      <c r="E167" s="35">
        <v>4500</v>
      </c>
      <c r="F167" s="33" t="s">
        <v>310</v>
      </c>
      <c r="G167" s="33" t="s">
        <v>309</v>
      </c>
      <c r="H167" s="33" t="s">
        <v>311</v>
      </c>
      <c r="I167" s="36">
        <f t="shared" si="4"/>
        <v>46023</v>
      </c>
      <c r="J167" s="33" t="str">
        <f t="shared" si="5"/>
        <v>DWGCP Conference</v>
      </c>
    </row>
    <row r="168" spans="1:10" ht="12.95" customHeight="1" x14ac:dyDescent="0.25">
      <c r="A168" s="32">
        <v>46044</v>
      </c>
      <c r="B168" s="33" t="s">
        <v>312</v>
      </c>
      <c r="C168" s="33" t="s">
        <v>3</v>
      </c>
      <c r="D168" s="34">
        <v>-2000</v>
      </c>
      <c r="E168" s="35">
        <v>153.65</v>
      </c>
      <c r="F168" s="33" t="s">
        <v>313</v>
      </c>
      <c r="G168" s="33" t="s">
        <v>312</v>
      </c>
      <c r="H168" s="33" t="s">
        <v>63</v>
      </c>
      <c r="I168" s="36">
        <f t="shared" si="4"/>
        <v>46023</v>
      </c>
      <c r="J168" s="33" t="str">
        <f t="shared" si="5"/>
        <v>Personal - Family</v>
      </c>
    </row>
    <row r="169" spans="1:10" ht="12.95" customHeight="1" x14ac:dyDescent="0.25">
      <c r="A169" s="32">
        <v>46043</v>
      </c>
      <c r="B169" s="33" t="s">
        <v>293</v>
      </c>
      <c r="C169" s="33" t="s">
        <v>3</v>
      </c>
      <c r="D169" s="34">
        <v>-2000</v>
      </c>
      <c r="E169" s="35">
        <v>20.23</v>
      </c>
      <c r="F169" s="33" t="s">
        <v>314</v>
      </c>
      <c r="G169" s="33" t="s">
        <v>293</v>
      </c>
      <c r="H169" s="33" t="s">
        <v>16</v>
      </c>
      <c r="I169" s="36">
        <f t="shared" si="4"/>
        <v>46023</v>
      </c>
      <c r="J169" s="33" t="str">
        <f t="shared" si="5"/>
        <v>Personal - Food</v>
      </c>
    </row>
    <row r="170" spans="1:10" ht="12.95" customHeight="1" x14ac:dyDescent="0.25">
      <c r="A170" s="32">
        <v>46043</v>
      </c>
      <c r="B170" s="33" t="s">
        <v>315</v>
      </c>
      <c r="C170" s="33" t="s">
        <v>3</v>
      </c>
      <c r="D170" s="34">
        <v>-2000</v>
      </c>
      <c r="E170" s="35">
        <v>14.78</v>
      </c>
      <c r="F170" s="33" t="s">
        <v>316</v>
      </c>
      <c r="G170" s="33" t="s">
        <v>315</v>
      </c>
      <c r="H170" s="33" t="s">
        <v>42</v>
      </c>
      <c r="I170" s="36">
        <f t="shared" si="4"/>
        <v>46023</v>
      </c>
      <c r="J170" s="33" t="str">
        <f t="shared" si="5"/>
        <v>Personal - Car</v>
      </c>
    </row>
    <row r="171" spans="1:10" ht="12.95" customHeight="1" x14ac:dyDescent="0.25">
      <c r="A171" s="32">
        <v>46043</v>
      </c>
      <c r="B171" s="33" t="s">
        <v>315</v>
      </c>
      <c r="C171" s="33" t="s">
        <v>3</v>
      </c>
      <c r="D171" s="34">
        <v>-2000</v>
      </c>
      <c r="E171" s="35">
        <v>145.25</v>
      </c>
      <c r="F171" s="33" t="s">
        <v>317</v>
      </c>
      <c r="G171" s="33" t="s">
        <v>315</v>
      </c>
      <c r="H171" s="33" t="s">
        <v>63</v>
      </c>
      <c r="I171" s="36">
        <f t="shared" si="4"/>
        <v>46023</v>
      </c>
      <c r="J171" s="33" t="str">
        <f t="shared" si="5"/>
        <v>Personal - Family</v>
      </c>
    </row>
    <row r="172" spans="1:10" ht="12.95" customHeight="1" x14ac:dyDescent="0.25">
      <c r="A172" s="32">
        <v>46043</v>
      </c>
      <c r="B172" s="33" t="s">
        <v>109</v>
      </c>
      <c r="C172" s="33" t="s">
        <v>3</v>
      </c>
      <c r="D172" s="34">
        <v>-2000</v>
      </c>
      <c r="E172" s="35">
        <v>30.7</v>
      </c>
      <c r="F172" s="33" t="s">
        <v>318</v>
      </c>
      <c r="G172" s="33" t="s">
        <v>109</v>
      </c>
      <c r="H172" s="33" t="s">
        <v>111</v>
      </c>
      <c r="I172" s="36">
        <f t="shared" si="4"/>
        <v>46023</v>
      </c>
      <c r="J172" s="33" t="str">
        <f t="shared" si="5"/>
        <v>Personal</v>
      </c>
    </row>
    <row r="173" spans="1:10" ht="12.95" customHeight="1" x14ac:dyDescent="0.25">
      <c r="A173" s="32">
        <v>46042</v>
      </c>
      <c r="B173" s="33" t="s">
        <v>69</v>
      </c>
      <c r="C173" s="33" t="s">
        <v>3</v>
      </c>
      <c r="D173" s="34">
        <v>-2000</v>
      </c>
      <c r="E173" s="35">
        <v>584</v>
      </c>
      <c r="F173" s="33" t="s">
        <v>319</v>
      </c>
      <c r="G173" s="33" t="s">
        <v>69</v>
      </c>
      <c r="H173" s="33" t="s">
        <v>29</v>
      </c>
      <c r="I173" s="36">
        <f t="shared" si="4"/>
        <v>46023</v>
      </c>
      <c r="J173" s="33" t="str">
        <f t="shared" si="5"/>
        <v>Software &amp; Subscriptions</v>
      </c>
    </row>
    <row r="174" spans="1:10" ht="12.95" customHeight="1" x14ac:dyDescent="0.25">
      <c r="A174" s="32">
        <v>46042</v>
      </c>
      <c r="B174" s="33" t="s">
        <v>320</v>
      </c>
      <c r="C174" s="33" t="s">
        <v>3</v>
      </c>
      <c r="D174" s="34">
        <v>-2000</v>
      </c>
      <c r="E174" s="35">
        <v>19.97</v>
      </c>
      <c r="F174" s="33" t="s">
        <v>321</v>
      </c>
      <c r="G174" s="33" t="s">
        <v>320</v>
      </c>
      <c r="H174" s="33" t="s">
        <v>26</v>
      </c>
      <c r="I174" s="36">
        <f t="shared" si="4"/>
        <v>46023</v>
      </c>
      <c r="J174" s="33" t="str">
        <f t="shared" si="5"/>
        <v>Go Daddy</v>
      </c>
    </row>
    <row r="175" spans="1:10" ht="12.95" customHeight="1" x14ac:dyDescent="0.25">
      <c r="A175" s="32">
        <v>46042</v>
      </c>
      <c r="B175" s="33" t="s">
        <v>322</v>
      </c>
      <c r="C175" s="33" t="s">
        <v>3</v>
      </c>
      <c r="D175" s="34">
        <v>-2000</v>
      </c>
      <c r="E175" s="35">
        <v>23</v>
      </c>
      <c r="F175" s="33" t="s">
        <v>323</v>
      </c>
      <c r="G175" s="33" t="s">
        <v>322</v>
      </c>
      <c r="H175" s="33" t="s">
        <v>42</v>
      </c>
      <c r="I175" s="36">
        <f t="shared" si="4"/>
        <v>46023</v>
      </c>
      <c r="J175" s="33" t="str">
        <f t="shared" si="5"/>
        <v>Personal - Car</v>
      </c>
    </row>
    <row r="176" spans="1:10" ht="12.95" customHeight="1" x14ac:dyDescent="0.25">
      <c r="A176" s="32">
        <v>46042</v>
      </c>
      <c r="B176" s="33" t="s">
        <v>322</v>
      </c>
      <c r="C176" s="33" t="s">
        <v>3</v>
      </c>
      <c r="D176" s="34">
        <v>-2000</v>
      </c>
      <c r="E176" s="35">
        <v>23</v>
      </c>
      <c r="F176" s="33" t="s">
        <v>324</v>
      </c>
      <c r="G176" s="33" t="s">
        <v>322</v>
      </c>
      <c r="H176" s="33" t="s">
        <v>42</v>
      </c>
      <c r="I176" s="36">
        <f t="shared" si="4"/>
        <v>46023</v>
      </c>
      <c r="J176" s="33" t="str">
        <f t="shared" si="5"/>
        <v>Personal - Car</v>
      </c>
    </row>
    <row r="177" spans="1:10" ht="12.95" customHeight="1" x14ac:dyDescent="0.25">
      <c r="A177" s="32">
        <v>46042</v>
      </c>
      <c r="B177" s="33" t="s">
        <v>322</v>
      </c>
      <c r="C177" s="33" t="s">
        <v>3</v>
      </c>
      <c r="D177" s="34">
        <v>-2000</v>
      </c>
      <c r="E177" s="35">
        <v>259.08</v>
      </c>
      <c r="F177" s="33" t="s">
        <v>325</v>
      </c>
      <c r="G177" s="33" t="s">
        <v>322</v>
      </c>
      <c r="H177" s="33" t="s">
        <v>326</v>
      </c>
      <c r="I177" s="36">
        <f t="shared" si="4"/>
        <v>46023</v>
      </c>
      <c r="J177" s="33" t="str">
        <f t="shared" si="5"/>
        <v>DWG Meeting</v>
      </c>
    </row>
    <row r="178" spans="1:10" ht="12.95" customHeight="1" x14ac:dyDescent="0.25">
      <c r="A178" s="32">
        <v>46042</v>
      </c>
      <c r="B178" s="33" t="s">
        <v>52</v>
      </c>
      <c r="C178" s="33" t="s">
        <v>3</v>
      </c>
      <c r="D178" s="34">
        <v>-2000</v>
      </c>
      <c r="E178" s="35">
        <v>120.22</v>
      </c>
      <c r="F178" s="33" t="s">
        <v>327</v>
      </c>
      <c r="G178" s="33" t="s">
        <v>52</v>
      </c>
      <c r="H178" s="33" t="s">
        <v>16</v>
      </c>
      <c r="I178" s="36">
        <f t="shared" si="4"/>
        <v>46023</v>
      </c>
      <c r="J178" s="33" t="str">
        <f t="shared" si="5"/>
        <v>Personal - Food</v>
      </c>
    </row>
    <row r="179" spans="1:10" ht="12.95" customHeight="1" x14ac:dyDescent="0.25">
      <c r="A179" s="32">
        <v>46041</v>
      </c>
      <c r="B179" s="33" t="s">
        <v>86</v>
      </c>
      <c r="C179" s="33" t="s">
        <v>3</v>
      </c>
      <c r="D179" s="34">
        <v>-2000</v>
      </c>
      <c r="E179" s="35">
        <v>254</v>
      </c>
      <c r="F179" s="33" t="s">
        <v>328</v>
      </c>
      <c r="G179" s="33" t="s">
        <v>86</v>
      </c>
      <c r="H179" s="33" t="s">
        <v>73</v>
      </c>
      <c r="I179" s="36">
        <f t="shared" si="4"/>
        <v>46023</v>
      </c>
      <c r="J179" s="33" t="str">
        <f t="shared" si="5"/>
        <v>Personal - Health</v>
      </c>
    </row>
    <row r="180" spans="1:10" ht="12.95" customHeight="1" x14ac:dyDescent="0.25">
      <c r="A180" s="32">
        <v>46040</v>
      </c>
      <c r="B180" s="33" t="s">
        <v>329</v>
      </c>
      <c r="C180" s="33" t="s">
        <v>3</v>
      </c>
      <c r="D180" s="34">
        <v>-2000</v>
      </c>
      <c r="E180" s="35">
        <v>47.98</v>
      </c>
      <c r="F180" s="33" t="s">
        <v>330</v>
      </c>
      <c r="G180" s="33" t="s">
        <v>329</v>
      </c>
      <c r="H180" s="33" t="s">
        <v>26</v>
      </c>
      <c r="I180" s="36">
        <f t="shared" si="4"/>
        <v>46023</v>
      </c>
      <c r="J180" s="33" t="str">
        <f t="shared" si="5"/>
        <v>Go Daddy</v>
      </c>
    </row>
    <row r="181" spans="1:10" ht="12.95" customHeight="1" x14ac:dyDescent="0.25">
      <c r="A181" s="32">
        <v>46040</v>
      </c>
      <c r="B181" s="33" t="s">
        <v>84</v>
      </c>
      <c r="C181" s="33" t="s">
        <v>3</v>
      </c>
      <c r="D181" s="34">
        <v>-2000</v>
      </c>
      <c r="E181" s="35">
        <v>93.81</v>
      </c>
      <c r="F181" s="33" t="s">
        <v>331</v>
      </c>
      <c r="G181" s="33" t="s">
        <v>84</v>
      </c>
      <c r="H181" s="33" t="s">
        <v>16</v>
      </c>
      <c r="I181" s="36">
        <f t="shared" si="4"/>
        <v>46023</v>
      </c>
      <c r="J181" s="33" t="str">
        <f t="shared" si="5"/>
        <v>Personal - Food</v>
      </c>
    </row>
    <row r="182" spans="1:10" ht="12.95" customHeight="1" x14ac:dyDescent="0.25">
      <c r="A182" s="32">
        <v>46040</v>
      </c>
      <c r="B182" s="33" t="s">
        <v>332</v>
      </c>
      <c r="C182" s="33" t="s">
        <v>3</v>
      </c>
      <c r="D182" s="34">
        <v>-2000</v>
      </c>
      <c r="E182" s="35">
        <v>1050</v>
      </c>
      <c r="F182" s="33" t="s">
        <v>333</v>
      </c>
      <c r="G182" s="33" t="s">
        <v>332</v>
      </c>
      <c r="H182" s="33" t="s">
        <v>73</v>
      </c>
      <c r="I182" s="36">
        <f t="shared" si="4"/>
        <v>46023</v>
      </c>
      <c r="J182" s="33" t="str">
        <f t="shared" si="5"/>
        <v>Personal - Health</v>
      </c>
    </row>
    <row r="183" spans="1:10" ht="12.95" customHeight="1" x14ac:dyDescent="0.25">
      <c r="A183" s="32">
        <v>46039</v>
      </c>
      <c r="B183" s="33" t="s">
        <v>334</v>
      </c>
      <c r="C183" s="33" t="s">
        <v>3</v>
      </c>
      <c r="D183" s="34">
        <v>-2000</v>
      </c>
      <c r="E183" s="35">
        <v>32.04</v>
      </c>
      <c r="F183" s="33" t="s">
        <v>335</v>
      </c>
      <c r="G183" s="33" t="s">
        <v>334</v>
      </c>
      <c r="H183" s="33" t="s">
        <v>126</v>
      </c>
      <c r="I183" s="36">
        <f t="shared" si="4"/>
        <v>46023</v>
      </c>
      <c r="J183" s="33" t="str">
        <f t="shared" si="5"/>
        <v>Personal - Entertainment</v>
      </c>
    </row>
    <row r="184" spans="1:10" ht="12.95" customHeight="1" x14ac:dyDescent="0.25">
      <c r="A184" s="32">
        <v>46039</v>
      </c>
      <c r="B184" s="33" t="s">
        <v>336</v>
      </c>
      <c r="C184" s="33" t="s">
        <v>3</v>
      </c>
      <c r="D184" s="34">
        <v>-2000</v>
      </c>
      <c r="E184" s="35">
        <v>16.25</v>
      </c>
      <c r="F184" s="33" t="s">
        <v>337</v>
      </c>
      <c r="G184" s="33" t="s">
        <v>336</v>
      </c>
      <c r="H184" s="33" t="s">
        <v>16</v>
      </c>
      <c r="I184" s="36">
        <f t="shared" si="4"/>
        <v>46023</v>
      </c>
      <c r="J184" s="33" t="str">
        <f t="shared" si="5"/>
        <v>Personal - Food</v>
      </c>
    </row>
    <row r="185" spans="1:10" ht="12.95" customHeight="1" x14ac:dyDescent="0.25">
      <c r="A185" s="32">
        <v>46039</v>
      </c>
      <c r="B185" s="33" t="s">
        <v>338</v>
      </c>
      <c r="C185" s="33" t="s">
        <v>3</v>
      </c>
      <c r="D185" s="34">
        <v>-2000</v>
      </c>
      <c r="E185" s="35">
        <v>1</v>
      </c>
      <c r="F185" s="33" t="s">
        <v>339</v>
      </c>
      <c r="G185" s="33" t="s">
        <v>338</v>
      </c>
      <c r="H185" s="33" t="s">
        <v>42</v>
      </c>
      <c r="I185" s="36">
        <f t="shared" si="4"/>
        <v>46023</v>
      </c>
      <c r="J185" s="33" t="str">
        <f t="shared" si="5"/>
        <v>Personal - Car</v>
      </c>
    </row>
    <row r="186" spans="1:10" ht="12.95" customHeight="1" x14ac:dyDescent="0.25">
      <c r="A186" s="32">
        <v>46039</v>
      </c>
      <c r="B186" s="33" t="s">
        <v>64</v>
      </c>
      <c r="C186" s="33" t="s">
        <v>3</v>
      </c>
      <c r="D186" s="34">
        <v>-2000</v>
      </c>
      <c r="E186" s="35">
        <v>1.25</v>
      </c>
      <c r="F186" s="33" t="s">
        <v>340</v>
      </c>
      <c r="G186" s="33" t="s">
        <v>64</v>
      </c>
      <c r="H186" s="33" t="s">
        <v>42</v>
      </c>
      <c r="I186" s="36">
        <f t="shared" si="4"/>
        <v>46023</v>
      </c>
      <c r="J186" s="33" t="str">
        <f t="shared" si="5"/>
        <v>Personal - Car</v>
      </c>
    </row>
    <row r="187" spans="1:10" ht="12.95" customHeight="1" x14ac:dyDescent="0.25">
      <c r="A187" s="32">
        <v>46039</v>
      </c>
      <c r="B187" s="33" t="s">
        <v>109</v>
      </c>
      <c r="C187" s="33" t="s">
        <v>3</v>
      </c>
      <c r="D187" s="34">
        <v>-2000</v>
      </c>
      <c r="E187" s="35">
        <v>26.32</v>
      </c>
      <c r="F187" s="33" t="s">
        <v>341</v>
      </c>
      <c r="G187" s="33" t="s">
        <v>109</v>
      </c>
      <c r="H187" s="33" t="s">
        <v>111</v>
      </c>
      <c r="I187" s="36">
        <f t="shared" si="4"/>
        <v>46023</v>
      </c>
      <c r="J187" s="33" t="str">
        <f t="shared" si="5"/>
        <v>Personal</v>
      </c>
    </row>
    <row r="188" spans="1:10" ht="12.95" customHeight="1" x14ac:dyDescent="0.25">
      <c r="A188" s="32">
        <v>46039</v>
      </c>
      <c r="B188" s="33" t="s">
        <v>342</v>
      </c>
      <c r="C188" s="33" t="s">
        <v>3</v>
      </c>
      <c r="D188" s="34">
        <v>-2000</v>
      </c>
      <c r="E188" s="35">
        <v>58.21</v>
      </c>
      <c r="F188" s="33" t="s">
        <v>343</v>
      </c>
      <c r="G188" s="33" t="s">
        <v>342</v>
      </c>
      <c r="H188" s="33" t="s">
        <v>16</v>
      </c>
      <c r="I188" s="36">
        <f t="shared" si="4"/>
        <v>46023</v>
      </c>
      <c r="J188" s="33" t="str">
        <f t="shared" si="5"/>
        <v>Personal - Food</v>
      </c>
    </row>
    <row r="189" spans="1:10" ht="12.95" customHeight="1" x14ac:dyDescent="0.25">
      <c r="A189" s="32">
        <v>46039</v>
      </c>
      <c r="B189" s="33" t="s">
        <v>344</v>
      </c>
      <c r="C189" s="33" t="s">
        <v>3</v>
      </c>
      <c r="D189" s="34">
        <v>-2000</v>
      </c>
      <c r="E189" s="35">
        <v>55.8</v>
      </c>
      <c r="F189" s="33" t="s">
        <v>345</v>
      </c>
      <c r="G189" s="33" t="s">
        <v>344</v>
      </c>
      <c r="H189" s="33" t="s">
        <v>42</v>
      </c>
      <c r="I189" s="36">
        <f t="shared" si="4"/>
        <v>46023</v>
      </c>
      <c r="J189" s="33" t="str">
        <f t="shared" si="5"/>
        <v>Personal - Car</v>
      </c>
    </row>
    <row r="190" spans="1:10" ht="12.95" customHeight="1" x14ac:dyDescent="0.25">
      <c r="A190" s="32">
        <v>46038</v>
      </c>
      <c r="B190" s="33" t="s">
        <v>346</v>
      </c>
      <c r="C190" s="33" t="s">
        <v>3</v>
      </c>
      <c r="D190" s="34">
        <v>-2000</v>
      </c>
      <c r="E190" s="35">
        <v>-209</v>
      </c>
      <c r="F190" s="33" t="s">
        <v>347</v>
      </c>
      <c r="G190" s="33" t="s">
        <v>346</v>
      </c>
      <c r="H190" s="33" t="s">
        <v>346</v>
      </c>
      <c r="I190" s="36">
        <f t="shared" si="4"/>
        <v>46023</v>
      </c>
      <c r="J190" s="33" t="str">
        <f t="shared" si="5"/>
        <v>AMEX CLEAR PLUS CREDIT</v>
      </c>
    </row>
    <row r="191" spans="1:10" ht="12.95" customHeight="1" x14ac:dyDescent="0.25">
      <c r="A191" s="32">
        <v>46038</v>
      </c>
      <c r="B191" s="33" t="s">
        <v>348</v>
      </c>
      <c r="C191" s="33" t="s">
        <v>3</v>
      </c>
      <c r="D191" s="34">
        <v>-2000</v>
      </c>
      <c r="E191" s="35">
        <v>334</v>
      </c>
      <c r="F191" s="33" t="s">
        <v>349</v>
      </c>
      <c r="G191" s="33" t="s">
        <v>348</v>
      </c>
      <c r="H191" s="33" t="s">
        <v>350</v>
      </c>
      <c r="I191" s="36">
        <f t="shared" si="4"/>
        <v>46023</v>
      </c>
      <c r="J191" s="33" t="str">
        <f t="shared" si="5"/>
        <v>CLEAR ME (2026)</v>
      </c>
    </row>
    <row r="192" spans="1:10" ht="12.95" customHeight="1" x14ac:dyDescent="0.25">
      <c r="A192" s="32">
        <v>46038</v>
      </c>
      <c r="B192" s="33" t="s">
        <v>162</v>
      </c>
      <c r="C192" s="33" t="s">
        <v>3</v>
      </c>
      <c r="D192" s="34">
        <v>-2000</v>
      </c>
      <c r="E192" s="35">
        <v>301.14</v>
      </c>
      <c r="F192" s="33" t="s">
        <v>351</v>
      </c>
      <c r="G192" s="33" t="s">
        <v>162</v>
      </c>
      <c r="H192" s="33" t="s">
        <v>352</v>
      </c>
      <c r="I192" s="36">
        <f t="shared" si="4"/>
        <v>46023</v>
      </c>
      <c r="J192" s="33" t="str">
        <f t="shared" si="5"/>
        <v>DWG Swag</v>
      </c>
    </row>
    <row r="193" spans="1:10" ht="12.95" customHeight="1" x14ac:dyDescent="0.25">
      <c r="A193" s="32">
        <v>46038</v>
      </c>
      <c r="B193" s="33" t="s">
        <v>162</v>
      </c>
      <c r="C193" s="33" t="s">
        <v>3</v>
      </c>
      <c r="D193" s="34">
        <v>-2000</v>
      </c>
      <c r="E193" s="35">
        <v>318.5</v>
      </c>
      <c r="F193" s="33" t="s">
        <v>353</v>
      </c>
      <c r="G193" s="33" t="s">
        <v>162</v>
      </c>
      <c r="H193" s="33" t="s">
        <v>352</v>
      </c>
      <c r="I193" s="36">
        <f t="shared" si="4"/>
        <v>46023</v>
      </c>
      <c r="J193" s="33" t="str">
        <f t="shared" si="5"/>
        <v>DWG Swag</v>
      </c>
    </row>
    <row r="194" spans="1:10" ht="12.95" customHeight="1" x14ac:dyDescent="0.25">
      <c r="A194" s="32">
        <v>46038</v>
      </c>
      <c r="B194" s="33" t="s">
        <v>354</v>
      </c>
      <c r="C194" s="33" t="s">
        <v>3</v>
      </c>
      <c r="D194" s="34">
        <v>-2000</v>
      </c>
      <c r="E194" s="35">
        <v>7</v>
      </c>
      <c r="F194" s="33" t="s">
        <v>355</v>
      </c>
      <c r="G194" s="33" t="s">
        <v>354</v>
      </c>
      <c r="H194" s="33" t="s">
        <v>42</v>
      </c>
      <c r="I194" s="36">
        <f t="shared" si="4"/>
        <v>46023</v>
      </c>
      <c r="J194" s="33" t="str">
        <f t="shared" si="5"/>
        <v>Personal - Car</v>
      </c>
    </row>
    <row r="195" spans="1:10" ht="12.95" customHeight="1" x14ac:dyDescent="0.25">
      <c r="A195" s="32">
        <v>46038</v>
      </c>
      <c r="B195" s="33" t="s">
        <v>356</v>
      </c>
      <c r="C195" s="33" t="s">
        <v>3</v>
      </c>
      <c r="D195" s="34">
        <v>-2000</v>
      </c>
      <c r="E195" s="35">
        <v>99.99</v>
      </c>
      <c r="F195" s="33" t="s">
        <v>357</v>
      </c>
      <c r="G195" s="33" t="s">
        <v>356</v>
      </c>
      <c r="H195" s="33" t="s">
        <v>29</v>
      </c>
      <c r="I195" s="36">
        <f t="shared" si="4"/>
        <v>46023</v>
      </c>
      <c r="J195" s="33" t="str">
        <f t="shared" si="5"/>
        <v>Software &amp; Subscriptions</v>
      </c>
    </row>
    <row r="196" spans="1:10" ht="12.95" customHeight="1" x14ac:dyDescent="0.25">
      <c r="A196" s="32">
        <v>46038</v>
      </c>
      <c r="B196" s="33" t="s">
        <v>120</v>
      </c>
      <c r="C196" s="33" t="s">
        <v>3</v>
      </c>
      <c r="D196" s="34">
        <v>-2000</v>
      </c>
      <c r="E196" s="35">
        <v>50</v>
      </c>
      <c r="F196" s="33" t="s">
        <v>358</v>
      </c>
      <c r="G196" s="33" t="s">
        <v>120</v>
      </c>
      <c r="H196" s="33" t="s">
        <v>29</v>
      </c>
      <c r="I196" s="36">
        <f t="shared" si="4"/>
        <v>46023</v>
      </c>
      <c r="J196" s="33" t="str">
        <f t="shared" si="5"/>
        <v>Software &amp; Subscriptions</v>
      </c>
    </row>
    <row r="197" spans="1:10" ht="12.95" customHeight="1" x14ac:dyDescent="0.25">
      <c r="A197" s="32">
        <v>46038</v>
      </c>
      <c r="B197" s="33" t="s">
        <v>359</v>
      </c>
      <c r="C197" s="33" t="s">
        <v>3</v>
      </c>
      <c r="D197" s="34">
        <v>-2000</v>
      </c>
      <c r="E197" s="35">
        <v>11.2</v>
      </c>
      <c r="F197" s="33" t="s">
        <v>360</v>
      </c>
      <c r="G197" s="33" t="s">
        <v>359</v>
      </c>
      <c r="H197" s="33" t="s">
        <v>16</v>
      </c>
      <c r="I197" s="36">
        <f t="shared" si="4"/>
        <v>46023</v>
      </c>
      <c r="J197" s="33" t="str">
        <f t="shared" si="5"/>
        <v>Personal - Food</v>
      </c>
    </row>
    <row r="198" spans="1:10" ht="12.95" customHeight="1" x14ac:dyDescent="0.25">
      <c r="A198" s="32">
        <v>46038</v>
      </c>
      <c r="B198" s="33" t="s">
        <v>361</v>
      </c>
      <c r="C198" s="33" t="s">
        <v>3</v>
      </c>
      <c r="D198" s="34">
        <v>-2000</v>
      </c>
      <c r="E198" s="35">
        <v>27.1</v>
      </c>
      <c r="F198" s="33" t="s">
        <v>362</v>
      </c>
      <c r="G198" s="33" t="s">
        <v>361</v>
      </c>
      <c r="H198" s="33" t="s">
        <v>352</v>
      </c>
      <c r="I198" s="36">
        <f t="shared" si="4"/>
        <v>46023</v>
      </c>
      <c r="J198" s="33" t="str">
        <f t="shared" si="5"/>
        <v>DWG Swag</v>
      </c>
    </row>
    <row r="199" spans="1:10" ht="12.95" customHeight="1" x14ac:dyDescent="0.25">
      <c r="A199" s="32">
        <v>46038</v>
      </c>
      <c r="B199" s="33" t="s">
        <v>52</v>
      </c>
      <c r="C199" s="33" t="s">
        <v>3</v>
      </c>
      <c r="D199" s="34">
        <v>-2000</v>
      </c>
      <c r="E199" s="35">
        <v>112.91</v>
      </c>
      <c r="F199" s="33" t="s">
        <v>363</v>
      </c>
      <c r="G199" s="33" t="s">
        <v>52</v>
      </c>
      <c r="H199" s="33" t="s">
        <v>16</v>
      </c>
      <c r="I199" s="36">
        <f t="shared" si="4"/>
        <v>46023</v>
      </c>
      <c r="J199" s="33" t="str">
        <f t="shared" si="5"/>
        <v>Personal - Food</v>
      </c>
    </row>
    <row r="200" spans="1:10" ht="12.95" customHeight="1" x14ac:dyDescent="0.25">
      <c r="A200" s="32">
        <v>46038</v>
      </c>
      <c r="B200" s="33" t="s">
        <v>364</v>
      </c>
      <c r="C200" s="33" t="s">
        <v>3</v>
      </c>
      <c r="D200" s="34">
        <v>-2000</v>
      </c>
      <c r="E200" s="35">
        <v>51.03</v>
      </c>
      <c r="F200" s="33" t="s">
        <v>365</v>
      </c>
      <c r="G200" s="33" t="s">
        <v>364</v>
      </c>
      <c r="H200" s="33" t="s">
        <v>16</v>
      </c>
      <c r="I200" s="36">
        <f t="shared" si="4"/>
        <v>46023</v>
      </c>
      <c r="J200" s="33" t="str">
        <f t="shared" si="5"/>
        <v>Personal - Food</v>
      </c>
    </row>
    <row r="201" spans="1:10" ht="12.95" customHeight="1" x14ac:dyDescent="0.25">
      <c r="A201" s="32">
        <v>46037</v>
      </c>
      <c r="B201" s="33" t="s">
        <v>122</v>
      </c>
      <c r="C201" s="33" t="s">
        <v>3</v>
      </c>
      <c r="D201" s="34">
        <v>-2000</v>
      </c>
      <c r="E201" s="35">
        <v>69.62</v>
      </c>
      <c r="F201" s="33" t="s">
        <v>366</v>
      </c>
      <c r="G201" s="33" t="s">
        <v>122</v>
      </c>
      <c r="H201" s="33" t="s">
        <v>29</v>
      </c>
      <c r="I201" s="36">
        <f t="shared" ref="I201:I261" si="6">DATE(YEAR(A201),MONTH(A201),1)</f>
        <v>46023</v>
      </c>
      <c r="J201" s="33" t="str">
        <f t="shared" ref="J201:J261" si="7">IF(TRIM(H201)="","(Uncategorized)",TRIM(H201))</f>
        <v>Software &amp; Subscriptions</v>
      </c>
    </row>
    <row r="202" spans="1:10" ht="12.95" customHeight="1" x14ac:dyDescent="0.25">
      <c r="A202" s="32">
        <v>46037</v>
      </c>
      <c r="B202" s="33" t="s">
        <v>367</v>
      </c>
      <c r="C202" s="33" t="s">
        <v>3</v>
      </c>
      <c r="D202" s="34">
        <v>-2000</v>
      </c>
      <c r="E202" s="35">
        <v>13.75</v>
      </c>
      <c r="F202" s="33" t="s">
        <v>368</v>
      </c>
      <c r="G202" s="33" t="s">
        <v>367</v>
      </c>
      <c r="H202" s="33" t="s">
        <v>352</v>
      </c>
      <c r="I202" s="36">
        <f t="shared" si="6"/>
        <v>46023</v>
      </c>
      <c r="J202" s="33" t="str">
        <f t="shared" si="7"/>
        <v>DWG Swag</v>
      </c>
    </row>
    <row r="203" spans="1:10" ht="12.95" customHeight="1" x14ac:dyDescent="0.25">
      <c r="A203" s="32">
        <v>46037</v>
      </c>
      <c r="B203" s="33" t="s">
        <v>369</v>
      </c>
      <c r="C203" s="33" t="s">
        <v>3</v>
      </c>
      <c r="D203" s="34">
        <v>-2000</v>
      </c>
      <c r="E203" s="35">
        <v>10.95</v>
      </c>
      <c r="F203" s="33" t="s">
        <v>370</v>
      </c>
      <c r="G203" s="33" t="s">
        <v>369</v>
      </c>
      <c r="H203" s="33" t="s">
        <v>352</v>
      </c>
      <c r="I203" s="36">
        <f t="shared" si="6"/>
        <v>46023</v>
      </c>
      <c r="J203" s="33" t="str">
        <f t="shared" si="7"/>
        <v>DWG Swag</v>
      </c>
    </row>
    <row r="204" spans="1:10" ht="12.95" customHeight="1" x14ac:dyDescent="0.25">
      <c r="A204" s="32">
        <v>46037</v>
      </c>
      <c r="B204" s="33" t="s">
        <v>295</v>
      </c>
      <c r="C204" s="33" t="s">
        <v>3</v>
      </c>
      <c r="D204" s="34">
        <v>-2000</v>
      </c>
      <c r="E204" s="35">
        <v>269.49</v>
      </c>
      <c r="F204" s="33" t="s">
        <v>371</v>
      </c>
      <c r="G204" s="33" t="s">
        <v>295</v>
      </c>
      <c r="H204" s="33" t="s">
        <v>63</v>
      </c>
      <c r="I204" s="36">
        <f t="shared" si="6"/>
        <v>46023</v>
      </c>
      <c r="J204" s="33" t="str">
        <f t="shared" si="7"/>
        <v>Personal - Family</v>
      </c>
    </row>
    <row r="205" spans="1:10" ht="12.95" customHeight="1" x14ac:dyDescent="0.25">
      <c r="A205" s="32">
        <v>46037</v>
      </c>
      <c r="B205" s="33" t="s">
        <v>372</v>
      </c>
      <c r="C205" s="33" t="s">
        <v>3</v>
      </c>
      <c r="D205" s="34">
        <v>-2000</v>
      </c>
      <c r="E205" s="35">
        <v>300</v>
      </c>
      <c r="F205" s="33" t="s">
        <v>373</v>
      </c>
      <c r="G205" s="33" t="s">
        <v>372</v>
      </c>
      <c r="H205" s="33" t="s">
        <v>73</v>
      </c>
      <c r="I205" s="36">
        <f t="shared" si="6"/>
        <v>46023</v>
      </c>
      <c r="J205" s="33" t="str">
        <f t="shared" si="7"/>
        <v>Personal - Health</v>
      </c>
    </row>
    <row r="206" spans="1:10" ht="12.95" customHeight="1" x14ac:dyDescent="0.25">
      <c r="A206" s="32">
        <v>46037</v>
      </c>
      <c r="B206" s="33" t="s">
        <v>374</v>
      </c>
      <c r="C206" s="33" t="s">
        <v>3</v>
      </c>
      <c r="D206" s="34">
        <v>-2000</v>
      </c>
      <c r="E206" s="35">
        <v>559</v>
      </c>
      <c r="F206" s="33" t="s">
        <v>375</v>
      </c>
      <c r="G206" s="33" t="s">
        <v>374</v>
      </c>
      <c r="H206" s="33" t="s">
        <v>376</v>
      </c>
      <c r="I206" s="36">
        <f t="shared" si="6"/>
        <v>46023</v>
      </c>
      <c r="J206" s="33" t="str">
        <f t="shared" si="7"/>
        <v>?</v>
      </c>
    </row>
    <row r="207" spans="1:10" ht="12.95" customHeight="1" x14ac:dyDescent="0.25">
      <c r="A207" s="32">
        <v>46037</v>
      </c>
      <c r="B207" s="33" t="s">
        <v>86</v>
      </c>
      <c r="C207" s="33" t="s">
        <v>3</v>
      </c>
      <c r="D207" s="34">
        <v>-2000</v>
      </c>
      <c r="E207" s="35">
        <v>199</v>
      </c>
      <c r="F207" s="33" t="s">
        <v>377</v>
      </c>
      <c r="G207" s="33" t="s">
        <v>86</v>
      </c>
      <c r="H207" s="33" t="s">
        <v>73</v>
      </c>
      <c r="I207" s="36">
        <f t="shared" si="6"/>
        <v>46023</v>
      </c>
      <c r="J207" s="33" t="str">
        <f t="shared" si="7"/>
        <v>Personal - Health</v>
      </c>
    </row>
    <row r="208" spans="1:10" ht="12.95" customHeight="1" x14ac:dyDescent="0.25">
      <c r="A208" s="32">
        <v>46036</v>
      </c>
      <c r="B208" s="33" t="s">
        <v>64</v>
      </c>
      <c r="C208" s="33" t="s">
        <v>3</v>
      </c>
      <c r="D208" s="34">
        <v>-2000</v>
      </c>
      <c r="E208" s="35">
        <v>2</v>
      </c>
      <c r="F208" s="33" t="s">
        <v>378</v>
      </c>
      <c r="G208" s="33" t="s">
        <v>64</v>
      </c>
      <c r="H208" s="33" t="s">
        <v>42</v>
      </c>
      <c r="I208" s="36">
        <f t="shared" si="6"/>
        <v>46023</v>
      </c>
      <c r="J208" s="33" t="str">
        <f t="shared" si="7"/>
        <v>Personal - Car</v>
      </c>
    </row>
    <row r="209" spans="1:10" ht="12.95" customHeight="1" x14ac:dyDescent="0.25">
      <c r="A209" s="32">
        <v>46036</v>
      </c>
      <c r="B209" s="33" t="s">
        <v>379</v>
      </c>
      <c r="C209" s="33" t="s">
        <v>3</v>
      </c>
      <c r="D209" s="34">
        <v>-2000</v>
      </c>
      <c r="E209" s="35">
        <v>149.5</v>
      </c>
      <c r="F209" s="33" t="s">
        <v>380</v>
      </c>
      <c r="G209" s="33" t="s">
        <v>379</v>
      </c>
      <c r="H209" s="33" t="s">
        <v>16</v>
      </c>
      <c r="I209" s="36">
        <f t="shared" si="6"/>
        <v>46023</v>
      </c>
      <c r="J209" s="33" t="str">
        <f t="shared" si="7"/>
        <v>Personal - Food</v>
      </c>
    </row>
    <row r="210" spans="1:10" ht="12.95" customHeight="1" x14ac:dyDescent="0.25">
      <c r="A210" s="32">
        <v>46036</v>
      </c>
      <c r="B210" s="33" t="s">
        <v>381</v>
      </c>
      <c r="C210" s="33" t="s">
        <v>3</v>
      </c>
      <c r="D210" s="34">
        <v>-2000</v>
      </c>
      <c r="E210" s="35">
        <v>164.52</v>
      </c>
      <c r="F210" s="33" t="s">
        <v>382</v>
      </c>
      <c r="G210" s="33" t="s">
        <v>381</v>
      </c>
      <c r="H210" s="33" t="s">
        <v>16</v>
      </c>
      <c r="I210" s="36">
        <f t="shared" si="6"/>
        <v>46023</v>
      </c>
      <c r="J210" s="33" t="str">
        <f t="shared" si="7"/>
        <v>Personal - Food</v>
      </c>
    </row>
    <row r="211" spans="1:10" ht="12.95" customHeight="1" x14ac:dyDescent="0.25">
      <c r="A211" s="32">
        <v>46035</v>
      </c>
      <c r="B211" s="33" t="s">
        <v>22</v>
      </c>
      <c r="C211" s="33" t="s">
        <v>3</v>
      </c>
      <c r="D211" s="34">
        <v>-2000</v>
      </c>
      <c r="E211" s="35">
        <v>11.25</v>
      </c>
      <c r="F211" s="33" t="s">
        <v>383</v>
      </c>
      <c r="G211" s="33" t="s">
        <v>22</v>
      </c>
      <c r="H211" s="33" t="s">
        <v>16</v>
      </c>
      <c r="I211" s="36">
        <f t="shared" si="6"/>
        <v>46023</v>
      </c>
      <c r="J211" s="33" t="str">
        <f t="shared" si="7"/>
        <v>Personal - Food</v>
      </c>
    </row>
    <row r="212" spans="1:10" ht="12.95" customHeight="1" x14ac:dyDescent="0.25">
      <c r="A212" s="32">
        <v>46035</v>
      </c>
      <c r="B212" s="33" t="s">
        <v>384</v>
      </c>
      <c r="C212" s="33" t="s">
        <v>3</v>
      </c>
      <c r="D212" s="34">
        <v>-2000</v>
      </c>
      <c r="E212" s="35">
        <v>45.96</v>
      </c>
      <c r="F212" s="33" t="s">
        <v>385</v>
      </c>
      <c r="G212" s="33" t="s">
        <v>384</v>
      </c>
      <c r="H212" s="33" t="s">
        <v>26</v>
      </c>
      <c r="I212" s="36">
        <f t="shared" si="6"/>
        <v>46023</v>
      </c>
      <c r="J212" s="33" t="str">
        <f t="shared" si="7"/>
        <v>Go Daddy</v>
      </c>
    </row>
    <row r="213" spans="1:10" ht="12.95" customHeight="1" x14ac:dyDescent="0.25">
      <c r="A213" s="32">
        <v>46035</v>
      </c>
      <c r="B213" s="33" t="s">
        <v>84</v>
      </c>
      <c r="C213" s="33" t="s">
        <v>3</v>
      </c>
      <c r="D213" s="34">
        <v>-2000</v>
      </c>
      <c r="E213" s="35">
        <v>113.66</v>
      </c>
      <c r="F213" s="33" t="s">
        <v>386</v>
      </c>
      <c r="G213" s="33" t="s">
        <v>84</v>
      </c>
      <c r="H213" s="33" t="s">
        <v>16</v>
      </c>
      <c r="I213" s="36">
        <f t="shared" si="6"/>
        <v>46023</v>
      </c>
      <c r="J213" s="33" t="str">
        <f t="shared" si="7"/>
        <v>Personal - Food</v>
      </c>
    </row>
    <row r="214" spans="1:10" ht="12.95" customHeight="1" x14ac:dyDescent="0.25">
      <c r="A214" s="32">
        <v>46034</v>
      </c>
      <c r="B214" s="33" t="s">
        <v>154</v>
      </c>
      <c r="C214" s="33" t="s">
        <v>3</v>
      </c>
      <c r="D214" s="34">
        <v>-2000</v>
      </c>
      <c r="E214" s="35">
        <v>12.98</v>
      </c>
      <c r="F214" s="33" t="s">
        <v>387</v>
      </c>
      <c r="G214" s="33" t="s">
        <v>154</v>
      </c>
      <c r="H214" s="33" t="s">
        <v>29</v>
      </c>
      <c r="I214" s="36">
        <f t="shared" si="6"/>
        <v>46023</v>
      </c>
      <c r="J214" s="33" t="str">
        <f t="shared" si="7"/>
        <v>Software &amp; Subscriptions</v>
      </c>
    </row>
    <row r="215" spans="1:10" ht="12.95" customHeight="1" x14ac:dyDescent="0.25">
      <c r="A215" s="32">
        <v>46034</v>
      </c>
      <c r="B215" s="33" t="s">
        <v>46</v>
      </c>
      <c r="C215" s="33" t="s">
        <v>3</v>
      </c>
      <c r="D215" s="34">
        <v>-2000</v>
      </c>
      <c r="E215" s="35">
        <v>67.11</v>
      </c>
      <c r="F215" s="33" t="s">
        <v>388</v>
      </c>
      <c r="G215" s="33" t="s">
        <v>46</v>
      </c>
      <c r="H215" s="33" t="s">
        <v>45</v>
      </c>
      <c r="I215" s="36">
        <f t="shared" si="6"/>
        <v>46023</v>
      </c>
      <c r="J215" s="33" t="str">
        <f t="shared" si="7"/>
        <v>Team Lunch</v>
      </c>
    </row>
    <row r="216" spans="1:10" ht="12.95" customHeight="1" x14ac:dyDescent="0.25">
      <c r="A216" s="32">
        <v>46033</v>
      </c>
      <c r="B216" s="33" t="s">
        <v>389</v>
      </c>
      <c r="C216" s="33" t="s">
        <v>3</v>
      </c>
      <c r="D216" s="34">
        <v>-2000</v>
      </c>
      <c r="E216" s="35">
        <v>60.73</v>
      </c>
      <c r="F216" s="33" t="s">
        <v>390</v>
      </c>
      <c r="G216" s="33" t="s">
        <v>389</v>
      </c>
      <c r="H216" s="33" t="s">
        <v>26</v>
      </c>
      <c r="I216" s="36">
        <f t="shared" si="6"/>
        <v>46023</v>
      </c>
      <c r="J216" s="33" t="str">
        <f t="shared" si="7"/>
        <v>Go Daddy</v>
      </c>
    </row>
    <row r="217" spans="1:10" ht="12.95" customHeight="1" x14ac:dyDescent="0.25">
      <c r="A217" s="32">
        <v>46033</v>
      </c>
      <c r="B217" s="33" t="s">
        <v>391</v>
      </c>
      <c r="C217" s="33" t="s">
        <v>3</v>
      </c>
      <c r="D217" s="34">
        <v>-2000</v>
      </c>
      <c r="E217" s="35">
        <v>102.47</v>
      </c>
      <c r="F217" s="33" t="s">
        <v>392</v>
      </c>
      <c r="G217" s="33" t="s">
        <v>391</v>
      </c>
      <c r="H217" s="33" t="s">
        <v>393</v>
      </c>
      <c r="I217" s="36">
        <f t="shared" si="6"/>
        <v>46023</v>
      </c>
      <c r="J217" s="33" t="str">
        <f t="shared" si="7"/>
        <v>Donation</v>
      </c>
    </row>
    <row r="218" spans="1:10" ht="12.95" customHeight="1" x14ac:dyDescent="0.25">
      <c r="A218" s="32">
        <v>46033</v>
      </c>
      <c r="B218" s="33" t="s">
        <v>394</v>
      </c>
      <c r="C218" s="33" t="s">
        <v>3</v>
      </c>
      <c r="D218" s="34">
        <v>-2000</v>
      </c>
      <c r="E218" s="35">
        <v>22</v>
      </c>
      <c r="F218" s="33" t="s">
        <v>395</v>
      </c>
      <c r="G218" s="33" t="s">
        <v>394</v>
      </c>
      <c r="H218" s="33" t="s">
        <v>42</v>
      </c>
      <c r="I218" s="36">
        <f t="shared" si="6"/>
        <v>46023</v>
      </c>
      <c r="J218" s="33" t="str">
        <f t="shared" si="7"/>
        <v>Personal - Car</v>
      </c>
    </row>
    <row r="219" spans="1:10" ht="12.95" customHeight="1" x14ac:dyDescent="0.25">
      <c r="A219" s="32">
        <v>46032</v>
      </c>
      <c r="B219" s="33" t="s">
        <v>396</v>
      </c>
      <c r="C219" s="33" t="s">
        <v>3</v>
      </c>
      <c r="D219" s="34">
        <v>-2000</v>
      </c>
      <c r="E219" s="35">
        <v>28.98</v>
      </c>
      <c r="F219" s="33" t="s">
        <v>397</v>
      </c>
      <c r="G219" s="33" t="s">
        <v>396</v>
      </c>
      <c r="H219" s="33" t="s">
        <v>26</v>
      </c>
      <c r="I219" s="36">
        <f t="shared" si="6"/>
        <v>46023</v>
      </c>
      <c r="J219" s="33" t="str">
        <f t="shared" si="7"/>
        <v>Go Daddy</v>
      </c>
    </row>
    <row r="220" spans="1:10" ht="12.95" customHeight="1" x14ac:dyDescent="0.25">
      <c r="A220" s="32">
        <v>46032</v>
      </c>
      <c r="B220" s="33" t="s">
        <v>398</v>
      </c>
      <c r="C220" s="33" t="s">
        <v>3</v>
      </c>
      <c r="D220" s="34">
        <v>-2000</v>
      </c>
      <c r="E220" s="35">
        <v>49.33</v>
      </c>
      <c r="F220" s="33" t="s">
        <v>399</v>
      </c>
      <c r="G220" s="33" t="s">
        <v>398</v>
      </c>
      <c r="H220" s="33" t="s">
        <v>16</v>
      </c>
      <c r="I220" s="36">
        <f t="shared" si="6"/>
        <v>46023</v>
      </c>
      <c r="J220" s="33" t="str">
        <f t="shared" si="7"/>
        <v>Personal - Food</v>
      </c>
    </row>
    <row r="221" spans="1:10" ht="12.95" customHeight="1" x14ac:dyDescent="0.25">
      <c r="A221" s="32">
        <v>46032</v>
      </c>
      <c r="B221" s="33" t="s">
        <v>169</v>
      </c>
      <c r="C221" s="33" t="s">
        <v>3</v>
      </c>
      <c r="D221" s="34">
        <v>-2000</v>
      </c>
      <c r="E221" s="35">
        <v>24</v>
      </c>
      <c r="F221" s="33" t="s">
        <v>400</v>
      </c>
      <c r="G221" s="33" t="s">
        <v>169</v>
      </c>
      <c r="H221" s="33" t="s">
        <v>29</v>
      </c>
      <c r="I221" s="36">
        <f t="shared" si="6"/>
        <v>46023</v>
      </c>
      <c r="J221" s="33" t="str">
        <f t="shared" si="7"/>
        <v>Software &amp; Subscriptions</v>
      </c>
    </row>
    <row r="222" spans="1:10" ht="12.95" customHeight="1" x14ac:dyDescent="0.25">
      <c r="A222" s="32">
        <v>46031</v>
      </c>
      <c r="B222" s="33" t="s">
        <v>22</v>
      </c>
      <c r="C222" s="33" t="s">
        <v>3</v>
      </c>
      <c r="D222" s="34">
        <v>-2000</v>
      </c>
      <c r="E222" s="35">
        <v>18.11</v>
      </c>
      <c r="F222" s="33" t="s">
        <v>401</v>
      </c>
      <c r="G222" s="33" t="s">
        <v>22</v>
      </c>
      <c r="H222" s="33" t="s">
        <v>16</v>
      </c>
      <c r="I222" s="36">
        <f t="shared" si="6"/>
        <v>46023</v>
      </c>
      <c r="J222" s="33" t="str">
        <f t="shared" si="7"/>
        <v>Personal - Food</v>
      </c>
    </row>
    <row r="223" spans="1:10" ht="12.95" customHeight="1" x14ac:dyDescent="0.25">
      <c r="A223" s="32">
        <v>46031</v>
      </c>
      <c r="B223" s="33" t="s">
        <v>402</v>
      </c>
      <c r="C223" s="33" t="s">
        <v>3</v>
      </c>
      <c r="D223" s="34">
        <v>-2000</v>
      </c>
      <c r="E223" s="35">
        <v>13.79</v>
      </c>
      <c r="F223" s="33" t="s">
        <v>403</v>
      </c>
      <c r="G223" s="33" t="s">
        <v>402</v>
      </c>
      <c r="H223" s="33" t="s">
        <v>26</v>
      </c>
      <c r="I223" s="36">
        <f t="shared" si="6"/>
        <v>46023</v>
      </c>
      <c r="J223" s="33" t="str">
        <f t="shared" si="7"/>
        <v>Go Daddy</v>
      </c>
    </row>
    <row r="224" spans="1:10" ht="12.95" customHeight="1" x14ac:dyDescent="0.25">
      <c r="A224" s="32">
        <v>46031</v>
      </c>
      <c r="B224" s="33" t="s">
        <v>84</v>
      </c>
      <c r="C224" s="33" t="s">
        <v>3</v>
      </c>
      <c r="D224" s="34">
        <v>-2000</v>
      </c>
      <c r="E224" s="35">
        <v>159.51</v>
      </c>
      <c r="F224" s="33" t="s">
        <v>404</v>
      </c>
      <c r="G224" s="33" t="s">
        <v>84</v>
      </c>
      <c r="H224" s="33" t="s">
        <v>16</v>
      </c>
      <c r="I224" s="36">
        <f t="shared" si="6"/>
        <v>46023</v>
      </c>
      <c r="J224" s="33" t="str">
        <f t="shared" si="7"/>
        <v>Personal - Food</v>
      </c>
    </row>
    <row r="225" spans="1:10" ht="12.95" customHeight="1" x14ac:dyDescent="0.25">
      <c r="A225" s="32">
        <v>46031</v>
      </c>
      <c r="B225" s="33" t="s">
        <v>19</v>
      </c>
      <c r="C225" s="33" t="s">
        <v>3</v>
      </c>
      <c r="D225" s="34">
        <v>-2000</v>
      </c>
      <c r="E225" s="35">
        <v>15</v>
      </c>
      <c r="F225" s="33" t="s">
        <v>405</v>
      </c>
      <c r="G225" s="33" t="s">
        <v>19</v>
      </c>
      <c r="H225" s="33" t="s">
        <v>21</v>
      </c>
      <c r="I225" s="36">
        <f t="shared" si="6"/>
        <v>46023</v>
      </c>
      <c r="J225" s="33" t="str">
        <f t="shared" si="7"/>
        <v>Sponsor Cloud - DWGCP</v>
      </c>
    </row>
    <row r="226" spans="1:10" ht="12.95" customHeight="1" x14ac:dyDescent="0.25">
      <c r="A226" s="32">
        <v>46031</v>
      </c>
      <c r="B226" s="33" t="s">
        <v>46</v>
      </c>
      <c r="C226" s="33" t="s">
        <v>3</v>
      </c>
      <c r="D226" s="34">
        <v>-2000</v>
      </c>
      <c r="E226" s="35">
        <v>86.55</v>
      </c>
      <c r="F226" s="33" t="s">
        <v>406</v>
      </c>
      <c r="G226" s="33" t="s">
        <v>46</v>
      </c>
      <c r="H226" s="33" t="s">
        <v>45</v>
      </c>
      <c r="I226" s="36">
        <f t="shared" si="6"/>
        <v>46023</v>
      </c>
      <c r="J226" s="33" t="str">
        <f t="shared" si="7"/>
        <v>Team Lunch</v>
      </c>
    </row>
    <row r="227" spans="1:10" ht="12.95" customHeight="1" x14ac:dyDescent="0.25">
      <c r="A227" s="32">
        <v>46030</v>
      </c>
      <c r="B227" s="33" t="s">
        <v>407</v>
      </c>
      <c r="C227" s="33" t="s">
        <v>3</v>
      </c>
      <c r="D227" s="34">
        <v>-2000</v>
      </c>
      <c r="E227" s="35">
        <v>33.97</v>
      </c>
      <c r="F227" s="33" t="s">
        <v>408</v>
      </c>
      <c r="G227" s="33" t="s">
        <v>407</v>
      </c>
      <c r="H227" s="33" t="s">
        <v>26</v>
      </c>
      <c r="I227" s="36">
        <f t="shared" si="6"/>
        <v>46023</v>
      </c>
      <c r="J227" s="33" t="str">
        <f t="shared" si="7"/>
        <v>Go Daddy</v>
      </c>
    </row>
    <row r="228" spans="1:10" ht="12.95" customHeight="1" x14ac:dyDescent="0.25">
      <c r="A228" s="32">
        <v>46030</v>
      </c>
      <c r="B228" s="33" t="s">
        <v>182</v>
      </c>
      <c r="C228" s="33" t="s">
        <v>3</v>
      </c>
      <c r="D228" s="34">
        <v>-2000</v>
      </c>
      <c r="E228" s="35">
        <v>20</v>
      </c>
      <c r="F228" s="33" t="s">
        <v>409</v>
      </c>
      <c r="G228" s="33" t="s">
        <v>182</v>
      </c>
      <c r="H228" s="33" t="s">
        <v>58</v>
      </c>
      <c r="I228" s="36">
        <f t="shared" si="6"/>
        <v>46023</v>
      </c>
      <c r="J228" s="33" t="str">
        <f t="shared" si="7"/>
        <v>AI Subscription</v>
      </c>
    </row>
    <row r="229" spans="1:10" ht="12.95" customHeight="1" x14ac:dyDescent="0.25">
      <c r="A229" s="32">
        <v>46030</v>
      </c>
      <c r="B229" s="33" t="s">
        <v>410</v>
      </c>
      <c r="C229" s="33" t="s">
        <v>3</v>
      </c>
      <c r="D229" s="34">
        <v>-2000</v>
      </c>
      <c r="E229" s="35">
        <v>217.46</v>
      </c>
      <c r="F229" s="33" t="s">
        <v>411</v>
      </c>
      <c r="G229" s="33" t="s">
        <v>410</v>
      </c>
      <c r="H229" s="33" t="s">
        <v>412</v>
      </c>
      <c r="I229" s="36">
        <f t="shared" si="6"/>
        <v>46023</v>
      </c>
      <c r="J229" s="33" t="str">
        <f t="shared" si="7"/>
        <v>Personal - Word Press</v>
      </c>
    </row>
    <row r="230" spans="1:10" ht="12.95" customHeight="1" x14ac:dyDescent="0.25">
      <c r="A230" s="32">
        <v>46030</v>
      </c>
      <c r="B230" s="33" t="s">
        <v>413</v>
      </c>
      <c r="C230" s="33" t="s">
        <v>3</v>
      </c>
      <c r="D230" s="34">
        <v>-2000</v>
      </c>
      <c r="E230" s="35">
        <v>102.34</v>
      </c>
      <c r="F230" s="33" t="s">
        <v>414</v>
      </c>
      <c r="G230" s="33" t="s">
        <v>413</v>
      </c>
      <c r="H230" s="33" t="s">
        <v>412</v>
      </c>
      <c r="I230" s="36">
        <f t="shared" si="6"/>
        <v>46023</v>
      </c>
      <c r="J230" s="33" t="str">
        <f t="shared" si="7"/>
        <v>Personal - Word Press</v>
      </c>
    </row>
    <row r="231" spans="1:10" ht="12.95" customHeight="1" x14ac:dyDescent="0.25">
      <c r="A231" s="32">
        <v>46029</v>
      </c>
      <c r="B231" s="33" t="s">
        <v>415</v>
      </c>
      <c r="C231" s="33" t="s">
        <v>3</v>
      </c>
      <c r="D231" s="34">
        <v>-2000</v>
      </c>
      <c r="E231" s="35">
        <v>11.99</v>
      </c>
      <c r="F231" s="33" t="s">
        <v>416</v>
      </c>
      <c r="G231" s="33" t="s">
        <v>415</v>
      </c>
      <c r="H231" s="33" t="s">
        <v>26</v>
      </c>
      <c r="I231" s="36">
        <f t="shared" si="6"/>
        <v>46023</v>
      </c>
      <c r="J231" s="33" t="str">
        <f t="shared" si="7"/>
        <v>Go Daddy</v>
      </c>
    </row>
    <row r="232" spans="1:10" ht="12.95" customHeight="1" x14ac:dyDescent="0.25">
      <c r="A232" s="32">
        <v>46029</v>
      </c>
      <c r="B232" s="33" t="s">
        <v>191</v>
      </c>
      <c r="C232" s="33" t="s">
        <v>3</v>
      </c>
      <c r="D232" s="34">
        <v>-2000</v>
      </c>
      <c r="E232" s="35">
        <v>195</v>
      </c>
      <c r="F232" s="33" t="s">
        <v>417</v>
      </c>
      <c r="G232" s="33" t="s">
        <v>191</v>
      </c>
      <c r="H232" s="33" t="s">
        <v>177</v>
      </c>
      <c r="I232" s="36">
        <f t="shared" si="6"/>
        <v>46023</v>
      </c>
      <c r="J232" s="33" t="str">
        <f t="shared" si="7"/>
        <v>DWG-RE Marketing</v>
      </c>
    </row>
    <row r="233" spans="1:10" ht="12.95" customHeight="1" x14ac:dyDescent="0.25">
      <c r="A233" s="32">
        <v>46029</v>
      </c>
      <c r="B233" s="33" t="s">
        <v>46</v>
      </c>
      <c r="C233" s="33" t="s">
        <v>3</v>
      </c>
      <c r="D233" s="34">
        <v>-2000</v>
      </c>
      <c r="E233" s="35">
        <v>60.67</v>
      </c>
      <c r="F233" s="33" t="s">
        <v>418</v>
      </c>
      <c r="G233" s="33" t="s">
        <v>46</v>
      </c>
      <c r="H233" s="33" t="s">
        <v>45</v>
      </c>
      <c r="I233" s="36">
        <f t="shared" si="6"/>
        <v>46023</v>
      </c>
      <c r="J233" s="33" t="str">
        <f t="shared" si="7"/>
        <v>Team Lunch</v>
      </c>
    </row>
    <row r="234" spans="1:10" ht="12.95" customHeight="1" x14ac:dyDescent="0.25">
      <c r="A234" s="32">
        <v>46028</v>
      </c>
      <c r="B234" s="33" t="s">
        <v>196</v>
      </c>
      <c r="C234" s="33" t="s">
        <v>3</v>
      </c>
      <c r="D234" s="34">
        <v>-2000</v>
      </c>
      <c r="E234" s="35">
        <v>9.99</v>
      </c>
      <c r="F234" s="33" t="s">
        <v>419</v>
      </c>
      <c r="G234" s="33" t="s">
        <v>196</v>
      </c>
      <c r="H234" s="33" t="s">
        <v>29</v>
      </c>
      <c r="I234" s="36">
        <f t="shared" si="6"/>
        <v>46023</v>
      </c>
      <c r="J234" s="33" t="str">
        <f t="shared" si="7"/>
        <v>Software &amp; Subscriptions</v>
      </c>
    </row>
    <row r="235" spans="1:10" ht="12.95" customHeight="1" x14ac:dyDescent="0.25">
      <c r="A235" s="32">
        <v>46028</v>
      </c>
      <c r="B235" s="33" t="s">
        <v>420</v>
      </c>
      <c r="C235" s="33" t="s">
        <v>3</v>
      </c>
      <c r="D235" s="34">
        <v>-2000</v>
      </c>
      <c r="E235" s="35">
        <v>27.52</v>
      </c>
      <c r="F235" s="33" t="s">
        <v>421</v>
      </c>
      <c r="G235" s="33" t="s">
        <v>420</v>
      </c>
      <c r="H235" s="33" t="s">
        <v>42</v>
      </c>
      <c r="I235" s="36">
        <f t="shared" si="6"/>
        <v>46023</v>
      </c>
      <c r="J235" s="33" t="str">
        <f t="shared" si="7"/>
        <v>Personal - Car</v>
      </c>
    </row>
    <row r="236" spans="1:10" ht="12.95" customHeight="1" x14ac:dyDescent="0.25">
      <c r="A236" s="32">
        <v>46028</v>
      </c>
      <c r="B236" s="33" t="s">
        <v>420</v>
      </c>
      <c r="C236" s="33" t="s">
        <v>3</v>
      </c>
      <c r="D236" s="34">
        <v>-2000</v>
      </c>
      <c r="E236" s="35">
        <v>46.77</v>
      </c>
      <c r="F236" s="33" t="s">
        <v>422</v>
      </c>
      <c r="G236" s="33" t="s">
        <v>420</v>
      </c>
      <c r="H236" s="33" t="s">
        <v>42</v>
      </c>
      <c r="I236" s="36">
        <f t="shared" si="6"/>
        <v>46023</v>
      </c>
      <c r="J236" s="33" t="str">
        <f t="shared" si="7"/>
        <v>Personal - Car</v>
      </c>
    </row>
    <row r="237" spans="1:10" ht="12.95" customHeight="1" x14ac:dyDescent="0.25">
      <c r="A237" s="32">
        <v>46028</v>
      </c>
      <c r="B237" s="33" t="s">
        <v>198</v>
      </c>
      <c r="C237" s="33" t="s">
        <v>3</v>
      </c>
      <c r="D237" s="34">
        <v>-2000</v>
      </c>
      <c r="E237" s="35">
        <v>260</v>
      </c>
      <c r="F237" s="33" t="s">
        <v>423</v>
      </c>
      <c r="G237" s="33" t="s">
        <v>198</v>
      </c>
      <c r="H237" s="33" t="s">
        <v>177</v>
      </c>
      <c r="I237" s="36">
        <f t="shared" si="6"/>
        <v>46023</v>
      </c>
      <c r="J237" s="33" t="str">
        <f t="shared" si="7"/>
        <v>DWG-RE Marketing</v>
      </c>
    </row>
    <row r="238" spans="1:10" ht="12.95" customHeight="1" x14ac:dyDescent="0.25">
      <c r="A238" s="32">
        <v>46028</v>
      </c>
      <c r="B238" s="33" t="s">
        <v>424</v>
      </c>
      <c r="C238" s="33" t="s">
        <v>3</v>
      </c>
      <c r="D238" s="34">
        <v>-2000</v>
      </c>
      <c r="E238" s="35">
        <v>23.17</v>
      </c>
      <c r="F238" s="33" t="s">
        <v>425</v>
      </c>
      <c r="G238" s="33" t="s">
        <v>424</v>
      </c>
      <c r="H238" s="33" t="s">
        <v>68</v>
      </c>
      <c r="I238" s="36">
        <f t="shared" si="6"/>
        <v>46023</v>
      </c>
      <c r="J238" s="33" t="str">
        <f t="shared" si="7"/>
        <v>Team Travel</v>
      </c>
    </row>
    <row r="239" spans="1:10" ht="12.95" customHeight="1" x14ac:dyDescent="0.25">
      <c r="A239" s="32">
        <v>46028</v>
      </c>
      <c r="B239" s="33" t="s">
        <v>426</v>
      </c>
      <c r="C239" s="33" t="s">
        <v>3</v>
      </c>
      <c r="D239" s="34">
        <v>-2000</v>
      </c>
      <c r="E239" s="35">
        <v>10.119999999999999</v>
      </c>
      <c r="F239" s="33" t="s">
        <v>427</v>
      </c>
      <c r="G239" s="33" t="s">
        <v>426</v>
      </c>
      <c r="H239" s="33" t="s">
        <v>68</v>
      </c>
      <c r="I239" s="36">
        <f t="shared" si="6"/>
        <v>46023</v>
      </c>
      <c r="J239" s="33" t="str">
        <f t="shared" si="7"/>
        <v>Team Travel</v>
      </c>
    </row>
    <row r="240" spans="1:10" ht="12.95" customHeight="1" x14ac:dyDescent="0.25">
      <c r="A240" s="32">
        <v>46028</v>
      </c>
      <c r="B240" s="33" t="s">
        <v>426</v>
      </c>
      <c r="C240" s="33" t="s">
        <v>3</v>
      </c>
      <c r="D240" s="34">
        <v>-2000</v>
      </c>
      <c r="E240" s="35">
        <v>18.190000000000001</v>
      </c>
      <c r="F240" s="33" t="s">
        <v>428</v>
      </c>
      <c r="G240" s="33" t="s">
        <v>426</v>
      </c>
      <c r="H240" s="33" t="s">
        <v>68</v>
      </c>
      <c r="I240" s="36">
        <f t="shared" si="6"/>
        <v>46023</v>
      </c>
      <c r="J240" s="33" t="str">
        <f t="shared" si="7"/>
        <v>Team Travel</v>
      </c>
    </row>
    <row r="241" spans="1:10" ht="12.95" customHeight="1" x14ac:dyDescent="0.25">
      <c r="A241" s="32">
        <v>46028</v>
      </c>
      <c r="B241" s="33" t="s">
        <v>429</v>
      </c>
      <c r="C241" s="33" t="s">
        <v>3</v>
      </c>
      <c r="D241" s="34">
        <v>-2000</v>
      </c>
      <c r="E241" s="35">
        <v>71.2</v>
      </c>
      <c r="F241" s="33" t="s">
        <v>430</v>
      </c>
      <c r="G241" s="33" t="s">
        <v>429</v>
      </c>
      <c r="H241" s="33" t="s">
        <v>68</v>
      </c>
      <c r="I241" s="36">
        <f t="shared" si="6"/>
        <v>46023</v>
      </c>
      <c r="J241" s="33" t="str">
        <f t="shared" si="7"/>
        <v>Team Travel</v>
      </c>
    </row>
    <row r="242" spans="1:10" ht="12.95" customHeight="1" x14ac:dyDescent="0.25">
      <c r="A242" s="32">
        <v>46027</v>
      </c>
      <c r="B242" s="33" t="s">
        <v>431</v>
      </c>
      <c r="C242" s="33" t="s">
        <v>3</v>
      </c>
      <c r="D242" s="34">
        <v>-2000</v>
      </c>
      <c r="E242" s="35">
        <v>10</v>
      </c>
      <c r="F242" s="33" t="s">
        <v>432</v>
      </c>
      <c r="G242" s="33" t="s">
        <v>431</v>
      </c>
      <c r="H242" s="33" t="s">
        <v>68</v>
      </c>
      <c r="I242" s="36">
        <f t="shared" si="6"/>
        <v>46023</v>
      </c>
      <c r="J242" s="33" t="str">
        <f t="shared" si="7"/>
        <v>Team Travel</v>
      </c>
    </row>
    <row r="243" spans="1:10" ht="12.95" customHeight="1" x14ac:dyDescent="0.25">
      <c r="A243" s="32">
        <v>46027</v>
      </c>
      <c r="B243" s="33" t="s">
        <v>433</v>
      </c>
      <c r="C243" s="33" t="s">
        <v>3</v>
      </c>
      <c r="D243" s="34">
        <v>-2000</v>
      </c>
      <c r="E243" s="35">
        <v>6.95</v>
      </c>
      <c r="F243" s="33" t="s">
        <v>434</v>
      </c>
      <c r="G243" s="33" t="s">
        <v>433</v>
      </c>
      <c r="H243" s="33" t="s">
        <v>68</v>
      </c>
      <c r="I243" s="36">
        <f t="shared" si="6"/>
        <v>46023</v>
      </c>
      <c r="J243" s="33" t="str">
        <f t="shared" si="7"/>
        <v>Team Travel</v>
      </c>
    </row>
    <row r="244" spans="1:10" ht="12.95" customHeight="1" x14ac:dyDescent="0.25">
      <c r="A244" s="32">
        <v>46027</v>
      </c>
      <c r="B244" s="33" t="s">
        <v>435</v>
      </c>
      <c r="C244" s="33" t="s">
        <v>3</v>
      </c>
      <c r="D244" s="34">
        <v>-2000</v>
      </c>
      <c r="E244" s="35">
        <v>19.97</v>
      </c>
      <c r="F244" s="33" t="s">
        <v>436</v>
      </c>
      <c r="G244" s="33" t="s">
        <v>435</v>
      </c>
      <c r="H244" s="33" t="s">
        <v>26</v>
      </c>
      <c r="I244" s="36">
        <f t="shared" si="6"/>
        <v>46023</v>
      </c>
      <c r="J244" s="33" t="str">
        <f t="shared" si="7"/>
        <v>Go Daddy</v>
      </c>
    </row>
    <row r="245" spans="1:10" ht="12.95" customHeight="1" x14ac:dyDescent="0.25">
      <c r="A245" s="32">
        <v>46027</v>
      </c>
      <c r="B245" s="33" t="s">
        <v>437</v>
      </c>
      <c r="C245" s="33" t="s">
        <v>3</v>
      </c>
      <c r="D245" s="34">
        <v>-2000</v>
      </c>
      <c r="E245" s="35">
        <v>10.99</v>
      </c>
      <c r="F245" s="33" t="s">
        <v>438</v>
      </c>
      <c r="G245" s="33" t="s">
        <v>437</v>
      </c>
      <c r="H245" s="33" t="s">
        <v>16</v>
      </c>
      <c r="I245" s="36">
        <f t="shared" si="6"/>
        <v>46023</v>
      </c>
      <c r="J245" s="33" t="str">
        <f t="shared" si="7"/>
        <v>Personal - Food</v>
      </c>
    </row>
    <row r="246" spans="1:10" ht="12.95" customHeight="1" x14ac:dyDescent="0.25">
      <c r="A246" s="32">
        <v>46027</v>
      </c>
      <c r="B246" s="33" t="s">
        <v>439</v>
      </c>
      <c r="C246" s="33" t="s">
        <v>3</v>
      </c>
      <c r="D246" s="34">
        <v>-2000</v>
      </c>
      <c r="E246" s="35">
        <v>54.46</v>
      </c>
      <c r="F246" s="33" t="s">
        <v>440</v>
      </c>
      <c r="G246" s="33" t="s">
        <v>439</v>
      </c>
      <c r="H246" s="33" t="s">
        <v>16</v>
      </c>
      <c r="I246" s="36">
        <f t="shared" si="6"/>
        <v>46023</v>
      </c>
      <c r="J246" s="33" t="str">
        <f t="shared" si="7"/>
        <v>Personal - Food</v>
      </c>
    </row>
    <row r="247" spans="1:10" ht="12.95" customHeight="1" x14ac:dyDescent="0.25">
      <c r="A247" s="32">
        <v>46027</v>
      </c>
      <c r="B247" s="33" t="s">
        <v>441</v>
      </c>
      <c r="C247" s="33" t="s">
        <v>3</v>
      </c>
      <c r="D247" s="34">
        <v>-2000</v>
      </c>
      <c r="E247" s="35">
        <v>38.479999999999997</v>
      </c>
      <c r="F247" s="33" t="s">
        <v>442</v>
      </c>
      <c r="G247" s="33" t="s">
        <v>441</v>
      </c>
      <c r="H247" s="33" t="s">
        <v>68</v>
      </c>
      <c r="I247" s="36">
        <f t="shared" si="6"/>
        <v>46023</v>
      </c>
      <c r="J247" s="33" t="str">
        <f t="shared" si="7"/>
        <v>Team Travel</v>
      </c>
    </row>
    <row r="248" spans="1:10" ht="12.95" customHeight="1" x14ac:dyDescent="0.25">
      <c r="A248" s="32">
        <v>46027</v>
      </c>
      <c r="B248" s="33" t="s">
        <v>441</v>
      </c>
      <c r="C248" s="33" t="s">
        <v>3</v>
      </c>
      <c r="D248" s="34">
        <v>-2000</v>
      </c>
      <c r="E248" s="35">
        <v>42.98</v>
      </c>
      <c r="F248" s="33" t="s">
        <v>442</v>
      </c>
      <c r="G248" s="33" t="s">
        <v>441</v>
      </c>
      <c r="H248" s="33" t="s">
        <v>68</v>
      </c>
      <c r="I248" s="36">
        <f t="shared" si="6"/>
        <v>46023</v>
      </c>
      <c r="J248" s="33" t="str">
        <f t="shared" si="7"/>
        <v>Team Travel</v>
      </c>
    </row>
    <row r="249" spans="1:10" ht="12.95" customHeight="1" x14ac:dyDescent="0.25">
      <c r="A249" s="32">
        <v>46026</v>
      </c>
      <c r="B249" s="33" t="s">
        <v>443</v>
      </c>
      <c r="C249" s="33" t="s">
        <v>3</v>
      </c>
      <c r="D249" s="34">
        <v>-2000</v>
      </c>
      <c r="E249" s="35">
        <v>164.66</v>
      </c>
      <c r="F249" s="33" t="s">
        <v>444</v>
      </c>
      <c r="G249" s="33" t="s">
        <v>443</v>
      </c>
      <c r="H249" s="33" t="s">
        <v>445</v>
      </c>
      <c r="I249" s="36">
        <f t="shared" si="6"/>
        <v>46023</v>
      </c>
      <c r="J249" s="33" t="str">
        <f t="shared" si="7"/>
        <v>Personal - Clothing</v>
      </c>
    </row>
    <row r="250" spans="1:10" ht="12.95" customHeight="1" x14ac:dyDescent="0.25">
      <c r="A250" s="32">
        <v>46026</v>
      </c>
      <c r="B250" s="33" t="s">
        <v>446</v>
      </c>
      <c r="C250" s="33" t="s">
        <v>3</v>
      </c>
      <c r="D250" s="34">
        <v>-2000</v>
      </c>
      <c r="E250" s="35">
        <v>169.57</v>
      </c>
      <c r="F250" s="33" t="s">
        <v>447</v>
      </c>
      <c r="G250" s="33" t="s">
        <v>446</v>
      </c>
      <c r="H250" s="33" t="s">
        <v>445</v>
      </c>
      <c r="I250" s="36">
        <f t="shared" si="6"/>
        <v>46023</v>
      </c>
      <c r="J250" s="33" t="str">
        <f t="shared" si="7"/>
        <v>Personal - Clothing</v>
      </c>
    </row>
    <row r="251" spans="1:10" ht="12.95" customHeight="1" x14ac:dyDescent="0.25">
      <c r="A251" s="32">
        <v>46026</v>
      </c>
      <c r="B251" s="33" t="s">
        <v>448</v>
      </c>
      <c r="C251" s="33" t="s">
        <v>3</v>
      </c>
      <c r="D251" s="34">
        <v>-2000</v>
      </c>
      <c r="E251" s="35">
        <v>104.81</v>
      </c>
      <c r="F251" s="33" t="s">
        <v>449</v>
      </c>
      <c r="G251" s="33" t="s">
        <v>448</v>
      </c>
      <c r="H251" s="33" t="s">
        <v>445</v>
      </c>
      <c r="I251" s="36">
        <f t="shared" si="6"/>
        <v>46023</v>
      </c>
      <c r="J251" s="33" t="str">
        <f t="shared" si="7"/>
        <v>Personal - Clothing</v>
      </c>
    </row>
    <row r="252" spans="1:10" ht="12.95" customHeight="1" x14ac:dyDescent="0.25">
      <c r="A252" s="32">
        <v>46026</v>
      </c>
      <c r="B252" s="33" t="s">
        <v>450</v>
      </c>
      <c r="C252" s="33" t="s">
        <v>3</v>
      </c>
      <c r="D252" s="34">
        <v>-2000</v>
      </c>
      <c r="E252" s="35">
        <v>30</v>
      </c>
      <c r="F252" s="33" t="s">
        <v>451</v>
      </c>
      <c r="G252" s="33" t="s">
        <v>450</v>
      </c>
      <c r="H252" s="33" t="s">
        <v>58</v>
      </c>
      <c r="I252" s="36">
        <f t="shared" si="6"/>
        <v>46023</v>
      </c>
      <c r="J252" s="33" t="str">
        <f t="shared" si="7"/>
        <v>AI Subscription</v>
      </c>
    </row>
    <row r="253" spans="1:10" ht="12.95" customHeight="1" x14ac:dyDescent="0.25">
      <c r="A253" s="32">
        <v>46026</v>
      </c>
      <c r="B253" s="33" t="s">
        <v>452</v>
      </c>
      <c r="C253" s="33" t="s">
        <v>3</v>
      </c>
      <c r="D253" s="34">
        <v>-2000</v>
      </c>
      <c r="E253" s="35">
        <v>77</v>
      </c>
      <c r="F253" s="33" t="s">
        <v>453</v>
      </c>
      <c r="G253" s="33" t="s">
        <v>452</v>
      </c>
      <c r="H253" s="33" t="s">
        <v>29</v>
      </c>
      <c r="I253" s="36">
        <f t="shared" si="6"/>
        <v>46023</v>
      </c>
      <c r="J253" s="33" t="str">
        <f t="shared" si="7"/>
        <v>Software &amp; Subscriptions</v>
      </c>
    </row>
    <row r="254" spans="1:10" ht="12.95" customHeight="1" x14ac:dyDescent="0.25">
      <c r="A254" s="32">
        <v>46025</v>
      </c>
      <c r="B254" s="33" t="s">
        <v>221</v>
      </c>
      <c r="C254" s="33" t="s">
        <v>3</v>
      </c>
      <c r="D254" s="34">
        <v>-2000</v>
      </c>
      <c r="E254" s="35">
        <v>13.99</v>
      </c>
      <c r="F254" s="33" t="s">
        <v>454</v>
      </c>
      <c r="G254" s="33" t="s">
        <v>221</v>
      </c>
      <c r="H254" s="33" t="s">
        <v>73</v>
      </c>
      <c r="I254" s="36">
        <f t="shared" si="6"/>
        <v>46023</v>
      </c>
      <c r="J254" s="33" t="str">
        <f t="shared" si="7"/>
        <v>Personal - Health</v>
      </c>
    </row>
    <row r="255" spans="1:10" ht="12.95" customHeight="1" x14ac:dyDescent="0.25">
      <c r="A255" s="32">
        <v>46025</v>
      </c>
      <c r="B255" s="33" t="s">
        <v>223</v>
      </c>
      <c r="C255" s="33" t="s">
        <v>3</v>
      </c>
      <c r="D255" s="34">
        <v>-2000</v>
      </c>
      <c r="E255" s="35">
        <v>52.14</v>
      </c>
      <c r="F255" s="33" t="s">
        <v>455</v>
      </c>
      <c r="G255" s="33" t="s">
        <v>223</v>
      </c>
      <c r="H255" s="33" t="s">
        <v>29</v>
      </c>
      <c r="I255" s="36">
        <f t="shared" si="6"/>
        <v>46023</v>
      </c>
      <c r="J255" s="33" t="str">
        <f t="shared" si="7"/>
        <v>Software &amp; Subscriptions</v>
      </c>
    </row>
    <row r="256" spans="1:10" ht="12.95" customHeight="1" x14ac:dyDescent="0.25">
      <c r="A256" s="32">
        <v>46024</v>
      </c>
      <c r="B256" s="33" t="s">
        <v>14</v>
      </c>
      <c r="C256" s="33" t="s">
        <v>3</v>
      </c>
      <c r="D256" s="34">
        <v>-2000</v>
      </c>
      <c r="E256" s="35">
        <v>150.69</v>
      </c>
      <c r="F256" s="33" t="s">
        <v>456</v>
      </c>
      <c r="G256" s="33" t="s">
        <v>14</v>
      </c>
      <c r="H256" s="33" t="s">
        <v>16</v>
      </c>
      <c r="I256" s="36">
        <f t="shared" si="6"/>
        <v>46023</v>
      </c>
      <c r="J256" s="33" t="str">
        <f t="shared" si="7"/>
        <v>Personal - Food</v>
      </c>
    </row>
    <row r="257" spans="1:10" ht="12.95" customHeight="1" x14ac:dyDescent="0.25">
      <c r="A257" s="32">
        <v>46024</v>
      </c>
      <c r="B257" s="33" t="s">
        <v>457</v>
      </c>
      <c r="C257" s="33" t="s">
        <v>3</v>
      </c>
      <c r="D257" s="34">
        <v>-2000</v>
      </c>
      <c r="E257" s="35">
        <v>258.54000000000002</v>
      </c>
      <c r="F257" s="33" t="s">
        <v>458</v>
      </c>
      <c r="G257" s="33" t="s">
        <v>457</v>
      </c>
      <c r="H257" s="33" t="s">
        <v>457</v>
      </c>
      <c r="I257" s="36">
        <f t="shared" si="6"/>
        <v>46023</v>
      </c>
      <c r="J257" s="33" t="str">
        <f t="shared" si="7"/>
        <v>Interest Charge on Pay Over Time Purchases</v>
      </c>
    </row>
    <row r="258" spans="1:10" ht="12.95" customHeight="1" x14ac:dyDescent="0.25">
      <c r="A258" s="32">
        <v>46024</v>
      </c>
      <c r="B258" s="33" t="s">
        <v>459</v>
      </c>
      <c r="C258" s="33" t="s">
        <v>3</v>
      </c>
      <c r="D258" s="34">
        <v>-2000</v>
      </c>
      <c r="E258" s="35">
        <v>276.12</v>
      </c>
      <c r="F258" s="33" t="s">
        <v>460</v>
      </c>
      <c r="G258" s="33" t="s">
        <v>459</v>
      </c>
      <c r="H258" s="33" t="s">
        <v>73</v>
      </c>
      <c r="I258" s="36">
        <f t="shared" si="6"/>
        <v>46023</v>
      </c>
      <c r="J258" s="33" t="str">
        <f t="shared" si="7"/>
        <v>Personal - Health</v>
      </c>
    </row>
    <row r="259" spans="1:10" ht="12.95" customHeight="1" x14ac:dyDescent="0.25">
      <c r="A259" s="32">
        <v>46023</v>
      </c>
      <c r="B259" s="33" t="s">
        <v>237</v>
      </c>
      <c r="C259" s="33" t="s">
        <v>3</v>
      </c>
      <c r="D259" s="34">
        <v>-2000</v>
      </c>
      <c r="E259" s="35">
        <v>119.52</v>
      </c>
      <c r="F259" s="33" t="s">
        <v>461</v>
      </c>
      <c r="G259" s="33" t="s">
        <v>237</v>
      </c>
      <c r="H259" s="33" t="s">
        <v>73</v>
      </c>
      <c r="I259" s="36">
        <f t="shared" si="6"/>
        <v>46023</v>
      </c>
      <c r="J259" s="33" t="str">
        <f t="shared" si="7"/>
        <v>Personal - Health</v>
      </c>
    </row>
    <row r="260" spans="1:10" ht="12.95" customHeight="1" x14ac:dyDescent="0.25">
      <c r="A260" s="32">
        <v>46023</v>
      </c>
      <c r="B260" s="33" t="s">
        <v>462</v>
      </c>
      <c r="C260" s="33" t="s">
        <v>3</v>
      </c>
      <c r="D260" s="34">
        <v>-2000</v>
      </c>
      <c r="E260" s="35">
        <v>33.97</v>
      </c>
      <c r="F260" s="33" t="s">
        <v>463</v>
      </c>
      <c r="G260" s="33" t="s">
        <v>462</v>
      </c>
      <c r="H260" s="33" t="s">
        <v>26</v>
      </c>
      <c r="I260" s="36">
        <f t="shared" si="6"/>
        <v>46023</v>
      </c>
      <c r="J260" s="33" t="str">
        <f t="shared" si="7"/>
        <v>Go Daddy</v>
      </c>
    </row>
    <row r="261" spans="1:10" ht="12.95" customHeight="1" x14ac:dyDescent="0.25">
      <c r="A261" s="32">
        <v>46023</v>
      </c>
      <c r="B261" s="33" t="s">
        <v>242</v>
      </c>
      <c r="C261" s="33" t="s">
        <v>3</v>
      </c>
      <c r="D261" s="34">
        <v>-2000</v>
      </c>
      <c r="E261" s="35">
        <v>20</v>
      </c>
      <c r="F261" s="33" t="s">
        <v>464</v>
      </c>
      <c r="G261" s="33" t="s">
        <v>242</v>
      </c>
      <c r="H261" s="33" t="s">
        <v>29</v>
      </c>
      <c r="I261" s="36">
        <f t="shared" si="6"/>
        <v>46023</v>
      </c>
      <c r="J261" s="33" t="str">
        <f t="shared" si="7"/>
        <v>Software &amp; Subscriptions</v>
      </c>
    </row>
  </sheetData>
  <conditionalFormatting sqref="A8:J261">
    <cfRule type="expression" dxfId="0" priority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Summary</vt:lpstr>
      <vt:lpstr>Monthly Breakdown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Dunning</dc:creator>
  <cp:lastModifiedBy>Judd Dunning</cp:lastModifiedBy>
  <dcterms:created xsi:type="dcterms:W3CDTF">2026-06-15T19:05:22Z</dcterms:created>
  <dcterms:modified xsi:type="dcterms:W3CDTF">2026-06-15T19:05:22Z</dcterms:modified>
</cp:coreProperties>
</file>