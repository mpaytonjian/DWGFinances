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"/>
    </mc:Choice>
  </mc:AlternateContent>
  <xr:revisionPtr revIDLastSave="0" documentId="14_{CB3D7582-8CCB-49FA-8665-CA0BAC2A80AD}" xr6:coauthVersionLast="47" xr6:coauthVersionMax="47" xr10:uidLastSave="{00000000-0000-0000-0000-000000000000}"/>
  <bookViews>
    <workbookView xWindow="28680" yWindow="-1065" windowWidth="29040" windowHeight="15720" xr2:uid="{00000000-000D-0000-FFFF-FFFF00000000}"/>
  </bookViews>
  <sheets>
    <sheet name="Transaction Summary" sheetId="2" r:id="rId1"/>
    <sheet name="Monthly Breakdown" sheetId="3" r:id="rId2"/>
    <sheet name="Transaction Details" sheetId="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3" l="1"/>
  <c r="B74" i="3"/>
  <c r="B76" i="3" s="1"/>
  <c r="B62" i="3"/>
  <c r="B63" i="3"/>
  <c r="B64" i="3"/>
  <c r="B65" i="3"/>
  <c r="B66" i="3"/>
  <c r="B67" i="3"/>
  <c r="B68" i="3"/>
  <c r="B69" i="3"/>
  <c r="B70" i="3"/>
  <c r="B71" i="3"/>
  <c r="B72" i="3"/>
  <c r="B73" i="3"/>
  <c r="C73" i="3" s="1"/>
  <c r="B57" i="3"/>
  <c r="B56" i="3"/>
  <c r="B58" i="3" s="1"/>
  <c r="B44" i="3"/>
  <c r="B45" i="3"/>
  <c r="C45" i="3" s="1"/>
  <c r="B46" i="3"/>
  <c r="C46" i="3" s="1"/>
  <c r="B47" i="3"/>
  <c r="C47" i="3" s="1"/>
  <c r="B48" i="3"/>
  <c r="C48" i="3" s="1"/>
  <c r="B49" i="3"/>
  <c r="C49" i="3" s="1"/>
  <c r="B50" i="3"/>
  <c r="B51" i="3"/>
  <c r="B52" i="3"/>
  <c r="B53" i="3"/>
  <c r="B54" i="3"/>
  <c r="B55" i="3"/>
  <c r="B39" i="3"/>
  <c r="B38" i="3"/>
  <c r="B40" i="3" s="1"/>
  <c r="B26" i="3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21" i="3"/>
  <c r="B20" i="3"/>
  <c r="B22" i="3" s="1"/>
  <c r="B8" i="3"/>
  <c r="B9" i="3"/>
  <c r="B10" i="3"/>
  <c r="B11" i="3"/>
  <c r="B12" i="3"/>
  <c r="B13" i="3"/>
  <c r="B14" i="3"/>
  <c r="B15" i="3"/>
  <c r="B16" i="3"/>
  <c r="B17" i="3"/>
  <c r="B18" i="3"/>
  <c r="B19" i="3"/>
  <c r="D56" i="2"/>
  <c r="B56" i="2"/>
  <c r="A56" i="2"/>
  <c r="D55" i="2"/>
  <c r="B55" i="2"/>
  <c r="A55" i="2"/>
  <c r="D54" i="2"/>
  <c r="B54" i="2"/>
  <c r="A54" i="2"/>
  <c r="D53" i="2"/>
  <c r="B53" i="2"/>
  <c r="A53" i="2"/>
  <c r="D52" i="2"/>
  <c r="B52" i="2"/>
  <c r="A52" i="2"/>
  <c r="D51" i="2"/>
  <c r="B51" i="2"/>
  <c r="A51" i="2"/>
  <c r="C46" i="2"/>
  <c r="B46" i="2"/>
  <c r="C45" i="2"/>
  <c r="B45" i="2"/>
  <c r="C44" i="2"/>
  <c r="B44" i="2"/>
  <c r="C43" i="2"/>
  <c r="B43" i="2"/>
  <c r="B37" i="2"/>
  <c r="B38" i="2" s="1"/>
  <c r="B34" i="2"/>
  <c r="B35" i="2" s="1"/>
  <c r="B31" i="2"/>
  <c r="B26" i="2"/>
  <c r="B27" i="2"/>
  <c r="C27" i="2" s="1"/>
  <c r="B28" i="2"/>
  <c r="B23" i="2"/>
  <c r="B16" i="2"/>
  <c r="B17" i="2"/>
  <c r="B18" i="2"/>
  <c r="B19" i="2"/>
  <c r="B20" i="2"/>
  <c r="B10" i="2"/>
  <c r="B9" i="2"/>
  <c r="C31" i="2" s="1"/>
  <c r="C63" i="3"/>
  <c r="C64" i="3"/>
  <c r="C65" i="3"/>
  <c r="C66" i="3"/>
  <c r="C67" i="3"/>
  <c r="C68" i="3"/>
  <c r="C69" i="3"/>
  <c r="C70" i="3"/>
  <c r="C71" i="3"/>
  <c r="C72" i="3"/>
  <c r="C44" i="3"/>
  <c r="C26" i="3"/>
  <c r="A43" i="2"/>
  <c r="A44" i="2"/>
  <c r="A45" i="2"/>
  <c r="A46" i="2"/>
  <c r="C16" i="2"/>
  <c r="C17" i="2"/>
  <c r="C19" i="2"/>
  <c r="C20" i="2"/>
  <c r="C23" i="2"/>
  <c r="C26" i="2"/>
  <c r="B32" i="2"/>
  <c r="C32" i="2" l="1"/>
  <c r="C8" i="3"/>
  <c r="C19" i="3"/>
  <c r="D45" i="2"/>
  <c r="C17" i="3"/>
  <c r="C16" i="3"/>
  <c r="D46" i="2"/>
  <c r="C15" i="3"/>
  <c r="D44" i="2"/>
  <c r="C55" i="3"/>
  <c r="B11" i="2"/>
  <c r="D57" i="2"/>
  <c r="C54" i="3"/>
  <c r="C38" i="2"/>
  <c r="C12" i="3"/>
  <c r="D43" i="2"/>
  <c r="C52" i="3"/>
  <c r="C62" i="3"/>
  <c r="C13" i="3"/>
  <c r="C47" i="2"/>
  <c r="C10" i="3"/>
  <c r="C51" i="3"/>
  <c r="C18" i="3"/>
  <c r="C53" i="3"/>
  <c r="C9" i="3"/>
  <c r="C50" i="3"/>
  <c r="C14" i="3"/>
  <c r="C11" i="3"/>
  <c r="B47" i="2"/>
  <c r="B24" i="2"/>
  <c r="C24" i="2" s="1"/>
  <c r="B21" i="2"/>
  <c r="B29" i="2"/>
  <c r="C29" i="2" s="1"/>
  <c r="C28" i="2"/>
  <c r="C37" i="2"/>
  <c r="C18" i="2"/>
  <c r="C35" i="2"/>
  <c r="C34" i="2"/>
  <c r="D47" i="2" l="1"/>
  <c r="C21" i="2"/>
  <c r="B39" i="2"/>
  <c r="C39" i="2" s="1"/>
</calcChain>
</file>

<file path=xl/sharedStrings.xml><?xml version="1.0" encoding="utf-8"?>
<sst xmlns="http://schemas.openxmlformats.org/spreadsheetml/2006/main" count="349" uniqueCount="129">
  <si>
    <t>XXXX-XXXXXX-81005</t>
  </si>
  <si>
    <t>Date</t>
  </si>
  <si>
    <t>Description</t>
  </si>
  <si>
    <t>Amount</t>
  </si>
  <si>
    <t>Extended Details</t>
  </si>
  <si>
    <t>Category</t>
  </si>
  <si>
    <t>ONLINE PAYMENT - THANK YOU</t>
  </si>
  <si>
    <t xml:space="preserve">ONLINE PAYMENT - THANK YOU
</t>
  </si>
  <si>
    <t>ADOBE Adobe Systems SAN JOSE            CA</t>
  </si>
  <si>
    <t>577124508   ADOBE.LY/ENUS
ADOBE Adobe Systems
SAN JOSE
CA
Description : DEFAULT Price : 0.2999
ADOBE.LY/ENUS</t>
  </si>
  <si>
    <t>CREXI               LOS ANGELES         CA</t>
  </si>
  <si>
    <t>CH_3TFGUIJL +18882730423
CREXI
LOS ANGELES
CA
+18882730423</t>
  </si>
  <si>
    <t>Epay3*RealCare InsurSonoma              CA</t>
  </si>
  <si>
    <t xml:space="preserve">CQ9Scz0dEUG https://epay3.com/
Epay3*RealCare Insurance Marke
Sonoma
CA
</t>
  </si>
  <si>
    <t>SOCIALPILOT         LEWES               DE</t>
  </si>
  <si>
    <t>CH_2TF4IW04 +14154506060
SOCIALPILOT
LEWES
DE
+14154506060</t>
  </si>
  <si>
    <t>AMERICAN AIRLINES   800-433-7300        TX</t>
  </si>
  <si>
    <t>20260601    4806933473 / kristyne
PASSENGER TICKET
AMERICAN AIRLINES
800-433-7300
TX
Carrier : American Airlines
Passenger Name : JOSEPH WHITNER
Ticket Number : 0012344904230
Departure Day : 05/29
Additional Info : PASSENGER TICKET
From : MIAMI INTERNATIONA
To : DALLAS/FORT WORTH
Class : Y
From : DALLAS/FORT WORTH
To : SAN JOSE CABO
Class : Y
From : SAN JOSE CABO
To : PHOENIX SKY HARBOR
Class : Y
From : PHOENIX SKY HARBOR
To : MIAMI INTERNATIONA
Class : Y</t>
  </si>
  <si>
    <t>FIN'S PATIO BAR &amp; GRWEATHERFORD         TX</t>
  </si>
  <si>
    <t>73011006153 FINSWEATHERFORD@GMAIL
FINSWEATHERFORD@GMAIL.COM
FIN'S PATIO BAR &amp; GRILL 92754040660042
WEATHERFORD
TX
FINSWEATHERFORD@GMAIL.COM</t>
  </si>
  <si>
    <t>TRAININNG LLC       FREMONT             CA</t>
  </si>
  <si>
    <t>CH_3TBLQCHI +15109628903
TRAININNG LLC
FREMONT
CA
+15109628903</t>
  </si>
  <si>
    <t>GRASSHOPPER GROUP, LBOSTON              MA</t>
  </si>
  <si>
    <t>######LZ5bH 8888959685 / support@
8888959685 / support@goto
GRASSHOPPER GROUP, LLC
BOSTON
MA
8888959685 / support@goto</t>
  </si>
  <si>
    <t>20260522    4806933473 / kristyne
PASSENGER TICKET
AMERICAN AIRLINES
800-433-7300
TX
Carrier : American Airlines
Passenger Name : WHITNER/JOSEPH
Ticket Number : 0012344904230
Departure Day : 05/29
Additional Info : PASSENGER TICKET
From : MIAMI INTERNATIONA
To : DALLAS/FORT WORTH
Class : Y
From : DALLAS/FORT WORTH
To : SAN JOSE CABO
Class : Y
From : SAN JOSE CABO
To : PHOENIX SKY HARBOR
Class : Y
From : PHOENIX SKY HARBOR
To : MIAMI INTERNATIONA
Class : Y</t>
  </si>
  <si>
    <t>WORLD MARKET ECOMM 8ALAMEDA             CA</t>
  </si>
  <si>
    <t>11080480338 510-808-9164
WORLD MARKET ECOMM 899
ALAMEDA
CA
Description : BED/BATH/LINEN Price : 0.00
510-808-9164</t>
  </si>
  <si>
    <t>QUANTUM LEAP CONSULTSHERIDAN            WY</t>
  </si>
  <si>
    <t>######fC2ej support@optimateai.co
support@optimateai.com
QUANTUM LEAP CONSULTIN
SHERIDAN
WY
support@optimateai.com</t>
  </si>
  <si>
    <t>TST* BLUEYS KITCHEN LOS ANGELES         CA</t>
  </si>
  <si>
    <t>21105176141 RESTAURANT
TST* BLUEYS KITCHEN MAR V 00098618
LOS ANGELES
CA
RESTAURANT</t>
  </si>
  <si>
    <t>11080480577 510-808-9164
WORLD MARKET ECOMM 899
ALAMEDA
CA
Description : BED/BATH/LINEN Price : 0.00
510-808-9164</t>
  </si>
  <si>
    <t>WORLD MARKET  #304 6HAWTHORNE           CA</t>
  </si>
  <si>
    <t>00015082    510-893-7300
WORLD MARKET  #304 6304
HAWTHORNE
CA
Description : ON-BOARD CRUISE SHO Price : 0.00
510-893-7300</t>
  </si>
  <si>
    <t>800.COM, LLC        800-800-4321        FL</t>
  </si>
  <si>
    <t>21105176136 ESTABLISHES
800.COM, LLC
800-800-4321
FL
ESTABLISHES</t>
  </si>
  <si>
    <t>LEVY @ THE ROXY THEAWest Hollywood      CA</t>
  </si>
  <si>
    <t>H9lEqNNZ4jb squareup.com/receipts
LEVY @ THE ROXY THEATER
West Hollywood
CA
squareup.com/receipts</t>
  </si>
  <si>
    <t>x0czWqd4Eyw squareup.com/receipts
LEVY @ THE ROXY THEATER
West Hollywood
CA
squareup.com/receipts</t>
  </si>
  <si>
    <t>AXS.COM*SOUTHERN CALLOS ANGELES         CA</t>
  </si>
  <si>
    <t>17759953   17759953         76087
AXS.COM*SOUTHERN CAL
LOS ANGELES
CA
17759953         76087</t>
  </si>
  <si>
    <t>RAINBOW BAR &amp; GRILL LOS ANGELES         CA</t>
  </si>
  <si>
    <t>68700010    310-278-4232
RAINBOW BAR &amp; GRILL
LOS ANGELES
CA
Description : FOOD/BEVERAGE Price : 0.00
310-278-4232</t>
  </si>
  <si>
    <t>21105176134 RESTAURANT
TST* BLUEYS KITCHEN MAR V 00098618
LOS ANGELES
CA
RESTAURANT</t>
  </si>
  <si>
    <t>AIRBNB * HMETZB9K93 SAN FRANCISCO       CA</t>
  </si>
  <si>
    <t>JJSQBX5T    4158005959
AIRBNB * HMETZB9K93
SAN FRANCISCO
CA
4158005959</t>
  </si>
  <si>
    <t>20260511    4806933473 / help@aa.
PASSENGER TICKET
AMERICAN AIRLINES
800-433-7300
TX
Carrier : American Airlines
Passenger Name : BISWAS/SOUMI
Ticket Number : 0012341816563
Departure Day : 05/14
Additional Info : PASSENGER TICKET
From : LOS ANGELES INTERN
To : DALLAS/FORT WORTH
Class : S</t>
  </si>
  <si>
    <t>AIRBNB * INC        SAN FRANCISCO       CA</t>
  </si>
  <si>
    <t>D69H34KB    4158005959
AIRBNB * INC
SAN FRANCISCO
CA
4158005959</t>
  </si>
  <si>
    <t>FORT WORTH FLORIST  FORT WORTH          TX</t>
  </si>
  <si>
    <t>CH_3TVGF8CK +18172442345
FORT WORTH FLORIST
FORT WORTH
TX
+18172442345</t>
  </si>
  <si>
    <t>LIGHTBOX PARENT     SHELTON             CT</t>
  </si>
  <si>
    <t>96360361    855-337-5126
LIGHTBOX PARENT
SHELTON
CT
Description : BUSINESS SERVICES Price : 0.00
855-337-5126</t>
  </si>
  <si>
    <t>TST* THE BUTCHER'S DVENICE              CA</t>
  </si>
  <si>
    <t>99999996127 3109813004
TST* THE BUTCHER'S DAUGHT 000037203
VENICE
CA
Description : RESTAURANTS Price : 1.583
3109813004</t>
  </si>
  <si>
    <t>CH_3TU1SDJL +18882730423
CREXI
LOS ANGELES
CA
+18882730423</t>
  </si>
  <si>
    <t>POWERHOUSE PILATES  LOS ANGELES         CA</t>
  </si>
  <si>
    <t>CH_3TTRZCCL +18184918387
POWERHOUSE PILATES
LOS ANGELES
CA
+18184918387</t>
  </si>
  <si>
    <t>CH_2TTPUW04 +14154506060
SOCIALPILOT
LEWES
DE
+14154506060</t>
  </si>
  <si>
    <t>######KpbCk 8888959685 / support@
8888959685 / support@goto
GRASSHOPPER GROUP, LLC
BOSTON
MA
8888959685 / support@goto</t>
  </si>
  <si>
    <t>######KfoIJ 8888959685 / support@
8888959685 / support@goto
GRASSHOPPER GROUP, LLC
BOSTON
MA
8888959685 / support@goto</t>
  </si>
  <si>
    <t>21105176106 ESTABLISHES
800.COM, LLC
800-800-4321
FL
ESTABLISHES</t>
  </si>
  <si>
    <t>CH_3TJT2KJL +18882730423
CREXI
LOS ANGELES
CA
+18882730423</t>
  </si>
  <si>
    <t>VERSAILLES CUBAN FOOLos Angeles         CA</t>
  </si>
  <si>
    <t>92ajCuEo9yn squareup.com/receipts
VERSAILLES CUBAN FOOD
Los Angeles
CA
squareup.com/receipts</t>
  </si>
  <si>
    <t>MEMBERSHIP FEE</t>
  </si>
  <si>
    <t xml:space="preserve">MEMBERSHIP FEE
</t>
  </si>
  <si>
    <t>Total</t>
  </si>
  <si>
    <t>Charges</t>
  </si>
  <si>
    <t>Online AMEX Payment</t>
  </si>
  <si>
    <t>Software &amp; Subscriptions</t>
  </si>
  <si>
    <t>DWG Listing Platform</t>
  </si>
  <si>
    <t>DWG E&amp;O Insurance</t>
  </si>
  <si>
    <t>Team Travel</t>
  </si>
  <si>
    <t>Team Lunch</t>
  </si>
  <si>
    <t>DWG-RE Professional Training</t>
  </si>
  <si>
    <t>Employee Bonus</t>
  </si>
  <si>
    <t>Bridge Loan (JC Whitner)</t>
  </si>
  <si>
    <t>Team Outing</t>
  </si>
  <si>
    <t>Personal</t>
  </si>
  <si>
    <t>Membership Fee</t>
  </si>
  <si>
    <t>DWG CAPITAL GROUP</t>
  </si>
  <si>
    <t>Amex Business Platinum  |  Statement Summary</t>
  </si>
  <si>
    <t>Account Holder</t>
  </si>
  <si>
    <t>John Dunning</t>
  </si>
  <si>
    <t>Account</t>
  </si>
  <si>
    <t>Statement Period</t>
  </si>
  <si>
    <t>Feb 21, 2026 – Jun 11, 2026</t>
  </si>
  <si>
    <t>TOTALS</t>
  </si>
  <si>
    <t>Credits &amp; Payments</t>
  </si>
  <si>
    <t>Net Balance</t>
  </si>
  <si>
    <t>SPEND BY CATEGORY</t>
  </si>
  <si>
    <t>% of Charges</t>
  </si>
  <si>
    <t>DWG Operating</t>
  </si>
  <si>
    <t xml:space="preserve">  Subtotal — Operating</t>
  </si>
  <si>
    <t>Technology &amp; Software</t>
  </si>
  <si>
    <t xml:space="preserve">  Subtotal — Technology</t>
  </si>
  <si>
    <t>Team Travel &amp; Meals</t>
  </si>
  <si>
    <t xml:space="preserve">  Subtotal — Travel &amp; Meals</t>
  </si>
  <si>
    <t>One-Time / Capital</t>
  </si>
  <si>
    <t xml:space="preserve">  Subtotal — Capital</t>
  </si>
  <si>
    <t>Personal — Reimburse to Company</t>
  </si>
  <si>
    <t xml:space="preserve">  Subtotal — Personal</t>
  </si>
  <si>
    <t>Credits, Refunds &amp; Payments</t>
  </si>
  <si>
    <t xml:space="preserve">  Subtotal — Credits/Payments</t>
  </si>
  <si>
    <t>GRAND TOTAL</t>
  </si>
  <si>
    <t>SPEND BY MONTH</t>
  </si>
  <si>
    <t>Month</t>
  </si>
  <si>
    <t>Credits</t>
  </si>
  <si>
    <t>Net</t>
  </si>
  <si>
    <t>PAYMENTS, CREDITS &amp; REFUNDS DETAIL</t>
  </si>
  <si>
    <t>Type</t>
  </si>
  <si>
    <t>Payment</t>
  </si>
  <si>
    <t>Refund</t>
  </si>
  <si>
    <t>Total Credits &amp; Payments</t>
  </si>
  <si>
    <t>Amex Business Platinum  |  Monthly Breakdown</t>
  </si>
  <si>
    <t>Period</t>
  </si>
  <si>
    <t>% of Month Charges</t>
  </si>
  <si>
    <t>Total Charges</t>
  </si>
  <si>
    <t>Amex Business Platinum  |  Transaction Detail</t>
  </si>
  <si>
    <t>Entity</t>
  </si>
  <si>
    <t>DWG Capital Group</t>
  </si>
  <si>
    <t>Merchant</t>
  </si>
  <si>
    <t>B/P</t>
  </si>
  <si>
    <t>Reimb.</t>
  </si>
  <si>
    <t>Notes</t>
  </si>
  <si>
    <t>Appears On Statement As</t>
  </si>
  <si>
    <t>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</si>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</sst>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;\(&quot;$&quot;#,##0.00\);&quot;-&quot;"/>
    <numFmt numFmtId="166" formatCode="0.0%;\(0.0%\);&quot;-&quot;"/>
  </numFmts>
  <fonts count="15" x14ac:knownFonts="1"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rgb="FF6B6B6B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indexed="8"/>
      <name val="Calibri"/>
      <family val="2"/>
    </font>
    <font>
      <sz val="11"/>
      <color rgb="FFFFFFFF"/>
      <name val="Calibri"/>
      <family val="2"/>
    </font>
    <font>
      <b/>
      <sz val="9"/>
      <color rgb="FF6B6B6B"/>
      <name val="Aptos Narrow"/>
      <family val="2"/>
    </font>
    <font>
      <sz val="10"/>
      <color indexed="8"/>
      <name val="Aptos Narrow"/>
      <family val="2"/>
    </font>
    <font>
      <b/>
      <sz val="10"/>
      <color rgb="FFFFFFFF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2C2C2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0" borderId="0" xfId="0" applyFont="1"/>
    <xf numFmtId="0" fontId="1" fillId="3" borderId="0" xfId="0" applyFont="1" applyFill="1"/>
    <xf numFmtId="0" fontId="6" fillId="4" borderId="0" xfId="0" applyFont="1" applyFill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65" fontId="1" fillId="3" borderId="0" xfId="0" applyNumberFormat="1" applyFont="1" applyFill="1"/>
    <xf numFmtId="165" fontId="6" fillId="4" borderId="0" xfId="0" applyNumberFormat="1" applyFont="1" applyFill="1"/>
    <xf numFmtId="165" fontId="1" fillId="0" borderId="0" xfId="0" applyNumberFormat="1" applyFont="1"/>
    <xf numFmtId="165" fontId="8" fillId="0" borderId="0" xfId="0" applyNumberFormat="1" applyFont="1"/>
    <xf numFmtId="166" fontId="1" fillId="0" borderId="0" xfId="0" applyNumberFormat="1" applyFont="1"/>
    <xf numFmtId="166" fontId="6" fillId="4" borderId="0" xfId="0" applyNumberFormat="1" applyFont="1" applyFill="1"/>
    <xf numFmtId="166" fontId="8" fillId="0" borderId="0" xfId="0" applyNumberFormat="1" applyFont="1"/>
    <xf numFmtId="0" fontId="1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164" fontId="1" fillId="3" borderId="0" xfId="0" applyNumberFormat="1" applyFont="1" applyFill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7" fontId="9" fillId="2" borderId="0" xfId="0" applyNumberFormat="1" applyFont="1" applyFill="1" applyAlignment="1">
      <alignment vertical="center"/>
    </xf>
    <xf numFmtId="0" fontId="6" fillId="3" borderId="0" xfId="0" applyFont="1" applyFill="1"/>
    <xf numFmtId="165" fontId="6" fillId="3" borderId="0" xfId="0" applyNumberFormat="1" applyFont="1" applyFill="1"/>
    <xf numFmtId="17" fontId="1" fillId="3" borderId="0" xfId="0" applyNumberFormat="1" applyFont="1" applyFill="1" applyAlignment="1">
      <alignment horizontal="left"/>
    </xf>
    <xf numFmtId="0" fontId="10" fillId="0" borderId="0" xfId="0" applyFont="1"/>
    <xf numFmtId="0" fontId="11" fillId="2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164" fontId="10" fillId="5" borderId="0" xfId="0" applyNumberFormat="1" applyFont="1" applyFill="1" applyAlignment="1">
      <alignment vertical="center"/>
    </xf>
    <xf numFmtId="0" fontId="10" fillId="5" borderId="0" xfId="0" applyFont="1" applyFill="1" applyAlignment="1">
      <alignment vertical="center"/>
    </xf>
    <xf numFmtId="165" fontId="10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165" fontId="10" fillId="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1057275</xdr:colOff>
      <xdr:row>0</xdr:row>
      <xdr:rowOff>161926</xdr:rowOff>
    </xdr:from>
    <xdr:to>
      <xdr:col>2</xdr:col>
      <xdr:colOff>1323975</xdr:colOff>
      <xdr:row>1</xdr:row>
      <xdr:rowOff>61672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CB6AF-C317-F451-BF81-CF960CE9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161926"/>
          <a:ext cx="2238375" cy="375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1333500</xdr:colOff>
      <xdr:row>0</xdr:row>
      <xdr:rowOff>152400</xdr:rowOff>
    </xdr:from>
    <xdr:to>
      <xdr:col>2</xdr:col>
      <xdr:colOff>2047875</xdr:colOff>
      <xdr:row>1</xdr:row>
      <xdr:rowOff>4521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855DE-4ADC-445D-9AF3-9EAC3EDC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152400"/>
          <a:ext cx="2238375" cy="37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DFBC31-1AC3-4298-9BC5-D3BE413A57B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62c8621-e3cb-458d-8a5c-5bcd5fd729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tabSelected="1" topLeftCell="A5" workbookViewId="0">
      <selection activeCell="E23" sqref="E23"/>
    </sheetView>
  </sheetViews>
  <sheetFormatPr defaultColWidth="26.28515625" defaultRowHeight="15" x14ac:dyDescent="0.25"/>
  <cols>
    <col min="1" max="1" width="45.7109375" customWidth="1"/>
    <col min="2" max="2" width="29.5703125" customWidth="1"/>
    <col min="3" max="3" width="22.85546875" customWidth="1"/>
    <col min="4" max="4" width="17.140625" customWidth="1"/>
  </cols>
  <sheetData>
    <row r="1" spans="1:4" ht="37.5" customHeight="1" x14ac:dyDescent="0.25">
      <c r="A1" s="3" t="s">
        <v>81</v>
      </c>
      <c r="B1" s="2"/>
      <c r="C1" s="2"/>
      <c r="D1" s="1"/>
    </row>
    <row r="2" spans="1:4" x14ac:dyDescent="0.25">
      <c r="A2" s="5" t="s">
        <v>82</v>
      </c>
      <c r="B2" s="4"/>
      <c r="C2" s="4"/>
      <c r="D2" s="1"/>
    </row>
    <row r="3" spans="1:4" x14ac:dyDescent="0.25">
      <c r="A3" s="1"/>
      <c r="B3" s="1"/>
      <c r="C3" s="1"/>
      <c r="D3" s="1"/>
    </row>
    <row r="4" spans="1:4" x14ac:dyDescent="0.25">
      <c r="A4" s="6" t="s">
        <v>83</v>
      </c>
      <c r="B4" s="18" t="s">
        <v>84</v>
      </c>
      <c r="C4" s="18"/>
      <c r="D4" s="1"/>
    </row>
    <row r="5" spans="1:4" x14ac:dyDescent="0.25">
      <c r="A5" s="6" t="s">
        <v>85</v>
      </c>
      <c r="B5" s="18" t="s">
        <v>0</v>
      </c>
      <c r="C5" s="18"/>
      <c r="D5" s="1"/>
    </row>
    <row r="6" spans="1:4" x14ac:dyDescent="0.25">
      <c r="A6" s="6" t="s">
        <v>86</v>
      </c>
      <c r="B6" s="18" t="s">
        <v>87</v>
      </c>
      <c r="C6" s="18"/>
      <c r="D6" s="1"/>
    </row>
    <row r="7" spans="1:4" x14ac:dyDescent="0.25">
      <c r="A7" s="1"/>
      <c r="B7" s="1"/>
      <c r="C7" s="1"/>
      <c r="D7" s="1"/>
    </row>
    <row r="8" spans="1:4" x14ac:dyDescent="0.25">
      <c r="A8" s="4" t="s">
        <v>88</v>
      </c>
      <c r="B8" s="4"/>
      <c r="C8" s="4"/>
      <c r="D8" s="1"/>
    </row>
    <row r="9" spans="1:4" x14ac:dyDescent="0.25">
      <c r="A9" s="7" t="s">
        <v>68</v>
      </c>
      <c r="B9" s="11">
        <f>SUMIFS('Transaction Details'!$D:$D,'Transaction Details'!$D:$D,"&gt;0")</f>
        <v>26987.05</v>
      </c>
      <c r="C9" s="7"/>
      <c r="D9" s="1"/>
    </row>
    <row r="10" spans="1:4" x14ac:dyDescent="0.25">
      <c r="A10" s="7" t="s">
        <v>89</v>
      </c>
      <c r="B10" s="11">
        <f>SUMIFS('Transaction Details'!$D:$D,'Transaction Details'!$D:$D,"&lt;0")</f>
        <v>-22620</v>
      </c>
      <c r="C10" s="7"/>
      <c r="D10" s="1"/>
    </row>
    <row r="11" spans="1:4" x14ac:dyDescent="0.25">
      <c r="A11" s="8" t="s">
        <v>90</v>
      </c>
      <c r="B11" s="12">
        <f>B9+B10</f>
        <v>4367.0499999999993</v>
      </c>
      <c r="C11" s="8"/>
      <c r="D11" s="1"/>
    </row>
    <row r="12" spans="1:4" x14ac:dyDescent="0.25">
      <c r="A12" s="1"/>
      <c r="B12" s="1"/>
      <c r="C12" s="1"/>
      <c r="D12" s="1"/>
    </row>
    <row r="13" spans="1:4" x14ac:dyDescent="0.25">
      <c r="A13" s="4" t="s">
        <v>91</v>
      </c>
      <c r="B13" s="4"/>
      <c r="C13" s="4"/>
      <c r="D13" s="1"/>
    </row>
    <row r="14" spans="1:4" x14ac:dyDescent="0.25">
      <c r="A14" s="9" t="s">
        <v>5</v>
      </c>
      <c r="B14" s="10" t="s">
        <v>3</v>
      </c>
      <c r="C14" s="10" t="s">
        <v>92</v>
      </c>
      <c r="D14" s="1"/>
    </row>
    <row r="15" spans="1:4" x14ac:dyDescent="0.25">
      <c r="A15" s="6" t="s">
        <v>93</v>
      </c>
      <c r="B15" s="6"/>
      <c r="C15" s="6"/>
      <c r="D15" s="1"/>
    </row>
    <row r="16" spans="1:4" x14ac:dyDescent="0.25">
      <c r="A16" s="1" t="s">
        <v>71</v>
      </c>
      <c r="B16" s="13">
        <f>SUMIFS('Transaction Details'!$D:$D,'Transaction Details'!$C:$C,A16)</f>
        <v>12682.68</v>
      </c>
      <c r="C16" s="15">
        <f>IFERROR(B16/$B$9,0)</f>
        <v>0.4699542928923317</v>
      </c>
      <c r="D16" s="1"/>
    </row>
    <row r="17" spans="1:4" x14ac:dyDescent="0.25">
      <c r="A17" s="1" t="s">
        <v>72</v>
      </c>
      <c r="B17" s="13">
        <f>SUMIFS('Transaction Details'!$D:$D,'Transaction Details'!$C:$C,A17)</f>
        <v>3161.52</v>
      </c>
      <c r="C17" s="15">
        <f>IFERROR(B17/$B$9,0)</f>
        <v>0.11714952171504481</v>
      </c>
      <c r="D17" s="1"/>
    </row>
    <row r="18" spans="1:4" x14ac:dyDescent="0.25">
      <c r="A18" s="1" t="s">
        <v>75</v>
      </c>
      <c r="B18" s="13">
        <f>SUMIFS('Transaction Details'!$D:$D,'Transaction Details'!$C:$C,A18)</f>
        <v>249</v>
      </c>
      <c r="C18" s="15">
        <f>IFERROR(B18/$B$9,0)</f>
        <v>9.2266475957913149E-3</v>
      </c>
      <c r="D18" s="1"/>
    </row>
    <row r="19" spans="1:4" x14ac:dyDescent="0.25">
      <c r="A19" s="1" t="s">
        <v>76</v>
      </c>
      <c r="B19" s="13">
        <f>SUMIFS('Transaction Details'!$D:$D,'Transaction Details'!$C:$C,A19)</f>
        <v>4251.7700000000004</v>
      </c>
      <c r="C19" s="15">
        <f>IFERROR(B19/$B$9,0)</f>
        <v>0.15754852790505078</v>
      </c>
      <c r="D19" s="1"/>
    </row>
    <row r="20" spans="1:4" x14ac:dyDescent="0.25">
      <c r="A20" s="1" t="s">
        <v>80</v>
      </c>
      <c r="B20" s="13">
        <f>SUMIFS('Transaction Details'!$D:$D,'Transaction Details'!$C:$C,A20)</f>
        <v>895</v>
      </c>
      <c r="C20" s="15">
        <f>IFERROR(B20/$B$9,0)</f>
        <v>3.3164054611378418E-2</v>
      </c>
      <c r="D20" s="1"/>
    </row>
    <row r="21" spans="1:4" x14ac:dyDescent="0.25">
      <c r="A21" s="8" t="s">
        <v>94</v>
      </c>
      <c r="B21" s="12">
        <f>SUM(B16:B20)</f>
        <v>21239.97</v>
      </c>
      <c r="C21" s="16">
        <f>IFERROR(B21/$B$9,0)</f>
        <v>0.78704304471959707</v>
      </c>
      <c r="D21" s="1"/>
    </row>
    <row r="22" spans="1:4" x14ac:dyDescent="0.25">
      <c r="A22" s="6" t="s">
        <v>95</v>
      </c>
      <c r="B22" s="14"/>
      <c r="C22" s="17"/>
      <c r="D22" s="1"/>
    </row>
    <row r="23" spans="1:4" x14ac:dyDescent="0.25">
      <c r="A23" s="1" t="s">
        <v>70</v>
      </c>
      <c r="B23" s="13">
        <f>SUMIFS('Transaction Details'!$D:$D,'Transaction Details'!$C:$C,A23)</f>
        <v>409.74</v>
      </c>
      <c r="C23" s="15">
        <f>IFERROR(B23/$B$9,0)</f>
        <v>1.5182837694375636E-2</v>
      </c>
      <c r="D23" s="1"/>
    </row>
    <row r="24" spans="1:4" x14ac:dyDescent="0.25">
      <c r="A24" s="8" t="s">
        <v>96</v>
      </c>
      <c r="B24" s="12">
        <f>SUM(B23:B23)</f>
        <v>409.74</v>
      </c>
      <c r="C24" s="16">
        <f>IFERROR(B24/$B$9,0)</f>
        <v>1.5182837694375636E-2</v>
      </c>
      <c r="D24" s="1"/>
    </row>
    <row r="25" spans="1:4" x14ac:dyDescent="0.25">
      <c r="A25" s="6" t="s">
        <v>97</v>
      </c>
      <c r="B25" s="14"/>
      <c r="C25" s="17"/>
      <c r="D25" s="1"/>
    </row>
    <row r="26" spans="1:4" x14ac:dyDescent="0.25">
      <c r="A26" s="1" t="s">
        <v>73</v>
      </c>
      <c r="B26" s="13">
        <f>SUMIFS('Transaction Details'!$D:$D,'Transaction Details'!$C:$C,A26)</f>
        <v>1005.61</v>
      </c>
      <c r="C26" s="15">
        <f>IFERROR(B26/$B$9,0)</f>
        <v>3.7262687103629337E-2</v>
      </c>
      <c r="D26" s="1"/>
    </row>
    <row r="27" spans="1:4" x14ac:dyDescent="0.25">
      <c r="A27" s="1" t="s">
        <v>74</v>
      </c>
      <c r="B27" s="13">
        <f>SUMIFS('Transaction Details'!$D:$D,'Transaction Details'!$C:$C,A27)</f>
        <v>523.61</v>
      </c>
      <c r="C27" s="15">
        <f>IFERROR(B27/$B$9,0)</f>
        <v>1.9402268865993135E-2</v>
      </c>
      <c r="D27" s="1"/>
    </row>
    <row r="28" spans="1:4" x14ac:dyDescent="0.25">
      <c r="A28" s="1" t="s">
        <v>78</v>
      </c>
      <c r="B28" s="13">
        <f>SUMIFS('Transaction Details'!$D:$D,'Transaction Details'!$C:$C,A28)</f>
        <v>470.31000000000006</v>
      </c>
      <c r="C28" s="15">
        <f>IFERROR(B28/$B$9,0)</f>
        <v>1.7427247513159091E-2</v>
      </c>
      <c r="D28" s="1"/>
    </row>
    <row r="29" spans="1:4" x14ac:dyDescent="0.25">
      <c r="A29" s="8" t="s">
        <v>98</v>
      </c>
      <c r="B29" s="12">
        <f>SUM(B26:B28)</f>
        <v>1999.5300000000002</v>
      </c>
      <c r="C29" s="16">
        <f>IFERROR(B29/$B$9,0)</f>
        <v>7.409220348278156E-2</v>
      </c>
      <c r="D29" s="1"/>
    </row>
    <row r="30" spans="1:4" x14ac:dyDescent="0.25">
      <c r="A30" s="6" t="s">
        <v>99</v>
      </c>
      <c r="B30" s="14"/>
      <c r="C30" s="17"/>
      <c r="D30" s="1"/>
    </row>
    <row r="31" spans="1:4" x14ac:dyDescent="0.25">
      <c r="A31" s="1" t="s">
        <v>77</v>
      </c>
      <c r="B31" s="13">
        <f>SUMIFS('Transaction Details'!$D:$D,'Transaction Details'!$C:$C,A31)</f>
        <v>2000</v>
      </c>
      <c r="C31" s="15">
        <f>IFERROR(B31/$B$9,0)</f>
        <v>7.410961924330374E-2</v>
      </c>
      <c r="D31" s="1"/>
    </row>
    <row r="32" spans="1:4" x14ac:dyDescent="0.25">
      <c r="A32" s="8" t="s">
        <v>100</v>
      </c>
      <c r="B32" s="12">
        <f>SUM(B31:B31)</f>
        <v>2000</v>
      </c>
      <c r="C32" s="16">
        <f>IFERROR(B32/$B$9,0)</f>
        <v>7.410961924330374E-2</v>
      </c>
      <c r="D32" s="1"/>
    </row>
    <row r="33" spans="1:4" x14ac:dyDescent="0.25">
      <c r="A33" s="6" t="s">
        <v>101</v>
      </c>
      <c r="B33" s="14"/>
      <c r="C33" s="17"/>
      <c r="D33" s="1"/>
    </row>
    <row r="34" spans="1:4" x14ac:dyDescent="0.25">
      <c r="A34" s="1" t="s">
        <v>79</v>
      </c>
      <c r="B34" s="13">
        <f>SUMIFS('Transaction Details'!$D:$D,'Transaction Details'!$C:$C,A34)</f>
        <v>1227.31</v>
      </c>
      <c r="C34" s="15">
        <f>IFERROR(B34/$B$9,0)</f>
        <v>4.5477738396749554E-2</v>
      </c>
      <c r="D34" s="1"/>
    </row>
    <row r="35" spans="1:4" x14ac:dyDescent="0.25">
      <c r="A35" s="8" t="s">
        <v>102</v>
      </c>
      <c r="B35" s="12">
        <f>SUM(B34:B34)</f>
        <v>1227.31</v>
      </c>
      <c r="C35" s="16">
        <f>IFERROR(B35/$B$9,0)</f>
        <v>4.5477738396749554E-2</v>
      </c>
      <c r="D35" s="1"/>
    </row>
    <row r="36" spans="1:4" x14ac:dyDescent="0.25">
      <c r="A36" s="6" t="s">
        <v>103</v>
      </c>
      <c r="B36" s="14"/>
      <c r="C36" s="17"/>
      <c r="D36" s="1"/>
    </row>
    <row r="37" spans="1:4" x14ac:dyDescent="0.25">
      <c r="A37" s="1" t="s">
        <v>69</v>
      </c>
      <c r="B37" s="13">
        <f>SUMIFS('Transaction Details'!$D:$D,'Transaction Details'!$C:$C,A37)</f>
        <v>-22509.5</v>
      </c>
      <c r="C37" s="15">
        <f>IFERROR(B37/$B$9,0)</f>
        <v>-0.83408523717857275</v>
      </c>
      <c r="D37" s="1"/>
    </row>
    <row r="38" spans="1:4" x14ac:dyDescent="0.25">
      <c r="A38" s="8" t="s">
        <v>104</v>
      </c>
      <c r="B38" s="12">
        <f>SUM(B37:B37)</f>
        <v>-22509.5</v>
      </c>
      <c r="C38" s="16">
        <f>IFERROR(B38/$B$9,0)</f>
        <v>-0.83408523717857275</v>
      </c>
      <c r="D38" s="1"/>
    </row>
    <row r="39" spans="1:4" x14ac:dyDescent="0.25">
      <c r="A39" s="19" t="s">
        <v>105</v>
      </c>
      <c r="B39" s="20">
        <f>B21+B24+B29+B32+B35+B38</f>
        <v>4367.0500000000029</v>
      </c>
      <c r="C39" s="21">
        <f>B39/$B$9</f>
        <v>0.16182020635823491</v>
      </c>
      <c r="D39" s="1"/>
    </row>
    <row r="40" spans="1:4" x14ac:dyDescent="0.25">
      <c r="A40" s="1"/>
      <c r="B40" s="1"/>
      <c r="C40" s="1"/>
      <c r="D40" s="1"/>
    </row>
    <row r="41" spans="1:4" x14ac:dyDescent="0.25">
      <c r="A41" s="4" t="s">
        <v>106</v>
      </c>
      <c r="B41" s="4"/>
      <c r="C41" s="4"/>
      <c r="D41" s="4"/>
    </row>
    <row r="42" spans="1:4" x14ac:dyDescent="0.25">
      <c r="A42" s="9" t="s">
        <v>107</v>
      </c>
      <c r="B42" s="10" t="s">
        <v>68</v>
      </c>
      <c r="C42" s="10" t="s">
        <v>108</v>
      </c>
      <c r="D42" s="10" t="s">
        <v>109</v>
      </c>
    </row>
    <row r="43" spans="1:4" x14ac:dyDescent="0.25">
      <c r="A43" s="28">
        <f>DATE(2026,3,1)</f>
        <v>46082</v>
      </c>
      <c r="B43" s="11">
        <f>SUMIFS('Transaction Details'!$D:$D,'Transaction Details'!$A:$A,"&gt;="&amp;DATE(2026,3,1),'Transaction Details'!$A:$A,"&lt;"&amp;DATE(2026,4,1),'Transaction Details'!$D:$D,"&gt;0")</f>
        <v>1035</v>
      </c>
      <c r="C43" s="11">
        <f>SUMIFS('Transaction Details'!$D:$D,'Transaction Details'!$A:$A,"&gt;="&amp;DATE(2026,3,1),'Transaction Details'!$A:$A,"&lt;"&amp;DATE(2026,4,1),'Transaction Details'!$D:$D,"&lt;0")</f>
        <v>0</v>
      </c>
      <c r="D43" s="11">
        <f>B43+C43</f>
        <v>1035</v>
      </c>
    </row>
    <row r="44" spans="1:4" x14ac:dyDescent="0.25">
      <c r="A44" s="28">
        <f>DATE(2026,4,1)</f>
        <v>46113</v>
      </c>
      <c r="B44" s="11">
        <f>SUMIFS('Transaction Details'!$D:$D,'Transaction Details'!$A:$A,"&gt;="&amp;DATE(2026,4,1),'Transaction Details'!$A:$A,"&lt;"&amp;DATE(2026,5,1),'Transaction Details'!$D:$D,"&gt;0")</f>
        <v>423.32</v>
      </c>
      <c r="C44" s="11">
        <f>SUMIFS('Transaction Details'!$D:$D,'Transaction Details'!$A:$A,"&gt;="&amp;DATE(2026,4,1),'Transaction Details'!$A:$A,"&lt;"&amp;DATE(2026,5,1),'Transaction Details'!$D:$D,"&lt;0")</f>
        <v>-1295</v>
      </c>
      <c r="D44" s="11">
        <f>B44+C44</f>
        <v>-871.68000000000006</v>
      </c>
    </row>
    <row r="45" spans="1:4" x14ac:dyDescent="0.25">
      <c r="A45" s="28">
        <f>DATE(2026,5,1)</f>
        <v>46143</v>
      </c>
      <c r="B45" s="11">
        <f>SUMIFS('Transaction Details'!$D:$D,'Transaction Details'!$A:$A,"&gt;="&amp;DATE(2026,5,1),'Transaction Details'!$A:$A,"&lt;"&amp;DATE(2026,6,1),'Transaction Details'!$D:$D,"&gt;0")</f>
        <v>21947.219999999998</v>
      </c>
      <c r="C45" s="11">
        <f>SUMIFS('Transaction Details'!$D:$D,'Transaction Details'!$A:$A,"&gt;="&amp;DATE(2026,5,1),'Transaction Details'!$A:$A,"&lt;"&amp;DATE(2026,6,1),'Transaction Details'!$D:$D,"&lt;0")</f>
        <v>-17111.45</v>
      </c>
      <c r="D45" s="11">
        <f>B45+C45</f>
        <v>4835.7699999999968</v>
      </c>
    </row>
    <row r="46" spans="1:4" x14ac:dyDescent="0.25">
      <c r="A46" s="28">
        <f>DATE(2026,6,1)</f>
        <v>46174</v>
      </c>
      <c r="B46" s="11">
        <f>SUMIFS('Transaction Details'!$D:$D,'Transaction Details'!$A:$A,"&gt;="&amp;DATE(2026,6,1),'Transaction Details'!$A:$A,"&lt;"&amp;DATE(2026,7,1),'Transaction Details'!$D:$D,"&gt;0")</f>
        <v>3581.51</v>
      </c>
      <c r="C46" s="11">
        <f>SUMIFS('Transaction Details'!$D:$D,'Transaction Details'!$A:$A,"&gt;="&amp;DATE(2026,6,1),'Transaction Details'!$A:$A,"&lt;"&amp;DATE(2026,7,1),'Transaction Details'!$D:$D,"&lt;0")</f>
        <v>-4213.55</v>
      </c>
      <c r="D46" s="11">
        <f>B46+C46</f>
        <v>-632.04</v>
      </c>
    </row>
    <row r="47" spans="1:4" x14ac:dyDescent="0.25">
      <c r="A47" s="8" t="s">
        <v>67</v>
      </c>
      <c r="B47" s="12">
        <f>SUM(B43:B46)</f>
        <v>26987.049999999996</v>
      </c>
      <c r="C47" s="12">
        <f>SUM(C43:C46)</f>
        <v>-22620</v>
      </c>
      <c r="D47" s="12">
        <f>SUM(D43:D46)</f>
        <v>4367.0499999999965</v>
      </c>
    </row>
    <row r="48" spans="1:4" x14ac:dyDescent="0.25">
      <c r="A48" s="1"/>
      <c r="B48" s="1"/>
      <c r="C48" s="1"/>
      <c r="D48" s="1"/>
    </row>
    <row r="49" spans="1:4" x14ac:dyDescent="0.25">
      <c r="A49" s="4" t="s">
        <v>110</v>
      </c>
      <c r="B49" s="4"/>
      <c r="C49" s="4"/>
      <c r="D49" s="4"/>
    </row>
    <row r="50" spans="1:4" x14ac:dyDescent="0.25">
      <c r="A50" s="23" t="s">
        <v>1</v>
      </c>
      <c r="B50" s="23" t="s">
        <v>2</v>
      </c>
      <c r="C50" s="24" t="s">
        <v>111</v>
      </c>
      <c r="D50" s="24" t="s">
        <v>3</v>
      </c>
    </row>
    <row r="51" spans="1:4" x14ac:dyDescent="0.25">
      <c r="A51" s="22">
        <f>'Transaction Details'!A10</f>
        <v>46183</v>
      </c>
      <c r="B51" s="7" t="str">
        <f>'Transaction Details'!B10</f>
        <v>ONLINE PAYMENT - THANK YOU</v>
      </c>
      <c r="C51" s="7" t="s">
        <v>112</v>
      </c>
      <c r="D51" s="11">
        <f>'Transaction Details'!D10</f>
        <v>-4103.05</v>
      </c>
    </row>
    <row r="52" spans="1:4" x14ac:dyDescent="0.25">
      <c r="A52" s="22">
        <f>'Transaction Details'!A15</f>
        <v>46175</v>
      </c>
      <c r="B52" s="7" t="str">
        <f>'Transaction Details'!B15</f>
        <v>AMERICAN AIRLINES   800-433-7300        TX</v>
      </c>
      <c r="C52" s="7" t="s">
        <v>113</v>
      </c>
      <c r="D52" s="11">
        <f>'Transaction Details'!D15</f>
        <v>-110.5</v>
      </c>
    </row>
    <row r="53" spans="1:4" x14ac:dyDescent="0.25">
      <c r="A53" s="22">
        <f>'Transaction Details'!A17</f>
        <v>46170</v>
      </c>
      <c r="B53" s="7" t="str">
        <f>'Transaction Details'!B17</f>
        <v>ONLINE PAYMENT - THANK YOU</v>
      </c>
      <c r="C53" s="7" t="s">
        <v>112</v>
      </c>
      <c r="D53" s="11">
        <f>'Transaction Details'!D17</f>
        <v>-2500</v>
      </c>
    </row>
    <row r="54" spans="1:4" x14ac:dyDescent="0.25">
      <c r="A54" s="22">
        <f>'Transaction Details'!A30</f>
        <v>46155</v>
      </c>
      <c r="B54" s="7" t="str">
        <f>'Transaction Details'!B30</f>
        <v>ONLINE PAYMENT - THANK YOU</v>
      </c>
      <c r="C54" s="7" t="s">
        <v>112</v>
      </c>
      <c r="D54" s="11">
        <f>'Transaction Details'!D30</f>
        <v>-14494.94</v>
      </c>
    </row>
    <row r="55" spans="1:4" x14ac:dyDescent="0.25">
      <c r="A55" s="22">
        <f>'Transaction Details'!A31</f>
        <v>46155</v>
      </c>
      <c r="B55" s="7" t="str">
        <f>'Transaction Details'!B31</f>
        <v>ONLINE PAYMENT - THANK YOU</v>
      </c>
      <c r="C55" s="7" t="s">
        <v>112</v>
      </c>
      <c r="D55" s="11">
        <f>'Transaction Details'!D31</f>
        <v>-116.51</v>
      </c>
    </row>
    <row r="56" spans="1:4" x14ac:dyDescent="0.25">
      <c r="A56" s="22">
        <f>'Transaction Details'!A46</f>
        <v>46125</v>
      </c>
      <c r="B56" s="7" t="str">
        <f>'Transaction Details'!B46</f>
        <v>ONLINE PAYMENT - THANK YOU</v>
      </c>
      <c r="C56" s="7" t="s">
        <v>112</v>
      </c>
      <c r="D56" s="11">
        <f>'Transaction Details'!D46</f>
        <v>-1295</v>
      </c>
    </row>
    <row r="57" spans="1:4" x14ac:dyDescent="0.25">
      <c r="A57" s="8" t="s">
        <v>114</v>
      </c>
      <c r="B57" s="8"/>
      <c r="C57" s="8"/>
      <c r="D57" s="12">
        <f>SUM(D51:D56)</f>
        <v>-22620</v>
      </c>
    </row>
  </sheetData>
  <mergeCells count="6">
    <mergeCell ref="A49:D49"/>
    <mergeCell ref="A1:C1"/>
    <mergeCell ref="A2:C2"/>
    <mergeCell ref="A8:C8"/>
    <mergeCell ref="A13:C13"/>
    <mergeCell ref="A41:D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BF75-8680-49C5-BC9A-E05C5076169E}">
  <dimension ref="A1:C78"/>
  <sheetViews>
    <sheetView topLeftCell="A8" workbookViewId="0">
      <selection activeCell="E2" sqref="E2"/>
    </sheetView>
  </sheetViews>
  <sheetFormatPr defaultRowHeight="15" x14ac:dyDescent="0.25"/>
  <cols>
    <col min="1" max="1" width="43.85546875" customWidth="1"/>
    <col min="2" max="2" width="22.85546875" customWidth="1"/>
    <col min="3" max="3" width="32.42578125" customWidth="1"/>
  </cols>
  <sheetData>
    <row r="1" spans="1:3" ht="41.25" customHeight="1" x14ac:dyDescent="0.25">
      <c r="A1" s="3" t="s">
        <v>81</v>
      </c>
      <c r="B1" s="3"/>
      <c r="C1" s="3"/>
    </row>
    <row r="2" spans="1:3" x14ac:dyDescent="0.25">
      <c r="A2" s="5" t="s">
        <v>115</v>
      </c>
      <c r="B2" s="5"/>
      <c r="C2" s="5"/>
    </row>
    <row r="3" spans="1:3" x14ac:dyDescent="0.25">
      <c r="A3" s="1"/>
      <c r="B3" s="1"/>
      <c r="C3" s="1"/>
    </row>
    <row r="4" spans="1:3" x14ac:dyDescent="0.25">
      <c r="A4" s="6" t="s">
        <v>116</v>
      </c>
      <c r="B4" s="1" t="s">
        <v>87</v>
      </c>
      <c r="C4" s="1"/>
    </row>
    <row r="5" spans="1:3" x14ac:dyDescent="0.25">
      <c r="A5" s="1"/>
      <c r="B5" s="1"/>
      <c r="C5" s="1"/>
    </row>
    <row r="6" spans="1:3" ht="15.75" x14ac:dyDescent="0.25">
      <c r="A6" s="25">
        <v>46082</v>
      </c>
      <c r="B6" s="25"/>
      <c r="C6" s="25"/>
    </row>
    <row r="7" spans="1:3" x14ac:dyDescent="0.25">
      <c r="A7" s="9" t="s">
        <v>5</v>
      </c>
      <c r="B7" s="10" t="s">
        <v>3</v>
      </c>
      <c r="C7" s="10" t="s">
        <v>117</v>
      </c>
    </row>
    <row r="8" spans="1:3" x14ac:dyDescent="0.25">
      <c r="A8" s="1" t="s">
        <v>71</v>
      </c>
      <c r="B8" s="13">
        <f>SUMIFS('Transaction Details'!$D:$D,'Transaction Details'!$C:$C,$A8,'Transaction Details'!$A:$A,"&gt;="&amp;DATE(2026,3,1),'Transaction Details'!$A:$A,"&lt;"&amp;DATE(2026,4,1))</f>
        <v>0</v>
      </c>
      <c r="C8" s="15">
        <f>IFERROR(B8/$B$20,0)</f>
        <v>0</v>
      </c>
    </row>
    <row r="9" spans="1:3" x14ac:dyDescent="0.25">
      <c r="A9" s="1" t="s">
        <v>72</v>
      </c>
      <c r="B9" s="13">
        <f>SUMIFS('Transaction Details'!$D:$D,'Transaction Details'!$C:$C,$A9,'Transaction Details'!$A:$A,"&gt;="&amp;DATE(2026,3,1),'Transaction Details'!$A:$A,"&lt;"&amp;DATE(2026,4,1))</f>
        <v>0</v>
      </c>
      <c r="C9" s="15">
        <f>IFERROR(B9/$B$20,0)</f>
        <v>0</v>
      </c>
    </row>
    <row r="10" spans="1:3" x14ac:dyDescent="0.25">
      <c r="A10" s="1" t="s">
        <v>75</v>
      </c>
      <c r="B10" s="13">
        <f>SUMIFS('Transaction Details'!$D:$D,'Transaction Details'!$C:$C,$A10,'Transaction Details'!$A:$A,"&gt;="&amp;DATE(2026,3,1),'Transaction Details'!$A:$A,"&lt;"&amp;DATE(2026,4,1))</f>
        <v>0</v>
      </c>
      <c r="C10" s="15">
        <f>IFERROR(B10/$B$20,0)</f>
        <v>0</v>
      </c>
    </row>
    <row r="11" spans="1:3" x14ac:dyDescent="0.25">
      <c r="A11" s="1" t="s">
        <v>76</v>
      </c>
      <c r="B11" s="13">
        <f>SUMIFS('Transaction Details'!$D:$D,'Transaction Details'!$C:$C,$A11,'Transaction Details'!$A:$A,"&gt;="&amp;DATE(2026,3,1),'Transaction Details'!$A:$A,"&lt;"&amp;DATE(2026,4,1))</f>
        <v>0</v>
      </c>
      <c r="C11" s="15">
        <f>IFERROR(B11/$B$20,0)</f>
        <v>0</v>
      </c>
    </row>
    <row r="12" spans="1:3" x14ac:dyDescent="0.25">
      <c r="A12" s="1" t="s">
        <v>80</v>
      </c>
      <c r="B12" s="13">
        <f>SUMIFS('Transaction Details'!$D:$D,'Transaction Details'!$C:$C,$A12,'Transaction Details'!$A:$A,"&gt;="&amp;DATE(2026,3,1),'Transaction Details'!$A:$A,"&lt;"&amp;DATE(2026,4,1))</f>
        <v>895</v>
      </c>
      <c r="C12" s="15">
        <f>IFERROR(B12/$B$20,0)</f>
        <v>0.86473429951690817</v>
      </c>
    </row>
    <row r="13" spans="1:3" x14ac:dyDescent="0.25">
      <c r="A13" s="1" t="s">
        <v>70</v>
      </c>
      <c r="B13" s="13">
        <f>SUMIFS('Transaction Details'!$D:$D,'Transaction Details'!$C:$C,$A13,'Transaction Details'!$A:$A,"&gt;="&amp;DATE(2026,3,1),'Transaction Details'!$A:$A,"&lt;"&amp;DATE(2026,4,1))</f>
        <v>0</v>
      </c>
      <c r="C13" s="15">
        <f>IFERROR(B13/$B$20,0)</f>
        <v>0</v>
      </c>
    </row>
    <row r="14" spans="1:3" x14ac:dyDescent="0.25">
      <c r="A14" s="1" t="s">
        <v>73</v>
      </c>
      <c r="B14" s="13">
        <f>SUMIFS('Transaction Details'!$D:$D,'Transaction Details'!$C:$C,$A14,'Transaction Details'!$A:$A,"&gt;="&amp;DATE(2026,3,1),'Transaction Details'!$A:$A,"&lt;"&amp;DATE(2026,4,1))</f>
        <v>0</v>
      </c>
      <c r="C14" s="15">
        <f>IFERROR(B14/$B$20,0)</f>
        <v>0</v>
      </c>
    </row>
    <row r="15" spans="1:3" x14ac:dyDescent="0.25">
      <c r="A15" s="1" t="s">
        <v>74</v>
      </c>
      <c r="B15" s="13">
        <f>SUMIFS('Transaction Details'!$D:$D,'Transaction Details'!$C:$C,$A15,'Transaction Details'!$A:$A,"&gt;="&amp;DATE(2026,3,1),'Transaction Details'!$A:$A,"&lt;"&amp;DATE(2026,4,1))</f>
        <v>140</v>
      </c>
      <c r="C15" s="15">
        <f>IFERROR(B15/$B$20,0)</f>
        <v>0.13526570048309178</v>
      </c>
    </row>
    <row r="16" spans="1:3" x14ac:dyDescent="0.25">
      <c r="A16" s="1" t="s">
        <v>78</v>
      </c>
      <c r="B16" s="13">
        <f>SUMIFS('Transaction Details'!$D:$D,'Transaction Details'!$C:$C,$A16,'Transaction Details'!$A:$A,"&gt;="&amp;DATE(2026,3,1),'Transaction Details'!$A:$A,"&lt;"&amp;DATE(2026,4,1))</f>
        <v>0</v>
      </c>
      <c r="C16" s="15">
        <f>IFERROR(B16/$B$20,0)</f>
        <v>0</v>
      </c>
    </row>
    <row r="17" spans="1:3" x14ac:dyDescent="0.25">
      <c r="A17" s="1" t="s">
        <v>77</v>
      </c>
      <c r="B17" s="13">
        <f>SUMIFS('Transaction Details'!$D:$D,'Transaction Details'!$C:$C,$A17,'Transaction Details'!$A:$A,"&gt;="&amp;DATE(2026,3,1),'Transaction Details'!$A:$A,"&lt;"&amp;DATE(2026,4,1))</f>
        <v>0</v>
      </c>
      <c r="C17" s="15">
        <f>IFERROR(B17/$B$20,0)</f>
        <v>0</v>
      </c>
    </row>
    <row r="18" spans="1:3" x14ac:dyDescent="0.25">
      <c r="A18" s="1" t="s">
        <v>79</v>
      </c>
      <c r="B18" s="13">
        <f>SUMIFS('Transaction Details'!$D:$D,'Transaction Details'!$C:$C,$A18,'Transaction Details'!$A:$A,"&gt;="&amp;DATE(2026,3,1),'Transaction Details'!$A:$A,"&lt;"&amp;DATE(2026,4,1))</f>
        <v>0</v>
      </c>
      <c r="C18" s="15">
        <f>IFERROR(B18/$B$20,0)</f>
        <v>0</v>
      </c>
    </row>
    <row r="19" spans="1:3" x14ac:dyDescent="0.25">
      <c r="A19" s="1" t="s">
        <v>69</v>
      </c>
      <c r="B19" s="13">
        <f>SUMIFS('Transaction Details'!$D:$D,'Transaction Details'!$C:$C,$A19,'Transaction Details'!$A:$A,"&gt;="&amp;DATE(2026,3,1),'Transaction Details'!$A:$A,"&lt;"&amp;DATE(2026,4,1))</f>
        <v>0</v>
      </c>
      <c r="C19" s="15">
        <f>IFERROR(B19/$B$20,0)</f>
        <v>0</v>
      </c>
    </row>
    <row r="20" spans="1:3" x14ac:dyDescent="0.25">
      <c r="A20" s="8" t="s">
        <v>118</v>
      </c>
      <c r="B20" s="12">
        <f>SUMIFS('Transaction Details'!$D:$D,'Transaction Details'!$A:$A,"&gt;="&amp;DATE(2026,3,1),'Transaction Details'!$A:$A,"&lt;"&amp;DATE(2026,4,1),'Transaction Details'!$D:$D,"&gt;0")</f>
        <v>1035</v>
      </c>
      <c r="C20" s="8"/>
    </row>
    <row r="21" spans="1:3" x14ac:dyDescent="0.25">
      <c r="A21" s="7" t="s">
        <v>89</v>
      </c>
      <c r="B21" s="11">
        <f>SUMIFS('Transaction Details'!$D:$D,'Transaction Details'!$A:$A,"&gt;="&amp;DATE(2026,3,1),'Transaction Details'!$A:$A,"&lt;"&amp;DATE(2026,4,1),'Transaction Details'!$D:$D,"&lt;0")</f>
        <v>0</v>
      </c>
      <c r="C21" s="7"/>
    </row>
    <row r="22" spans="1:3" x14ac:dyDescent="0.25">
      <c r="A22" s="26" t="s">
        <v>109</v>
      </c>
      <c r="B22" s="27">
        <f>B20+B21</f>
        <v>1035</v>
      </c>
      <c r="C22" s="26"/>
    </row>
    <row r="23" spans="1:3" x14ac:dyDescent="0.25">
      <c r="A23" s="1"/>
      <c r="B23" s="1"/>
      <c r="C23" s="1"/>
    </row>
    <row r="24" spans="1:3" ht="15.75" x14ac:dyDescent="0.25">
      <c r="A24" s="25">
        <v>46113</v>
      </c>
      <c r="B24" s="25"/>
      <c r="C24" s="25"/>
    </row>
    <row r="25" spans="1:3" x14ac:dyDescent="0.25">
      <c r="A25" s="9" t="s">
        <v>5</v>
      </c>
      <c r="B25" s="10" t="s">
        <v>3</v>
      </c>
      <c r="C25" s="10" t="s">
        <v>117</v>
      </c>
    </row>
    <row r="26" spans="1:3" x14ac:dyDescent="0.25">
      <c r="A26" s="1" t="s">
        <v>71</v>
      </c>
      <c r="B26" s="13">
        <f>SUMIFS('Transaction Details'!$D:$D,'Transaction Details'!$C:$C,$A26,'Transaction Details'!$A:$A,"&gt;="&amp;DATE(2026,4,1),'Transaction Details'!$A:$A,"&lt;"&amp;DATE(2026,5,1))</f>
        <v>260</v>
      </c>
      <c r="C26" s="15">
        <f>IFERROR(B26/$B$38,0)</f>
        <v>0.61419257299442498</v>
      </c>
    </row>
    <row r="27" spans="1:3" x14ac:dyDescent="0.25">
      <c r="A27" s="1" t="s">
        <v>72</v>
      </c>
      <c r="B27" s="13">
        <f>SUMIFS('Transaction Details'!$D:$D,'Transaction Details'!$C:$C,$A27,'Transaction Details'!$A:$A,"&gt;="&amp;DATE(2026,4,1),'Transaction Details'!$A:$A,"&lt;"&amp;DATE(2026,5,1))</f>
        <v>0</v>
      </c>
      <c r="C27" s="15">
        <f>IFERROR(B27/$B$38,0)</f>
        <v>0</v>
      </c>
    </row>
    <row r="28" spans="1:3" x14ac:dyDescent="0.25">
      <c r="A28" s="1" t="s">
        <v>75</v>
      </c>
      <c r="B28" s="13">
        <f>SUMIFS('Transaction Details'!$D:$D,'Transaction Details'!$C:$C,$A28,'Transaction Details'!$A:$A,"&gt;="&amp;DATE(2026,4,1),'Transaction Details'!$A:$A,"&lt;"&amp;DATE(2026,5,1))</f>
        <v>0</v>
      </c>
      <c r="C28" s="15">
        <f>IFERROR(B28/$B$38,0)</f>
        <v>0</v>
      </c>
    </row>
    <row r="29" spans="1:3" x14ac:dyDescent="0.25">
      <c r="A29" s="1" t="s">
        <v>76</v>
      </c>
      <c r="B29" s="13">
        <f>SUMIFS('Transaction Details'!$D:$D,'Transaction Details'!$C:$C,$A29,'Transaction Details'!$A:$A,"&gt;="&amp;DATE(2026,4,1),'Transaction Details'!$A:$A,"&lt;"&amp;DATE(2026,5,1))</f>
        <v>0</v>
      </c>
      <c r="C29" s="15">
        <f>IFERROR(B29/$B$38,0)</f>
        <v>0</v>
      </c>
    </row>
    <row r="30" spans="1:3" x14ac:dyDescent="0.25">
      <c r="A30" s="1" t="s">
        <v>80</v>
      </c>
      <c r="B30" s="13">
        <f>SUMIFS('Transaction Details'!$D:$D,'Transaction Details'!$C:$C,$A30,'Transaction Details'!$A:$A,"&gt;="&amp;DATE(2026,4,1),'Transaction Details'!$A:$A,"&lt;"&amp;DATE(2026,5,1))</f>
        <v>0</v>
      </c>
      <c r="C30" s="15">
        <f>IFERROR(B30/$B$38,0)</f>
        <v>0</v>
      </c>
    </row>
    <row r="31" spans="1:3" x14ac:dyDescent="0.25">
      <c r="A31" s="1" t="s">
        <v>70</v>
      </c>
      <c r="B31" s="13">
        <f>SUMIFS('Transaction Details'!$D:$D,'Transaction Details'!$C:$C,$A31,'Transaction Details'!$A:$A,"&gt;="&amp;DATE(2026,4,1),'Transaction Details'!$A:$A,"&lt;"&amp;DATE(2026,5,1))</f>
        <v>163.32</v>
      </c>
      <c r="C31" s="15">
        <f>IFERROR(B31/$B$38,0)</f>
        <v>0.38580742700557497</v>
      </c>
    </row>
    <row r="32" spans="1:3" x14ac:dyDescent="0.25">
      <c r="A32" s="1" t="s">
        <v>73</v>
      </c>
      <c r="B32" s="13">
        <f>SUMIFS('Transaction Details'!$D:$D,'Transaction Details'!$C:$C,$A32,'Transaction Details'!$A:$A,"&gt;="&amp;DATE(2026,4,1),'Transaction Details'!$A:$A,"&lt;"&amp;DATE(2026,5,1))</f>
        <v>0</v>
      </c>
      <c r="C32" s="15">
        <f>IFERROR(B32/$B$38,0)</f>
        <v>0</v>
      </c>
    </row>
    <row r="33" spans="1:3" x14ac:dyDescent="0.25">
      <c r="A33" s="1" t="s">
        <v>74</v>
      </c>
      <c r="B33" s="13">
        <f>SUMIFS('Transaction Details'!$D:$D,'Transaction Details'!$C:$C,$A33,'Transaction Details'!$A:$A,"&gt;="&amp;DATE(2026,4,1),'Transaction Details'!$A:$A,"&lt;"&amp;DATE(2026,5,1))</f>
        <v>0</v>
      </c>
      <c r="C33" s="15">
        <f>IFERROR(B33/$B$38,0)</f>
        <v>0</v>
      </c>
    </row>
    <row r="34" spans="1:3" x14ac:dyDescent="0.25">
      <c r="A34" s="1" t="s">
        <v>78</v>
      </c>
      <c r="B34" s="13">
        <f>SUMIFS('Transaction Details'!$D:$D,'Transaction Details'!$C:$C,$A34,'Transaction Details'!$A:$A,"&gt;="&amp;DATE(2026,4,1),'Transaction Details'!$A:$A,"&lt;"&amp;DATE(2026,5,1))</f>
        <v>0</v>
      </c>
      <c r="C34" s="15">
        <f>IFERROR(B34/$B$38,0)</f>
        <v>0</v>
      </c>
    </row>
    <row r="35" spans="1:3" x14ac:dyDescent="0.25">
      <c r="A35" s="1" t="s">
        <v>77</v>
      </c>
      <c r="B35" s="13">
        <f>SUMIFS('Transaction Details'!$D:$D,'Transaction Details'!$C:$C,$A35,'Transaction Details'!$A:$A,"&gt;="&amp;DATE(2026,4,1),'Transaction Details'!$A:$A,"&lt;"&amp;DATE(2026,5,1))</f>
        <v>0</v>
      </c>
      <c r="C35" s="15">
        <f>IFERROR(B35/$B$38,0)</f>
        <v>0</v>
      </c>
    </row>
    <row r="36" spans="1:3" x14ac:dyDescent="0.25">
      <c r="A36" s="1" t="s">
        <v>79</v>
      </c>
      <c r="B36" s="13">
        <f>SUMIFS('Transaction Details'!$D:$D,'Transaction Details'!$C:$C,$A36,'Transaction Details'!$A:$A,"&gt;="&amp;DATE(2026,4,1),'Transaction Details'!$A:$A,"&lt;"&amp;DATE(2026,5,1))</f>
        <v>0</v>
      </c>
      <c r="C36" s="15">
        <f>IFERROR(B36/$B$38,0)</f>
        <v>0</v>
      </c>
    </row>
    <row r="37" spans="1:3" x14ac:dyDescent="0.25">
      <c r="A37" s="1" t="s">
        <v>69</v>
      </c>
      <c r="B37" s="13">
        <f>SUMIFS('Transaction Details'!$D:$D,'Transaction Details'!$C:$C,$A37,'Transaction Details'!$A:$A,"&gt;="&amp;DATE(2026,4,1),'Transaction Details'!$A:$A,"&lt;"&amp;DATE(2026,5,1))</f>
        <v>-1295</v>
      </c>
      <c r="C37" s="15">
        <f>IFERROR(B37/$B$38,0)</f>
        <v>-3.0591514693376172</v>
      </c>
    </row>
    <row r="38" spans="1:3" x14ac:dyDescent="0.25">
      <c r="A38" s="8" t="s">
        <v>118</v>
      </c>
      <c r="B38" s="12">
        <f>SUMIFS('Transaction Details'!$D:$D,'Transaction Details'!$A:$A,"&gt;="&amp;DATE(2026,4,1),'Transaction Details'!$A:$A,"&lt;"&amp;DATE(2026,5,1),'Transaction Details'!$D:$D,"&gt;0")</f>
        <v>423.32</v>
      </c>
      <c r="C38" s="8"/>
    </row>
    <row r="39" spans="1:3" x14ac:dyDescent="0.25">
      <c r="A39" s="7" t="s">
        <v>89</v>
      </c>
      <c r="B39" s="11">
        <f>SUMIFS('Transaction Details'!$D:$D,'Transaction Details'!$A:$A,"&gt;="&amp;DATE(2026,4,1),'Transaction Details'!$A:$A,"&lt;"&amp;DATE(2026,5,1),'Transaction Details'!$D:$D,"&lt;0")</f>
        <v>-1295</v>
      </c>
      <c r="C39" s="7"/>
    </row>
    <row r="40" spans="1:3" x14ac:dyDescent="0.25">
      <c r="A40" s="26" t="s">
        <v>109</v>
      </c>
      <c r="B40" s="27">
        <f>B38+B39</f>
        <v>-871.68000000000006</v>
      </c>
      <c r="C40" s="26"/>
    </row>
    <row r="41" spans="1:3" x14ac:dyDescent="0.25">
      <c r="A41" s="1"/>
      <c r="B41" s="1"/>
      <c r="C41" s="1"/>
    </row>
    <row r="42" spans="1:3" ht="15.75" x14ac:dyDescent="0.25">
      <c r="A42" s="25">
        <v>46143</v>
      </c>
      <c r="B42" s="25"/>
      <c r="C42" s="25"/>
    </row>
    <row r="43" spans="1:3" x14ac:dyDescent="0.25">
      <c r="A43" s="9" t="s">
        <v>5</v>
      </c>
      <c r="B43" s="10" t="s">
        <v>3</v>
      </c>
      <c r="C43" s="10" t="s">
        <v>117</v>
      </c>
    </row>
    <row r="44" spans="1:3" x14ac:dyDescent="0.25">
      <c r="A44" s="1" t="s">
        <v>71</v>
      </c>
      <c r="B44" s="13">
        <f>SUMIFS('Transaction Details'!$D:$D,'Transaction Details'!$C:$C,$A44,'Transaction Details'!$A:$A,"&gt;="&amp;DATE(2026,5,1),'Transaction Details'!$A:$A,"&lt;"&amp;DATE(2026,6,1))</f>
        <v>12162.68</v>
      </c>
      <c r="C44" s="15">
        <f>IFERROR(B44/$B$56,0)</f>
        <v>0.55417861578824112</v>
      </c>
    </row>
    <row r="45" spans="1:3" x14ac:dyDescent="0.25">
      <c r="A45" s="1" t="s">
        <v>72</v>
      </c>
      <c r="B45" s="13">
        <f>SUMIFS('Transaction Details'!$D:$D,'Transaction Details'!$C:$C,$A45,'Transaction Details'!$A:$A,"&gt;="&amp;DATE(2026,5,1),'Transaction Details'!$A:$A,"&lt;"&amp;DATE(2026,6,1))</f>
        <v>0</v>
      </c>
      <c r="C45" s="15">
        <f>IFERROR(B45/$B$56,0)</f>
        <v>0</v>
      </c>
    </row>
    <row r="46" spans="1:3" x14ac:dyDescent="0.25">
      <c r="A46" s="1" t="s">
        <v>75</v>
      </c>
      <c r="B46" s="13">
        <f>SUMIFS('Transaction Details'!$D:$D,'Transaction Details'!$C:$C,$A46,'Transaction Details'!$A:$A,"&gt;="&amp;DATE(2026,5,1),'Transaction Details'!$A:$A,"&lt;"&amp;DATE(2026,6,1))</f>
        <v>249</v>
      </c>
      <c r="C46" s="15">
        <f>IFERROR(B46/$B$56,0)</f>
        <v>1.1345400465298111E-2</v>
      </c>
    </row>
    <row r="47" spans="1:3" x14ac:dyDescent="0.25">
      <c r="A47" s="1" t="s">
        <v>76</v>
      </c>
      <c r="B47" s="13">
        <f>SUMIFS('Transaction Details'!$D:$D,'Transaction Details'!$C:$C,$A47,'Transaction Details'!$A:$A,"&gt;="&amp;DATE(2026,5,1),'Transaction Details'!$A:$A,"&lt;"&amp;DATE(2026,6,1))</f>
        <v>4251.7700000000004</v>
      </c>
      <c r="C47" s="15">
        <f>IFERROR(B47/$B$56,0)</f>
        <v>0.19372704151140788</v>
      </c>
    </row>
    <row r="48" spans="1:3" x14ac:dyDescent="0.25">
      <c r="A48" s="1" t="s">
        <v>80</v>
      </c>
      <c r="B48" s="13">
        <f>SUMIFS('Transaction Details'!$D:$D,'Transaction Details'!$C:$C,$A48,'Transaction Details'!$A:$A,"&gt;="&amp;DATE(2026,5,1),'Transaction Details'!$A:$A,"&lt;"&amp;DATE(2026,6,1))</f>
        <v>0</v>
      </c>
      <c r="C48" s="15">
        <f>IFERROR(B48/$B$56,0)</f>
        <v>0</v>
      </c>
    </row>
    <row r="49" spans="1:3" x14ac:dyDescent="0.25">
      <c r="A49" s="1" t="s">
        <v>70</v>
      </c>
      <c r="B49" s="13">
        <f>SUMIFS('Transaction Details'!$D:$D,'Transaction Details'!$C:$C,$A49,'Transaction Details'!$A:$A,"&gt;="&amp;DATE(2026,5,1),'Transaction Details'!$A:$A,"&lt;"&amp;DATE(2026,6,1))</f>
        <v>166.43</v>
      </c>
      <c r="C49" s="15">
        <f>IFERROR(B49/$B$56,0)</f>
        <v>7.5831927688335939E-3</v>
      </c>
    </row>
    <row r="50" spans="1:3" x14ac:dyDescent="0.25">
      <c r="A50" s="1" t="s">
        <v>73</v>
      </c>
      <c r="B50" s="13">
        <f>SUMIFS('Transaction Details'!$D:$D,'Transaction Details'!$C:$C,$A50,'Transaction Details'!$A:$A,"&gt;="&amp;DATE(2026,5,1),'Transaction Details'!$A:$A,"&lt;"&amp;DATE(2026,6,1))</f>
        <v>1116.1100000000001</v>
      </c>
      <c r="C50" s="15">
        <f>IFERROR(B50/$B$56,0)</f>
        <v>5.0854276760336853E-2</v>
      </c>
    </row>
    <row r="51" spans="1:3" x14ac:dyDescent="0.25">
      <c r="A51" s="1" t="s">
        <v>74</v>
      </c>
      <c r="B51" s="13">
        <f>SUMIFS('Transaction Details'!$D:$D,'Transaction Details'!$C:$C,$A51,'Transaction Details'!$A:$A,"&gt;="&amp;DATE(2026,5,1),'Transaction Details'!$A:$A,"&lt;"&amp;DATE(2026,6,1))</f>
        <v>303.61</v>
      </c>
      <c r="C51" s="15">
        <f>IFERROR(B51/$B$56,0)</f>
        <v>1.3833642711924337E-2</v>
      </c>
    </row>
    <row r="52" spans="1:3" x14ac:dyDescent="0.25">
      <c r="A52" s="1" t="s">
        <v>78</v>
      </c>
      <c r="B52" s="13">
        <f>SUMIFS('Transaction Details'!$D:$D,'Transaction Details'!$C:$C,$A52,'Transaction Details'!$A:$A,"&gt;="&amp;DATE(2026,5,1),'Transaction Details'!$A:$A,"&lt;"&amp;DATE(2026,6,1))</f>
        <v>470.31000000000006</v>
      </c>
      <c r="C52" s="15">
        <f>IFERROR(B52/$B$56,0)</f>
        <v>2.1429137722226328E-2</v>
      </c>
    </row>
    <row r="53" spans="1:3" x14ac:dyDescent="0.25">
      <c r="A53" s="1" t="s">
        <v>77</v>
      </c>
      <c r="B53" s="13">
        <f>SUMIFS('Transaction Details'!$D:$D,'Transaction Details'!$C:$C,$A53,'Transaction Details'!$A:$A,"&gt;="&amp;DATE(2026,5,1),'Transaction Details'!$A:$A,"&lt;"&amp;DATE(2026,6,1))</f>
        <v>2000</v>
      </c>
      <c r="C53" s="15">
        <f>IFERROR(B53/$B$56,0)</f>
        <v>9.112771458070773E-2</v>
      </c>
    </row>
    <row r="54" spans="1:3" x14ac:dyDescent="0.25">
      <c r="A54" s="1" t="s">
        <v>79</v>
      </c>
      <c r="B54" s="13">
        <f>SUMIFS('Transaction Details'!$D:$D,'Transaction Details'!$C:$C,$A54,'Transaction Details'!$A:$A,"&gt;="&amp;DATE(2026,5,1),'Transaction Details'!$A:$A,"&lt;"&amp;DATE(2026,6,1))</f>
        <v>1227.31</v>
      </c>
      <c r="C54" s="15">
        <f>IFERROR(B54/$B$56,0)</f>
        <v>5.59209776910242E-2</v>
      </c>
    </row>
    <row r="55" spans="1:3" x14ac:dyDescent="0.25">
      <c r="A55" s="1" t="s">
        <v>69</v>
      </c>
      <c r="B55" s="13">
        <f>SUMIFS('Transaction Details'!$D:$D,'Transaction Details'!$C:$C,$A55,'Transaction Details'!$A:$A,"&gt;="&amp;DATE(2026,5,1),'Transaction Details'!$A:$A,"&lt;"&amp;DATE(2026,6,1))</f>
        <v>-17111.45</v>
      </c>
      <c r="C55" s="15">
        <f>IFERROR(B55/$B$56,0)</f>
        <v>-0.77966366583102564</v>
      </c>
    </row>
    <row r="56" spans="1:3" x14ac:dyDescent="0.25">
      <c r="A56" s="8" t="s">
        <v>118</v>
      </c>
      <c r="B56" s="12">
        <f>SUMIFS('Transaction Details'!$D:$D,'Transaction Details'!$A:$A,"&gt;="&amp;DATE(2026,5,1),'Transaction Details'!$A:$A,"&lt;"&amp;DATE(2026,6,1),'Transaction Details'!$D:$D,"&gt;0")</f>
        <v>21947.219999999998</v>
      </c>
      <c r="C56" s="8"/>
    </row>
    <row r="57" spans="1:3" x14ac:dyDescent="0.25">
      <c r="A57" s="7" t="s">
        <v>89</v>
      </c>
      <c r="B57" s="11">
        <f>SUMIFS('Transaction Details'!$D:$D,'Transaction Details'!$A:$A,"&gt;="&amp;DATE(2026,5,1),'Transaction Details'!$A:$A,"&lt;"&amp;DATE(2026,6,1),'Transaction Details'!$D:$D,"&lt;0")</f>
        <v>-17111.45</v>
      </c>
      <c r="C57" s="7"/>
    </row>
    <row r="58" spans="1:3" x14ac:dyDescent="0.25">
      <c r="A58" s="26" t="s">
        <v>109</v>
      </c>
      <c r="B58" s="27">
        <f>B56+B57</f>
        <v>4835.7699999999968</v>
      </c>
      <c r="C58" s="26"/>
    </row>
    <row r="59" spans="1:3" x14ac:dyDescent="0.25">
      <c r="A59" s="1"/>
      <c r="B59" s="1"/>
      <c r="C59" s="1"/>
    </row>
    <row r="60" spans="1:3" ht="15.75" x14ac:dyDescent="0.25">
      <c r="A60" s="25">
        <v>46174</v>
      </c>
      <c r="B60" s="25"/>
      <c r="C60" s="25"/>
    </row>
    <row r="61" spans="1:3" x14ac:dyDescent="0.25">
      <c r="A61" s="9" t="s">
        <v>5</v>
      </c>
      <c r="B61" s="10" t="s">
        <v>3</v>
      </c>
      <c r="C61" s="10" t="s">
        <v>117</v>
      </c>
    </row>
    <row r="62" spans="1:3" x14ac:dyDescent="0.25">
      <c r="A62" s="1" t="s">
        <v>71</v>
      </c>
      <c r="B62" s="13">
        <f>SUMIFS('Transaction Details'!$D:$D,'Transaction Details'!$C:$C,$A62,'Transaction Details'!$A:$A,"&gt;="&amp;DATE(2026,6,1),'Transaction Details'!$A:$A,"&lt;"&amp;DATE(2026,7,1))</f>
        <v>260</v>
      </c>
      <c r="C62" s="15">
        <f>IFERROR(B62/$B$74,0)</f>
        <v>7.2595078612093772E-2</v>
      </c>
    </row>
    <row r="63" spans="1:3" x14ac:dyDescent="0.25">
      <c r="A63" s="1" t="s">
        <v>72</v>
      </c>
      <c r="B63" s="13">
        <f>SUMIFS('Transaction Details'!$D:$D,'Transaction Details'!$C:$C,$A63,'Transaction Details'!$A:$A,"&gt;="&amp;DATE(2026,6,1),'Transaction Details'!$A:$A,"&lt;"&amp;DATE(2026,7,1))</f>
        <v>3161.52</v>
      </c>
      <c r="C63" s="15">
        <f>IFERROR(B63/$B$74,0)</f>
        <v>0.88273381897579506</v>
      </c>
    </row>
    <row r="64" spans="1:3" x14ac:dyDescent="0.25">
      <c r="A64" s="1" t="s">
        <v>75</v>
      </c>
      <c r="B64" s="13">
        <f>SUMIFS('Transaction Details'!$D:$D,'Transaction Details'!$C:$C,$A64,'Transaction Details'!$A:$A,"&gt;="&amp;DATE(2026,6,1),'Transaction Details'!$A:$A,"&lt;"&amp;DATE(2026,7,1))</f>
        <v>0</v>
      </c>
      <c r="C64" s="15">
        <f>IFERROR(B64/$B$74,0)</f>
        <v>0</v>
      </c>
    </row>
    <row r="65" spans="1:3" x14ac:dyDescent="0.25">
      <c r="A65" s="1" t="s">
        <v>76</v>
      </c>
      <c r="B65" s="13">
        <f>SUMIFS('Transaction Details'!$D:$D,'Transaction Details'!$C:$C,$A65,'Transaction Details'!$A:$A,"&gt;="&amp;DATE(2026,6,1),'Transaction Details'!$A:$A,"&lt;"&amp;DATE(2026,7,1))</f>
        <v>0</v>
      </c>
      <c r="C65" s="15">
        <f>IFERROR(B65/$B$74,0)</f>
        <v>0</v>
      </c>
    </row>
    <row r="66" spans="1:3" x14ac:dyDescent="0.25">
      <c r="A66" s="1" t="s">
        <v>80</v>
      </c>
      <c r="B66" s="13">
        <f>SUMIFS('Transaction Details'!$D:$D,'Transaction Details'!$C:$C,$A66,'Transaction Details'!$A:$A,"&gt;="&amp;DATE(2026,6,1),'Transaction Details'!$A:$A,"&lt;"&amp;DATE(2026,7,1))</f>
        <v>0</v>
      </c>
      <c r="C66" s="15">
        <f>IFERROR(B66/$B$74,0)</f>
        <v>0</v>
      </c>
    </row>
    <row r="67" spans="1:3" x14ac:dyDescent="0.25">
      <c r="A67" s="1" t="s">
        <v>70</v>
      </c>
      <c r="B67" s="13">
        <f>SUMIFS('Transaction Details'!$D:$D,'Transaction Details'!$C:$C,$A67,'Transaction Details'!$A:$A,"&gt;="&amp;DATE(2026,6,1),'Transaction Details'!$A:$A,"&lt;"&amp;DATE(2026,7,1))</f>
        <v>79.989999999999995</v>
      </c>
      <c r="C67" s="15">
        <f>IFERROR(B67/$B$74,0)</f>
        <v>2.2334155146851466E-2</v>
      </c>
    </row>
    <row r="68" spans="1:3" x14ac:dyDescent="0.25">
      <c r="A68" s="1" t="s">
        <v>73</v>
      </c>
      <c r="B68" s="13">
        <f>SUMIFS('Transaction Details'!$D:$D,'Transaction Details'!$C:$C,$A68,'Transaction Details'!$A:$A,"&gt;="&amp;DATE(2026,6,1),'Transaction Details'!$A:$A,"&lt;"&amp;DATE(2026,7,1))</f>
        <v>-110.5</v>
      </c>
      <c r="C68" s="15">
        <f>IFERROR(B68/$B$74,0)</f>
        <v>-3.0852908410139854E-2</v>
      </c>
    </row>
    <row r="69" spans="1:3" x14ac:dyDescent="0.25">
      <c r="A69" s="1" t="s">
        <v>74</v>
      </c>
      <c r="B69" s="13">
        <f>SUMIFS('Transaction Details'!$D:$D,'Transaction Details'!$C:$C,$A69,'Transaction Details'!$A:$A,"&gt;="&amp;DATE(2026,6,1),'Transaction Details'!$A:$A,"&lt;"&amp;DATE(2026,7,1))</f>
        <v>80</v>
      </c>
      <c r="C69" s="15">
        <f>IFERROR(B69/$B$74,0)</f>
        <v>2.2336947265259623E-2</v>
      </c>
    </row>
    <row r="70" spans="1:3" x14ac:dyDescent="0.25">
      <c r="A70" s="1" t="s">
        <v>78</v>
      </c>
      <c r="B70" s="13">
        <f>SUMIFS('Transaction Details'!$D:$D,'Transaction Details'!$C:$C,$A70,'Transaction Details'!$A:$A,"&gt;="&amp;DATE(2026,6,1),'Transaction Details'!$A:$A,"&lt;"&amp;DATE(2026,7,1))</f>
        <v>0</v>
      </c>
      <c r="C70" s="15">
        <f>IFERROR(B70/$B$74,0)</f>
        <v>0</v>
      </c>
    </row>
    <row r="71" spans="1:3" x14ac:dyDescent="0.25">
      <c r="A71" s="1" t="s">
        <v>77</v>
      </c>
      <c r="B71" s="13">
        <f>SUMIFS('Transaction Details'!$D:$D,'Transaction Details'!$C:$C,$A71,'Transaction Details'!$A:$A,"&gt;="&amp;DATE(2026,6,1),'Transaction Details'!$A:$A,"&lt;"&amp;DATE(2026,7,1))</f>
        <v>0</v>
      </c>
      <c r="C71" s="15">
        <f>IFERROR(B71/$B$74,0)</f>
        <v>0</v>
      </c>
    </row>
    <row r="72" spans="1:3" x14ac:dyDescent="0.25">
      <c r="A72" s="1" t="s">
        <v>79</v>
      </c>
      <c r="B72" s="13">
        <f>SUMIFS('Transaction Details'!$D:$D,'Transaction Details'!$C:$C,$A72,'Transaction Details'!$A:$A,"&gt;="&amp;DATE(2026,6,1),'Transaction Details'!$A:$A,"&lt;"&amp;DATE(2026,7,1))</f>
        <v>0</v>
      </c>
      <c r="C72" s="15">
        <f>IFERROR(B72/$B$74,0)</f>
        <v>0</v>
      </c>
    </row>
    <row r="73" spans="1:3" x14ac:dyDescent="0.25">
      <c r="A73" s="1" t="s">
        <v>69</v>
      </c>
      <c r="B73" s="13">
        <f>SUMIFS('Transaction Details'!$D:$D,'Transaction Details'!$C:$C,$A73,'Transaction Details'!$A:$A,"&gt;="&amp;DATE(2026,6,1),'Transaction Details'!$A:$A,"&lt;"&amp;DATE(2026,7,1))</f>
        <v>-4103.05</v>
      </c>
      <c r="C73" s="15">
        <f>IFERROR(B73/$B$74,0)</f>
        <v>-1.1456201434590438</v>
      </c>
    </row>
    <row r="74" spans="1:3" x14ac:dyDescent="0.25">
      <c r="A74" s="8" t="s">
        <v>118</v>
      </c>
      <c r="B74" s="12">
        <f>SUMIFS('Transaction Details'!$D:$D,'Transaction Details'!$A:$A,"&gt;="&amp;DATE(2026,6,1),'Transaction Details'!$A:$A,"&lt;"&amp;DATE(2026,7,1),'Transaction Details'!$D:$D,"&gt;0")</f>
        <v>3581.51</v>
      </c>
      <c r="C74" s="8"/>
    </row>
    <row r="75" spans="1:3" x14ac:dyDescent="0.25">
      <c r="A75" s="7" t="s">
        <v>89</v>
      </c>
      <c r="B75" s="11">
        <f>SUMIFS('Transaction Details'!$D:$D,'Transaction Details'!$A:$A,"&gt;="&amp;DATE(2026,6,1),'Transaction Details'!$A:$A,"&lt;"&amp;DATE(2026,7,1),'Transaction Details'!$D:$D,"&lt;0")</f>
        <v>-4213.55</v>
      </c>
      <c r="C75" s="7"/>
    </row>
    <row r="76" spans="1:3" x14ac:dyDescent="0.25">
      <c r="A76" s="26" t="s">
        <v>109</v>
      </c>
      <c r="B76" s="27">
        <f>B74+B75</f>
        <v>-632.04</v>
      </c>
      <c r="C76" s="26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</sheetData>
  <mergeCells count="6">
    <mergeCell ref="A1:C1"/>
    <mergeCell ref="A2:C2"/>
    <mergeCell ref="A6:C6"/>
    <mergeCell ref="A24:C24"/>
    <mergeCell ref="A42:C42"/>
    <mergeCell ref="A60:C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19" workbookViewId="0">
      <selection activeCell="F41" sqref="F41"/>
    </sheetView>
  </sheetViews>
  <sheetFormatPr defaultColWidth="26.28515625" defaultRowHeight="15" outlineLevelCol="1" x14ac:dyDescent="0.25"/>
  <cols>
    <col min="1" max="1" width="11.85546875" customWidth="1"/>
    <col min="2" max="2" width="43.85546875" customWidth="1"/>
    <col min="3" max="3" width="28.5703125" customWidth="1"/>
    <col min="4" max="4" width="18.140625" customWidth="1"/>
    <col min="5" max="5" width="7.28515625" customWidth="1"/>
    <col min="6" max="6" width="9.140625" customWidth="1"/>
    <col min="7" max="7" width="30.42578125" customWidth="1"/>
    <col min="8" max="8" width="49.5703125" hidden="1" customWidth="1" outlineLevel="1"/>
    <col min="9" max="9" width="43.85546875" hidden="1" customWidth="1" outlineLevel="1"/>
    <col min="10" max="10" width="26.28515625" collapsed="1"/>
  </cols>
  <sheetData>
    <row r="1" spans="1:9" ht="26.1" customHeight="1" x14ac:dyDescent="0.25">
      <c r="A1" s="3" t="s">
        <v>81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30" t="s">
        <v>119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1" t="s">
        <v>83</v>
      </c>
      <c r="B4" s="32" t="s">
        <v>84</v>
      </c>
      <c r="C4" s="29"/>
      <c r="D4" s="29"/>
      <c r="E4" s="29"/>
      <c r="F4" s="29"/>
      <c r="G4" s="29"/>
      <c r="H4" s="29"/>
      <c r="I4" s="29"/>
    </row>
    <row r="5" spans="1:9" x14ac:dyDescent="0.25">
      <c r="A5" s="31" t="s">
        <v>85</v>
      </c>
      <c r="B5" s="32" t="s">
        <v>0</v>
      </c>
      <c r="C5" s="29"/>
      <c r="D5" s="29"/>
      <c r="E5" s="29"/>
      <c r="F5" s="29"/>
      <c r="G5" s="29"/>
      <c r="H5" s="29"/>
      <c r="I5" s="29"/>
    </row>
    <row r="6" spans="1:9" x14ac:dyDescent="0.25">
      <c r="A6" s="31" t="s">
        <v>86</v>
      </c>
      <c r="B6" s="32" t="s">
        <v>87</v>
      </c>
      <c r="C6" s="29"/>
      <c r="D6" s="29"/>
      <c r="E6" s="29"/>
      <c r="F6" s="29"/>
      <c r="G6" s="29"/>
      <c r="H6" s="29"/>
      <c r="I6" s="29"/>
    </row>
    <row r="7" spans="1:9" x14ac:dyDescent="0.25">
      <c r="A7" s="31" t="s">
        <v>120</v>
      </c>
      <c r="B7" s="32" t="s">
        <v>121</v>
      </c>
      <c r="C7" s="29"/>
      <c r="D7" s="29"/>
      <c r="E7" s="29"/>
      <c r="F7" s="29"/>
      <c r="G7" s="29"/>
      <c r="H7" s="29"/>
      <c r="I7" s="29"/>
    </row>
    <row r="8" spans="1:9" ht="60" customHeight="1" x14ac:dyDescent="0.25">
      <c r="A8" s="29"/>
      <c r="B8" s="29"/>
      <c r="C8" s="29"/>
      <c r="D8" s="29"/>
      <c r="E8" s="29"/>
      <c r="F8" s="29"/>
      <c r="G8" s="29"/>
      <c r="H8" s="29"/>
      <c r="I8" s="29"/>
    </row>
    <row r="9" spans="1:9" ht="60" customHeight="1" x14ac:dyDescent="0.25">
      <c r="A9" s="41" t="s">
        <v>1</v>
      </c>
      <c r="B9" s="41" t="s">
        <v>122</v>
      </c>
      <c r="C9" s="41" t="s">
        <v>5</v>
      </c>
      <c r="D9" s="42" t="s">
        <v>3</v>
      </c>
      <c r="E9" s="43" t="s">
        <v>123</v>
      </c>
      <c r="F9" s="43" t="s">
        <v>124</v>
      </c>
      <c r="G9" s="41" t="s">
        <v>125</v>
      </c>
      <c r="H9" s="41" t="s">
        <v>4</v>
      </c>
      <c r="I9" s="41" t="s">
        <v>126</v>
      </c>
    </row>
    <row r="10" spans="1:9" ht="15" customHeight="1" x14ac:dyDescent="0.25">
      <c r="A10" s="33">
        <v>46183</v>
      </c>
      <c r="B10" s="34" t="s">
        <v>6</v>
      </c>
      <c r="C10" s="34" t="s">
        <v>69</v>
      </c>
      <c r="D10" s="35">
        <v>-4103.05</v>
      </c>
      <c r="E10" s="36"/>
      <c r="F10" s="36"/>
      <c r="G10" s="34"/>
      <c r="H10" s="34" t="s">
        <v>7</v>
      </c>
      <c r="I10" s="34" t="s">
        <v>6</v>
      </c>
    </row>
    <row r="11" spans="1:9" ht="15" customHeight="1" x14ac:dyDescent="0.25">
      <c r="A11" s="37">
        <v>46180</v>
      </c>
      <c r="B11" s="38" t="s">
        <v>8</v>
      </c>
      <c r="C11" s="38" t="s">
        <v>70</v>
      </c>
      <c r="D11" s="39">
        <v>29.99</v>
      </c>
      <c r="E11" s="40" t="s">
        <v>127</v>
      </c>
      <c r="F11" s="40"/>
      <c r="G11" s="38"/>
      <c r="H11" s="38" t="s">
        <v>9</v>
      </c>
      <c r="I11" s="38" t="s">
        <v>8</v>
      </c>
    </row>
    <row r="12" spans="1:9" ht="15" customHeight="1" x14ac:dyDescent="0.25">
      <c r="A12" s="33">
        <v>46179</v>
      </c>
      <c r="B12" s="34" t="s">
        <v>10</v>
      </c>
      <c r="C12" s="34" t="s">
        <v>71</v>
      </c>
      <c r="D12" s="35">
        <v>260</v>
      </c>
      <c r="E12" s="36" t="s">
        <v>127</v>
      </c>
      <c r="F12" s="36"/>
      <c r="G12" s="34"/>
      <c r="H12" s="34" t="s">
        <v>11</v>
      </c>
      <c r="I12" s="34" t="s">
        <v>10</v>
      </c>
    </row>
    <row r="13" spans="1:9" ht="15" customHeight="1" x14ac:dyDescent="0.25">
      <c r="A13" s="37">
        <v>46179</v>
      </c>
      <c r="B13" s="38" t="s">
        <v>12</v>
      </c>
      <c r="C13" s="38" t="s">
        <v>72</v>
      </c>
      <c r="D13" s="39">
        <v>3161.52</v>
      </c>
      <c r="E13" s="40" t="s">
        <v>127</v>
      </c>
      <c r="F13" s="40"/>
      <c r="G13" s="38"/>
      <c r="H13" s="38" t="s">
        <v>13</v>
      </c>
      <c r="I13" s="38" t="s">
        <v>12</v>
      </c>
    </row>
    <row r="14" spans="1:9" ht="15" customHeight="1" x14ac:dyDescent="0.25">
      <c r="A14" s="33">
        <v>46178</v>
      </c>
      <c r="B14" s="34" t="s">
        <v>14</v>
      </c>
      <c r="C14" s="34" t="s">
        <v>70</v>
      </c>
      <c r="D14" s="35">
        <v>50</v>
      </c>
      <c r="E14" s="36" t="s">
        <v>127</v>
      </c>
      <c r="F14" s="36"/>
      <c r="G14" s="34"/>
      <c r="H14" s="34" t="s">
        <v>15</v>
      </c>
      <c r="I14" s="34" t="s">
        <v>14</v>
      </c>
    </row>
    <row r="15" spans="1:9" ht="15" customHeight="1" x14ac:dyDescent="0.25">
      <c r="A15" s="37">
        <v>46175</v>
      </c>
      <c r="B15" s="38" t="s">
        <v>16</v>
      </c>
      <c r="C15" s="38" t="s">
        <v>73</v>
      </c>
      <c r="D15" s="39">
        <v>-110.5</v>
      </c>
      <c r="E15" s="40" t="s">
        <v>127</v>
      </c>
      <c r="F15" s="40"/>
      <c r="G15" s="38"/>
      <c r="H15" s="38" t="s">
        <v>17</v>
      </c>
      <c r="I15" s="38" t="s">
        <v>16</v>
      </c>
    </row>
    <row r="16" spans="1:9" ht="15" customHeight="1" x14ac:dyDescent="0.25">
      <c r="A16" s="33">
        <v>46174</v>
      </c>
      <c r="B16" s="34" t="s">
        <v>18</v>
      </c>
      <c r="C16" s="34" t="s">
        <v>74</v>
      </c>
      <c r="D16" s="35">
        <v>80</v>
      </c>
      <c r="E16" s="36" t="s">
        <v>127</v>
      </c>
      <c r="F16" s="36"/>
      <c r="G16" s="34"/>
      <c r="H16" s="34" t="s">
        <v>19</v>
      </c>
      <c r="I16" s="34" t="s">
        <v>18</v>
      </c>
    </row>
    <row r="17" spans="1:9" ht="15" customHeight="1" x14ac:dyDescent="0.25">
      <c r="A17" s="37">
        <v>46170</v>
      </c>
      <c r="B17" s="38" t="s">
        <v>6</v>
      </c>
      <c r="C17" s="38" t="s">
        <v>69</v>
      </c>
      <c r="D17" s="39">
        <v>-2500</v>
      </c>
      <c r="E17" s="40"/>
      <c r="F17" s="40"/>
      <c r="G17" s="38"/>
      <c r="H17" s="38" t="s">
        <v>7</v>
      </c>
      <c r="I17" s="38" t="s">
        <v>6</v>
      </c>
    </row>
    <row r="18" spans="1:9" ht="15" customHeight="1" x14ac:dyDescent="0.25">
      <c r="A18" s="33">
        <v>46168</v>
      </c>
      <c r="B18" s="34" t="s">
        <v>20</v>
      </c>
      <c r="C18" s="34" t="s">
        <v>75</v>
      </c>
      <c r="D18" s="35">
        <v>249</v>
      </c>
      <c r="E18" s="36" t="s">
        <v>127</v>
      </c>
      <c r="F18" s="36"/>
      <c r="G18" s="34"/>
      <c r="H18" s="34" t="s">
        <v>21</v>
      </c>
      <c r="I18" s="34" t="s">
        <v>20</v>
      </c>
    </row>
    <row r="19" spans="1:9" ht="15" customHeight="1" x14ac:dyDescent="0.25">
      <c r="A19" s="37">
        <v>46165</v>
      </c>
      <c r="B19" s="38" t="s">
        <v>22</v>
      </c>
      <c r="C19" s="38" t="s">
        <v>70</v>
      </c>
      <c r="D19" s="39">
        <v>46.81</v>
      </c>
      <c r="E19" s="40" t="s">
        <v>127</v>
      </c>
      <c r="F19" s="40"/>
      <c r="G19" s="38"/>
      <c r="H19" s="38" t="s">
        <v>23</v>
      </c>
      <c r="I19" s="38" t="s">
        <v>22</v>
      </c>
    </row>
    <row r="20" spans="1:9" ht="15" customHeight="1" x14ac:dyDescent="0.25">
      <c r="A20" s="33">
        <v>46164</v>
      </c>
      <c r="B20" s="34" t="s">
        <v>16</v>
      </c>
      <c r="C20" s="34" t="s">
        <v>73</v>
      </c>
      <c r="D20" s="35">
        <v>172.22</v>
      </c>
      <c r="E20" s="36" t="s">
        <v>127</v>
      </c>
      <c r="F20" s="36"/>
      <c r="G20" s="34"/>
      <c r="H20" s="34" t="s">
        <v>24</v>
      </c>
      <c r="I20" s="34" t="s">
        <v>16</v>
      </c>
    </row>
    <row r="21" spans="1:9" ht="15" customHeight="1" x14ac:dyDescent="0.25">
      <c r="A21" s="37">
        <v>46164</v>
      </c>
      <c r="B21" s="38" t="s">
        <v>25</v>
      </c>
      <c r="C21" s="38" t="s">
        <v>76</v>
      </c>
      <c r="D21" s="39">
        <v>489.73</v>
      </c>
      <c r="E21" s="40" t="s">
        <v>127</v>
      </c>
      <c r="F21" s="40"/>
      <c r="G21" s="38"/>
      <c r="H21" s="38" t="s">
        <v>26</v>
      </c>
      <c r="I21" s="38" t="s">
        <v>25</v>
      </c>
    </row>
    <row r="22" spans="1:9" ht="15" customHeight="1" x14ac:dyDescent="0.25">
      <c r="A22" s="33">
        <v>46162</v>
      </c>
      <c r="B22" s="34" t="s">
        <v>27</v>
      </c>
      <c r="C22" s="34" t="s">
        <v>77</v>
      </c>
      <c r="D22" s="35">
        <v>2000</v>
      </c>
      <c r="E22" s="36" t="s">
        <v>127</v>
      </c>
      <c r="F22" s="36"/>
      <c r="G22" s="34"/>
      <c r="H22" s="34" t="s">
        <v>28</v>
      </c>
      <c r="I22" s="34" t="s">
        <v>27</v>
      </c>
    </row>
    <row r="23" spans="1:9" ht="15" customHeight="1" x14ac:dyDescent="0.25">
      <c r="A23" s="37">
        <v>46162</v>
      </c>
      <c r="B23" s="38" t="s">
        <v>29</v>
      </c>
      <c r="C23" s="38" t="s">
        <v>73</v>
      </c>
      <c r="D23" s="39">
        <v>94.05</v>
      </c>
      <c r="E23" s="40" t="s">
        <v>127</v>
      </c>
      <c r="F23" s="40"/>
      <c r="G23" s="38"/>
      <c r="H23" s="38" t="s">
        <v>30</v>
      </c>
      <c r="I23" s="38" t="s">
        <v>29</v>
      </c>
    </row>
    <row r="24" spans="1:9" ht="15" customHeight="1" x14ac:dyDescent="0.25">
      <c r="A24" s="33">
        <v>46160</v>
      </c>
      <c r="B24" s="34" t="s">
        <v>25</v>
      </c>
      <c r="C24" s="34" t="s">
        <v>76</v>
      </c>
      <c r="D24" s="35">
        <v>252.44</v>
      </c>
      <c r="E24" s="36" t="s">
        <v>127</v>
      </c>
      <c r="F24" s="36"/>
      <c r="G24" s="34"/>
      <c r="H24" s="34" t="s">
        <v>31</v>
      </c>
      <c r="I24" s="34" t="s">
        <v>25</v>
      </c>
    </row>
    <row r="25" spans="1:9" ht="15" customHeight="1" x14ac:dyDescent="0.25">
      <c r="A25" s="37">
        <v>46159</v>
      </c>
      <c r="B25" s="38" t="s">
        <v>32</v>
      </c>
      <c r="C25" s="38" t="s">
        <v>76</v>
      </c>
      <c r="D25" s="39">
        <v>3509.6</v>
      </c>
      <c r="E25" s="40" t="s">
        <v>127</v>
      </c>
      <c r="F25" s="40"/>
      <c r="G25" s="38"/>
      <c r="H25" s="38" t="s">
        <v>33</v>
      </c>
      <c r="I25" s="38" t="s">
        <v>32</v>
      </c>
    </row>
    <row r="26" spans="1:9" ht="15" customHeight="1" x14ac:dyDescent="0.25">
      <c r="A26" s="33">
        <v>46157</v>
      </c>
      <c r="B26" s="34" t="s">
        <v>34</v>
      </c>
      <c r="C26" s="34" t="s">
        <v>70</v>
      </c>
      <c r="D26" s="35">
        <v>69.62</v>
      </c>
      <c r="E26" s="36" t="s">
        <v>127</v>
      </c>
      <c r="F26" s="36"/>
      <c r="G26" s="34"/>
      <c r="H26" s="34" t="s">
        <v>35</v>
      </c>
      <c r="I26" s="34" t="s">
        <v>34</v>
      </c>
    </row>
    <row r="27" spans="1:9" ht="15" customHeight="1" x14ac:dyDescent="0.25">
      <c r="A27" s="37">
        <v>46156</v>
      </c>
      <c r="B27" s="38" t="s">
        <v>36</v>
      </c>
      <c r="C27" s="38" t="s">
        <v>78</v>
      </c>
      <c r="D27" s="39">
        <v>18.559999999999999</v>
      </c>
      <c r="E27" s="40" t="s">
        <v>127</v>
      </c>
      <c r="F27" s="40"/>
      <c r="G27" s="38"/>
      <c r="H27" s="38" t="s">
        <v>37</v>
      </c>
      <c r="I27" s="38" t="s">
        <v>36</v>
      </c>
    </row>
    <row r="28" spans="1:9" ht="15" customHeight="1" x14ac:dyDescent="0.25">
      <c r="A28" s="33">
        <v>46156</v>
      </c>
      <c r="B28" s="34" t="s">
        <v>36</v>
      </c>
      <c r="C28" s="34" t="s">
        <v>78</v>
      </c>
      <c r="D28" s="35">
        <v>27.84</v>
      </c>
      <c r="E28" s="36" t="s">
        <v>127</v>
      </c>
      <c r="F28" s="36"/>
      <c r="G28" s="34"/>
      <c r="H28" s="34" t="s">
        <v>38</v>
      </c>
      <c r="I28" s="34" t="s">
        <v>36</v>
      </c>
    </row>
    <row r="29" spans="1:9" ht="15" customHeight="1" x14ac:dyDescent="0.25">
      <c r="A29" s="37">
        <v>46155</v>
      </c>
      <c r="B29" s="38" t="s">
        <v>39</v>
      </c>
      <c r="C29" s="38" t="s">
        <v>78</v>
      </c>
      <c r="D29" s="39">
        <v>167</v>
      </c>
      <c r="E29" s="40" t="s">
        <v>127</v>
      </c>
      <c r="F29" s="40"/>
      <c r="G29" s="38"/>
      <c r="H29" s="38" t="s">
        <v>40</v>
      </c>
      <c r="I29" s="38" t="s">
        <v>39</v>
      </c>
    </row>
    <row r="30" spans="1:9" ht="15" customHeight="1" x14ac:dyDescent="0.25">
      <c r="A30" s="33">
        <v>46155</v>
      </c>
      <c r="B30" s="34" t="s">
        <v>6</v>
      </c>
      <c r="C30" s="34" t="s">
        <v>69</v>
      </c>
      <c r="D30" s="35">
        <v>-14494.94</v>
      </c>
      <c r="E30" s="36"/>
      <c r="F30" s="36"/>
      <c r="G30" s="34"/>
      <c r="H30" s="34" t="s">
        <v>7</v>
      </c>
      <c r="I30" s="34" t="s">
        <v>6</v>
      </c>
    </row>
    <row r="31" spans="1:9" ht="15" customHeight="1" x14ac:dyDescent="0.25">
      <c r="A31" s="37">
        <v>46155</v>
      </c>
      <c r="B31" s="38" t="s">
        <v>6</v>
      </c>
      <c r="C31" s="38" t="s">
        <v>69</v>
      </c>
      <c r="D31" s="39">
        <v>-116.51</v>
      </c>
      <c r="E31" s="40"/>
      <c r="F31" s="40"/>
      <c r="G31" s="38"/>
      <c r="H31" s="38" t="s">
        <v>7</v>
      </c>
      <c r="I31" s="38" t="s">
        <v>6</v>
      </c>
    </row>
    <row r="32" spans="1:9" ht="15" customHeight="1" x14ac:dyDescent="0.25">
      <c r="A32" s="33">
        <v>46155</v>
      </c>
      <c r="B32" s="34" t="s">
        <v>41</v>
      </c>
      <c r="C32" s="34" t="s">
        <v>78</v>
      </c>
      <c r="D32" s="35">
        <v>256.91000000000003</v>
      </c>
      <c r="E32" s="36" t="s">
        <v>127</v>
      </c>
      <c r="F32" s="36"/>
      <c r="G32" s="34"/>
      <c r="H32" s="34" t="s">
        <v>42</v>
      </c>
      <c r="I32" s="34" t="s">
        <v>41</v>
      </c>
    </row>
    <row r="33" spans="1:9" ht="15" customHeight="1" x14ac:dyDescent="0.25">
      <c r="A33" s="37">
        <v>46155</v>
      </c>
      <c r="B33" s="38" t="s">
        <v>29</v>
      </c>
      <c r="C33" s="38" t="s">
        <v>74</v>
      </c>
      <c r="D33" s="39">
        <v>145.31</v>
      </c>
      <c r="E33" s="40" t="s">
        <v>127</v>
      </c>
      <c r="F33" s="40"/>
      <c r="G33" s="38"/>
      <c r="H33" s="38" t="s">
        <v>43</v>
      </c>
      <c r="I33" s="38" t="s">
        <v>29</v>
      </c>
    </row>
    <row r="34" spans="1:9" ht="15" customHeight="1" x14ac:dyDescent="0.25">
      <c r="A34" s="33">
        <v>46153</v>
      </c>
      <c r="B34" s="34" t="s">
        <v>44</v>
      </c>
      <c r="C34" s="34" t="s">
        <v>73</v>
      </c>
      <c r="D34" s="35">
        <v>470.85</v>
      </c>
      <c r="E34" s="36" t="s">
        <v>127</v>
      </c>
      <c r="F34" s="36"/>
      <c r="G34" s="34"/>
      <c r="H34" s="34" t="s">
        <v>45</v>
      </c>
      <c r="I34" s="34" t="s">
        <v>44</v>
      </c>
    </row>
    <row r="35" spans="1:9" ht="15" customHeight="1" x14ac:dyDescent="0.25">
      <c r="A35" s="37">
        <v>46153</v>
      </c>
      <c r="B35" s="38" t="s">
        <v>16</v>
      </c>
      <c r="C35" s="38" t="s">
        <v>73</v>
      </c>
      <c r="D35" s="39">
        <v>54.99</v>
      </c>
      <c r="E35" s="40" t="s">
        <v>127</v>
      </c>
      <c r="F35" s="40"/>
      <c r="G35" s="38"/>
      <c r="H35" s="38" t="s">
        <v>46</v>
      </c>
      <c r="I35" s="38" t="s">
        <v>16</v>
      </c>
    </row>
    <row r="36" spans="1:9" ht="15" customHeight="1" x14ac:dyDescent="0.25">
      <c r="A36" s="33">
        <v>46151</v>
      </c>
      <c r="B36" s="34" t="s">
        <v>47</v>
      </c>
      <c r="C36" s="34" t="s">
        <v>73</v>
      </c>
      <c r="D36" s="35">
        <v>324</v>
      </c>
      <c r="E36" s="36" t="s">
        <v>127</v>
      </c>
      <c r="F36" s="36"/>
      <c r="G36" s="34"/>
      <c r="H36" s="34" t="s">
        <v>48</v>
      </c>
      <c r="I36" s="34" t="s">
        <v>47</v>
      </c>
    </row>
    <row r="37" spans="1:9" ht="15" customHeight="1" x14ac:dyDescent="0.25">
      <c r="A37" s="37">
        <v>46151</v>
      </c>
      <c r="B37" s="38" t="s">
        <v>49</v>
      </c>
      <c r="C37" s="38" t="s">
        <v>79</v>
      </c>
      <c r="D37" s="39">
        <v>177.31</v>
      </c>
      <c r="E37" s="40" t="s">
        <v>128</v>
      </c>
      <c r="F37" s="40"/>
      <c r="G37" s="38"/>
      <c r="H37" s="38" t="s">
        <v>50</v>
      </c>
      <c r="I37" s="38" t="s">
        <v>49</v>
      </c>
    </row>
    <row r="38" spans="1:9" ht="15" customHeight="1" x14ac:dyDescent="0.25">
      <c r="A38" s="33">
        <v>46149</v>
      </c>
      <c r="B38" s="34" t="s">
        <v>51</v>
      </c>
      <c r="C38" s="34" t="s">
        <v>71</v>
      </c>
      <c r="D38" s="35">
        <v>11902.68</v>
      </c>
      <c r="E38" s="36" t="s">
        <v>127</v>
      </c>
      <c r="F38" s="36"/>
      <c r="G38" s="34"/>
      <c r="H38" s="34" t="s">
        <v>52</v>
      </c>
      <c r="I38" s="34" t="s">
        <v>51</v>
      </c>
    </row>
    <row r="39" spans="1:9" ht="15" customHeight="1" x14ac:dyDescent="0.25">
      <c r="A39" s="37">
        <v>46149</v>
      </c>
      <c r="B39" s="38" t="s">
        <v>53</v>
      </c>
      <c r="C39" s="38" t="s">
        <v>74</v>
      </c>
      <c r="D39" s="39">
        <v>158.30000000000001</v>
      </c>
      <c r="E39" s="40" t="s">
        <v>127</v>
      </c>
      <c r="F39" s="40"/>
      <c r="G39" s="38"/>
      <c r="H39" s="38" t="s">
        <v>54</v>
      </c>
      <c r="I39" s="38" t="s">
        <v>53</v>
      </c>
    </row>
    <row r="40" spans="1:9" ht="15" customHeight="1" x14ac:dyDescent="0.25">
      <c r="A40" s="33">
        <v>46148</v>
      </c>
      <c r="B40" s="34" t="s">
        <v>10</v>
      </c>
      <c r="C40" s="34" t="s">
        <v>71</v>
      </c>
      <c r="D40" s="35">
        <v>260</v>
      </c>
      <c r="E40" s="36" t="s">
        <v>127</v>
      </c>
      <c r="F40" s="36"/>
      <c r="G40" s="34"/>
      <c r="H40" s="34" t="s">
        <v>55</v>
      </c>
      <c r="I40" s="34" t="s">
        <v>10</v>
      </c>
    </row>
    <row r="41" spans="1:9" ht="15" customHeight="1" x14ac:dyDescent="0.25">
      <c r="A41" s="37">
        <v>46147</v>
      </c>
      <c r="B41" s="38" t="s">
        <v>56</v>
      </c>
      <c r="C41" s="38" t="s">
        <v>79</v>
      </c>
      <c r="D41" s="39">
        <v>1050</v>
      </c>
      <c r="E41" s="40" t="s">
        <v>128</v>
      </c>
      <c r="F41" s="40"/>
      <c r="G41" s="38"/>
      <c r="H41" s="38" t="s">
        <v>57</v>
      </c>
      <c r="I41" s="38" t="s">
        <v>56</v>
      </c>
    </row>
    <row r="42" spans="1:9" ht="15" customHeight="1" x14ac:dyDescent="0.25">
      <c r="A42" s="33">
        <v>46147</v>
      </c>
      <c r="B42" s="34" t="s">
        <v>14</v>
      </c>
      <c r="C42" s="34" t="s">
        <v>70</v>
      </c>
      <c r="D42" s="35">
        <v>50</v>
      </c>
      <c r="E42" s="36" t="s">
        <v>127</v>
      </c>
      <c r="F42" s="36"/>
      <c r="G42" s="34"/>
      <c r="H42" s="34" t="s">
        <v>58</v>
      </c>
      <c r="I42" s="34" t="s">
        <v>14</v>
      </c>
    </row>
    <row r="43" spans="1:9" ht="15" customHeight="1" x14ac:dyDescent="0.25">
      <c r="A43" s="37">
        <v>46135</v>
      </c>
      <c r="B43" s="38" t="s">
        <v>22</v>
      </c>
      <c r="C43" s="38" t="s">
        <v>70</v>
      </c>
      <c r="D43" s="39">
        <v>46.81</v>
      </c>
      <c r="E43" s="40" t="s">
        <v>127</v>
      </c>
      <c r="F43" s="40"/>
      <c r="G43" s="38"/>
      <c r="H43" s="38" t="s">
        <v>59</v>
      </c>
      <c r="I43" s="38" t="s">
        <v>22</v>
      </c>
    </row>
    <row r="44" spans="1:9" ht="15" customHeight="1" x14ac:dyDescent="0.25">
      <c r="A44" s="33">
        <v>46128</v>
      </c>
      <c r="B44" s="34" t="s">
        <v>22</v>
      </c>
      <c r="C44" s="34" t="s">
        <v>70</v>
      </c>
      <c r="D44" s="35">
        <v>46.89</v>
      </c>
      <c r="E44" s="36" t="s">
        <v>127</v>
      </c>
      <c r="F44" s="36"/>
      <c r="G44" s="34"/>
      <c r="H44" s="34" t="s">
        <v>60</v>
      </c>
      <c r="I44" s="34" t="s">
        <v>22</v>
      </c>
    </row>
    <row r="45" spans="1:9" ht="15" customHeight="1" x14ac:dyDescent="0.25">
      <c r="A45" s="37">
        <v>46127</v>
      </c>
      <c r="B45" s="38" t="s">
        <v>34</v>
      </c>
      <c r="C45" s="38" t="s">
        <v>70</v>
      </c>
      <c r="D45" s="39">
        <v>69.62</v>
      </c>
      <c r="E45" s="40" t="s">
        <v>127</v>
      </c>
      <c r="F45" s="40"/>
      <c r="G45" s="38"/>
      <c r="H45" s="38" t="s">
        <v>61</v>
      </c>
      <c r="I45" s="38" t="s">
        <v>34</v>
      </c>
    </row>
    <row r="46" spans="1:9" ht="15" customHeight="1" x14ac:dyDescent="0.25">
      <c r="A46" s="33">
        <v>46125</v>
      </c>
      <c r="B46" s="34" t="s">
        <v>6</v>
      </c>
      <c r="C46" s="34" t="s">
        <v>69</v>
      </c>
      <c r="D46" s="35">
        <v>-1295</v>
      </c>
      <c r="E46" s="36"/>
      <c r="F46" s="36"/>
      <c r="G46" s="34"/>
      <c r="H46" s="34" t="s">
        <v>7</v>
      </c>
      <c r="I46" s="34" t="s">
        <v>6</v>
      </c>
    </row>
    <row r="47" spans="1:9" ht="15" customHeight="1" x14ac:dyDescent="0.25">
      <c r="A47" s="37">
        <v>46120</v>
      </c>
      <c r="B47" s="38" t="s">
        <v>10</v>
      </c>
      <c r="C47" s="38" t="s">
        <v>71</v>
      </c>
      <c r="D47" s="39">
        <v>260</v>
      </c>
      <c r="E47" s="40" t="s">
        <v>127</v>
      </c>
      <c r="F47" s="40"/>
      <c r="G47" s="38"/>
      <c r="H47" s="38" t="s">
        <v>62</v>
      </c>
      <c r="I47" s="38" t="s">
        <v>10</v>
      </c>
    </row>
    <row r="48" spans="1:9" ht="15" customHeight="1" x14ac:dyDescent="0.25">
      <c r="A48" s="33">
        <v>46106</v>
      </c>
      <c r="B48" s="34" t="s">
        <v>63</v>
      </c>
      <c r="C48" s="34" t="s">
        <v>74</v>
      </c>
      <c r="D48" s="35">
        <v>140</v>
      </c>
      <c r="E48" s="36" t="s">
        <v>127</v>
      </c>
      <c r="F48" s="36"/>
      <c r="G48" s="34"/>
      <c r="H48" s="34" t="s">
        <v>64</v>
      </c>
      <c r="I48" s="34" t="s">
        <v>63</v>
      </c>
    </row>
    <row r="49" spans="1:9" ht="15" customHeight="1" x14ac:dyDescent="0.25">
      <c r="A49" s="37">
        <v>46104</v>
      </c>
      <c r="B49" s="38" t="s">
        <v>65</v>
      </c>
      <c r="C49" s="38" t="s">
        <v>80</v>
      </c>
      <c r="D49" s="39">
        <v>895</v>
      </c>
      <c r="E49" s="40" t="s">
        <v>127</v>
      </c>
      <c r="F49" s="40"/>
      <c r="G49" s="38"/>
      <c r="H49" s="38" t="s">
        <v>66</v>
      </c>
      <c r="I49" s="38" t="s">
        <v>65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Summary</vt:lpstr>
      <vt:lpstr>Monthly Breakdown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2026-06-11T19:46:39Z</dcterms:created>
  <dcterms:modified xsi:type="dcterms:W3CDTF">2026-06-11T20:14:17Z</dcterms:modified>
</cp:coreProperties>
</file>