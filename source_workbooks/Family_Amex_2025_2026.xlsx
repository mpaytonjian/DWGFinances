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-partner-integrations.egnyte.com/msoffice/wopi/files/70e1a223-0a26-4f68-bd9d-3235d30215ae/WOPIServiceId_TP_EGNYTE_PLUS/WOPIUserId_-/"/>
    </mc:Choice>
  </mc:AlternateContent>
  <xr:revisionPtr revIDLastSave="2" documentId="8_{4F4B9753-B590-4657-A826-DACA54F45901}" xr6:coauthVersionLast="47" xr6:coauthVersionMax="47" xr10:uidLastSave="{214DA918-A056-4CDD-AA24-3224FADB1A8C}"/>
  <bookViews>
    <workbookView xWindow="7965" yWindow="15" windowWidth="25935" windowHeight="15570" firstSheet="1" activeTab="3" xr2:uid="{00000000-000D-0000-FFFF-FFFF00000000}"/>
  </bookViews>
  <sheets>
    <sheet name="Transaction Summary 2025" sheetId="5" r:id="rId1"/>
    <sheet name="Monthly Breakdown 2025" sheetId="6" r:id="rId2"/>
    <sheet name="Transaction Details 2025" sheetId="4" r:id="rId3"/>
    <sheet name="Transaction Summary 2026" sheetId="2" r:id="rId4"/>
    <sheet name="Monthly Breakdown 2026" sheetId="3" r:id="rId5"/>
    <sheet name="Transaction Details 2026" sheetId="1" r:id="rId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" l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B17" i="2" s="1"/>
  <c r="C17" i="2" s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F11" i="3" s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G11" i="3" s="1"/>
  <c r="J15" i="1"/>
  <c r="J14" i="1"/>
  <c r="J13" i="1"/>
  <c r="J12" i="1"/>
  <c r="J11" i="1"/>
  <c r="J10" i="1"/>
  <c r="J9" i="1"/>
  <c r="D9" i="3" s="1"/>
  <c r="J8" i="1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K13" i="6" s="1"/>
  <c r="J24" i="4"/>
  <c r="C10" i="6" s="1"/>
  <c r="J23" i="4"/>
  <c r="J22" i="4"/>
  <c r="J21" i="4"/>
  <c r="J20" i="4"/>
  <c r="J19" i="4"/>
  <c r="J18" i="4"/>
  <c r="J17" i="4"/>
  <c r="M5" i="6" s="1"/>
  <c r="J16" i="4"/>
  <c r="J15" i="4"/>
  <c r="J14" i="4"/>
  <c r="J13" i="4"/>
  <c r="J12" i="4"/>
  <c r="J11" i="4"/>
  <c r="J10" i="4"/>
  <c r="B32" i="5" s="1"/>
  <c r="C32" i="5" s="1"/>
  <c r="J9" i="4"/>
  <c r="D7" i="6" s="1"/>
  <c r="J8" i="4"/>
  <c r="N26" i="6"/>
  <c r="N25" i="6"/>
  <c r="N24" i="6"/>
  <c r="B26" i="6"/>
  <c r="C26" i="6"/>
  <c r="D26" i="6"/>
  <c r="E26" i="6"/>
  <c r="F26" i="6"/>
  <c r="G26" i="6"/>
  <c r="H26" i="6"/>
  <c r="I26" i="6"/>
  <c r="J26" i="6"/>
  <c r="K26" i="6"/>
  <c r="L26" i="6"/>
  <c r="M26" i="6"/>
  <c r="B25" i="6"/>
  <c r="C25" i="6"/>
  <c r="D25" i="6"/>
  <c r="E25" i="6"/>
  <c r="F25" i="6"/>
  <c r="G25" i="6"/>
  <c r="H25" i="6"/>
  <c r="I25" i="6"/>
  <c r="J25" i="6"/>
  <c r="K25" i="6"/>
  <c r="L25" i="6"/>
  <c r="M25" i="6"/>
  <c r="B24" i="6"/>
  <c r="C24" i="6"/>
  <c r="D24" i="6"/>
  <c r="E24" i="6"/>
  <c r="F24" i="6"/>
  <c r="G24" i="6"/>
  <c r="H24" i="6"/>
  <c r="I24" i="6"/>
  <c r="J24" i="6"/>
  <c r="K24" i="6"/>
  <c r="L24" i="6"/>
  <c r="M24" i="6"/>
  <c r="B7" i="6"/>
  <c r="C7" i="6"/>
  <c r="G9" i="6"/>
  <c r="H9" i="6"/>
  <c r="G11" i="6"/>
  <c r="K11" i="6"/>
  <c r="L11" i="6"/>
  <c r="C14" i="6"/>
  <c r="D14" i="6"/>
  <c r="G16" i="6"/>
  <c r="H16" i="6"/>
  <c r="G18" i="6"/>
  <c r="K18" i="6"/>
  <c r="L18" i="6"/>
  <c r="K20" i="6"/>
  <c r="C21" i="6"/>
  <c r="D21" i="6"/>
  <c r="B4" i="6"/>
  <c r="C4" i="6" s="1"/>
  <c r="D4" i="6" s="1"/>
  <c r="E4" i="6" s="1"/>
  <c r="F4" i="6" s="1"/>
  <c r="G4" i="6" s="1"/>
  <c r="H4" i="6" s="1"/>
  <c r="I4" i="6" s="1"/>
  <c r="J4" i="6" s="1"/>
  <c r="K4" i="6" s="1"/>
  <c r="L4" i="6" s="1"/>
  <c r="M4" i="6" s="1"/>
  <c r="D69" i="5"/>
  <c r="D92" i="5" s="1"/>
  <c r="B93" i="5" s="1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C64" i="5"/>
  <c r="B64" i="5"/>
  <c r="D64" i="5" s="1"/>
  <c r="C63" i="5"/>
  <c r="B63" i="5"/>
  <c r="D63" i="5" s="1"/>
  <c r="D62" i="5"/>
  <c r="C62" i="5"/>
  <c r="B62" i="5"/>
  <c r="C46" i="5"/>
  <c r="B46" i="5"/>
  <c r="D46" i="5" s="1"/>
  <c r="A46" i="5"/>
  <c r="A47" i="5" s="1"/>
  <c r="B33" i="5"/>
  <c r="C33" i="5" s="1"/>
  <c r="B11" i="5"/>
  <c r="A28" i="6" s="1"/>
  <c r="B10" i="5"/>
  <c r="B9" i="5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A19" i="3"/>
  <c r="H17" i="3"/>
  <c r="G17" i="3"/>
  <c r="F17" i="3"/>
  <c r="E17" i="3"/>
  <c r="D17" i="3"/>
  <c r="C17" i="3"/>
  <c r="B17" i="3"/>
  <c r="H16" i="3"/>
  <c r="G16" i="3"/>
  <c r="F16" i="3"/>
  <c r="E16" i="3"/>
  <c r="D16" i="3"/>
  <c r="C16" i="3"/>
  <c r="B16" i="3"/>
  <c r="H15" i="3"/>
  <c r="G15" i="3"/>
  <c r="F15" i="3"/>
  <c r="E15" i="3"/>
  <c r="D15" i="3"/>
  <c r="C15" i="3"/>
  <c r="B15" i="3"/>
  <c r="E9" i="3"/>
  <c r="G4" i="3"/>
  <c r="F4" i="3"/>
  <c r="E4" i="3"/>
  <c r="D4" i="3"/>
  <c r="C4" i="3"/>
  <c r="B4" i="3"/>
  <c r="B62" i="2"/>
  <c r="D61" i="2"/>
  <c r="A60" i="2"/>
  <c r="A59" i="2"/>
  <c r="A58" i="2"/>
  <c r="A57" i="2"/>
  <c r="A56" i="2"/>
  <c r="A55" i="2"/>
  <c r="A54" i="2"/>
  <c r="C49" i="2"/>
  <c r="B49" i="2"/>
  <c r="D49" i="2" s="1"/>
  <c r="C48" i="2"/>
  <c r="B48" i="2"/>
  <c r="D48" i="2" s="1"/>
  <c r="C47" i="2"/>
  <c r="B47" i="2"/>
  <c r="D47" i="2" s="1"/>
  <c r="D46" i="2"/>
  <c r="C46" i="2"/>
  <c r="B46" i="2"/>
  <c r="B50" i="2" s="1"/>
  <c r="C42" i="2"/>
  <c r="B42" i="2"/>
  <c r="C41" i="2"/>
  <c r="B41" i="2"/>
  <c r="D41" i="2" s="1"/>
  <c r="C40" i="2"/>
  <c r="B40" i="2"/>
  <c r="D40" i="2" s="1"/>
  <c r="C39" i="2"/>
  <c r="B39" i="2"/>
  <c r="D39" i="2" s="1"/>
  <c r="C38" i="2"/>
  <c r="B38" i="2"/>
  <c r="D38" i="2" s="1"/>
  <c r="C37" i="2"/>
  <c r="B37" i="2"/>
  <c r="D37" i="2" s="1"/>
  <c r="D36" i="2"/>
  <c r="D42" i="2" s="1"/>
  <c r="C36" i="2"/>
  <c r="B36" i="2"/>
  <c r="C44" i="2"/>
  <c r="B43" i="2"/>
  <c r="A41" i="2"/>
  <c r="A40" i="2"/>
  <c r="A39" i="2"/>
  <c r="A38" i="2"/>
  <c r="A37" i="2"/>
  <c r="A36" i="2"/>
  <c r="B11" i="2"/>
  <c r="B10" i="2"/>
  <c r="B9" i="2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B47" i="5" l="1"/>
  <c r="A48" i="5"/>
  <c r="C47" i="5"/>
  <c r="B65" i="5"/>
  <c r="C65" i="5"/>
  <c r="C5" i="3"/>
  <c r="B10" i="3"/>
  <c r="D10" i="3"/>
  <c r="B25" i="2"/>
  <c r="G5" i="3"/>
  <c r="B26" i="2"/>
  <c r="C26" i="2" s="1"/>
  <c r="B6" i="3"/>
  <c r="F10" i="3"/>
  <c r="B27" i="2"/>
  <c r="C27" i="2" s="1"/>
  <c r="C6" i="3"/>
  <c r="G10" i="3"/>
  <c r="B30" i="2"/>
  <c r="B31" i="2" s="1"/>
  <c r="C31" i="2" s="1"/>
  <c r="D6" i="3"/>
  <c r="B11" i="3"/>
  <c r="E6" i="3"/>
  <c r="C11" i="3"/>
  <c r="F6" i="3"/>
  <c r="D11" i="3"/>
  <c r="G9" i="3"/>
  <c r="E5" i="3"/>
  <c r="E10" i="3"/>
  <c r="G6" i="3"/>
  <c r="E11" i="3"/>
  <c r="B20" i="2"/>
  <c r="C20" i="2" s="1"/>
  <c r="F5" i="3"/>
  <c r="C7" i="3"/>
  <c r="E12" i="3"/>
  <c r="F12" i="3"/>
  <c r="C13" i="3"/>
  <c r="G8" i="3"/>
  <c r="F9" i="3"/>
  <c r="D5" i="3"/>
  <c r="B7" i="3"/>
  <c r="B12" i="3"/>
  <c r="F7" i="3"/>
  <c r="B8" i="3"/>
  <c r="B13" i="3"/>
  <c r="F13" i="3"/>
  <c r="B5" i="3"/>
  <c r="B21" i="2"/>
  <c r="C21" i="2" s="1"/>
  <c r="B22" i="2"/>
  <c r="C22" i="2" s="1"/>
  <c r="D7" i="3"/>
  <c r="E7" i="3"/>
  <c r="C8" i="3"/>
  <c r="F8" i="3"/>
  <c r="E13" i="3"/>
  <c r="B9" i="3"/>
  <c r="C9" i="3"/>
  <c r="G13" i="3"/>
  <c r="C10" i="3"/>
  <c r="C12" i="3"/>
  <c r="D12" i="3"/>
  <c r="G7" i="3"/>
  <c r="G12" i="3"/>
  <c r="D8" i="3"/>
  <c r="E8" i="3"/>
  <c r="D13" i="3"/>
  <c r="B16" i="2"/>
  <c r="C25" i="2"/>
  <c r="B36" i="5"/>
  <c r="C36" i="5" s="1"/>
  <c r="B21" i="6"/>
  <c r="J18" i="6"/>
  <c r="F16" i="6"/>
  <c r="B14" i="6"/>
  <c r="J11" i="6"/>
  <c r="F9" i="6"/>
  <c r="M6" i="6"/>
  <c r="B37" i="5"/>
  <c r="C37" i="5" s="1"/>
  <c r="M20" i="6"/>
  <c r="I18" i="6"/>
  <c r="N18" i="6" s="1"/>
  <c r="E16" i="6"/>
  <c r="M13" i="6"/>
  <c r="I11" i="6"/>
  <c r="E9" i="6"/>
  <c r="L6" i="6"/>
  <c r="B40" i="5"/>
  <c r="L20" i="6"/>
  <c r="H18" i="6"/>
  <c r="D16" i="6"/>
  <c r="L13" i="6"/>
  <c r="H11" i="6"/>
  <c r="D9" i="6"/>
  <c r="K6" i="6"/>
  <c r="B9" i="6"/>
  <c r="M22" i="6"/>
  <c r="I20" i="6"/>
  <c r="E18" i="6"/>
  <c r="M15" i="6"/>
  <c r="I13" i="6"/>
  <c r="E11" i="6"/>
  <c r="M8" i="6"/>
  <c r="H6" i="6"/>
  <c r="L22" i="6"/>
  <c r="H20" i="6"/>
  <c r="D18" i="6"/>
  <c r="L15" i="6"/>
  <c r="H13" i="6"/>
  <c r="D11" i="6"/>
  <c r="L8" i="6"/>
  <c r="G6" i="6"/>
  <c r="K22" i="6"/>
  <c r="G20" i="6"/>
  <c r="C18" i="6"/>
  <c r="K15" i="6"/>
  <c r="G13" i="6"/>
  <c r="C11" i="6"/>
  <c r="K8" i="6"/>
  <c r="F6" i="6"/>
  <c r="J22" i="6"/>
  <c r="F20" i="6"/>
  <c r="B18" i="6"/>
  <c r="J15" i="6"/>
  <c r="F13" i="6"/>
  <c r="B11" i="6"/>
  <c r="J8" i="6"/>
  <c r="E6" i="6"/>
  <c r="I22" i="6"/>
  <c r="E20" i="6"/>
  <c r="M17" i="6"/>
  <c r="I15" i="6"/>
  <c r="E13" i="6"/>
  <c r="M10" i="6"/>
  <c r="I8" i="6"/>
  <c r="D6" i="6"/>
  <c r="H22" i="6"/>
  <c r="D20" i="6"/>
  <c r="L17" i="6"/>
  <c r="H15" i="6"/>
  <c r="D13" i="6"/>
  <c r="L10" i="6"/>
  <c r="H8" i="6"/>
  <c r="C6" i="6"/>
  <c r="B5" i="6"/>
  <c r="G22" i="6"/>
  <c r="C20" i="6"/>
  <c r="K17" i="6"/>
  <c r="G15" i="6"/>
  <c r="C13" i="6"/>
  <c r="K10" i="6"/>
  <c r="G8" i="6"/>
  <c r="B6" i="6"/>
  <c r="J13" i="6"/>
  <c r="B13" i="6"/>
  <c r="J10" i="6"/>
  <c r="F8" i="6"/>
  <c r="B17" i="5"/>
  <c r="C17" i="5" s="1"/>
  <c r="E22" i="6"/>
  <c r="M19" i="6"/>
  <c r="I17" i="6"/>
  <c r="E15" i="6"/>
  <c r="M12" i="6"/>
  <c r="I10" i="6"/>
  <c r="E8" i="6"/>
  <c r="L5" i="6"/>
  <c r="B18" i="5"/>
  <c r="C18" i="5" s="1"/>
  <c r="D22" i="6"/>
  <c r="L19" i="6"/>
  <c r="H17" i="6"/>
  <c r="D15" i="6"/>
  <c r="L12" i="6"/>
  <c r="H10" i="6"/>
  <c r="D8" i="6"/>
  <c r="K5" i="6"/>
  <c r="B19" i="5"/>
  <c r="C19" i="5" s="1"/>
  <c r="C22" i="6"/>
  <c r="K19" i="6"/>
  <c r="G17" i="6"/>
  <c r="C15" i="6"/>
  <c r="K12" i="6"/>
  <c r="G10" i="6"/>
  <c r="C8" i="6"/>
  <c r="J5" i="6"/>
  <c r="B20" i="5"/>
  <c r="C20" i="5" s="1"/>
  <c r="B22" i="6"/>
  <c r="J19" i="6"/>
  <c r="F17" i="6"/>
  <c r="B15" i="6"/>
  <c r="J12" i="6"/>
  <c r="F10" i="6"/>
  <c r="B8" i="6"/>
  <c r="I5" i="6"/>
  <c r="B21" i="5"/>
  <c r="C21" i="5" s="1"/>
  <c r="M21" i="6"/>
  <c r="I19" i="6"/>
  <c r="E17" i="6"/>
  <c r="M14" i="6"/>
  <c r="I12" i="6"/>
  <c r="E10" i="6"/>
  <c r="M7" i="6"/>
  <c r="H5" i="6"/>
  <c r="B24" i="5"/>
  <c r="C24" i="5" s="1"/>
  <c r="L21" i="6"/>
  <c r="H19" i="6"/>
  <c r="D17" i="6"/>
  <c r="L14" i="6"/>
  <c r="H12" i="6"/>
  <c r="D10" i="6"/>
  <c r="L7" i="6"/>
  <c r="G5" i="6"/>
  <c r="K7" i="6"/>
  <c r="C16" i="6"/>
  <c r="C9" i="6"/>
  <c r="F18" i="6"/>
  <c r="F11" i="6"/>
  <c r="B16" i="5"/>
  <c r="C16" i="5" s="1"/>
  <c r="F22" i="6"/>
  <c r="J17" i="6"/>
  <c r="K21" i="6"/>
  <c r="C17" i="6"/>
  <c r="G12" i="6"/>
  <c r="F5" i="6"/>
  <c r="B25" i="5"/>
  <c r="J21" i="6"/>
  <c r="F19" i="6"/>
  <c r="B17" i="6"/>
  <c r="J14" i="6"/>
  <c r="F12" i="6"/>
  <c r="B10" i="6"/>
  <c r="J7" i="6"/>
  <c r="E5" i="6"/>
  <c r="B28" i="5"/>
  <c r="C28" i="5" s="1"/>
  <c r="I21" i="6"/>
  <c r="M16" i="6"/>
  <c r="E12" i="6"/>
  <c r="I7" i="6"/>
  <c r="J6" i="6"/>
  <c r="J20" i="6"/>
  <c r="B16" i="6"/>
  <c r="I6" i="6"/>
  <c r="B20" i="6"/>
  <c r="F15" i="6"/>
  <c r="G19" i="6"/>
  <c r="K14" i="6"/>
  <c r="E19" i="6"/>
  <c r="I14" i="6"/>
  <c r="M9" i="6"/>
  <c r="D5" i="6"/>
  <c r="B29" i="5"/>
  <c r="C29" i="5" s="1"/>
  <c r="H21" i="6"/>
  <c r="D19" i="6"/>
  <c r="L16" i="6"/>
  <c r="H14" i="6"/>
  <c r="D12" i="6"/>
  <c r="L9" i="6"/>
  <c r="H7" i="6"/>
  <c r="B30" i="5"/>
  <c r="C30" i="5" s="1"/>
  <c r="G21" i="6"/>
  <c r="C19" i="6"/>
  <c r="K16" i="6"/>
  <c r="G14" i="6"/>
  <c r="C12" i="6"/>
  <c r="K9" i="6"/>
  <c r="F7" i="6"/>
  <c r="B31" i="5"/>
  <c r="C31" i="5" s="1"/>
  <c r="F21" i="6"/>
  <c r="B19" i="6"/>
  <c r="J16" i="6"/>
  <c r="F14" i="6"/>
  <c r="B12" i="6"/>
  <c r="J9" i="6"/>
  <c r="E7" i="6"/>
  <c r="E21" i="6"/>
  <c r="M18" i="6"/>
  <c r="I16" i="6"/>
  <c r="E14" i="6"/>
  <c r="M11" i="6"/>
  <c r="I9" i="6"/>
  <c r="G7" i="6"/>
  <c r="C5" i="6"/>
  <c r="D65" i="5"/>
  <c r="D44" i="2"/>
  <c r="D50" i="2"/>
  <c r="E48" i="2"/>
  <c r="C50" i="2"/>
  <c r="E38" i="2"/>
  <c r="E44" i="2" s="1"/>
  <c r="E46" i="2" s="1"/>
  <c r="B38" i="5" l="1"/>
  <c r="C38" i="5" s="1"/>
  <c r="B26" i="5"/>
  <c r="C26" i="5" s="1"/>
  <c r="C48" i="5"/>
  <c r="A49" i="5"/>
  <c r="B48" i="5"/>
  <c r="D47" i="5"/>
  <c r="H9" i="3"/>
  <c r="H11" i="3"/>
  <c r="H5" i="3"/>
  <c r="H13" i="3"/>
  <c r="H7" i="3"/>
  <c r="H6" i="3"/>
  <c r="C30" i="2"/>
  <c r="B28" i="2"/>
  <c r="C28" i="2" s="1"/>
  <c r="H10" i="3"/>
  <c r="H8" i="3"/>
  <c r="H12" i="3"/>
  <c r="B23" i="2"/>
  <c r="C23" i="2" s="1"/>
  <c r="C16" i="2"/>
  <c r="B18" i="2"/>
  <c r="N11" i="6"/>
  <c r="N6" i="6"/>
  <c r="N8" i="6"/>
  <c r="N9" i="6"/>
  <c r="C25" i="5"/>
  <c r="C40" i="5"/>
  <c r="B41" i="5"/>
  <c r="C41" i="5" s="1"/>
  <c r="B34" i="5"/>
  <c r="C34" i="5" s="1"/>
  <c r="N5" i="6"/>
  <c r="N17" i="6"/>
  <c r="N13" i="6"/>
  <c r="N10" i="6"/>
  <c r="B22" i="5"/>
  <c r="C22" i="5" s="1"/>
  <c r="N15" i="6"/>
  <c r="N14" i="6"/>
  <c r="N7" i="6"/>
  <c r="N22" i="6"/>
  <c r="N12" i="6"/>
  <c r="N20" i="6"/>
  <c r="N16" i="6"/>
  <c r="N21" i="6"/>
  <c r="N19" i="6"/>
  <c r="B42" i="5" l="1"/>
  <c r="C42" i="5" s="1"/>
  <c r="A50" i="5"/>
  <c r="C49" i="5"/>
  <c r="B49" i="5"/>
  <c r="D49" i="5" s="1"/>
  <c r="D48" i="5"/>
  <c r="C18" i="2"/>
  <c r="B32" i="2"/>
  <c r="C32" i="2" s="1"/>
  <c r="C50" i="5" l="1"/>
  <c r="A51" i="5"/>
  <c r="B50" i="5"/>
  <c r="D50" i="5" s="1"/>
  <c r="A52" i="5" l="1"/>
  <c r="C51" i="5"/>
  <c r="B51" i="5"/>
  <c r="D51" i="5" s="1"/>
  <c r="C52" i="5" l="1"/>
  <c r="A53" i="5"/>
  <c r="B52" i="5"/>
  <c r="A54" i="5" l="1"/>
  <c r="C53" i="5"/>
  <c r="B53" i="5"/>
  <c r="D52" i="5"/>
  <c r="A55" i="5" l="1"/>
  <c r="B54" i="5"/>
  <c r="C54" i="5"/>
  <c r="D53" i="5"/>
  <c r="D54" i="5" l="1"/>
  <c r="A56" i="5"/>
  <c r="C55" i="5"/>
  <c r="B55" i="5"/>
  <c r="D55" i="5" s="1"/>
  <c r="A57" i="5" l="1"/>
  <c r="C56" i="5"/>
  <c r="B56" i="5"/>
  <c r="D56" i="5" s="1"/>
  <c r="C57" i="5" l="1"/>
  <c r="C58" i="5" s="1"/>
  <c r="B57" i="5"/>
  <c r="D57" i="5" l="1"/>
  <c r="D58" i="5" s="1"/>
  <c r="B58" i="5"/>
</calcChain>
</file>

<file path=xl/sharedStrings.xml><?xml version="1.0" encoding="utf-8"?>
<sst xmlns="http://schemas.openxmlformats.org/spreadsheetml/2006/main" count="3631" uniqueCount="1012">
  <si>
    <t/>
  </si>
  <si>
    <t>Platinum Card® / Jan 01, 2026 to Jun 11, 2026</t>
  </si>
  <si>
    <t>Prepared for</t>
  </si>
  <si>
    <t>JOHN DUNNING</t>
  </si>
  <si>
    <t>Account Number</t>
  </si>
  <si>
    <t>XXXX-XXXXXX-43006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</si>
  <si>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</si>
  <si>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</si>
  <si>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</si>
  <si>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</si>
  <si>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</si>
  <si>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</si>
  <si>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</si>
  <si>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Category</t>
  </si>
  <si>
    <t>06/09/2026</t>
  </si>
  <si>
    <t>GULF OIL 92069037 00KILGORE             TX</t>
  </si>
  <si>
    <t>JOE SAUNDERS</t>
  </si>
  <si>
    <t>-41042</t>
  </si>
  <si>
    <t>000021256   4302532656
GULF OIL 92069037 000000000303638
KILGORE
TX
4302532656</t>
  </si>
  <si>
    <t>Transportation-Fuel</t>
  </si>
  <si>
    <t>06/08/2026</t>
  </si>
  <si>
    <t>PAYPAL *EBAY 800-4564029357733          CA</t>
  </si>
  <si>
    <t>AVA PEREZ</t>
  </si>
  <si>
    <t>-46025</t>
  </si>
  <si>
    <t>10212874238 4029357733
PAYPAL *EBAY 800-456-3229
4029357733
CA
Description : VARIETY STORE Price : 0.00
4029357733</t>
  </si>
  <si>
    <t>Merchandise &amp; Supplies-General Retail</t>
  </si>
  <si>
    <t>PAYPAL *RESUME IO RE767110326           NL</t>
  </si>
  <si>
    <t>10212852544 767110326
19.95 UNITED KINGDOM POUND STERLING  CONVE
PAYPAL *RESUME IO RESUME.
767110326
NL
Description : HIRING SERVICES Price : 0.00
767110326Foreign Spend Amount: 19.95 UNITED KINGDOM POUND STERLING Commission Amount:  Currency Exchange Rate: null</t>
  </si>
  <si>
    <t>Business Services-Employment Agencies</t>
  </si>
  <si>
    <t>06/07/2026</t>
  </si>
  <si>
    <t>REONOMY             NEW YORK            NY</t>
  </si>
  <si>
    <t>-43006</t>
  </si>
  <si>
    <t>CH_3TFLNJBY 6468826260
REONOMY
NEW YORK
NY
6468826260</t>
  </si>
  <si>
    <t>Merchandise &amp; Supplies-Computer Supplies</t>
  </si>
  <si>
    <t>UBER</t>
  </si>
  <si>
    <t>A1NZYSF7   ZUJUA3OZ         76087
Uber Trip
help.uber.com
CA
ZUJUA3OZ         76087</t>
  </si>
  <si>
    <t>Uber Trip           help.uber.com       CA</t>
  </si>
  <si>
    <t>Transportation-Taxis &amp; Coach</t>
  </si>
  <si>
    <t>06/05/2026</t>
  </si>
  <si>
    <t>DROPBOX*C66C1QMSG4PSSAN FRANCISCO       CA</t>
  </si>
  <si>
    <t>CZYHK98K   662681638        94107
DROPBOX*C66C1QMSG4PS
SAN FRANCISCO
CA
662681638        94107</t>
  </si>
  <si>
    <t>Other-Miscellaneous</t>
  </si>
  <si>
    <t>06/04/2026</t>
  </si>
  <si>
    <t>PAYPAL *APPLE.COM/BI8002752273          CA</t>
  </si>
  <si>
    <t>10212494455 8002752273
PAYPAL *APPLE.COM/BILL
8002752273
CA
Description : MUSIC Price : 0.00
8002752273</t>
  </si>
  <si>
    <t>Merchandise &amp; Supplies-Music &amp; Video</t>
  </si>
  <si>
    <t>06/01/2026</t>
  </si>
  <si>
    <t>PAYPAL *SANTA ANA H 4029357733          CA</t>
  </si>
  <si>
    <t>10212294280 4029357733
PAYPAL *SANTA ANA H SANTA ANA HPS
4029357733
CA
Description : GENERAL Price : 0.00
4029357733</t>
  </si>
  <si>
    <t>05/31/2026</t>
  </si>
  <si>
    <t>SPONSORCLOUD (SYNPROSALT LAKE CITY      UT</t>
  </si>
  <si>
    <t>CH_3TDJHMB7 +13854834872
SPONSORCLOUD (SYNPRO)
SALT LAKE CITY
UT
+13854834872</t>
  </si>
  <si>
    <t>05/28/2026</t>
  </si>
  <si>
    <t>PAYPAL *CANVA       416131887           DE</t>
  </si>
  <si>
    <t>10211957063 416131887
PAYPAL *CANVA
416131887
DE
Description : OEM SOFTWARE Price : 0.00
416131887</t>
  </si>
  <si>
    <t>05/27/2026</t>
  </si>
  <si>
    <t>ONLINE PAYMENT - THANK YOU</t>
  </si>
  <si>
    <t xml:space="preserve">ONLINE PAYMENT - THANK YOU
</t>
  </si>
  <si>
    <t>PAYPAL *FANDANGO    8668575191          CA</t>
  </si>
  <si>
    <t>10211859468 8668575191
PAYPAL *FANDANGO
8668575191
CA
Description : MOVIE TICKETS Price : 0.00
8668575191</t>
  </si>
  <si>
    <t>Entertainment-Theatrical Events</t>
  </si>
  <si>
    <t>05/23/2026</t>
  </si>
  <si>
    <t>PAYPAL *LINKTREEINC 4029357733          DE</t>
  </si>
  <si>
    <t>10211499735 4029357733
PAYPAL *LINKTREEINC
4029357733
DE
Description : DIGITAL APPLICATION Price : 0.00
4029357733</t>
  </si>
  <si>
    <t>Merchandise &amp; Supplies-Internet Purchase</t>
  </si>
  <si>
    <t>05/20/2026</t>
  </si>
  <si>
    <t>10211288540 4029357733
PAYPAL *EBAY 800-456-3229
4029357733
CA
Description : VARIETY STORE Price : 0.00
4029357733</t>
  </si>
  <si>
    <t>PAYPAL *UBER        8665761039          CA</t>
  </si>
  <si>
    <t>10211271379 8665761039
PAYPAL *UBER
8665761039
CA
Description : TAXICABS AND LIMOUS Price : 0.00
8665761039</t>
  </si>
  <si>
    <t>10211269338 8665761039
PAYPAL *UBER
8665761039
CA
Description : TAXICABS AND LIMOUS Price : 0.00
8665761039</t>
  </si>
  <si>
    <t>3Y1ZAKYG   S4IOZO5T         75261
Uber Trip
help.uber.com
CA
S4IOZO5T         75261</t>
  </si>
  <si>
    <t>A74PCAMR   S4IOZO5T         75261
Uber Trip
help.uber.com
CA
S4IOZO5T         75261</t>
  </si>
  <si>
    <t>05/19/2026</t>
  </si>
  <si>
    <t>ADOBE SYSTEMS Adobe SAN JOSE            CA</t>
  </si>
  <si>
    <t>572687566   www.adobe.com
ADOBE SYSTEMS Adobe Systems
SAN JOSE
CA
Description : DEFAULT Price : 0.6999
www.adobe.com</t>
  </si>
  <si>
    <t>RACETRAC 2403 2403  WEATHERFORD         TX</t>
  </si>
  <si>
    <t>0000709     817-594-7580
RACETRAC 2403 2403
WEATHERFORD
TX
Description : GAS/SERVICES Price : 0.00
817-594-7580</t>
  </si>
  <si>
    <t>05/16/2026</t>
  </si>
  <si>
    <t>NETFLIX.COM         866-579-7172        CA</t>
  </si>
  <si>
    <t>63891704004 NETFLIX.COM
NETFLIX.COM
866-579-7172
CA
NETFLIX.COM</t>
  </si>
  <si>
    <t>05/15/2026</t>
  </si>
  <si>
    <t>RESTORE.COM         AUSTIN              TX</t>
  </si>
  <si>
    <t>CH_3TXI0MA8 +15125374087
RESTORE.COM
AUSTIN
TX
+15125374087</t>
  </si>
  <si>
    <t>THE HOME DEPOT      WEATHERFORD         TX</t>
  </si>
  <si>
    <t>05150651545 800-654-0688
THE HOME DEPOT
WEATHERFORD
TX
800-654-0688</t>
  </si>
  <si>
    <t>Merchandise &amp; Supplies-Hardware Supplies</t>
  </si>
  <si>
    <t>05/12/2026</t>
  </si>
  <si>
    <t>AMAZON MARKEPLACE NA PA</t>
  </si>
  <si>
    <t>2XBWOQHLX19 MERCHANDISE
AMAZON MARKETPLACE NA PA
AMZN.COM/BILL
WA
MERCHANDISE</t>
  </si>
  <si>
    <t>AMAZON MARKETPLACE NAMZN.COM/BILL       WA</t>
  </si>
  <si>
    <t>QT 1876 OUTSIDE/QUIKFORT WORTH          TX</t>
  </si>
  <si>
    <t>0187603B4KT FUEL OUTSIDE
QT 1876 OUTSIDE/QUIKTRIP 554201876
FORT WORTH
TX
FUEL OUTSIDE</t>
  </si>
  <si>
    <t>0187603B4KT FUEL OUTSIDE
QT 1876 OUTSIDE/QUIKTRIP 554201876
FORT WORTH
TX
Description : QUIKTRIP Price : 0.5556
Description : TAX Price : 0.1092
FUEL OUTSIDE</t>
  </si>
  <si>
    <t>05/11/2026</t>
  </si>
  <si>
    <t>10210522027 8002752273
PAYPAL *APPLE.COM/BILL
8002752273
CA
Description : MUSIC Price : 0.00
8002752273</t>
  </si>
  <si>
    <t>10210478971 4029357733
PAYPAL *EBAY 800-456-3229
4029357733
CA
Description : VARIETY STORE Price : 0.00
4029357733</t>
  </si>
  <si>
    <t>10210529154 767110326
19.95 UNITED KINGDOM POUND STERLING  CONVE
PAYPAL *RESUME IO RESUME.IO
767110326
NL
Description : HIRING SERVICES Price : 0.00
767110326Foreign Spend Amount: 19.95 UNITED KINGDOM POUND STERLING Commission Amount:  Currency Exchange Rate: null</t>
  </si>
  <si>
    <t>SP JEFFDAVIDSONCUSTOFORT WORTH          TX</t>
  </si>
  <si>
    <t>CH_3TW0WXR1 +18175282416
SP JEFFDAVIDSONCUSTOMK
FORT WORTH
TX
+18175282416</t>
  </si>
  <si>
    <t>05/10/2026</t>
  </si>
  <si>
    <t>PAYPAL *SPOTIFY*P4242033189708          NY</t>
  </si>
  <si>
    <t>10210438841 2033189708
PAYPAL *SPOTIFY*P424DEAE8
2033189708
NY
Description : GENERAL Price : 0.00
2033189708</t>
  </si>
  <si>
    <t>Communications-Other Telecom</t>
  </si>
  <si>
    <t>05/09/2026</t>
  </si>
  <si>
    <t>LAX AIRP CROWNS LAX Miami               FL</t>
  </si>
  <si>
    <t>72183      72183            33126
LAX AIRP CROWNS LAX T-4
Miami
FL
72183            33126</t>
  </si>
  <si>
    <t>Restaurant-Restaurant</t>
  </si>
  <si>
    <t>05/07/2026</t>
  </si>
  <si>
    <t>ADOBE Adobe Systems SAN JOSE            CA</t>
  </si>
  <si>
    <t>570019142   ADOBE.LY/ENUS
ADOBE Adobe Systems
SAN JOSE
CA
Description : DEFAULT Price : 0.2999
ADOBE.LY/ENUS</t>
  </si>
  <si>
    <t>GRANDVIEW CLEANERS 5LOS ANGELES         CA</t>
  </si>
  <si>
    <t>73011546127 APPLE619@AOL.COM
GRANDVIEW CLEANERS 545500001455021
LOS ANGELES
CA
APPLE619@AOL.COM</t>
  </si>
  <si>
    <t>Business Services-Other Services</t>
  </si>
  <si>
    <t>10210202991 4029357733
PAYPAL *EBAY 800-456-3229
4029357733
CA
Description : VARIETY STORE Price : 0.00
4029357733</t>
  </si>
  <si>
    <t>CH_3TUWBMBY 6468826260
REONOMY
NEW YORK
NY
6468826260</t>
  </si>
  <si>
    <t>05/06/2026</t>
  </si>
  <si>
    <t>10210130375 4029357733
PAYPAL *EBAY 800-456-3229
4029357733
CA
Description : VARIETY STORE Price : 0.00
4029357733</t>
  </si>
  <si>
    <t>05/05/2026</t>
  </si>
  <si>
    <t>1Q4B5NIC6BC MERCHANDISE
AMAZON MARKETPLACE NA PA
AMZN.COM/BILL
WA
MERCHANDISE</t>
  </si>
  <si>
    <t>DROPBOX*S47RZT173MG7SAN FRANCISCO       CA</t>
  </si>
  <si>
    <t>9PG1B9ZF   659113753        94107
DROPBOX*S47RZT173MG7
SAN FRANCISCO
CA
659113753        94107</t>
  </si>
  <si>
    <t>05/04/2026</t>
  </si>
  <si>
    <t>10209888850 8002752273
PAYPAL *APPLE.COM/BILL
8002752273
CA
Description : MUSIC Price : 0.00
8002752273</t>
  </si>
  <si>
    <t>CH_3TTWW9A8 +15125374087
RESTORE.COM
AUSTIN
TX
+15125374087</t>
  </si>
  <si>
    <t>05/02/2026</t>
  </si>
  <si>
    <t>HARBOR FREIGHT TOOLSLAKE FOREST         CA</t>
  </si>
  <si>
    <t>00210057017 MISC/SPECIALTY RETAIL
HARBOR FREIGHT TOOLS 605 605
LAKE FOREST
CA
Description : HARDWARE/TOOLS Price : 0.00
MISC/SPECIALTY RETAIL</t>
  </si>
  <si>
    <t>04/30/2026</t>
  </si>
  <si>
    <t>10209565904 4029357733
PAYPAL *EBAY 800-456-3229
4029357733
CA
Description : VARIETY STORE Price : 0.00
4029357733</t>
  </si>
  <si>
    <t>CH_3TS4VIB7 +13854834872
SPONSORCLOUD (SYNPRO)
SALT LAKE CITY
UT
+13854834872</t>
  </si>
  <si>
    <t>04/28/2026</t>
  </si>
  <si>
    <t>HANDY J CAR WASH 650LOS ANGELES         CA</t>
  </si>
  <si>
    <t>10156320260 3103986211
HANDY J CAR WASH 650000013216208
LOS ANGELES
CA
Description : CAR WASHES Price : 0.2999
3103986211</t>
  </si>
  <si>
    <t>10209400305 8002752273
PAYPAL *APPLE.COM/BILL
8002752273
CA
Description : MUSIC Price : 0.00
8002752273</t>
  </si>
  <si>
    <t>10209410866 416131887
PAYPAL *CANVA
416131887
DE
Description : OEM SOFTWARE Price : 0.00
416131887</t>
  </si>
  <si>
    <t>10209423744 4029357733
PAYPAL *EBAY 800-456-3229
4029357733
CA
Description : VARIETY STORE Price : 0.00
4029357733</t>
  </si>
  <si>
    <t>04/27/2026</t>
  </si>
  <si>
    <t>04/26/2026</t>
  </si>
  <si>
    <t>PAYPAL *ETSY INC    4029357733          NY</t>
  </si>
  <si>
    <t>10209205735 4029357733
PAYPAL *ETSY INC
4029357733
NY
Description : VARIETY STORES Price : 0.00
4029357733</t>
  </si>
  <si>
    <t>04/25/2026</t>
  </si>
  <si>
    <t>HOMEDEPOT.COM 8119  800-430-3376        GA</t>
  </si>
  <si>
    <t>04250811926 800-430-3376
HOMEDEPOT.COM 8119
800-430-3376
GA
800-430-3376</t>
  </si>
  <si>
    <t>04/23/2026</t>
  </si>
  <si>
    <t>10208973928 4029357733
PAYPAL *EBAY 800-456-3229
4029357733
CA
Description : VARIETY STORE Price : 0.00
4029357733</t>
  </si>
  <si>
    <t>10208953132 4029357733
PAYPAL *LINKTREEINC
4029357733
DE
Description : DIGITAL APPLICATION Price : 0.00
4029357733</t>
  </si>
  <si>
    <t>THE HOME DEPOT      LOS ANGELES         CA</t>
  </si>
  <si>
    <t>04230661145 800-654-0688
THE HOME DEPOT
LOS ANGELES
CA
800-654-0688</t>
  </si>
  <si>
    <t>04/21/2026</t>
  </si>
  <si>
    <t>PAYPAL *LYFT TEMP AU8552800278          CA</t>
  </si>
  <si>
    <t>10208800295 8552800278
PAYPAL *LYFT TEMP AUTH HO
8552800278
CA
Description : TAXICABS AND LIMOUS Price : 0.00
8552800278</t>
  </si>
  <si>
    <t>04/19/2026</t>
  </si>
  <si>
    <t>565523871   www.adobe.com
ADOBE SYSTEMS Adobe Systems
SAN JOSE
CA
Description : DEFAULT Price : 0.6999
www.adobe.com</t>
  </si>
  <si>
    <t>04/16/2026</t>
  </si>
  <si>
    <t>LEGALZOOM* LEGAL PLA888-310-0151        CA</t>
  </si>
  <si>
    <t>126240960   888-310-0151
LEGALZOOM* LEGAL PLAN
888-310-0151
CA
888-310-0151</t>
  </si>
  <si>
    <t>62533435036 NETFLIX.COM
NETFLIX.COM
866-579-7172
CA
NETFLIX.COM</t>
  </si>
  <si>
    <t>04/15/2026</t>
  </si>
  <si>
    <t>CH_3TMPGPA8 +15125374087
RESTORE.COM
AUSTIN
TX
+15125374087</t>
  </si>
  <si>
    <t>04/14/2026</t>
  </si>
  <si>
    <t>CH_3TMA0AB7 +13854834872
SPONSORCLOUD (SYNPRO)
SALT LAKE CITY
UT
+13854834872</t>
  </si>
  <si>
    <t>04/13/2026</t>
  </si>
  <si>
    <t>10208147727 767110326
19.95 UNITED KINGDOM POUND STERLING  CONVE
PAYPAL *RESUME IO RESUME.
767110326
NL
Description : HIRING SERVICES Price : 0.00
767110326Foreign Spend Amount: 19.95 UNITED KINGDOM POUND STERLING Commission Amount:  Currency Exchange Rate: null</t>
  </si>
  <si>
    <t>04/12/2026</t>
  </si>
  <si>
    <t>GRAMMARLY.COM (888)3SAN FRANCISCO       CA</t>
  </si>
  <si>
    <t>ANGELA L DUNNING</t>
  </si>
  <si>
    <t>-46017</t>
  </si>
  <si>
    <t>57PMHGB2   98852833         94114
GRAMMARLY.COM (888)318-6146
SAN FRANCISCO
CA
98852833         94114</t>
  </si>
  <si>
    <t>04/11/2026</t>
  </si>
  <si>
    <t>10207981229 8002752273
PAYPAL *APPLE.COM/BILL
8002752273
CA
Description : MUSIC Price : 0.00
8002752273</t>
  </si>
  <si>
    <t>04/10/2026</t>
  </si>
  <si>
    <t>PAYPAL *SPOTIFY*P4152033189708          NY</t>
  </si>
  <si>
    <t>10207919013 2033189708
PAYPAL *SPOTIFY*P4150B3CC
2033189708
NY
Description : GENERAL Price : 0.00
2033189708</t>
  </si>
  <si>
    <t>04/08/2026</t>
  </si>
  <si>
    <t>AVGAGAP1683692454   TEMPE               AZ</t>
  </si>
  <si>
    <t>3WE69885E   AVG.COM
AVGAGAP1683692454
TEMPE
AZ
AVG.COM</t>
  </si>
  <si>
    <t>Business Services-Professional Services</t>
  </si>
  <si>
    <t>04/07/2026</t>
  </si>
  <si>
    <t>562820138   ADOBE.LY/ENUS
ADOBE Adobe Systems
SAN JOSE
CA
Description : DEFAULT Price : 0.2999
ADOBE.LY/ENUS</t>
  </si>
  <si>
    <t>10207675258 4029357733
PAYPAL *EBAY 800-456-3229
4029357733
CA
Description : VARIETY STORE Price : 0.00
4029357733</t>
  </si>
  <si>
    <t>10207675262 4029357733
PAYPAL *EBAY 800-456-3229
4029357733
CA
Description : VARIETY STORE Price : 0.00
4029357733</t>
  </si>
  <si>
    <t>10207675422 4029357733
PAYPAL *ETSY INC
4029357733
NY
Description : VARIETY STORES Price : 0.00
4029357733</t>
  </si>
  <si>
    <t>CH_3TJEIRBY 6468826260
REONOMY
NEW YORK
NY
6468826260</t>
  </si>
  <si>
    <t>04/06/2026</t>
  </si>
  <si>
    <t>3CPAYMENT*EUROPCAR OOXFORD              GB</t>
  </si>
  <si>
    <t>R/A# 158966200   + (44) 371 384 0
218.76 UNITED KINGDOM POUND STERLING  CONV
3CPAYMENT*EUROPCAR OXFORD OXFC01 00000
OXFORD
GB
Foreign Spend Amount: 218.76 UNITED KINGDOM POUND STERLING Commission Amount:  Currency Exchange Rate: null</t>
  </si>
  <si>
    <t>Travel-Vehicle Rental</t>
  </si>
  <si>
    <t>04/05/2026</t>
  </si>
  <si>
    <t>DROPBOX*81RTF1HX8K2GSAN FRANCISCO       CA</t>
  </si>
  <si>
    <t>4RXZTVHH   655612391        94107
DROPBOX*81RTF1HX8K2G
SAN FRANCISCO
CA
655612391        94107</t>
  </si>
  <si>
    <t>LEGALZOOM* 888-31001888-310-0151        CA</t>
  </si>
  <si>
    <t>125997857   888-310-0151
LEGALZOOM* 888-3100151 RA
888-310-0151
CA
888-310-0151</t>
  </si>
  <si>
    <t>04/04/2026</t>
  </si>
  <si>
    <t>10207401514 8002752273
PAYPAL *APPLE.COM/BILL
8002752273
CA
Description : MUSIC Price : 0.00
8002752273</t>
  </si>
  <si>
    <t>10207440107 8002752273
PAYPAL *APPLE.COM/BILL
8002752273
CA
Description : MUSIC Price : 0.00
8002752273</t>
  </si>
  <si>
    <t>10207438771 4029357733
PAYPAL *ETSY INC
4029357733
NY
Description : VARIETY STORES Price : 0.00
4029357733</t>
  </si>
  <si>
    <t>04/02/2026</t>
  </si>
  <si>
    <t>DOJO*ATLANTIS BOOKSHLONDON              GB</t>
  </si>
  <si>
    <t>EF47F083-DD BOOK STORE
6.99 UNITED KINGDOM POUND STERLING  CONVER
DOJO*ATLANTIS BOOKSHOP
LONDON
GB
BOOK STOREForeign Spend Amount: 6.99 UNITED KINGDOM POUND STERLING Commission Amount:  Currency Exchange Rate: null</t>
  </si>
  <si>
    <t>Merchandise &amp; Supplies-Book Stores</t>
  </si>
  <si>
    <t>PRET A MANGER       London              GB</t>
  </si>
  <si>
    <t>188610     188610
11.50 UNITED KINGDOM POUND STERLING  CONVE
PRET A MANGER
London
GB
188610Foreign Spend Amount: 11.50 UNITED KINGDOM POUND STERLING Commission Amount:  Currency Exchange Rate: null</t>
  </si>
  <si>
    <t>Restaurant-Bar &amp; Café</t>
  </si>
  <si>
    <t>TATE ENTERPRISES LTDLONDON              GB</t>
  </si>
  <si>
    <t>12184310260 MILLBANK
6.25 UNITED KINGDOM POUND STERLING  CONVER
TATE ENTERPRISES LTD TATE BRITAIN EA
LONDON
GB
MILLBANKForeign Spend Amount: 6.25 UNITED KINGDOM POUND STERLING Commission Amount:  Currency Exchange Rate: null</t>
  </si>
  <si>
    <t>TATE IMAGES ONLINE TLONDON              GB</t>
  </si>
  <si>
    <t>12184310260 MILLBANK
2.00 UNITED KINGDOM POUND STERLING  CONVER
TATE IMAGES ONLINE TATE COMMERCE
LONDON
GB
MILLBANKForeign Spend Amount: 2.00 UNITED KINGDOM POUND STERLING Commission Amount:  Currency Exchange Rate: null</t>
  </si>
  <si>
    <t>Merchandise &amp; Supplies-Arts &amp; Jewelry</t>
  </si>
  <si>
    <t>TFL TRAVEL CHARGE   TFL.GOV.UK/CP       GB</t>
  </si>
  <si>
    <t>7664149595  03432221234
8.90 UNITED KINGDOM POUND STERLING  CONVER
TFL TRAVEL CHARGE
TFL.GOV.UK/CP
GB
03432221234Foreign Spend Amount: 8.90 UNITED KINGDOM POUND STERLING Commission Amount:  Currency Exchange Rate: null</t>
  </si>
  <si>
    <t>Transportation-Other Transportation</t>
  </si>
  <si>
    <t>04/01/2026</t>
  </si>
  <si>
    <t>AVEBURY SPORTS AND SMARLBOROUGH         GB</t>
  </si>
  <si>
    <t>######Vi8Yc stefan.hailmann@eposn
44.27 UNITED KINGDOM POUND STERLING  CONVE
stefan.hailmann@eposnow.c
AVEBURY SPORTS AND SOC
MARLBOROUGH
GB
stefan.hailmann@eposnow.cForeign Spend Amount: 44.27 UNITED KINGDOM POUND STERLING Commission Amount:  Currency Exchange Rate: null</t>
  </si>
  <si>
    <t>Entertainment-Associations</t>
  </si>
  <si>
    <t>DOJO*RADHUNI        PRINCES RISBOROUGH  GB</t>
  </si>
  <si>
    <t>AAD72652-73 RESTAURANT
37.00 UNITED KINGDOM POUND STERLING  CONVE
DOJO*RADHUNI
PRINCES RISBOROUGH
GB
RESTAURANTForeign Spend Amount: 37.00 UNITED KINGDOM POUND STERLING Commission Amount:  Currency Exchange Rate: null</t>
  </si>
  <si>
    <t>03/31/2026</t>
  </si>
  <si>
    <t>KICKSTAND (LOTUS CAFFaringdon           GB</t>
  </si>
  <si>
    <t>UIJQS5      8000608476
7.40 UNITED KINGDOM POUND STERLING  CONVER
KICKSTAND (LOTUS CAFE) LIMITED
Faringdon
GB
8000608476Foreign Spend Amount: 7.40 UNITED KINGDOM POUND STERLING Commission Amount:  Currency Exchange Rate: null</t>
  </si>
  <si>
    <t>10207075215 4029357733
PAYPAL *EBAY 800-456-3229
4029357733
CA
Description : VARIETY STORE Price : 0.00
4029357733</t>
  </si>
  <si>
    <t>10207130366 4029357733
PAYPAL *EBAY 800-456-3229
4029357733
CA
Description : VARIETY STORE Price : 0.00
4029357733</t>
  </si>
  <si>
    <t>03/30/2026</t>
  </si>
  <si>
    <t>BOOTS THE CHEMIST   LONDON              GB</t>
  </si>
  <si>
    <t>00000011788 DRUG STORE/PHARMACY
5.25 UNITED KINGDOM POUND STERLING  CONVER
MERCHANDISE
BOOTS THE CHEMIST
LONDON
GB
MERCHANDISE
DRUG STORE/PHARMACYForeign Spend Amount: 5.25 UNITED KINGDOM POUND STERLING Commission Amount:  Currency Exchange Rate: null</t>
  </si>
  <si>
    <t>Merchandise &amp; Supplies-Pharmacies</t>
  </si>
  <si>
    <t>IWM LONDON SHOP     LONDON              GB</t>
  </si>
  <si>
    <t>65934901315 TOURIST ATTRACTION
4.00 UNITED KINGDOM POUND STERLING  CONVER
IWM LONDON SHOP
LONDON
GB
Description : GOODS Price : 0.04
TOURIST ATTRACTIONForeign Spend Amount: 4.00 UNITED KINGDOM POUND STERLING Commission Amount:  Currency Exchange Rate: null</t>
  </si>
  <si>
    <t>Entertainment-General Attractions</t>
  </si>
  <si>
    <t>65934911067 TOURIST ATTRACTION
4.00 UNITED KINGDOM POUND STERLING  CONVER
IWM LONDON SHOP
LONDON
GB
Description : GOODS Price : 0.04
TOURIST ATTRACTIONForeign Spend Amount: 4.00 UNITED KINGDOM POUND STERLING Commission Amount:  Currency Exchange Rate: null</t>
  </si>
  <si>
    <t>SALWA LONDON        LONDON              GB</t>
  </si>
  <si>
    <t>UHUORK      8000608476
2.75 UNITED KINGDOM POUND STERLING  CONVER
SALWA LONDON
LONDON
GB
8000608476Foreign Spend Amount: 2.75 UNITED KINGDOM POUND STERLING Commission Amount:  Currency Exchange Rate: null</t>
  </si>
  <si>
    <t>Merchandise &amp; Supplies-Groceries</t>
  </si>
  <si>
    <t>7654251515  03432221234
8.90 UNITED KINGDOM POUND STERLING  CONVER
TFL TRAVEL CHARGE
TFL.GOV.UK/CP
GB
03432221234Foreign Spend Amount: 8.90 UNITED KINGDOM POUND STERLING Commission Amount:  Currency Exchange Rate: null</t>
  </si>
  <si>
    <t>03/29/2026</t>
  </si>
  <si>
    <t>ALDI HIGH WYCOMBE 77HIGH WYCOMBE        GB</t>
  </si>
  <si>
    <t>9697        GROCERY STORE
14.19 UNITED KINGDOM POUND STERLING  CONVE
GOODS
ALDI HIGH WYCOMBE 775183
HIGH WYCOMBE
GB
GOODS
GROCERY STOREForeign Spend Amount: 14.19 UNITED KINGDOM POUND STERLING Commission Amount:  Currency Exchange Rate: null</t>
  </si>
  <si>
    <t>SAINSBURY'S OXFORD -OXFORD              GB</t>
  </si>
  <si>
    <t>00000028076 GROCERY STORE
7.50 UNITED KINGDOM POUND STERLING  CONVER
GOODS
SAINSBURY'S OXFORD - HEADINGTON-SCO
OXFORD
GB
GOODS
GROCERY STOREForeign Spend Amount: 7.50 UNITED KINGDOM POUND STERLING Commission Amount:  Currency Exchange Rate: null</t>
  </si>
  <si>
    <t>WM MORRISONS STORES HIGH WYCOMBE        GB</t>
  </si>
  <si>
    <t>03000212002 GROCERY STORE
0.80 UNITED KINGDOM POUND STERLING  CONVER
WM MORRISONS STORES
HIGH WYCOMBE
GB
GROCERY STOREForeign Spend Amount: 0.80 UNITED KINGDOM POUND STERLING Commission Amount:  Currency Exchange Rate: null</t>
  </si>
  <si>
    <t>03/28/2026</t>
  </si>
  <si>
    <t>10206876219 416131887
PAYPAL *CANVA
416131887
DE
Description : OEM SOFTWARE Price : 0.00
416131887</t>
  </si>
  <si>
    <t>PAYPAL *SHOPGOODWIL 7146408370          CA</t>
  </si>
  <si>
    <t>10206855449 7146408370
PAYPAL *SHOPGOODWIL
7146408370
CA
Description : CHARITY Price : 0.00
7146408370</t>
  </si>
  <si>
    <t>Other-Charities</t>
  </si>
  <si>
    <t>10206855397 7146408370
PAYPAL *SHOPGOODWIL
7146408370
CA
Description : CHARITY Price : 0.00
7146408370</t>
  </si>
  <si>
    <t>SPORTS WORLD        OXFORD              GB</t>
  </si>
  <si>
    <t>00000000000 000000000000000000000
69.99 UNITED KINGDOM POUND STERLING  CONVE
0000000000000000000000000
SPORTS WORLD
OXFORD
GB
0000000000000000000000000Foreign Spend Amount: 69.99 UNITED KINGDOM POUND STERLING Commission Amount:  Currency Exchange Rate: null</t>
  </si>
  <si>
    <t>Merchandise &amp; Supplies-Sporting Goods Stores</t>
  </si>
  <si>
    <t>03/26/2026</t>
  </si>
  <si>
    <t>10206695240 4029357733
PAYPAL *EBAY 800-456-3229
4029357733
CA
Description : VARIETY STORE Price : 0.00
4029357733</t>
  </si>
  <si>
    <t>10206682402 7146408370
PAYPAL *SHOPGOODWIL
7146408370
CA
Description : CHARITY Price : 0.00
7146408370</t>
  </si>
  <si>
    <t>CH_3TFJTLA8 +15125374087
RESTORE.COM
AUSTIN
TX
+15125374087</t>
  </si>
  <si>
    <t>03/25/2026</t>
  </si>
  <si>
    <t>LAX AIRP LAMILL TBITMiami               FL</t>
  </si>
  <si>
    <t>17487      17487            33029
LAX AIRP LAMILL TBIT
Miami
FL
17487            33029</t>
  </si>
  <si>
    <t>03/24/2026</t>
  </si>
  <si>
    <t>CVS PHARMACY        LOS ANGELES         CA</t>
  </si>
  <si>
    <t>10054581    8007467287
CVS PHARMACY
LOS ANGELES
CA
Description : PHARMACIES Price : 0.3125
8007467287</t>
  </si>
  <si>
    <t>10206473397 7146408370
PAYPAL *SHOPGOODWIL
7146408370
CA
Description : CHARITY Price : 0.00
7146408370</t>
  </si>
  <si>
    <t>03/23/2026</t>
  </si>
  <si>
    <t>10206405468 4029357733
PAYPAL *LINKTREEINC
4029357733
DE
Description : DIGITAL APPLICATION Price : 0.00
4029357733</t>
  </si>
  <si>
    <t>10206453832 7146408370
PAYPAL *SHOPGOODWIL
7146408370
CA
Description : CHARITY Price : 0.00
7146408370</t>
  </si>
  <si>
    <t>PHOVORITE VIETNAMESECULVER CITY         CA</t>
  </si>
  <si>
    <t>85230726083424-603-4191
PHOVORITE VIETNAMESE K
CULVER CITY
CA
424-603-4191</t>
  </si>
  <si>
    <t>03/19/2026</t>
  </si>
  <si>
    <t>558564729   www.adobe.com
ADOBE SYSTEMS Adobe Systems
SAN JOSE
CA
Description : DEFAULT Price : 0.6999
www.adobe.com</t>
  </si>
  <si>
    <t>03/16/2026</t>
  </si>
  <si>
    <t>61129052735 NETFLIX.COM
NETFLIX.COM
866-579-7172
CA
NETFLIX.COM</t>
  </si>
  <si>
    <t>10205859635 767110326
19.95 UNITED KINGDOM POUND STERLING  CONVE
PAYPAL *RESUME IO RESUME.
767110326
NL
Description : HIRING SERVICES Price : 0.00
767110326Foreign Spend Amount: 19.95 UNITED KINGDOM POUND STERLING Commission Amount:  Currency Exchange Rate: null</t>
  </si>
  <si>
    <t>PAYPAL *ZAZZLECOMIN 8009809890          CA</t>
  </si>
  <si>
    <t>10205891876 8009809890
PAYPAL *ZAZZLECOMIN
8009809890
CA
Description : ACCESSORIES Price : 0.00
8009809890</t>
  </si>
  <si>
    <t>Merchandise &amp; Supplies-Clothing Stores</t>
  </si>
  <si>
    <t>03/15/2026</t>
  </si>
  <si>
    <t>10205770309 4029357733
PAYPAL *ETSY INC
4029357733
NY
Description : VARIETY STORES Price : 0.00
4029357733</t>
  </si>
  <si>
    <t>03/11/2026</t>
  </si>
  <si>
    <t>10205447504 8002752273
PAYPAL *APPLE.COM/BILL
8002752273
CA
Description : MUSIC Price : 0.00
8002752273</t>
  </si>
  <si>
    <t>10205482370 4029357733
PAYPAL *EBAY 800-456-3229
4029357733
CA
Description : VARIETY STORE Price : 0.00
4029357733</t>
  </si>
  <si>
    <t>10205482372 4029357733
PAYPAL *EBAY 800-456-3229
4029357733
CA
Description : VARIETY STORE Price : 0.00
4029357733</t>
  </si>
  <si>
    <t>PAYPAL *SOUNDLY     93294327            NO</t>
  </si>
  <si>
    <t>10205419354 93294327
PAYPAL *SOUNDLY
93294327
NO
Description : DIGITAL APPLICATION Price : 0.00
93294327</t>
  </si>
  <si>
    <t>Business Services-Internet Services</t>
  </si>
  <si>
    <t>03/10/2026</t>
  </si>
  <si>
    <t>PAYPAL *GIGGSTER IN 8004319397          CA</t>
  </si>
  <si>
    <t>10205365760 8004319397
PAYPAL *GIGGSTER IN
8004319397
CA
Description : GENERAL Price : 0.00
8004319397</t>
  </si>
  <si>
    <t>PAYPAL *SPOTIFY*P4032033189708          NY</t>
  </si>
  <si>
    <t>10205379374 2033189708
PAYPAL *SPOTIFY*P403C67B3
2033189708
NY
Description : GENERAL Price : 0.00
2033189708</t>
  </si>
  <si>
    <t>03/07/2026</t>
  </si>
  <si>
    <t>555730996   ADOBE.LY/ENUS
ADOBE Adobe Systems
SAN JOSE
CA
Description : DEFAULT Price : 0.2999
ADOBE.LY/ENUS</t>
  </si>
  <si>
    <t>CH_3T8PWRBY 6468826260
REONOMY
NEW YORK
NY
6468826260</t>
  </si>
  <si>
    <t>03/06/2026</t>
  </si>
  <si>
    <t>DROPBOX*XVBDJJBP46YSSAN FRANCISCO       CA</t>
  </si>
  <si>
    <t>CDVAMSMH   652071196        94107
DROPBOX*XVBDJJBP46YS
SAN FRANCISCO
CA
652071196        94107</t>
  </si>
  <si>
    <t>10205055013 4029357733
PAYPAL *EBAY 800-456-3229
4029357733
CA
Description : VARIETY STORE Price : 0.00
4029357733</t>
  </si>
  <si>
    <t>03/04/2026</t>
  </si>
  <si>
    <t>10204846714 8002752273
PAYPAL *APPLE.COM/BILL
8002752273
CA
Description : MUSIC Price : 0.00
8002752273</t>
  </si>
  <si>
    <t>02/28/2026</t>
  </si>
  <si>
    <t>10204542411 416131887
PAYPAL *CANVA
416131887
DE
Description : OEM SOFTWARE Price : 0.00
416131887</t>
  </si>
  <si>
    <t>02/26/2026</t>
  </si>
  <si>
    <t>10204354702 4029357733
PAYPAL *EBAY 800-456-3229
4029357733
CA
Description : VARIETY STORE Price : 0.00
4029357733</t>
  </si>
  <si>
    <t>02/24/2026</t>
  </si>
  <si>
    <t>02/23/2026</t>
  </si>
  <si>
    <t>10204107711 4029357733
PAYPAL *ETSY INC
4029357733
NY
Description : VARIETY STORES Price : 0.00
4029357733</t>
  </si>
  <si>
    <t>02/20/2026</t>
  </si>
  <si>
    <t>10203853309 4029357733
PAYPAL *EBAY 800-456-3229
4029357733
CA
Description : VARIETY STORE Price : 0.00
4029357733</t>
  </si>
  <si>
    <t>02/19/2026</t>
  </si>
  <si>
    <t>551960571   www.adobe.com
ADOBE SYSTEMS Adobe Systems
SAN JOSE
CA
Description : DEFAULT Price : 0.6999
www.adobe.com</t>
  </si>
  <si>
    <t>10203806211 4029357733
PAYPAL *ETSY INC
4029357733
NY
Description : VARIETY STORES Price : 0.00
4029357733</t>
  </si>
  <si>
    <t>02/16/2026</t>
  </si>
  <si>
    <t>59862411434 +31202401680 / suppor
+31202401680 / support@ad
NETFLIX.COM
866-579-7172
CA
+31202401680 / support@ad</t>
  </si>
  <si>
    <t>10203539602 767110326
19.95 UNITED KINGDOM POUND STERLING  CONVE
PAYPAL *RESUME IO RESUME.
767110326
NL
Description : HIRING SERVICES Price : 0.00
767110326Foreign Spend Amount: 19.95 UNITED KINGDOM POUND STERLING Commission Amount:  Currency Exchange Rate: null</t>
  </si>
  <si>
    <t>02/15/2026</t>
  </si>
  <si>
    <t>10203459039 4029357733
PAYPAL *EBAY 800-456-3229
4029357733
CA
Description : VARIETY STORE Price : 0.00
4029357733</t>
  </si>
  <si>
    <t>02/11/2026</t>
  </si>
  <si>
    <t>10203141940 8002752273
PAYPAL *APPLE.COM/BILL
8002752273
CA
Description : MUSIC Price : 0.00
8002752273</t>
  </si>
  <si>
    <t>10203112416 93294327
PAYPAL *SOUNDLY
93294327
NO
Description : DIGITAL APPLICATION Price : 0.00
93294327</t>
  </si>
  <si>
    <t>02/10/2026</t>
  </si>
  <si>
    <t>PAYPAL *SPOTIFY*P3F32033189708          NY</t>
  </si>
  <si>
    <t>10203071750 2033189708
PAYPAL *SPOTIFY*P3F3B6BA2
2033189708
NY
Description : GENERAL Price : 0.00
2033189708</t>
  </si>
  <si>
    <t>02/08/2026</t>
  </si>
  <si>
    <t>10202906528 8002752273
PAYPAL *APPLE.COM/BILL
8002752273
CA
Description : MUSIC Price : 0.00
8002752273</t>
  </si>
  <si>
    <t>02/07/2026</t>
  </si>
  <si>
    <t>549223869   ADOBE.LY/ENUS
ADOBE Adobe Systems
SAN JOSE
CA
Description : DEFAULT Price : 0.2999
ADOBE.LY/ENUS</t>
  </si>
  <si>
    <t>CH_3SYGBCBY 6468826260
REONOMY
NEW YORK
NY
6468826260</t>
  </si>
  <si>
    <t>02/06/2026</t>
  </si>
  <si>
    <t>DROPBOX*27VDSGX3LX46SAN FRANCISCO       CA</t>
  </si>
  <si>
    <t>2JT7D8EC   648588521        94107
DROPBOX*27VDSGX3LX46
SAN FRANCISCO
CA
648588521        94107</t>
  </si>
  <si>
    <t>02/04/2026</t>
  </si>
  <si>
    <t>10202550947 8002752273
PAYPAL *APPLE.COM/BILL
8002752273
CA
Description : MUSIC Price : 0.00
8002752273</t>
  </si>
  <si>
    <t>PAYPAL *POSHMARK    6502624771          CA</t>
  </si>
  <si>
    <t>10202590302 6502624771
PAYPAL *POSHMARK
6502624771
CA
Description : USED AND SECONDHAND Price : 0.00
6502624771</t>
  </si>
  <si>
    <t>01/30/2026</t>
  </si>
  <si>
    <t>10202180636 416131887
PAYPAL *CANVA
416131887
DE
Description : OEM SOFTWARE Price : 0.00
416131887</t>
  </si>
  <si>
    <t>01/28/2026</t>
  </si>
  <si>
    <t>10202026169 4029357733
PAYPAL *EBAY 800-456-3229
4029357733
CA
Description : VARIETY STORE Price : 0.00
4029357733</t>
  </si>
  <si>
    <t>01/27/2026</t>
  </si>
  <si>
    <t>10201930846 4029357733
PAYPAL *EBAY 800-456-3229
4029357733
CA
Description : VARIETY STORE Price : 0.00
4029357733</t>
  </si>
  <si>
    <t>01/26/2026</t>
  </si>
  <si>
    <t>PAYPAL *PDFNET      4029357733          CA</t>
  </si>
  <si>
    <t>10201813284 4029357733
PAYPAL *PDFNET
4029357733
CA
Description : DIGITAL APPLICATION Price : 0.00
4029357733</t>
  </si>
  <si>
    <t>01/19/2026</t>
  </si>
  <si>
    <t>545152216   www.adobe.com
ADOBE SYSTEMS Adobe Systems
SAN JOSE
CA
Description : DEFAULT Price : 0.6999
www.adobe.com</t>
  </si>
  <si>
    <t>10201270278 767110326
19.95 UNITED KINGDOM POUND STERLING  CONVE
PAYPAL *RESUME IO RESUME.
767110326
NL
Description : HIRING SERVICES Price : 0.00
767110326Foreign Spend Amount: 19.95 UNITED KINGDOM POUND STERLING Commission Amount:  Currency Exchange Rate: null</t>
  </si>
  <si>
    <t>01/16/2026</t>
  </si>
  <si>
    <t>58457333131 +31202401680 / suppor
+31202401680 / support@ad
NETFLIX.COM
866-579-7172
CA
+31202401680 / support@ad</t>
  </si>
  <si>
    <t>01/12/2026</t>
  </si>
  <si>
    <t>2P4MQ8J3   95746496         94114
GRAMMARLY.COM (888)318-6146
SAN FRANCISCO
CA
95746496         94114</t>
  </si>
  <si>
    <t>01/11/2026</t>
  </si>
  <si>
    <t>10200603823 8002752273
PAYPAL *APPLE.COM/BILL
8002752273
CA
Description : MUSIC Price : 0.00
8002752273</t>
  </si>
  <si>
    <t>10200573142 93294327
PAYPAL *SOUNDLY
93294327
NO
Description : DIGITAL APPLICATION Price : 0.00
93294327</t>
  </si>
  <si>
    <t>01/10/2026</t>
  </si>
  <si>
    <t>10200541684 4029357733
PAYPAL *EBAY 800-456-3229
4029357733
CA
Description : VARIETY STORE Price : 0.00
4029357733</t>
  </si>
  <si>
    <t>PAYPAL *SPOTIFY*P3E42033189708          NY</t>
  </si>
  <si>
    <t>10200538631 2033189708
PAYPAL *SPOTIFY*P3E47B3ED
2033189708
NY
Description : GENERAL Price : 0.00
2033189708</t>
  </si>
  <si>
    <t>01/07/2026</t>
  </si>
  <si>
    <t>542745617   ADOBE.LY/ENUS
ADOBE Adobe Systems
SAN JOSE
CA
Description : DEFAULT Price : 0.2999
ADOBE.LY/ENUS</t>
  </si>
  <si>
    <t>CH_3SN1PHBY 6468826260
REONOMY
NEW YORK
NY
6468826260</t>
  </si>
  <si>
    <t>01/05/2026</t>
  </si>
  <si>
    <t>DROPBOX*12QRMV744JXWSAN FRANCISCO       CA</t>
  </si>
  <si>
    <t>JQHDD7JP   644999284        94107
DROPBOX*12QRMV744JXW
SAN FRANCISCO
CA
644999284        94107</t>
  </si>
  <si>
    <t>01/04/2026</t>
  </si>
  <si>
    <t>10200027959 8002752273
PAYPAL *APPLE.COM/BILL
8002752273
CA
Description : MUSIC Price : 0.00
8002752273</t>
  </si>
  <si>
    <t>01/02/2026</t>
  </si>
  <si>
    <t>RENEWAL MEMBERSHIP FEE</t>
  </si>
  <si>
    <t xml:space="preserve">RENEWAL MEMBERSHIP FEE
</t>
  </si>
  <si>
    <t>Fees &amp; Adjustments-Fees &amp; Adjustments</t>
  </si>
  <si>
    <t>01/01/2026</t>
  </si>
  <si>
    <t>6ALZG54IT7M MERCHANDISE
AMAZON MARKETPLACE NA PA
AMZN.COM/BILL
WA
MERCHANDISE</t>
  </si>
  <si>
    <t>Charges</t>
  </si>
  <si>
    <t>Total</t>
  </si>
  <si>
    <t>DWG-RE Platform (Redirected)</t>
  </si>
  <si>
    <t>Sponsor Cloud</t>
  </si>
  <si>
    <t>Online AMEX Payment</t>
  </si>
  <si>
    <t>Family</t>
  </si>
  <si>
    <t>Personal - Health</t>
  </si>
  <si>
    <t>Month</t>
  </si>
  <si>
    <t>Category (clean)</t>
  </si>
  <si>
    <t>FAMILY AMEX</t>
  </si>
  <si>
    <t>Amex Platinum  |  Statement Summary</t>
  </si>
  <si>
    <t>Account Holder</t>
  </si>
  <si>
    <t>John Dunning</t>
  </si>
  <si>
    <t>Account</t>
  </si>
  <si>
    <t>Statement Period</t>
  </si>
  <si>
    <t>January 2026 - June 2026</t>
  </si>
  <si>
    <t>TOTALS</t>
  </si>
  <si>
    <t>Credits &amp; Payments</t>
  </si>
  <si>
    <t>Net Balance</t>
  </si>
  <si>
    <t>SPEND BY CATEGORY</t>
  </si>
  <si>
    <t>% of Charges</t>
  </si>
  <si>
    <t>John — Business</t>
  </si>
  <si>
    <t xml:space="preserve">  Subtotal — John Business</t>
  </si>
  <si>
    <t>John — Personal / Other</t>
  </si>
  <si>
    <t>(Uncategorized)</t>
  </si>
  <si>
    <t xml:space="preserve">  Subtotal — John Personal</t>
  </si>
  <si>
    <t>Other Card Members</t>
  </si>
  <si>
    <t>Ava Perez</t>
  </si>
  <si>
    <t>Joe Saunders</t>
  </si>
  <si>
    <t>Angela L Dunning</t>
  </si>
  <si>
    <t xml:space="preserve">  Subtotal — Card Members</t>
  </si>
  <si>
    <t xml:space="preserve">  Subtotal — Credits &amp; Payments</t>
  </si>
  <si>
    <t>GRAND TOTAL</t>
  </si>
  <si>
    <t>SPEND BY MONTH</t>
  </si>
  <si>
    <t>Credits</t>
  </si>
  <si>
    <t>Net</t>
  </si>
  <si>
    <t>SPEND BY CARD MEMBER</t>
  </si>
  <si>
    <t>PAYMENTS, CREDITS &amp; REFUNDS DETAIL</t>
  </si>
  <si>
    <t>Type</t>
  </si>
  <si>
    <t>Online payment received</t>
  </si>
  <si>
    <t>Payment</t>
  </si>
  <si>
    <t>QT 1876 — fuel refund</t>
  </si>
  <si>
    <t>Refund</t>
  </si>
  <si>
    <t>PayPal eBay — refund</t>
  </si>
  <si>
    <t>Total Credits &amp; Payments</t>
  </si>
  <si>
    <t>Amex Platinum  |  Monthly Breakdown</t>
  </si>
  <si>
    <t>Total Charges</t>
  </si>
  <si>
    <t>01/03/2025</t>
  </si>
  <si>
    <t>Interest Charge on Pay Over Time Purchases</t>
  </si>
  <si>
    <t xml:space="preserve">Interest Charge on Pay Over Time Purchases
</t>
  </si>
  <si>
    <t>Personal</t>
  </si>
  <si>
    <t>TST* CAFE GRATITUDE VENICE              CA</t>
  </si>
  <si>
    <t>99999995004 4242318000
TST* CAFE GRATITUDE - VEN 300545147
VENICE
CA
Description : RESTAURANTS Price : 2.0583
4242318000</t>
  </si>
  <si>
    <t>01/04/2025</t>
  </si>
  <si>
    <t>99999995004 4242318000
TST* CAFE GRATITUDE - VEN 300545147
VENICE
CA
Description : RESTAURANTS Price : 0.1971
4242318000</t>
  </si>
  <si>
    <t>DROPBOX*LJ1DW2SDK5MMSAN FRANCISCO       CA</t>
  </si>
  <si>
    <t>EWV6EECG   593612484        94107
DROPBOX*LJ1DW2SDK5MM
SAN FRANCISCO
CA
593612484        94107</t>
  </si>
  <si>
    <t>01/06/2025</t>
  </si>
  <si>
    <t>CLEAR  *CLEARME.COM CLEARME.COM         NY</t>
  </si>
  <si>
    <t>P-41443594  CLEARME.COM
CLEAR  *CLEARME.COM
CLEARME.COM
NY
CLEARME.COM</t>
  </si>
  <si>
    <t>NT_RXN2QZBR 6468826260
REONOMY
NEW YORK
NY
6468826260</t>
  </si>
  <si>
    <t>01/07/2025</t>
  </si>
  <si>
    <t>CLEAR               NEW YORK</t>
  </si>
  <si>
    <t>Plat CLEAR Credit
CLEAR
NEW YORK
Plat CLEAR Credit</t>
  </si>
  <si>
    <t>Travel-Airline</t>
  </si>
  <si>
    <t>AMERICAN AIRLINES 45800-433-7300        TX</t>
  </si>
  <si>
    <t>20250108    AA.COM
EXCESS BAGGAGE
AMERICAN AIRLINES 45107392
800-433-7300
TX
Carrier : AMERICAN AIRLINES
Passenger Name : PEREZ/AVAYEMNA
Ticket Number : 0014451479204
Departure Day : 01/08
Additional Info : EXCESS BAGGAGE
From : DALLAS/FORT WORTH
To : LOS ANGELES INTERN
Class : M</t>
  </si>
  <si>
    <t>20250108    AA.COM
EXCESS BAGGAGE
AMERICAN AIRLINES 45107392
800-433-7300
TX
Carrier : AMERICAN AIRLINES
Passenger Name : SAUNDERS/JOE THOMAS
Ticket Number : 0014451479205
Departure Day : 01/08
Additional Info : EXCESS BAGGAGE
From : DALLAS/FORT WORTH
To : LOS ANGELES INTERN
Class : M</t>
  </si>
  <si>
    <t>567375376   ADOBE.LY/ENUS
ADOBE Adobe Systems
SAN JOSE
CA
Description : 0 Price : 0.2999
ADOBE.LY/ENUS</t>
  </si>
  <si>
    <t>10169805377 8002752273
PAYPAL *APPLE.COM/BILL
8002752273
CA
Description : MUSIC Price : 0.00
8002752273</t>
  </si>
  <si>
    <t>01/08/2025</t>
  </si>
  <si>
    <t>10169954963 4029357733
PAYPAL *EBAY 800-456-3229
4029357733
CA
Description : VARIETY STORE Price : 0.00
4029357733</t>
  </si>
  <si>
    <t>01/09/2025</t>
  </si>
  <si>
    <t>10170052206 93294327
PAYPAL *SOUNDLY
93294327
NO
Description : DIGITAL APPLICATION Price : 0.00
93294327</t>
  </si>
  <si>
    <t>01/11/2025</t>
  </si>
  <si>
    <t>SP ROARK            LAGUNA BEACH        CA</t>
  </si>
  <si>
    <t>NT_RZLAWSUG +18555545933
SP ROARK
LAGUNA BEACH
CA
+18555545933</t>
  </si>
  <si>
    <t>01/12/2025</t>
  </si>
  <si>
    <t>NDJT98JZ   83995453         94104
GRAMMARLY.COM (888)318-6146
SAN FRANCISCO
CA
83995453         94104</t>
  </si>
  <si>
    <t>Personal - Car</t>
  </si>
  <si>
    <t>CHEVRON 0306890/CHEVSANTA MONICA        CA</t>
  </si>
  <si>
    <t>00306890 90 SERVICE STN
CHEVRON 0306890/CHEVRON
SANTA MONICA
CA
Description : CHEVRON Price : 0.00
Description : TAX Price : 0.00
SERVICE STN</t>
  </si>
  <si>
    <t>DEPOP               NEW YORK            NY</t>
  </si>
  <si>
    <t>NT_RAD4LWYQ +18449353879
DEPOP
NEW YORK
NY
+18449353879</t>
  </si>
  <si>
    <t>01/13/2025</t>
  </si>
  <si>
    <t>ALANA'S COFFEE ROASTLos Angeles         CA</t>
  </si>
  <si>
    <t>hcSUdjejQgm squareup.com/receipts
ALANA'S COFFEE ROASTERS
Los Angeles
CA
squareup.com/receipts</t>
  </si>
  <si>
    <t>01/14/2025</t>
  </si>
  <si>
    <t>41924808854 CABLE &amp; PAY TV
NETFLIX.COM
866-579-7172
CA
CABLE &amp; PAY TV</t>
  </si>
  <si>
    <t>01/16/2025</t>
  </si>
  <si>
    <t>AMERICAN EXPRESS COMNEW YORK</t>
  </si>
  <si>
    <t>Amex SoulBike Credit
AMERICAN EXPRESS COMPANY
NEW YORK
Amex SoulBike Credit</t>
  </si>
  <si>
    <t>01/17/2025</t>
  </si>
  <si>
    <t>MICROSOFT*MICROSOFT MSBILL.INFO         WA</t>
  </si>
  <si>
    <t>Z62CWUOUNWNZ62CWUOUNWNI     90066-
COMPUTER HRDWR/SFTWR
MICROSOFT*MICROSOFT 365 F 0000
MSBILL.INFO
WA
COMPUTER HRDWR/SFTWR
Z62CWUOUNWNI     90066-</t>
  </si>
  <si>
    <t>01/19/2025</t>
  </si>
  <si>
    <t>Y5MYX4J7F4C MERCHANDISE
AMAZON MARKETPLACE NA PA
AMZN.COM/BILL
WA
MERCHANDISE</t>
  </si>
  <si>
    <t>15NHB63ANAA MERCHANDISE
AMAZON MARKETPLACE NA PA
AMZN.COM/BILL
WA
MERCHANDISE</t>
  </si>
  <si>
    <t>568974550   www.adobe.com
ADOBE SYSTEMS Adobe Systems
SAN JOSE
CA
Description : 0 Price : 0.5999
www.adobe.com</t>
  </si>
  <si>
    <t>PAYPAL *RESUME IO   767110326           NL</t>
  </si>
  <si>
    <t>10170827290 767110326
19.95 UNITED KINGDOM POUND STERLING  CONVE
PAYPAL *RESUME IO
767110326
NL
Description : HIRING SERVICES Price : 0.00
767110326Foreign Spend Amount: 19.95 UNITED KINGDOM POUND STERLING Commission Amount:  Currency Exchange Rate: null</t>
  </si>
  <si>
    <t>01/20/2025</t>
  </si>
  <si>
    <t>10170788307 8002752273
PAYPAL *APPLE.COM/BILL
8002752273
CA
Description : MUSIC Price : 0.00
8002752273</t>
  </si>
  <si>
    <t>AMAZON.COM          AMZN.COM/BILL       WA</t>
  </si>
  <si>
    <t>6MX2RQ6U94C MERCHANDISE
AMAZON.COM
AMZN.COM/BILL
WA
MERCHANDISE</t>
  </si>
  <si>
    <t>RETURNED CHECK/DECLIANK TRANSACTIONS</t>
  </si>
  <si>
    <t xml:space="preserve">RETURNED CHECK/DECLINED BANK TRANSACTIONS
ANK TRANSACTIONS
</t>
  </si>
  <si>
    <t>01/28/2025</t>
  </si>
  <si>
    <t>CUSTOMER SERVICE PAYMENT - THANK YOU</t>
  </si>
  <si>
    <t xml:space="preserve">CUSTOMER SERVICE PAYMENT - THANK YOU
</t>
  </si>
  <si>
    <t>01/30/2025</t>
  </si>
  <si>
    <t>AMERICAN EXPRESS TVLPHOENIX             AZ</t>
  </si>
  <si>
    <t>020409      AIRLINE/AIR CARRIER
PASSENGER TICKET
AMERICAN EXPRESS TVL SVC
PHOENIX
AZ
Carrier : AMERICAN AIRLINES
Passenger Name : DUNNING/JOHN BARKER
Ticket Number : 00171766397574
Departure Day : 02/05
Additional Info : PASSENGER TICKET
From : LOS ANGELES INTERN
To : DALLAS/FORT WORTH
Class : M</t>
  </si>
  <si>
    <t>NT_RGRS5OSW +13854834872
SPONSORCLOUD (SYNPRO)
SALT LAKE CITY
UT
+13854834872</t>
  </si>
  <si>
    <t>01/31/2025</t>
  </si>
  <si>
    <t>02/03/2025</t>
  </si>
  <si>
    <t>DR ADJ REDIST CADV PRIN</t>
  </si>
  <si>
    <t xml:space="preserve">DR ADJ REDIST CADV PRIN
</t>
  </si>
  <si>
    <t>ADJ REDIST PURCHASE BAL</t>
  </si>
  <si>
    <t xml:space="preserve">ADJ REDIST PURCHASE BAL
</t>
  </si>
  <si>
    <t>Credit for AMEX Error</t>
  </si>
  <si>
    <t xml:space="preserve">Credit for AMEX Error
</t>
  </si>
  <si>
    <t>02/04/2025</t>
  </si>
  <si>
    <t>AMEX TRAVEL PURCHASE WITH MR POINTS CREDIT</t>
  </si>
  <si>
    <t xml:space="preserve">AMEX TRAVEL PURCHASE WITH MR POINTS CREDIT
</t>
  </si>
  <si>
    <t>020809      AIRLINE/AIR CARRIER
PASSENGER TICKET
AMERICAN EXPRESS TVL SVC
PHOENIX
AZ
Carrier : AMERICAN AIRLINES
Passenger Name : DUNNING/JOHN BARKER
Ticket Number : 00171777592383
Departure Day : 02/10
Additional Info : PASSENGER TICKET
From : PHOENIX SKY HARBOR
To : DALLAS/FORT WORTH
Class : H</t>
  </si>
  <si>
    <t>DROPBOX*VBCW85LQ7MSPSAN FRANCISCO       CA</t>
  </si>
  <si>
    <t>1FHAAK64   598960297        94107
DROPBOX*VBCW85LQ7MSP
SAN FRANCISCO
CA
598960297        94107</t>
  </si>
  <si>
    <t>02/05/2025</t>
  </si>
  <si>
    <t>NT_RJP2VONZ 6468826260
REONOMY
NEW YORK
NY
6468826260</t>
  </si>
  <si>
    <t>02/07/2025</t>
  </si>
  <si>
    <t>571618426   ADOBE.LY/ENUS
ADOBE Adobe Systems
SAN JOSE
CA
Description : 0 Price : 0.2999
ADOBE.LY/ENUS</t>
  </si>
  <si>
    <t>PAYPAL *ETSY INC    8446593879          NY</t>
  </si>
  <si>
    <t>10172390699 8446593879
PAYPAL *ETSY INC
8446593879
NY
Description : MISC. GENERAL MERCH Price : 0.00
8446593879</t>
  </si>
  <si>
    <t>02/08/2025</t>
  </si>
  <si>
    <t>10172585935 8446593879
PAYPAL *ETSY INC
8446593879
NY
Description : MISC. GENERAL MERCH Price : 0.00
8446593879</t>
  </si>
  <si>
    <t>02/10/2025</t>
  </si>
  <si>
    <t>10172600913 93294327
PAYPAL *SOUNDLY
93294327
NO
Description : DIGITAL APPLICATION Price : 0.00
93294327</t>
  </si>
  <si>
    <t>02/11/2025</t>
  </si>
  <si>
    <t>10172898643 4029357733
PAYPAL *EBAY 800-456-3229
4029357733
CA
Description : VARIETY STORE Price : 0.00
4029357733</t>
  </si>
  <si>
    <t>02/14/2025</t>
  </si>
  <si>
    <t>43328596975 NETFLIX.COM
NETFLIX.COM
866-579-7172
CA
NETFLIX.COM</t>
  </si>
  <si>
    <t>02/16/2025</t>
  </si>
  <si>
    <t>10173115622 767110326
19.95 UNITED KINGDOM POUND STERLING  CONVE
PAYPAL *RESUME IO RESUME.IO
767110326
NL
Description : HIRING SERVICES Price : 0.00
767110326Foreign Spend Amount: 19.95 UNITED KINGDOM POUND STERLING Commission Amount:  Currency Exchange Rate: null</t>
  </si>
  <si>
    <t>02/17/2025</t>
  </si>
  <si>
    <t>10173281599 4029357733
PAYPAL *EBAY 800-456-3229
4029357733
CA
Description : VARIETY STORE Price : 0.00
4029357733</t>
  </si>
  <si>
    <t>02/19/2025</t>
  </si>
  <si>
    <t>MICROSOFT           MSBILL.INFO</t>
  </si>
  <si>
    <t>Z629YPAC48CZ629YPAC48C2     98052
MICROSOFT
MSBILL.INFO
Z629YPAC48C2     98052</t>
  </si>
  <si>
    <t>EQUINOX             NEW YORK            NY</t>
  </si>
  <si>
    <t>BatchTransa MEMBERSHIP CLUB
EQUINOX
NEW YORK
NY
MEMBERSHIP CLUB</t>
  </si>
  <si>
    <t>573187832   www.adobe.com
ADOBE SYSTEMS Adobe Systems
SAN JOSE
CA
Description : 0 Price : 0.5999
www.adobe.com</t>
  </si>
  <si>
    <t>10173322505 8002752273
PAYPAL *APPLE.COM/BILL
8002752273
CA
Description : MUSIC Price : 0.00
8002752273</t>
  </si>
  <si>
    <t>02/20/2025</t>
  </si>
  <si>
    <t>EQUINOX PLUS        NEW YORK</t>
  </si>
  <si>
    <t>Plat EQX Credit
EQUINOX PLUS
NEW YORK
Plat EQX Credit</t>
  </si>
  <si>
    <t>NT_ROHEJGLO +18449353879
DEPOP
NEW YORK
NY
+18449353879</t>
  </si>
  <si>
    <t>10173450870 4029357733
PAYPAL *EBAY 800-456-3229
4029357733
CA
Description : VARIETY STORE Price : 0.00
4029357733</t>
  </si>
  <si>
    <t>02/21/2025</t>
  </si>
  <si>
    <t>02/24/2025</t>
  </si>
  <si>
    <t>Merchandise &amp; Supplies-Electronics Stores</t>
  </si>
  <si>
    <t>PAYPAL *NATIVEINSTR 8665566487          CA</t>
  </si>
  <si>
    <t>10173756955 8665566487
PAYPAL *NATIVEINSTR
8665566487
CA
Description : GENERAL Price : 0.00
8665566487</t>
  </si>
  <si>
    <t>02/25/2025</t>
  </si>
  <si>
    <t>FS *AVID TECHNOLOGY 877-327-8914        CA</t>
  </si>
  <si>
    <t>TFJUHIFLQJW805D195DB2DC1D2B 93101
FS *AVID TECHNOLOGY
877-327-8914
CA
805D195DB2DC1D2B 93101</t>
  </si>
  <si>
    <t>PAYPAL *UVI         0607355723          FR</t>
  </si>
  <si>
    <t>10173958546 0607355723
PAYPAL *UVI
0607355723
FR
Description : COMPUTER SOFTWARE S Price : 0.00
0607355723</t>
  </si>
  <si>
    <t>02/27/2025</t>
  </si>
  <si>
    <t>CH_3QXDTZB7 +13854834872
SPONSORCLOUD (SYNPRO)
SALT LAKE CITY
UT
+13854834872</t>
  </si>
  <si>
    <t>02/28/2025</t>
  </si>
  <si>
    <t>10174154955 8446593879
PAYPAL *ETSY INC
8446593879
NY
Description : MISC. GENERAL MERCH Price : 0.00
8446593879</t>
  </si>
  <si>
    <t>03/01/2025</t>
  </si>
  <si>
    <t>UJLBFOJURFA805D195DB2DC1D2B 93101
FS *AVID TECHNOLOGY
877-327-8914
CA
805D195DB2DC1D2B 93101</t>
  </si>
  <si>
    <t>03/04/2025</t>
  </si>
  <si>
    <t>DROPBOX*FZ1C93B628MQSAN FRANCISCO       CA</t>
  </si>
  <si>
    <t>07KTM02T   604168084        94107
DROPBOX*FZ1C93B628MQ
SAN FRANCISCO
CA
604168084        94107</t>
  </si>
  <si>
    <t>03/05/2025</t>
  </si>
  <si>
    <t>NT_RTTMLUSA 6468826260
REONOMY
NEW YORK
NY
6468826260</t>
  </si>
  <si>
    <t>03/07/2025</t>
  </si>
  <si>
    <t>575606285   ADOBE.LY/ENUS
ADOBE Adobe Systems
SAN JOSE
CA
Description : 0 Price : 0.2999
ADOBE.LY/ENUS</t>
  </si>
  <si>
    <t>10174800491 6502624771
PAYPAL *POSHMARK
6502624771
CA
Description : USED AND SECONDHAND Price : 0.00
6502624771</t>
  </si>
  <si>
    <t>03/09/2025</t>
  </si>
  <si>
    <t>10174771015 8446593879
PAYPAL *ETSY INC
8446593879
NY
Description : MISC. GENERAL MERCH Price : 0.00
8446593879</t>
  </si>
  <si>
    <t>JET RAG             LOS ANGELES         CA</t>
  </si>
  <si>
    <t>5iRlDsFJrMI squareup.com/receipts
JET RAG
LOS ANGELES
CA
squareup.com/receipts</t>
  </si>
  <si>
    <t>03/10/2025</t>
  </si>
  <si>
    <t>CH_3R1J9HAT +18449353879
DEPOP
NEW YORK
NY
+18449353879</t>
  </si>
  <si>
    <t>03/11/2025</t>
  </si>
  <si>
    <t>PAYPAL *PADDLE.NET  4029357733          GB</t>
  </si>
  <si>
    <t>10175199921 4029357733
PAYPAL *PADDLE.NET
4029357733
GB
Description : OEM SOFTWARE Price : 0.00
4029357733</t>
  </si>
  <si>
    <t>03/14/2025</t>
  </si>
  <si>
    <t>CH_3R36QPAT +18449353879
DEPOP
NEW YORK
NY
+18449353879</t>
  </si>
  <si>
    <t>03/15/2025</t>
  </si>
  <si>
    <t>44594819290 NETFLIX.COM
NETFLIX.COM
866-579-7172
CA
NETFLIX.COM</t>
  </si>
  <si>
    <t>03/16/2025</t>
  </si>
  <si>
    <t>10175428011 767110326
19.95 UNITED KINGDOM POUND STERLING  CONVE
PAYPAL *RESUME IO RESUME.
767110326
NL
Description : HIRING SERVICES Price : 0.00
767110326Foreign Spend Amount: 19.95 UNITED KINGDOM POUND STERLING Commission Amount:  Currency Exchange Rate: null</t>
  </si>
  <si>
    <t>03/17/2025</t>
  </si>
  <si>
    <t>CH_3R4BJHAT +18449353879
DEPOP
NEW YORK
NY
+18449353879</t>
  </si>
  <si>
    <t>03/18/2025</t>
  </si>
  <si>
    <t>Z72C0I4KJNKZ72C0I4KJNK8     98052
MICROSOFT
MSBILL.INFO
Z72C0I4KJNK8     98052</t>
  </si>
  <si>
    <t>03/19/2025</t>
  </si>
  <si>
    <t>577268941   www.adobe.com
ADOBE SYSTEMS Adobe Systems
SAN JOSE
CA
Description : 0 Price : 0.5999
www.adobe.com</t>
  </si>
  <si>
    <t>Travel</t>
  </si>
  <si>
    <t>MARALA HOTEL        PUNTARENAS          PU</t>
  </si>
  <si>
    <t>LODGING
MARALA HOTEL
PUNTARENAS
PU
Foreign Spend Amount: 25000.00 COSTA RICAN COLON Commission Amount:  Currency Exchange Rate: null</t>
  </si>
  <si>
    <t>03/21/2025</t>
  </si>
  <si>
    <t>CH_3R5DEFAT +18449353879
DEPOP
NEW YORK
NY
+18449353879</t>
  </si>
  <si>
    <t>Other-Government Services</t>
  </si>
  <si>
    <t>STATE OF CALIF DMV ISACRAMENTO          CA</t>
  </si>
  <si>
    <t>31116315085 GOVERNMENT SERVICE
STATE OF CALIF DMV INT SC 00-080152916
SACRAMENTO
CA
GOVERNMENT SERVICE</t>
  </si>
  <si>
    <t>03/26/2025</t>
  </si>
  <si>
    <t>CH_3R729HAT +18449353879
DEPOP
NEW YORK
NY
+18449353879</t>
  </si>
  <si>
    <t>CA DMV FEE 00-080348KNOXVILLE           TN</t>
  </si>
  <si>
    <t>31116315085 GOVERNMENT SERVICE
CA DMV FEE 00-08034814965
KNOXVILLE
TN
GOVERNMENT SERVICE</t>
  </si>
  <si>
    <t>10176272631 6502624771
PAYPAL *POSHMARK
6502624771
CA
Description : USED AND SECONDHAND Price : 0.00
6502624771</t>
  </si>
  <si>
    <t>03/27/2025</t>
  </si>
  <si>
    <t>10176262987 6502624771
PAYPAL *POSHMARK
6502624771
CA
Description : USED AND SECONDHAND Price : 0.00
6502624771</t>
  </si>
  <si>
    <t>10176222701 6502624771
PAYPAL *POSHMARK
6502624771
CA
Description : USED AND SECONDHAND Price : 0.00
6502624771</t>
  </si>
  <si>
    <t>10176378692 4029357733
PAYPAL *EBAY 800-456-3229
4029357733
CA
Description : VARIETY STORE Price : 0.00
4029357733</t>
  </si>
  <si>
    <t>03/28/2025</t>
  </si>
  <si>
    <t>LAEMMLE ROYAL 00-080LOS ANGELES         CA</t>
  </si>
  <si>
    <t>31099535088 310-4781041
LAEMMLE ROYAL 00-08035027112
LOS ANGELES
CA
310-4781041</t>
  </si>
  <si>
    <t>03/29/2025</t>
  </si>
  <si>
    <t>RE_3R729HAT +18449353879
DEPOP
NEW YORK
NY
+18449353879</t>
  </si>
  <si>
    <t>10176538617 4029357733
PAYPAL *EBAY 800-456-3229
4029357733
CA
Description : VARIETY STORE Price : 0.00
4029357733</t>
  </si>
  <si>
    <t>03/30/2025</t>
  </si>
  <si>
    <t>CH_3R8SFWB7 +13854834872
SPONSORCLOUD (SYNPRO)
SALT LAKE CITY
UT
+13854834872</t>
  </si>
  <si>
    <t>03/31/2025</t>
  </si>
  <si>
    <t>10176591694 4029357733
PAYPAL *EBAY 800-456-3229
4029357733
CA
Description : VARIETY STORE Price : 0.00
4029357733</t>
  </si>
  <si>
    <t>10176618401 4029357733
PAYPAL *EBAY 800-456-3229
4029357733
CA
Description : VARIETY STORE Price : 0.00
4029357733</t>
  </si>
  <si>
    <t>CH_3R8O9WAT +18449353879
DEPOP
NEW YORK
NY
+18449353879</t>
  </si>
  <si>
    <t>Merchandise &amp; Supplies-Department Stores</t>
  </si>
  <si>
    <t>PAYPAL *ULTASALONCO 8669838582          IL</t>
  </si>
  <si>
    <t>10176794048 8669838582
PAYPAL *ULTASALONCO
8669838582
IL
Description : BATH AND BODY Price : 0.00
8669838582</t>
  </si>
  <si>
    <t>04/02/2025</t>
  </si>
  <si>
    <t>_SA7O9KOR82805D195DB2DC1D2B 93101
FS *AVID TECHNOLOGY
877-327-8914
CA
805D195DB2DC1D2B 93101</t>
  </si>
  <si>
    <t>04/04/2025</t>
  </si>
  <si>
    <t>118786462   888-310-0151
LEGALZOOM* 888-3100151 RA
888-310-0151
CA
888-310-0151</t>
  </si>
  <si>
    <t>04/05/2025</t>
  </si>
  <si>
    <t>10177080675 6502624771
PAYPAL *POSHMARK
6502624771
CA
Description : USED AND SECONDHAND Price : 0.00
6502624771</t>
  </si>
  <si>
    <t>04/06/2025</t>
  </si>
  <si>
    <t>DROPBOX*M3B8GBWT263JSAN FRANCISCO       CA</t>
  </si>
  <si>
    <t>C1GWCEBK   609466147        94107
DROPBOX*M3B8GBWT263J
SAN FRANCISCO
CA
609466147        94107</t>
  </si>
  <si>
    <t>CH_3RBKLQBY 6468826260
REONOMY
NEW YORK
NY
6468826260</t>
  </si>
  <si>
    <t>04/07/2025</t>
  </si>
  <si>
    <t>579886815   ADOBE.LY/ENUS
ADOBE Adobe Systems
SAN JOSE
CA
Description : 0 Price : 0.2999
ADOBE.LY/ENUS</t>
  </si>
  <si>
    <t>AVG AGAP1597569186  TEMPE               AZ</t>
  </si>
  <si>
    <t>3WE1M92K5   AVG.COM
AVG AGAP1597569186
TEMPE
AZ
AVG.COM</t>
  </si>
  <si>
    <t>04/08/2025</t>
  </si>
  <si>
    <t>PRIME VIDEO CHANNELSAMZN.COM/BILL       WA</t>
  </si>
  <si>
    <t>16PQC7L7WPD DIGITAL
PRIME VIDEO CHANNELS
AMZN.COM/BILL
WA
DIGITAL</t>
  </si>
  <si>
    <t>04/09/2025</t>
  </si>
  <si>
    <t>PAYPAL *P35BECF938  2033189708          NY</t>
  </si>
  <si>
    <t>10177451875 2033189708
PAYPAL *P35BECF938
2033189708
NY
Description : GENERAL Price : 0.00
2033189708</t>
  </si>
  <si>
    <t>04/10/2025</t>
  </si>
  <si>
    <t>SNACK* CHICHA SAN CHSAN FRANCISCO       CA</t>
  </si>
  <si>
    <t>CH_3RCLZ7BB +18668682146
SNACK* CHICHA SAN CHEN
SAN FRANCISCO
CA
+18668682146</t>
  </si>
  <si>
    <t>04/11/2025</t>
  </si>
  <si>
    <t>10177487074 93294327
PAYPAL *SOUNDLY
93294327
NO
Description : DIGITAL APPLICATION Price : 0.00
93294327</t>
  </si>
  <si>
    <t>10177548537 8002752273
PAYPAL *APPLE.COM/BILL
8002752273
CA
Description : MUSIC Price : 0.00
8002752273</t>
  </si>
  <si>
    <t>JWJAP9XW   86992214         94104
GRAMMARLY.COM (888)318-6146
SAN FRANCISCO
CA
86992214         94104</t>
  </si>
  <si>
    <t>04/12/2025</t>
  </si>
  <si>
    <t>10177760786 767110326
19.95 UNITED KINGDOM POUND STERLING  CONVE
PAYPAL *RESUME IO RESUME.IO
767110326
NL
Description : HIRING SERVICES Price : 0.00
767110326Foreign Spend Amount: 19.95 UNITED KINGDOM POUND STERLING Commission Amount:  Currency Exchange Rate: null</t>
  </si>
  <si>
    <t>04/14/2025</t>
  </si>
  <si>
    <t>45999153497 NETFLIX.COM
NETFLIX.COM
866-579-7172
CA
NETFLIX.COM</t>
  </si>
  <si>
    <t>04/16/2025</t>
  </si>
  <si>
    <t>118980330   888-310-0151
LEGALZOOM* LEGAL PLAN
888-310-0151
CA
888-310-0151</t>
  </si>
  <si>
    <t>Z72B23N5V8JZ72B23N5V8J2     98052
MICROSOFT
MSBILL.INFO
Z72B23N5V8J2     98052</t>
  </si>
  <si>
    <t>04/19/2025</t>
  </si>
  <si>
    <t>10178202213 8002752273
PAYPAL *APPLE.COM/BILL
8002752273
CA
Description : MUSIC Price : 0.00
8002752273</t>
  </si>
  <si>
    <t>04/20/2025</t>
  </si>
  <si>
    <t>10178399814 6502624771
PAYPAL *POSHMARK
6502624771
CA
Description : USED AND SECONDHAND Price : 0.00
6502624771</t>
  </si>
  <si>
    <t>04/22/2025</t>
  </si>
  <si>
    <t>DEPOP               BROOKLYN            NY</t>
  </si>
  <si>
    <t>CH_3RGLOOAT +18449353879
DEPOP
BROOKLYN
NY
+18449353879</t>
  </si>
  <si>
    <t>581789835   www.adobe.com
ADOBE SYSTEMS Adobe Systems
SAN JOSE
CA
Description : 0 Price : 0.5999
www.adobe.com</t>
  </si>
  <si>
    <t>10178749117 4029357733
PAYPAL *EBAY 800-456-3229
4029357733
CA
Description : VARIETY STORE Price : 0.00
4029357733</t>
  </si>
  <si>
    <t>04/26/2025</t>
  </si>
  <si>
    <t>04/28/2025</t>
  </si>
  <si>
    <t>CH_3RJKY1B7 +13854834872
SPONSORCLOUD (SYNPRO)
SALT LAKE CITY
UT
+13854834872</t>
  </si>
  <si>
    <t>04/30/2025</t>
  </si>
  <si>
    <t>10179182927 4029357733
PAYPAL *EBAY 800-456-3229
4029357733
CA
Description : VARIETY STORE Price : 0.00
4029357733</t>
  </si>
  <si>
    <t>05/01/2025</t>
  </si>
  <si>
    <t>10179261568 4029357733
PAYPAL *EBAY 800-456-3229
4029357733
CA
Description : VARIETY STORE Price : 0.00
4029357733</t>
  </si>
  <si>
    <t>05/02/2025</t>
  </si>
  <si>
    <t>10179401648 8446593879
PAYPAL *ETSY INC
8446593879
NY
Description : MISC. GENERAL MERCH Price : 0.00
8446593879</t>
  </si>
  <si>
    <t>05/04/2025</t>
  </si>
  <si>
    <t>JOTGZ6N4S8Q805D195DB2DC1D2B 93101
FS *AVID TECHNOLOGY
877-327-8914
CA
805D195DB2DC1D2B 93101</t>
  </si>
  <si>
    <t>10179510471 4029357733
PAYPAL *EBAY 800-456-3229
4029357733
CA
Description : VARIETY STORE Price : 0.00
4029357733</t>
  </si>
  <si>
    <t>05/05/2025</t>
  </si>
  <si>
    <t>DROPBOX*X4Q5JN38WGK3SAN FRANCISCO       CA</t>
  </si>
  <si>
    <t>D5JZWYA9   614649680        94107
DROPBOX*X4Q5JN38WGK3
SAN FRANCISCO
CA
614649680        94107</t>
  </si>
  <si>
    <t>05/06/2025</t>
  </si>
  <si>
    <t>CH_3RMCEZBY 6468826260
REONOMY
NEW YORK
NY
6468826260</t>
  </si>
  <si>
    <t>05/07/2025</t>
  </si>
  <si>
    <t>584032927   ADOBE.LY/ENUS
ADOBE Adobe Systems
SAN JOSE
CA
Description : 0 Price : 0.2999
ADOBE.LY/ENUS</t>
  </si>
  <si>
    <t>PAYPAL *P36AC36BF3  2033189708          NY</t>
  </si>
  <si>
    <t>10179920854 2033189708
PAYPAL *P36AC36BF3
2033189708
NY
Description : GENERAL Price : 0.00
2033189708</t>
  </si>
  <si>
    <t>05/10/2025</t>
  </si>
  <si>
    <t>10179954304 93294327
PAYPAL *SOUNDLY
93294327
NO
Description : DIGITAL APPLICATION Price : 0.00
93294327</t>
  </si>
  <si>
    <t>05/11/2025</t>
  </si>
  <si>
    <t>10179979441 8002752273
PAYPAL *APPLE.COM/BILL
8002752273
CA
Description : MUSIC Price : 0.00
8002752273</t>
  </si>
  <si>
    <t>10180069756 767110326
19.95 UNITED KINGDOM POUND STERLING  CONVE
PAYPAL *RESUME IO RESUME.
767110326
NL
Description : HIRING SERVICES Price : 0.00
767110326Foreign Spend Amount: 19.95 UNITED KINGDOM POUND STERLING Commission Amount:  Currency Exchange Rate: null</t>
  </si>
  <si>
    <t>05/12/2025</t>
  </si>
  <si>
    <t>10180165121 6502624771
PAYPAL *POSHMARK
6502624771
CA
Description : USED AND SECONDHAND Price : 0.00
6502624771</t>
  </si>
  <si>
    <t>05/13/2025</t>
  </si>
  <si>
    <t>10180342440 4029357733
PAYPAL *EBAY 800-456-3229
4029357733
CA
Description : VARIETY STORE Price : 0.00
4029357733</t>
  </si>
  <si>
    <t>05/15/2025</t>
  </si>
  <si>
    <t>47357647053 CABLE &amp; PAY TV
NETFLIX.COM
866-579-7172
CA
CABLE &amp; PAY TV</t>
  </si>
  <si>
    <t>05/16/2025</t>
  </si>
  <si>
    <t>10180573566 4029357733
PAYPAL *ETSY INC
4029357733
NY
Description : MISC. GENERAL MERCH Price : 0.00
4029357733</t>
  </si>
  <si>
    <t>05/18/2025</t>
  </si>
  <si>
    <t>10180660397 4029357733
PAYPAL *ETSY INC
4029357733
NY
Description : MISC. GENERAL MERCH Price : 0.00
4029357733</t>
  </si>
  <si>
    <t>05/19/2025</t>
  </si>
  <si>
    <t>Z72G47RMZ0TZ72G47RMZ0TL     98052
MICROSOFT
MSBILL.INFO
Z72G47RMZ0TL     98052</t>
  </si>
  <si>
    <t>585723726   www.adobe.com
ADOBE SYSTEMS Adobe Systems
SAN JOSE
CA
Description : 0 Price : 0.5999
www.adobe.com</t>
  </si>
  <si>
    <t>10180688282 8002752273
PAYPAL *APPLE.COM/BILL
8002752273
CA
Description : MUSIC Price : 0.00
8002752273</t>
  </si>
  <si>
    <t>05/20/2025</t>
  </si>
  <si>
    <t>05/26/2025</t>
  </si>
  <si>
    <t>LIGHTBOX PARENT     SHELTON             CT</t>
  </si>
  <si>
    <t>49684083    855-337-5126
LIGHTBOX PARENT
SHELTON
CT
Description : BUSINESS SERVICES Price : 0.00
855-337-5126</t>
  </si>
  <si>
    <t>05/27/2025</t>
  </si>
  <si>
    <t>IBDCRODSRVE805D195DB2DC1D2B 93101
FS *AVID TECHNOLOGY
877-327-8914
CA
805D195DB2DC1D2B 93101</t>
  </si>
  <si>
    <t>06/04/2025</t>
  </si>
  <si>
    <t>DROPBOX*5VSCRB1XG2CJSAN FRANCISCO       CA</t>
  </si>
  <si>
    <t>ASXRR757   619822636        94107
DROPBOX*5VSCRB1XG2CJ
SAN FRANCISCO
CA
619822636        94107</t>
  </si>
  <si>
    <t>06/06/2025</t>
  </si>
  <si>
    <t>CH_3RXRQEBY 6468826260
REONOMY
NEW YORK
NY
6468826260</t>
  </si>
  <si>
    <t>06/07/2025</t>
  </si>
  <si>
    <t>588188774   ADOBE.LY/ENUS
ADOBE Adobe Systems
SAN JOSE
CA
Description : 0 Price : 0.2999
ADOBE.LY/ENUS</t>
  </si>
  <si>
    <t>10182313182 4029357733
PAYPAL *EBAY 800-456-3229
4029357733
CA
Description : VARIETY STORE Price : 0.00
4029357733</t>
  </si>
  <si>
    <t>06/08/2025</t>
  </si>
  <si>
    <t>10182384467 767110326
19.95 UNITED KINGDOM POUND STERLING  CONVE
PAYPAL *RESUME IO RESUME.
767110326
NL
Description : HIRING SERVICES Price : 0.00
767110326Foreign Spend Amount: 19.95 UNITED KINGDOM POUND STERLING Commission Amount:  Currency Exchange Rate: null</t>
  </si>
  <si>
    <t>06/09/2025</t>
  </si>
  <si>
    <t>10182406399 4029357733
PAYPAL *EBAY 800-456-3229
4029357733
CA
Description : VARIETY STORE Price : 0.00
4029357733</t>
  </si>
  <si>
    <t>10182412321 4029357733
PAYPAL *EBAY 800-456-3229
4029357733
CA
Description : VARIETY STORE Price : 0.00
4029357733</t>
  </si>
  <si>
    <t>PAYPAL *SPOTIFY*P3792033189708          NY</t>
  </si>
  <si>
    <t>10182479507 2033189708
PAYPAL *SPOTIFY*P3793337F
2033189708
NY
Description : GENERAL Price : 0.00
2033189708</t>
  </si>
  <si>
    <t>06/10/2025</t>
  </si>
  <si>
    <t>10182424249 4029357733
PAYPAL *ETSY INC
4029357733
NY
Description : MISC. GENERAL MERCH Price : 0.00
4029357733</t>
  </si>
  <si>
    <t>10182516328 93294327
PAYPAL *SOUNDLY
93294327
NO
Description : DIGITAL APPLICATION Price : 0.00
93294327</t>
  </si>
  <si>
    <t>06/11/2025</t>
  </si>
  <si>
    <t>10182548467 8002752273
PAYPAL *APPLE.COM/BILL
8002752273
CA
Description : MUSIC Price : 0.00
8002752273</t>
  </si>
  <si>
    <t>10182879709 6502624771
PAYPAL *POSHMARK
6502624771
CA
Description : USED AND SECONDHAND Price : 0.00
6502624771</t>
  </si>
  <si>
    <t>06/15/2025</t>
  </si>
  <si>
    <t>10182882830 6502624771
PAYPAL *POSHMARK
6502624771
CA
Description : USED AND SECONDHAND Price : 0.00
6502624771</t>
  </si>
  <si>
    <t>10182834432 4029357733
PAYPAL *ETSY INC
4029357733
NY
Description : MISC. GENERAL MERCH Price : 0.00
4029357733</t>
  </si>
  <si>
    <t>48762264566 NETFLIX.COM
NETFLIX.COM
866-579-7172
CA
NETFLIX.COM</t>
  </si>
  <si>
    <t>06/16/2025</t>
  </si>
  <si>
    <t>Z73864XLZ6P MSBILL.INFO
MICROSOFT*MICROSOFT 365 F
MSBILL.INFO
WA
MSBILL.INFO</t>
  </si>
  <si>
    <t>06/18/2025</t>
  </si>
  <si>
    <t>590456139   www.adobe.com
ADOBE SYSTEMS Adobe Systems
SAN JOSE
CA
Description : 0 Price : 0.5999
www.adobe.com</t>
  </si>
  <si>
    <t>06/19/2025</t>
  </si>
  <si>
    <t>10183246812 8002752273
PAYPAL *APPLE.COM/BILL
8002752273
CA
Description : MUSIC Price : 0.00
8002752273</t>
  </si>
  <si>
    <t>06/20/2025</t>
  </si>
  <si>
    <t>10183380846 8665761039
PAYPAL *UBER
8665761039
CA
Description : TAXICABS AND LIMOUS Price : 0.00
8665761039</t>
  </si>
  <si>
    <t>06/21/2025</t>
  </si>
  <si>
    <t>10183353585 8665761039
PAYPAL *UBER
8665761039
CA
Description : TAXICABS AND LIMOUS Price : 0.00
8665761039</t>
  </si>
  <si>
    <t>10183380239 8665761039
PAYPAL *UBER
8665761039
CA
Description : TAXICABS AND LIMOUS Price : 0.00
8665761039</t>
  </si>
  <si>
    <t>10183339310 6502624771
PAYPAL *POSHMARK
6502624771
CA
Description : USED AND SECONDHAND Price : 0.00
6502624771</t>
  </si>
  <si>
    <t>10183434903 8665761039
PAYPAL *UBER
8665761039
CA
Description : TAXICABS AND LIMOUS Price : 0.00
8665761039</t>
  </si>
  <si>
    <t>06/22/2025</t>
  </si>
  <si>
    <t>10183455325 4029357733
PAYPAL *EBAY 800-456-3229
4029357733
CA
Description : VARIETY STORE Price : 0.00
4029357733</t>
  </si>
  <si>
    <t>10183531663 4029357733
PAYPAL *ETSY INC
4029357733
NY
Description : MISC. GENERAL MERCH Price : 0.00
4029357733</t>
  </si>
  <si>
    <t>06/23/2025</t>
  </si>
  <si>
    <t>10183531665 4029357733
PAYPAL *EBAY 800-456-3229
4029357733
CA
Description : VARIETY STORE Price : 0.00
4029357733</t>
  </si>
  <si>
    <t>10183605226 8665761039
PAYPAL *UBER
8665761039
CA
Description : TAXICABS AND LIMOUS Price : 0.00
8665761039</t>
  </si>
  <si>
    <t>06/24/2025</t>
  </si>
  <si>
    <t>10183633428 8665761039
PAYPAL *UBER
8665761039
CA
Description : TAXICABS AND LIMOUS Price : 0.00
8665761039</t>
  </si>
  <si>
    <t>10183700231 6502624771
PAYPAL *POSHMARK
6502624771
CA
Description : USED AND SECONDHAND Price : 0.00
6502624771</t>
  </si>
  <si>
    <t>06/25/2025</t>
  </si>
  <si>
    <t>10183888791 4029357733
PAYPAL *EBAY 800-456-3229
4029357733
CA
Description : VARIETY STORE Price : 0.00
4029357733</t>
  </si>
  <si>
    <t>06/27/2025</t>
  </si>
  <si>
    <t>10184019320 6502624771
PAYPAL *POSHMARK
6502624771
CA
Description : USED AND SECONDHAND Price : 0.00
6502624771</t>
  </si>
  <si>
    <t>06/29/2025</t>
  </si>
  <si>
    <t>10184114811 4029357733
PAYPAL *EBAY 800-456-3229
4029357733
CA
Description : VARIETY STORE Price : 0.00
4029357733</t>
  </si>
  <si>
    <t>06/30/2025</t>
  </si>
  <si>
    <t>10184322474 4029357733
PAYPAL *ETSY INC
4029357733
NY
Description : MISC. GENERAL MERCH Price : 0.00
4029357733</t>
  </si>
  <si>
    <t>07/02/2025</t>
  </si>
  <si>
    <t>AJOWVXUGT3E805D195DB2DC1D2B 93101
FS *AVID TECHNOLOGY
877-327-8914
CA
805D195DB2DC1D2B 93101</t>
  </si>
  <si>
    <t>07/04/2025</t>
  </si>
  <si>
    <t>10184536739 4029357733
PAYPAL *EBAY 800-456-3229
4029357733
CA
Description : VARIETY STORE Price : 0.00
4029357733</t>
  </si>
  <si>
    <t>07/05/2025</t>
  </si>
  <si>
    <t>DROPBOX*S87K82H2DVNKSAN FRANCISCO       CA</t>
  </si>
  <si>
    <t>JEB315G1   624098230        94107
DROPBOX*S87K82H2DVNK
SAN FRANCISCO
CA
624098230        94107</t>
  </si>
  <si>
    <t>07/06/2025</t>
  </si>
  <si>
    <t>CH_3RIJIGBY 6468826260
REONOMY
NEW YORK
NY
6468826260</t>
  </si>
  <si>
    <t>07/07/2025</t>
  </si>
  <si>
    <t>10184687414 767110326
19.95 UNITED KINGDOM POUND STERLING  CONVE
PAYPAL *RESUME IO RESUME.
767110326
NL
Description : HIRING SERVICES Price : 0.00
767110326Foreign Spend Amount: 19.95 UNITED KINGDOM POUND STERLING Commission Amount:  Currency Exchange Rate: null</t>
  </si>
  <si>
    <t>594036148   ADOBE.LY/ENUS
ADOBE Adobe Systems
SAN JOSE
CA
Description : 0 Price : 0.2999
ADOBE.LY/ENUS</t>
  </si>
  <si>
    <t>PAYPAL *SPOTIFY*P3872033189708          NY</t>
  </si>
  <si>
    <t>10184952003 2033189708
PAYPAL *SPOTIFY*P38782D27
2033189708
NY
Description : GENERAL Price : 0.00
2033189708</t>
  </si>
  <si>
    <t>07/10/2025</t>
  </si>
  <si>
    <t>10184992038 93294327
PAYPAL *SOUNDLY
93294327
NO
Description : DIGITAL APPLICATION Price : 0.00
93294327</t>
  </si>
  <si>
    <t>07/11/2025</t>
  </si>
  <si>
    <t>10185020027 8002752273
PAYPAL *APPLE.COM/BILL
8002752273
CA
Description : MUSIC Price : 0.00
8002752273</t>
  </si>
  <si>
    <t>10185127784 4029357733
PAYPAL *EBAY 800-456-3229
4029357733
CA
Description : VARIETY STORE Price : 0.00
4029357733</t>
  </si>
  <si>
    <t>07/12/2025</t>
  </si>
  <si>
    <t>10185064346 4029357733
PAYPAL *EBAY 800-456-3229
4029357733
CA
Description : VARIETY STORE Price : 0.00
4029357733</t>
  </si>
  <si>
    <t>H6RGDBQ3   89825994         94104
GRAMMARLY.COM (888)318-6146
SAN FRANCISCO
CA
89825994         94104</t>
  </si>
  <si>
    <t>10185169366 6502624771
PAYPAL *POSHMARK
6502624771
CA
Description : USED AND SECONDHAND Price : 0.00
6502624771</t>
  </si>
  <si>
    <t>07/13/2025</t>
  </si>
  <si>
    <t>10185130567 4029357733
PAYPAL *ETSY INC
4029357733
NY
Description : MISC. GENERAL MERCH Price : 0.00
4029357733</t>
  </si>
  <si>
    <t>10185175818 4029357733
PAYPAL *EBAY 800-456-3229
4029357733
CA
Description : VARIETY STORE Price : 0.00
4029357733</t>
  </si>
  <si>
    <t>PAYPAL *BLACKMOONCO 8182632784          CA</t>
  </si>
  <si>
    <t>10185171014 8182632784
PAYPAL *BLACKMOONCO
8182632784
CA
Description : COSMETIC STORES Price : 0.00
8182632784</t>
  </si>
  <si>
    <t>10185361380 4029357733
PAYPAL *ETSY INC
4029357733
NY
Description : MISC. GENERAL MERCH Price : 0.00
4029357733</t>
  </si>
  <si>
    <t>07/15/2025</t>
  </si>
  <si>
    <t>50121674982 CABLE &amp; PAY TV
NETFLIX.COM
866-579-7172
CA
CABLE &amp; PAY TV</t>
  </si>
  <si>
    <t>07/16/2025</t>
  </si>
  <si>
    <t>07/17/2025</t>
  </si>
  <si>
    <t>10185688675 4029357733
PAYPAL *ETSY INC
4029357733
NY
Description : MISC. GENERAL MERCH Price : 0.00
4029357733</t>
  </si>
  <si>
    <t>07/19/2025</t>
  </si>
  <si>
    <t>Z72F7ZT6S9AZ72F7ZT6S9A4     98052
MICROSOFT
MSBILL.INFO
Z72F7ZT6S9A4     98052</t>
  </si>
  <si>
    <t>596478360   www.adobe.com
ADOBE SYSTEMS Adobe Systems
SAN JOSE
CA
Description : 0 Price : 0.5999
www.adobe.com</t>
  </si>
  <si>
    <t>10185704059 8002752273
PAYPAL *APPLE.COM/BILL
8002752273
CA
Description : MUSIC Price : 0.00
8002752273</t>
  </si>
  <si>
    <t>07/20/2025</t>
  </si>
  <si>
    <t>CH_3RN2AEAT +18449353879
DEPOP
BROOKLYN
NY
+18449353879</t>
  </si>
  <si>
    <t>CH_3RN6WRAT +18449353879
DEPOP
BROOKLYN
NY
+18449353879</t>
  </si>
  <si>
    <t>CH_3RPEP1AT +18449353879
DEPOP
BROOKLYN
NY
+18449353879</t>
  </si>
  <si>
    <t>07/26/2025</t>
  </si>
  <si>
    <t>CH_3RPZR6AT +18449353879
DEPOP
BROOKLYN
NY
+18449353879</t>
  </si>
  <si>
    <t>07/28/2025</t>
  </si>
  <si>
    <t>10186508459 6502624771
PAYPAL *POSHMARK
6502624771
CA
Description : USED AND SECONDHAND Price : 0.00
6502624771</t>
  </si>
  <si>
    <t>07/29/2025</t>
  </si>
  <si>
    <t>10186508178 6502624771
PAYPAL *POSHMARK
6502624771
CA
Description : USED AND SECONDHAND Price : 0.00
6502624771</t>
  </si>
  <si>
    <t>CH_3RQNZPAT +18449353879
DEPOP
BROOKLYN
NY
+18449353879</t>
  </si>
  <si>
    <t>07/30/2025</t>
  </si>
  <si>
    <t>10186654987 416131887
PAYPAL *CANVA
416131887
DE
Description : OEM SOFTWARE Price : 0.00
416131887</t>
  </si>
  <si>
    <t>07/31/2025</t>
  </si>
  <si>
    <t>10186902961 4029357733
PAYPAL *EBAY 800-456-3229
4029357733
CA
Description : VARIETY STORE Price : 0.00
4029357733</t>
  </si>
  <si>
    <t>08/03/2025</t>
  </si>
  <si>
    <t>10186973654 767110326
19.95 UNITED KINGDOM POUND STERLING  CONVE
PAYPAL *RESUME IO RESUME.
767110326
NL
Description : HIRING SERVICES Price : 0.00
767110326Foreign Spend Amount: 19.95 UNITED KINGDOM POUND STERLING Commission Amount:  Currency Exchange Rate: null</t>
  </si>
  <si>
    <t>08/04/2025</t>
  </si>
  <si>
    <t>S6NXCNO-RMO805D195DB2DC1D2B 93101
FS *AVID TECHNOLOGY
877-327-8914
CA
805D195DB2DC1D2B 93101</t>
  </si>
  <si>
    <t>DROPBOX*FL63QJK81WJXSAN FRANCISCO       CA</t>
  </si>
  <si>
    <t>5QGZCSSS   627608239        94107
DROPBOX*FL63QJK81WJX
SAN FRANCISCO
CA
627608239        94107</t>
  </si>
  <si>
    <t>08/05/2025</t>
  </si>
  <si>
    <t>CH_3RTYUPBY 6468826260
REONOMY
NEW YORK
NY
6468826260</t>
  </si>
  <si>
    <t>08/07/2025</t>
  </si>
  <si>
    <t>510391586   ADOBE.LY/ENUS
ADOBE Adobe Systems
SAN JOSE
CA
Description : 0 Price : 0.2999
ADOBE.LY/ENUS</t>
  </si>
  <si>
    <t>PAYPAL *SPOTIFY*P3962033189708          NY</t>
  </si>
  <si>
    <t>10187458948 2033189708
PAYPAL *SPOTIFY*P396AC7BB
2033189708
NY
Description : GENERAL Price : 0.00
2033189708</t>
  </si>
  <si>
    <t>08/10/2025</t>
  </si>
  <si>
    <t>10187494054 93294327
PAYPAL *SOUNDLY
93294327
NO
Description : DIGITAL APPLICATION Price : 0.00
93294327</t>
  </si>
  <si>
    <t>08/11/2025</t>
  </si>
  <si>
    <t>10187527778 8002752273
PAYPAL *APPLE.COM/BILL
8002752273
CA
Description : MUSIC Price : 0.00
8002752273</t>
  </si>
  <si>
    <t>10187817367 8182632784
PAYPAL *BLACKMOONCO
8182632784
CA
Description : COSMETIC STORES Price : 0.00
8182632784</t>
  </si>
  <si>
    <t>08/15/2025</t>
  </si>
  <si>
    <t>51526573087 CABLE &amp; PAY TV
NETFLIX.COM
866-579-7172
CA
CABLE &amp; PAY TV</t>
  </si>
  <si>
    <t>08/16/2025</t>
  </si>
  <si>
    <t>CH_3RWZ5RAT +18449353879
DEPOP
BROOKLYN
NY
+18449353879</t>
  </si>
  <si>
    <t>10188127552 4029357733
PAYPAL *ETSY INC
4029357733
NY
Description : MISC. GENERAL MERCH Price : 0.00
4029357733</t>
  </si>
  <si>
    <t>08/18/2025</t>
  </si>
  <si>
    <t>10188127789 4029357733
PAYPAL *EBAY 800-456-3229
4029357733
CA
Description : VARIETY STORE Price : 0.00
4029357733</t>
  </si>
  <si>
    <t>Z7399XBYRK4Z7399XBYRK4P     98052
MICROSOFT
MSBILL.INFO
Z7399XBYRK4P     98052</t>
  </si>
  <si>
    <t>08/19/2025</t>
  </si>
  <si>
    <t>512734182   www.adobe.com
ADOBE SYSTEMS Adobe Systems
SAN JOSE
CA
Description : DEFAULT Price : 0.5999
www.adobe.com</t>
  </si>
  <si>
    <t>10188284165 4029357733
PAYPAL *ETSY INC
4029357733
NY
Description : MISC. GENERAL MERCH Price : 0.00
4029357733</t>
  </si>
  <si>
    <t>08/20/2025</t>
  </si>
  <si>
    <t>10188221214 8002752273
PAYPAL *APPLE.COM/BILL
8002752273
CA
Description : MUSIC Price : 0.00
8002752273</t>
  </si>
  <si>
    <t>10188339261 8665761039
PAYPAL *UBER
8665761039
CA
Description : TAXICABS AND LIMOUS Price : 0.00
8665761039</t>
  </si>
  <si>
    <t>08/21/2025</t>
  </si>
  <si>
    <t>10188339975 8665761039
PAYPAL *UBER
8665761039
CA
Description : TAXICABS AND LIMOUS Price : 0.00
8665761039</t>
  </si>
  <si>
    <t>10188460237 4029357733
PAYPAL *ETSY INC
4029357733
NY
Description : MISC. GENERAL MERCH Price : 0.00
4029357733</t>
  </si>
  <si>
    <t>08/23/2025</t>
  </si>
  <si>
    <t>Entertainment-General Events</t>
  </si>
  <si>
    <t>PAYPAL *STUBHUB INC 8667882482          NY</t>
  </si>
  <si>
    <t>10188654009 8667882482
PAYPAL *STUBHUB INC
8667882482
NY
Description : CONCERT TICKETS Price : 0.00
8667882482</t>
  </si>
  <si>
    <t>08/25/2025</t>
  </si>
  <si>
    <t>08/28/2025</t>
  </si>
  <si>
    <t>RE_3RWZ5RAT +18449353879
DEPOP
BROOKLYN
NY
+18449353879</t>
  </si>
  <si>
    <t>4FRMIYAZP3L DIGITAL
PRIME VIDEO CHANNELS
AMZN.COM/BILL
WA
DIGITAL</t>
  </si>
  <si>
    <t>08/31/2025</t>
  </si>
  <si>
    <t>10189160959 4029357733
PAYPAL *EBAY 800-456-3229
4029357733
CA
Description : VARIETY STORE Price : 0.00
4029357733</t>
  </si>
  <si>
    <t>10189163068 416131887
PAYPAL *CANVA
416131887
DE
Description : OEM SOFTWARE Price : 0.00
416131887</t>
  </si>
  <si>
    <t>10189244343 767110326
19.95 UNITED KINGDOM POUND STERLING  CONVE
PAYPAL *RESUME IO RESUME.
767110326
NL
Description : HIRING SERVICES Price : 0.00
767110326Foreign Spend Amount: 19.95 UNITED KINGDOM POUND STERLING Commission Amount:  Currency Exchange Rate: null</t>
  </si>
  <si>
    <t>09/01/2025</t>
  </si>
  <si>
    <t>0CSP0VOHQEW805D195DB2DC1D2B 93101
FS *AVID TECHNOLOGY
877-327-8914
CA
805D195DB2DC1D2B 93101</t>
  </si>
  <si>
    <t>09/04/2025</t>
  </si>
  <si>
    <t>10189672641 6502624771
PAYPAL *POSHMARK
6502624771
CA
Description : USED AND SECONDHAND Price : 0.00
6502624771</t>
  </si>
  <si>
    <t>09/06/2025</t>
  </si>
  <si>
    <t>DROPBOX*Z3N59LY34CGPSAN FRANCISCO       CA</t>
  </si>
  <si>
    <t>240NQ3F1   631125421        94107
DROPBOX*Z3N59LY34CGP
SAN FRANCISCO
CA
631125421        94107</t>
  </si>
  <si>
    <t>CH_3S4NGGBY 6468826260
REONOMY
NEW YORK
NY
6468826260</t>
  </si>
  <si>
    <t>09/07/2025</t>
  </si>
  <si>
    <t>516625237   ADOBE.LY/ENUS
ADOBE Adobe Systems
SAN JOSE
CA
Description : DEFAULT Price : 0.2999
ADOBE.LY/ENUS</t>
  </si>
  <si>
    <t>10189849963 6502624771
PAYPAL *POSHMARK
6502624771
CA
Description : USED AND SECONDHAND Price : 0.00
6502624771</t>
  </si>
  <si>
    <t>09/08/2025</t>
  </si>
  <si>
    <t>10189854967 4029357733
PAYPAL *EBAY 800-456-3229
4029357733
CA
Description : VARIETY STORE Price : 0.00
4029357733</t>
  </si>
  <si>
    <t>PAYPAL *SPOTIFY*P3A62033189708          NY</t>
  </si>
  <si>
    <t>10190014751 2033189708
PAYPAL *SPOTIFY*P3A6A43B9
2033189708
NY
Description : GENERAL Price : 0.00
2033189708</t>
  </si>
  <si>
    <t>09/10/2025</t>
  </si>
  <si>
    <t>10190055216 93294327
PAYPAL *SOUNDLY
93294327
NO
Description : DIGITAL APPLICATION Price : 0.00
93294327</t>
  </si>
  <si>
    <t>09/11/2025</t>
  </si>
  <si>
    <t>10190083195 8002752273
PAYPAL *APPLE.COM/BILL
8002752273
CA
Description : MUSIC Price : 0.00
8002752273</t>
  </si>
  <si>
    <t>CH_3S6GNCAT +18449353879
DEPOP
BROOKLYN
NY
+18449353879</t>
  </si>
  <si>
    <t>10190268315 4029357733
PAYPAL *EBAY 800-456-3229
4029357733
CA
Description : VARIETY STORE Price : 0.00
4029357733</t>
  </si>
  <si>
    <t>09/13/2025</t>
  </si>
  <si>
    <t>52929393626 CABLE &amp; PAY TV
NETFLIX.COM
866-579-7172
CA
CABLE &amp; PAY TV</t>
  </si>
  <si>
    <t>09/16/2025</t>
  </si>
  <si>
    <t>Z73BBU9TC8JZ73BBU9TC8JI     98052
MICROSOFT
MSBILL.INFO
Z73BBU9TC8JI     98052</t>
  </si>
  <si>
    <t>09/19/2025</t>
  </si>
  <si>
    <t>519145820   www.adobe.com
ADOBE SYSTEMS Adobe Systems
SAN JOSE
CA
Description : DEFAULT Price : 0.5999
www.adobe.com</t>
  </si>
  <si>
    <t>10190789609 8002752273
PAYPAL *APPLE.COM/BILL
8002752273
CA
Description : MUSIC Price : 0.00
8002752273</t>
  </si>
  <si>
    <t>09/20/2025</t>
  </si>
  <si>
    <t>10190927384 6502624771
PAYPAL *POSHMARK
6502624771
CA
Description : USED AND SECONDHAND Price : 0.00
6502624771</t>
  </si>
  <si>
    <t>09/21/2025</t>
  </si>
  <si>
    <t>10190929598 4029357733
PAYPAL *EBAY 800-456-3229
4029357733
CA
Description : VARIETY STORE Price : 0.00
4029357733</t>
  </si>
  <si>
    <t>10190857239 4029357733
PAYPAL *EBAY 800-456-3229
4029357733
CA
Description : VARIETY STORE Price : 0.00
4029357733</t>
  </si>
  <si>
    <t>CH_3SAIOIAT +18449353879
DEPOP
BROOKLYN
NY
+18449353879</t>
  </si>
  <si>
    <t>09/22/2025</t>
  </si>
  <si>
    <t>10191243631 4029357733
PAYPAL *EBAY 800-456-3229
4029357733
CA
Description : VARIETY STORE Price : 0.00
4029357733</t>
  </si>
  <si>
    <t>09/25/2025</t>
  </si>
  <si>
    <t>10191572576 767110326
19.95 UNITED KINGDOM POUND STERLING  CONVE
PAYPAL *RESUME IO RESUME.
767110326
NL
Description : HIRING SERVICES Price : 0.00
767110326Foreign Spend Amount: 19.95 UNITED KINGDOM POUND STERLING Commission Amount:  Currency Exchange Rate: null</t>
  </si>
  <si>
    <t>09/29/2025</t>
  </si>
  <si>
    <t>10191680186 416131887
PAYPAL *CANVA
416131887
DE
Description : OEM SOFTWARE Price : 0.00
416131887</t>
  </si>
  <si>
    <t>09/30/2025</t>
  </si>
  <si>
    <t>10/03/2025</t>
  </si>
  <si>
    <t>O27HTZ4AS6G805D195DB2DC1D2B 93101
FS *AVID TECHNOLOGY
877-327-8914
CA
805D195DB2DC1D2B 93101</t>
  </si>
  <si>
    <t>10/04/2025</t>
  </si>
  <si>
    <t>DROPBOX*SQ9NH8YFR7SBSAN FRANCISCO       CA</t>
  </si>
  <si>
    <t>BFHW6SV2   634620865        94107
DROPBOX*SQ9NH8YFR7SB
SAN FRANCISCO
CA
634620865        94107</t>
  </si>
  <si>
    <t>10/05/2025</t>
  </si>
  <si>
    <t>CH_3SFFYUBY 6468826260
REONOMY
NEW YORK
NY
6468826260</t>
  </si>
  <si>
    <t>10/07/2025</t>
  </si>
  <si>
    <t>522911979   ADOBE.LY/ENUS
ADOBE Adobe Systems
SAN JOSE
CA
Description : DEFAULT Price : 0.2999
ADOBE.LY/ENUS</t>
  </si>
  <si>
    <t>PAYPAL *SPOTIFY*P3B52033189708          NY</t>
  </si>
  <si>
    <t>10192523698 2033189708
PAYPAL *SPOTIFY*P3B5F1742
2033189708
NY
Description : GENERAL Price : 0.00
2033189708</t>
  </si>
  <si>
    <t>10/10/2025</t>
  </si>
  <si>
    <t>10192557887 93294327
PAYPAL *SOUNDLY
93294327
NO
Description : DIGITAL APPLICATION Price : 0.00
93294327</t>
  </si>
  <si>
    <t>10/11/2025</t>
  </si>
  <si>
    <t>10192586744 8002752273
PAYPAL *APPLE.COM/BILL
8002752273
CA
Description : MUSIC Price : 0.00
8002752273</t>
  </si>
  <si>
    <t>ED340MVK   92687878         94114
GRAMMARLY.COM (888)318-6146
SAN FRANCISCO
CA
92687878         94114</t>
  </si>
  <si>
    <t>10/12/2025</t>
  </si>
  <si>
    <t>PAYPAL *UBER EATS   8665761039          CA</t>
  </si>
  <si>
    <t>10192922646 8665761039
PAYPAL *UBER EATS
8665761039
CA
Description : RESTAURANT Price : 0.00
8665761039</t>
  </si>
  <si>
    <t>10/15/2025</t>
  </si>
  <si>
    <t>10192926804 8665761039
PAYPAL *UBER EATS
8665761039
CA
Description : RESTAURANT Price : 0.00
8665761039</t>
  </si>
  <si>
    <t>10032046   8007467287
PHARMACIES
CVS PHARMACY
LOS ANGELES
CA
PHARMACIES
8007467287</t>
  </si>
  <si>
    <t>10192958982 4029357733
PAYPAL *ETSY INC
4029357733
NY
Description : MISC. GENERAL MERCH Price : 0.00
4029357733</t>
  </si>
  <si>
    <t>10/16/2025</t>
  </si>
  <si>
    <t>10192958987 4029357733
PAYPAL *EBAY 800-456-3229
4029357733
CA
Description : VARIETY STORE Price : 0.00
4029357733</t>
  </si>
  <si>
    <t>54290099480 CABLE &amp; PAY TV
NETFLIX.COM
866-579-7172
CA
CABLE &amp; PAY TV</t>
  </si>
  <si>
    <t>10193080957 4029357733
PAYPAL *EBAY 800-456-3229
4029357733
CA
Description : VARIETY STORE Price : 0.00
4029357733</t>
  </si>
  <si>
    <t>10/17/2025</t>
  </si>
  <si>
    <t>10193257079 4029357733
PAYPAL *EBAY 800-456-3229
4029357733
CA
Description : VARIETY STORE Price : 0.00
4029357733</t>
  </si>
  <si>
    <t>10/19/2025</t>
  </si>
  <si>
    <t>Z72YDPAHNTMZ72YDPAHNTMF     98052
MICROSOFT
MSBILL.INFO
Z72YDPAHNTMF     98052</t>
  </si>
  <si>
    <t>525471234   www.adobe.com
ADOBE SYSTEMS Adobe Systems
SAN JOSE
CA
Description : DEFAULT Price : 0.6999
www.adobe.com</t>
  </si>
  <si>
    <t>10193279438 8002752273
PAYPAL *APPLE.COM/BILL
8002752273
CA
Description : MUSIC Price : 0.00
8002752273</t>
  </si>
  <si>
    <t>10/20/2025</t>
  </si>
  <si>
    <t>10193432845 4029357733
PAYPAL *EBAY 800-456-3229
4029357733
CA
Description : VARIETY STORE Price : 0.00
4029357733</t>
  </si>
  <si>
    <t>10/21/2025</t>
  </si>
  <si>
    <t>10193738274 6502624771
PAYPAL *POSHMARK
6502624771
CA
Description : USED AND SECONDHAND Price : 0.00
6502624771</t>
  </si>
  <si>
    <t>10/25/2025</t>
  </si>
  <si>
    <t>PAYPAL *RESUME IO RE0767110326          NL</t>
  </si>
  <si>
    <t>10193894159 0767110326
19.95 UNITED KINGDOM POUND STERLING  CONVE
PAYPAL *RESUME IO RESUME.IO
0767110326
NL
Description : HIRING SERVICES Price : 0.00
0767110326Foreign Spend Amount: 19.95 UNITED KINGDOM POUND STERLING Commission Amount:  Currency Exchange Rate: null</t>
  </si>
  <si>
    <t>10/27/2025</t>
  </si>
  <si>
    <t>10194163603 416131887
PAYPAL *CANVA
416131887
DE
Description : OEM SOFTWARE Price : 0.00
416131887</t>
  </si>
  <si>
    <t>10/30/2025</t>
  </si>
  <si>
    <t>10194245445 4029357733
PAYPAL *EBAY 800-456-3229
4029357733
CA
Description : VARIETY STORE Price : 0.00
4029357733</t>
  </si>
  <si>
    <t>10/31/2025</t>
  </si>
  <si>
    <t>10194277627 6502624771
PAYPAL *POSHMARK
6502624771
CA
Description : USED AND SECONDHAND Price : 0.00
6502624771</t>
  </si>
  <si>
    <t>11/01/2025</t>
  </si>
  <si>
    <t>DROPBOX*6XT9RZPPF1D9SAN FRANCISCO       CA</t>
  </si>
  <si>
    <t>HDG5DV72   638135883        94107
DROPBOX*6XT9RZPPF1D9
SAN FRANCISCO
CA
638135883        94107</t>
  </si>
  <si>
    <t>11/05/2025</t>
  </si>
  <si>
    <t>CH_3SQUL8BY 6468826260
REONOMY
NEW YORK
NY
6468826260</t>
  </si>
  <si>
    <t>11/07/2025</t>
  </si>
  <si>
    <t>529677563   ADOBE.LY/ENUS
ADOBE Adobe Systems
SAN JOSE
CA
Description : DEFAULT Price : 0.2999
ADOBE.LY/ENUS</t>
  </si>
  <si>
    <t>PAYPAL *SPOTIFY*P3C42033189708          NY</t>
  </si>
  <si>
    <t>10195073481 2033189708
PAYPAL *SPOTIFY*P3C4BE17F
2033189708
NY
Description : GENERAL Price : 0.00
2033189708</t>
  </si>
  <si>
    <t>11/10/2025</t>
  </si>
  <si>
    <t>10195115891 93294327
PAYPAL *SOUNDLY
93294327
NO
Description : DIGITAL APPLICATION Price : 0.00
93294327</t>
  </si>
  <si>
    <t>11/11/2025</t>
  </si>
  <si>
    <t>10195152020 8002752273
PAYPAL *APPLE.COM/BILL
8002752273
CA
Description : MUSIC Price : 0.00
8002752273</t>
  </si>
  <si>
    <t>10195511148 4029357733
PAYPAL *ETSY INC
4029357733
NY
Description : MISC. GENERAL MERCH Price : 0.00
4029357733</t>
  </si>
  <si>
    <t>11/15/2025</t>
  </si>
  <si>
    <t>55701510376 CABLE &amp; PAY TV
NETFLIX.COM
866-579-7172
CA
CABLE &amp; PAY TV</t>
  </si>
  <si>
    <t>11/16/2025</t>
  </si>
  <si>
    <t>10195702983 4029357733
PAYPAL *EBAY 800-456-3229
4029357733
CA
Description : VARIETY STORE Price : 0.00
4029357733</t>
  </si>
  <si>
    <t>11/17/2025</t>
  </si>
  <si>
    <t>PAYPAL *ALLINMERCH  5183666946          NY</t>
  </si>
  <si>
    <t>10195788515 5183666946
PAYPAL *ALLINMERCH
5183666946
NY
Description : FAMILY CLOTHING STO Price : 0.00
5183666946</t>
  </si>
  <si>
    <t>11/18/2025</t>
  </si>
  <si>
    <t>Z72UFL2YTNNZ72UFL2YTNNK     98052
MICROSOFT
MSBILL.INFO
Z72UFL2YTNNK     98052</t>
  </si>
  <si>
    <t>11/19/2025</t>
  </si>
  <si>
    <t>532117793   www.adobe.com
ADOBE SYSTEMS Adobe Systems
SAN JOSE
CA
Description : DEFAULT Price : 0.6999
www.adobe.com</t>
  </si>
  <si>
    <t>CH_3SWQBKA8 +15125374087
RESTORE.COM
AUSTIN
TX
+15125374087</t>
  </si>
  <si>
    <t>11/22/2025</t>
  </si>
  <si>
    <t>10196311659 767110326
19.95 UNITED KINGDOM POUND STERLING  CONVE
PAYPAL *RESUME IO RESUME.IO
767110326
NL
Description : HIRING SERVICES Price : 0.00
767110326Foreign Spend Amount: 19.95 UNITED KINGDOM POUND STERLING Commission Amount:  Currency Exchange Rate: null</t>
  </si>
  <si>
    <t>11/24/2025</t>
  </si>
  <si>
    <t>11/26/2025</t>
  </si>
  <si>
    <t>10196949805 416131887
PAYPAL *CANVA
416131887
DE
Description : OEM SOFTWARE Price : 0.00
416131887</t>
  </si>
  <si>
    <t>11/30/2025</t>
  </si>
  <si>
    <t>PAYPAL *SHEINUSSERV 17135246286         DE</t>
  </si>
  <si>
    <t>10196985952 17135246286
PAYPAL *SHEINUSSERV
17135246286
DE
Description : WOMEN'S CLOTHING Price : 0.00
17135246286</t>
  </si>
  <si>
    <t>12/01/2025</t>
  </si>
  <si>
    <t>PAYPAL *TIKTOK SHOP 6505840896          CA</t>
  </si>
  <si>
    <t>10197225540 6505840896
PAYPAL *TIKTOK SHOP
6505840896
CA
Description : GENERAL Price : 0.00
6505840896</t>
  </si>
  <si>
    <t>12/02/2025</t>
  </si>
  <si>
    <t>Renewal Fee</t>
  </si>
  <si>
    <t>12/03/2025</t>
  </si>
  <si>
    <t>DROPBOX*PDPC7782JYGWSAN FRANCISCO       CA</t>
  </si>
  <si>
    <t>6BCY5FW6   641599997        94107
DROPBOX*PDPC7782JYGW
SAN FRANCISCO
CA
641599997        94107</t>
  </si>
  <si>
    <t>12/05/2025</t>
  </si>
  <si>
    <t>CH_3SBMDABY 6468826260
REONOMY
NEW YORK
NY
6468826260</t>
  </si>
  <si>
    <t>12/07/2025</t>
  </si>
  <si>
    <t>10197668067 4029357733
PAYPAL *EBAY 800-456-3229
4029357733
CA
Description : VARIETY STORE Price : 0.00
4029357733</t>
  </si>
  <si>
    <t>536204909   ADOBE.LY/ENUS
ADOBE Adobe Systems
SAN JOSE
CA
Description : DEFAULT Price : 0.2999
ADOBE.LY/ENUS</t>
  </si>
  <si>
    <t>10197782009 8446593879
PAYPAL *ETSY INC
8446593879
NY
Description : MISC. GENERAL MERCH Price : 0.00
8446593879</t>
  </si>
  <si>
    <t>12/08/2025</t>
  </si>
  <si>
    <t>10197746553 4029357733
PAYPAL *ETSY INC
4029357733
NY
Description : MISC. GENERAL MERCH Price : 0.00
4029357733</t>
  </si>
  <si>
    <t>PAYPAL *SPOTIFY*P3D42033189708          NY</t>
  </si>
  <si>
    <t>10197958977 2033189708
PAYPAL *SPOTIFY*P3D4B816E
2033189708
NY
Description : GENERAL Price : 0.00
2033189708</t>
  </si>
  <si>
    <t>12/10/2025</t>
  </si>
  <si>
    <t>10198006277 93294327
PAYPAL *SOUNDLY
93294327
NO
Description : DIGITAL APPLICATION Price : 0.00
93294327</t>
  </si>
  <si>
    <t>12/11/2025</t>
  </si>
  <si>
    <t>10198043274 8002752273
PAYPAL *APPLE.COM/BILL
8002752273
CA
Description : MUSIC Price : 0.00
8002752273</t>
  </si>
  <si>
    <t>57053627809 NETFLIX.COM
NETFLIX.COM
866-579-7172
CA
NETFLIX.COM</t>
  </si>
  <si>
    <t>12/16/2025</t>
  </si>
  <si>
    <t>DWG-RE Platform (Canceled)</t>
  </si>
  <si>
    <t>LASTPASS.COM        BOSTON              MA</t>
  </si>
  <si>
    <t>40466747QJ6 SAAS
LASTPASS.COM
BOSTON
MA
SAAS</t>
  </si>
  <si>
    <t>12/18/2025</t>
  </si>
  <si>
    <t>Z72YHGRFAFM MSBILL.INFO
MICROSOFT*MICROSOFT 365 F
MSBILL.INFO
WA
MSBILL.INFO</t>
  </si>
  <si>
    <t>12/19/2025</t>
  </si>
  <si>
    <t>538929008   www.adobe.com
ADOBE SYSTEMS Adobe Systems
SAN JOSE
CA
Description : DEFAULT Price : 0.6999
www.adobe.com</t>
  </si>
  <si>
    <t>10198961903 4029357733
PAYPAL *PDFNET
4029357733
CA
Description : DIGITAL APPLICATION Price : 0.00
4029357733</t>
  </si>
  <si>
    <t>12/21/2025</t>
  </si>
  <si>
    <t>10199031816 767110326
19.95 UNITED KINGDOM POUND STERLING  CONVE
PAYPAL *RESUME IO RESUME.
767110326
NL
Description : HIRING SERVICES Price : 0.00
767110326Foreign Spend Amount: 19.95 UNITED KINGDOM POUND STERLING Commission Amount:  Currency Exchange Rate: null</t>
  </si>
  <si>
    <t>12/22/2025</t>
  </si>
  <si>
    <t>10199647970 416131887
PAYPAL *CANVA
416131887
DE
Description : OEM SOFTWARE Price : 0.00
416131887</t>
  </si>
  <si>
    <t>12/30/2025</t>
  </si>
  <si>
    <t>Platinum Card® / Jan 01, 2025 to Dec 31, 2025</t>
  </si>
  <si>
    <t>Amex Platinum  |  Statement Summary  ·  2025</t>
  </si>
  <si>
    <t>January 2025 - December 2025</t>
  </si>
  <si>
    <t>John — Travel</t>
  </si>
  <si>
    <t xml:space="preserve">  Subtotal — John Travel</t>
  </si>
  <si>
    <t xml:space="preserve">  Subtotal — John Personal / Other</t>
  </si>
  <si>
    <t>Amex Platinum  |  Monthly Breakdown  ·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</si>
</sst>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yyyy"/>
    <numFmt numFmtId="165" formatCode="&quot;$&quot;#,##0.00;\(&quot;$&quot;#,##0.00\)"/>
    <numFmt numFmtId="166" formatCode="0.0%"/>
    <numFmt numFmtId="167" formatCode="&quot;$&quot;#,##0.00;\(&quot;$&quot;#,##0.00\);\-"/>
    <numFmt numFmtId="168" formatCode="mm\-dd\-yy"/>
  </numFmts>
  <fonts count="19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0"/>
      <color rgb="FF1A1A1A"/>
      <name val="Aptos Narrow"/>
      <family val="2"/>
      <scheme val="minor"/>
    </font>
    <font>
      <b/>
      <sz val="10"/>
      <color rgb="FF1A1A1A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6B6B6B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6B6B6B"/>
      <name val="Aptos Narrow"/>
      <family val="2"/>
      <scheme val="minor"/>
    </font>
    <font>
      <i/>
      <sz val="10"/>
      <color rgb="FF1A1A1A"/>
      <name val="Aptos Narrow"/>
      <family val="2"/>
      <scheme val="minor"/>
    </font>
    <font>
      <b/>
      <sz val="11"/>
      <color indexed="8"/>
      <name val="Aptos Narrow"/>
      <family val="2"/>
    </font>
    <font>
      <sz val="11"/>
      <color indexed="8"/>
      <name val="Aptos Narrow"/>
      <family val="2"/>
    </font>
    <font>
      <b/>
      <sz val="16"/>
      <color rgb="FFFFFFFF"/>
      <name val="Aptos Narrow"/>
      <family val="2"/>
    </font>
    <font>
      <sz val="11"/>
      <color rgb="FFFFFFFF"/>
      <name val="Aptos Narrow"/>
      <family val="2"/>
    </font>
    <font>
      <b/>
      <sz val="10"/>
      <color rgb="FF1A1A1A"/>
      <name val="Aptos Narrow"/>
      <family val="2"/>
    </font>
    <font>
      <sz val="10"/>
      <color rgb="FF1A1A1A"/>
      <name val="Aptos Narrow"/>
      <family val="2"/>
    </font>
    <font>
      <b/>
      <sz val="9"/>
      <color rgb="FFFFFFFF"/>
      <name val="Aptos Narrow"/>
      <family val="2"/>
    </font>
    <font>
      <sz val="11"/>
      <color rgb="FF1A1A1A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C2C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65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3" borderId="0" xfId="0" applyFont="1" applyFill="1"/>
    <xf numFmtId="165" fontId="4" fillId="3" borderId="0" xfId="0" applyNumberFormat="1" applyFont="1" applyFill="1"/>
    <xf numFmtId="0" fontId="5" fillId="3" borderId="0" xfId="0" applyFont="1" applyFill="1"/>
    <xf numFmtId="165" fontId="5" fillId="3" borderId="0" xfId="0" applyNumberFormat="1" applyFont="1" applyFill="1"/>
    <xf numFmtId="0" fontId="8" fillId="4" borderId="0" xfId="0" applyFont="1" applyFill="1" applyAlignment="1">
      <alignment horizontal="center"/>
    </xf>
    <xf numFmtId="0" fontId="9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5" fillId="5" borderId="0" xfId="0" applyFont="1" applyFill="1"/>
    <xf numFmtId="165" fontId="5" fillId="5" borderId="0" xfId="0" applyNumberFormat="1" applyFont="1" applyFill="1"/>
    <xf numFmtId="166" fontId="5" fillId="5" borderId="0" xfId="0" applyNumberFormat="1" applyFont="1" applyFill="1"/>
    <xf numFmtId="165" fontId="6" fillId="2" borderId="0" xfId="0" applyNumberFormat="1" applyFont="1" applyFill="1"/>
    <xf numFmtId="166" fontId="6" fillId="2" borderId="0" xfId="0" applyNumberFormat="1" applyFont="1" applyFill="1"/>
    <xf numFmtId="164" fontId="4" fillId="0" borderId="0" xfId="0" applyNumberFormat="1" applyFont="1"/>
    <xf numFmtId="167" fontId="4" fillId="0" borderId="0" xfId="0" applyNumberFormat="1" applyFont="1"/>
    <xf numFmtId="167" fontId="5" fillId="5" borderId="0" xfId="0" applyNumberFormat="1" applyFont="1" applyFill="1"/>
    <xf numFmtId="167" fontId="5" fillId="0" borderId="0" xfId="0" applyNumberFormat="1" applyFont="1"/>
    <xf numFmtId="168" fontId="4" fillId="0" borderId="0" xfId="0" applyNumberFormat="1" applyFont="1"/>
    <xf numFmtId="164" fontId="8" fillId="4" borderId="0" xfId="0" applyNumberFormat="1" applyFont="1" applyFill="1" applyAlignment="1">
      <alignment horizontal="center"/>
    </xf>
    <xf numFmtId="167" fontId="6" fillId="2" borderId="0" xfId="0" applyNumberFormat="1" applyFont="1" applyFill="1"/>
    <xf numFmtId="0" fontId="10" fillId="0" borderId="0" xfId="0" applyFont="1"/>
    <xf numFmtId="0" fontId="0" fillId="0" borderId="1" xfId="0" applyBorder="1"/>
    <xf numFmtId="0" fontId="0" fillId="2" borderId="1" xfId="0" applyFill="1" applyBorder="1"/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wrapText="1"/>
    </xf>
    <xf numFmtId="0" fontId="11" fillId="6" borderId="1" xfId="0" applyFont="1" applyFill="1" applyBorder="1" applyAlignment="1">
      <alignment horizontal="left" wrapText="1"/>
    </xf>
    <xf numFmtId="0" fontId="0" fillId="6" borderId="1" xfId="0" applyFill="1" applyBorder="1"/>
    <xf numFmtId="0" fontId="16" fillId="6" borderId="1" xfId="0" applyFont="1" applyFill="1" applyBorder="1" applyAlignment="1">
      <alignment horizontal="left" wrapText="1"/>
    </xf>
    <xf numFmtId="0" fontId="12" fillId="6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center" wrapText="1"/>
    </xf>
    <xf numFmtId="164" fontId="16" fillId="6" borderId="1" xfId="0" applyNumberFormat="1" applyFont="1" applyFill="1" applyBorder="1" applyAlignment="1">
      <alignment horizontal="left" wrapText="1"/>
    </xf>
    <xf numFmtId="0" fontId="4" fillId="6" borderId="1" xfId="0" applyFont="1" applyFill="1" applyBorder="1"/>
    <xf numFmtId="165" fontId="16" fillId="6" borderId="1" xfId="0" applyNumberFormat="1" applyFont="1" applyFill="1" applyBorder="1" applyAlignment="1">
      <alignment horizontal="right" wrapText="1"/>
    </xf>
    <xf numFmtId="0" fontId="16" fillId="3" borderId="1" xfId="0" applyFont="1" applyFill="1" applyBorder="1" applyAlignment="1">
      <alignment horizontal="left" wrapText="1"/>
    </xf>
    <xf numFmtId="165" fontId="16" fillId="3" borderId="1" xfId="0" applyNumberFormat="1" applyFont="1" applyFill="1" applyBorder="1" applyAlignment="1">
      <alignment horizontal="right" wrapText="1"/>
    </xf>
    <xf numFmtId="164" fontId="16" fillId="3" borderId="1" xfId="0" applyNumberFormat="1" applyFont="1" applyFill="1" applyBorder="1" applyAlignment="1">
      <alignment horizontal="left" wrapText="1"/>
    </xf>
    <xf numFmtId="0" fontId="1" fillId="0" borderId="1" xfId="1"/>
    <xf numFmtId="0" fontId="0" fillId="0" borderId="1" xfId="1" applyFont="1"/>
    <xf numFmtId="0" fontId="0" fillId="2" borderId="1" xfId="1" applyFont="1" applyFill="1"/>
    <xf numFmtId="0" fontId="13" fillId="2" borderId="1" xfId="1" applyFont="1" applyFill="1" applyAlignment="1">
      <alignment horizontal="left" vertical="center" wrapText="1"/>
    </xf>
    <xf numFmtId="0" fontId="14" fillId="2" borderId="1" xfId="1" applyFont="1" applyFill="1" applyAlignment="1">
      <alignment horizontal="left" vertical="center" wrapText="1"/>
    </xf>
    <xf numFmtId="0" fontId="15" fillId="6" borderId="1" xfId="1" applyFont="1" applyFill="1" applyAlignment="1">
      <alignment horizontal="left" wrapText="1"/>
    </xf>
    <xf numFmtId="0" fontId="11" fillId="6" borderId="1" xfId="1" applyFont="1" applyFill="1" applyAlignment="1">
      <alignment horizontal="left" wrapText="1"/>
    </xf>
    <xf numFmtId="0" fontId="0" fillId="6" borderId="1" xfId="1" applyFont="1" applyFill="1"/>
    <xf numFmtId="0" fontId="16" fillId="6" borderId="1" xfId="1" applyFont="1" applyFill="1" applyAlignment="1">
      <alignment horizontal="left" wrapText="1"/>
    </xf>
    <xf numFmtId="0" fontId="12" fillId="6" borderId="1" xfId="1" applyFont="1" applyFill="1" applyAlignment="1">
      <alignment horizontal="left" wrapText="1"/>
    </xf>
    <xf numFmtId="0" fontId="17" fillId="4" borderId="1" xfId="1" applyFont="1" applyFill="1" applyAlignment="1">
      <alignment horizontal="center" wrapText="1"/>
    </xf>
    <xf numFmtId="0" fontId="17" fillId="4" borderId="1" xfId="1" applyFont="1" applyFill="1" applyAlignment="1">
      <alignment horizontal="center"/>
    </xf>
    <xf numFmtId="164" fontId="16" fillId="6" borderId="1" xfId="1" applyNumberFormat="1" applyFont="1" applyFill="1" applyAlignment="1">
      <alignment horizontal="left" wrapText="1"/>
    </xf>
    <xf numFmtId="165" fontId="16" fillId="6" borderId="1" xfId="1" applyNumberFormat="1" applyFont="1" applyFill="1" applyAlignment="1">
      <alignment horizontal="right" wrapText="1"/>
    </xf>
    <xf numFmtId="0" fontId="16" fillId="3" borderId="1" xfId="1" applyFont="1" applyFill="1" applyAlignment="1">
      <alignment horizontal="left" wrapText="1"/>
    </xf>
    <xf numFmtId="165" fontId="16" fillId="3" borderId="1" xfId="1" applyNumberFormat="1" applyFont="1" applyFill="1" applyAlignment="1">
      <alignment horizontal="right" wrapText="1"/>
    </xf>
    <xf numFmtId="164" fontId="16" fillId="3" borderId="1" xfId="1" applyNumberFormat="1" applyFont="1" applyFill="1" applyAlignment="1">
      <alignment horizontal="left" wrapText="1"/>
    </xf>
    <xf numFmtId="0" fontId="0" fillId="2" borderId="0" xfId="0" applyFill="1"/>
    <xf numFmtId="0" fontId="18" fillId="3" borderId="1" xfId="1" applyFont="1" applyFill="1"/>
    <xf numFmtId="0" fontId="18" fillId="3" borderId="1" xfId="0" applyFont="1" applyFill="1" applyBorder="1"/>
    <xf numFmtId="0" fontId="3" fillId="2" borderId="0" xfId="0" applyFont="1" applyFill="1" applyAlignment="1">
      <alignment horizontal="left"/>
    </xf>
    <xf numFmtId="167" fontId="0" fillId="0" borderId="0" xfId="0" applyNumberFormat="1"/>
  </cellXfs>
  <cellStyles count="2">
    <cellStyle name="Normal" xfId="0" builtinId="0"/>
    <cellStyle name="Normal 2" xfId="1" xr:uid="{F6150A20-30C7-47D6-9B90-C7917EF073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DF6608-151C-4E0C-A9D5-857E8CBE2EB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20c3bc5-a999-4c2e-84d0-71028cd0316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577C-3CE2-477D-9E83-5F375D515DA2}">
  <dimension ref="A1:D93"/>
  <sheetViews>
    <sheetView workbookViewId="0">
      <selection activeCell="D9" sqref="D9"/>
    </sheetView>
  </sheetViews>
  <sheetFormatPr defaultRowHeight="15" x14ac:dyDescent="0.25"/>
  <cols>
    <col min="1" max="1" width="43.85546875" customWidth="1"/>
    <col min="2" max="2" width="41.5703125" customWidth="1"/>
    <col min="3" max="4" width="21" customWidth="1"/>
  </cols>
  <sheetData>
    <row r="1" spans="1:3" ht="21" x14ac:dyDescent="0.35">
      <c r="A1" s="1" t="s">
        <v>378</v>
      </c>
    </row>
    <row r="2" spans="1:3" x14ac:dyDescent="0.25">
      <c r="A2" s="2" t="s">
        <v>1006</v>
      </c>
    </row>
    <row r="4" spans="1:3" x14ac:dyDescent="0.25">
      <c r="A4" s="4" t="s">
        <v>380</v>
      </c>
      <c r="B4" s="3" t="s">
        <v>381</v>
      </c>
    </row>
    <row r="5" spans="1:3" x14ac:dyDescent="0.25">
      <c r="A5" s="4" t="s">
        <v>382</v>
      </c>
      <c r="B5" s="3" t="s">
        <v>5</v>
      </c>
    </row>
    <row r="6" spans="1:3" x14ac:dyDescent="0.25">
      <c r="A6" s="4" t="s">
        <v>383</v>
      </c>
      <c r="B6" s="3" t="s">
        <v>1007</v>
      </c>
    </row>
    <row r="8" spans="1:3" x14ac:dyDescent="0.25">
      <c r="A8" s="5" t="s">
        <v>385</v>
      </c>
    </row>
    <row r="9" spans="1:3" x14ac:dyDescent="0.25">
      <c r="A9" s="6" t="s">
        <v>369</v>
      </c>
      <c r="B9" s="7">
        <f>SUMIF('Transaction Details 2025'!$E$8:$E$331,"&gt;0")</f>
        <v>35067.320000000022</v>
      </c>
    </row>
    <row r="10" spans="1:3" x14ac:dyDescent="0.25">
      <c r="A10" s="6" t="s">
        <v>386</v>
      </c>
      <c r="B10" s="7">
        <f>SUMIF('Transaction Details 2025'!$E$8:$E$331,"&lt;0")</f>
        <v>-35902.93</v>
      </c>
    </row>
    <row r="11" spans="1:3" x14ac:dyDescent="0.25">
      <c r="A11" s="8" t="s">
        <v>387</v>
      </c>
      <c r="B11" s="9">
        <f>B9+B10</f>
        <v>-835.60999999997875</v>
      </c>
    </row>
    <row r="13" spans="1:3" x14ac:dyDescent="0.25">
      <c r="A13" s="5" t="s">
        <v>388</v>
      </c>
    </row>
    <row r="14" spans="1:3" x14ac:dyDescent="0.25">
      <c r="A14" s="10" t="s">
        <v>13</v>
      </c>
      <c r="B14" s="10" t="s">
        <v>10</v>
      </c>
      <c r="C14" s="10" t="s">
        <v>389</v>
      </c>
    </row>
    <row r="15" spans="1:3" x14ac:dyDescent="0.25">
      <c r="A15" s="11" t="s">
        <v>390</v>
      </c>
    </row>
    <row r="16" spans="1:3" x14ac:dyDescent="0.25">
      <c r="A16" s="3" t="s">
        <v>371</v>
      </c>
      <c r="B16" s="12">
        <f>SUMIFS('Transaction Details 2025'!$E$8:$E$331,'Transaction Details 2025'!$J$8:$J$331,A16)</f>
        <v>16316.48</v>
      </c>
      <c r="C16" s="13">
        <f t="shared" ref="C16:C22" si="0">IFERROR(B16/$B$9,0)</f>
        <v>0.46529019041090081</v>
      </c>
    </row>
    <row r="17" spans="1:3" x14ac:dyDescent="0.25">
      <c r="A17" s="3" t="s">
        <v>992</v>
      </c>
      <c r="B17" s="12">
        <f>SUMIFS('Transaction Details 2025'!$E$8:$E$331,'Transaction Details 2025'!$J$8:$J$331,A17)</f>
        <v>48</v>
      </c>
      <c r="C17" s="13">
        <f t="shared" si="0"/>
        <v>1.3687957904966782E-3</v>
      </c>
    </row>
    <row r="18" spans="1:3" x14ac:dyDescent="0.25">
      <c r="A18" s="3" t="s">
        <v>372</v>
      </c>
      <c r="B18" s="12">
        <f>SUMIFS('Transaction Details 2025'!$E$8:$E$331,'Transaction Details 2025'!$J$8:$J$331,A18)</f>
        <v>339.31</v>
      </c>
      <c r="C18" s="13">
        <f t="shared" si="0"/>
        <v>9.6759604098630801E-3</v>
      </c>
    </row>
    <row r="19" spans="1:3" x14ac:dyDescent="0.25">
      <c r="A19" s="3" t="s">
        <v>112</v>
      </c>
      <c r="B19" s="12">
        <f>SUMIFS('Transaction Details 2025'!$E$8:$E$331,'Transaction Details 2025'!$J$8:$J$331,A19)</f>
        <v>-300</v>
      </c>
      <c r="C19" s="13">
        <f t="shared" si="0"/>
        <v>-8.5549736906042374E-3</v>
      </c>
    </row>
    <row r="20" spans="1:3" x14ac:dyDescent="0.25">
      <c r="A20" s="3" t="s">
        <v>176</v>
      </c>
      <c r="B20" s="12">
        <f>SUMIFS('Transaction Details 2025'!$E$8:$E$331,'Transaction Details 2025'!$J$8:$J$331,A20)</f>
        <v>119</v>
      </c>
      <c r="C20" s="13">
        <f t="shared" si="0"/>
        <v>3.3934728972730144E-3</v>
      </c>
    </row>
    <row r="21" spans="1:3" x14ac:dyDescent="0.25">
      <c r="A21" s="3" t="s">
        <v>972</v>
      </c>
      <c r="B21" s="12">
        <f>SUMIFS('Transaction Details 2025'!$E$8:$E$331,'Transaction Details 2025'!$J$8:$J$331,A21)</f>
        <v>695</v>
      </c>
      <c r="C21" s="13">
        <f t="shared" si="0"/>
        <v>1.9819022383233152E-2</v>
      </c>
    </row>
    <row r="22" spans="1:3" x14ac:dyDescent="0.25">
      <c r="A22" s="14" t="s">
        <v>391</v>
      </c>
      <c r="B22" s="15">
        <f>SUM(B16:B21)</f>
        <v>17217.79</v>
      </c>
      <c r="C22" s="16">
        <f t="shared" si="0"/>
        <v>0.49099246820116249</v>
      </c>
    </row>
    <row r="23" spans="1:3" x14ac:dyDescent="0.25">
      <c r="A23" s="11" t="s">
        <v>1008</v>
      </c>
    </row>
    <row r="24" spans="1:3" x14ac:dyDescent="0.25">
      <c r="A24" s="3" t="s">
        <v>572</v>
      </c>
      <c r="B24" s="12">
        <f>SUMIFS('Transaction Details 2025'!$E$8:$E$331,'Transaction Details 2025'!$J$8:$J$331,A24)</f>
        <v>50.31</v>
      </c>
      <c r="C24" s="13">
        <f>IFERROR(B24/$B$9,0)</f>
        <v>1.4346690879143307E-3</v>
      </c>
    </row>
    <row r="25" spans="1:3" x14ac:dyDescent="0.25">
      <c r="A25" s="3" t="s">
        <v>433</v>
      </c>
      <c r="B25" s="12">
        <f>SUMIFS('Transaction Details 2025'!$E$8:$E$331,'Transaction Details 2025'!$J$8:$J$331,A25)</f>
        <v>1143.96</v>
      </c>
      <c r="C25" s="13">
        <f>IFERROR(B25/$B$9,0)</f>
        <v>3.2621825677012085E-2</v>
      </c>
    </row>
    <row r="26" spans="1:3" x14ac:dyDescent="0.25">
      <c r="A26" s="14" t="s">
        <v>1009</v>
      </c>
      <c r="B26" s="15">
        <f>SUM(B24:B25)</f>
        <v>1194.27</v>
      </c>
      <c r="C26" s="16">
        <f>IFERROR(B26/$B$9,0)</f>
        <v>3.4056494764926414E-2</v>
      </c>
    </row>
    <row r="27" spans="1:3" x14ac:dyDescent="0.25">
      <c r="A27" s="11" t="s">
        <v>392</v>
      </c>
    </row>
    <row r="28" spans="1:3" x14ac:dyDescent="0.25">
      <c r="A28" s="3" t="s">
        <v>374</v>
      </c>
      <c r="B28" s="12">
        <f>SUMIFS('Transaction Details 2025'!$E$8:$E$331,'Transaction Details 2025'!$J$8:$J$331,A28)</f>
        <v>302.87000000000006</v>
      </c>
      <c r="C28" s="13">
        <f t="shared" ref="C28:C34" si="1">IFERROR(B28/$B$9,0)</f>
        <v>8.6368162722443541E-3</v>
      </c>
    </row>
    <row r="29" spans="1:3" x14ac:dyDescent="0.25">
      <c r="A29" s="3" t="s">
        <v>375</v>
      </c>
      <c r="B29" s="12">
        <f>SUMIFS('Transaction Details 2025'!$E$8:$E$331,'Transaction Details 2025'!$J$8:$J$331,A29)</f>
        <v>280.44</v>
      </c>
      <c r="C29" s="13">
        <f t="shared" si="1"/>
        <v>7.9971894059768425E-3</v>
      </c>
    </row>
    <row r="30" spans="1:3" x14ac:dyDescent="0.25">
      <c r="A30" s="3" t="s">
        <v>448</v>
      </c>
      <c r="B30" s="12">
        <f>SUMIFS('Transaction Details 2025'!$E$8:$E$331,'Transaction Details 2025'!$J$8:$J$331,A30)</f>
        <v>62.8</v>
      </c>
      <c r="C30" s="13">
        <f t="shared" si="1"/>
        <v>1.7908411592331538E-3</v>
      </c>
    </row>
    <row r="31" spans="1:3" x14ac:dyDescent="0.25">
      <c r="A31" s="3" t="s">
        <v>419</v>
      </c>
      <c r="B31" s="12">
        <f>SUMIFS('Transaction Details 2025'!$E$8:$E$331,'Transaction Details 2025'!$J$8:$J$331,A31)</f>
        <v>591.26</v>
      </c>
      <c r="C31" s="13">
        <f t="shared" si="1"/>
        <v>1.6860712481022205E-2</v>
      </c>
    </row>
    <row r="32" spans="1:3" x14ac:dyDescent="0.25">
      <c r="A32" s="3" t="s">
        <v>41</v>
      </c>
      <c r="B32" s="12">
        <f>SUMIFS('Transaction Details 2025'!$E$8:$E$331,'Transaction Details 2025'!$J$8:$J$331,A32)</f>
        <v>-368.31</v>
      </c>
      <c r="C32" s="13">
        <f t="shared" si="1"/>
        <v>-1.0502941199954824E-2</v>
      </c>
    </row>
    <row r="33" spans="1:4" x14ac:dyDescent="0.25">
      <c r="A33" s="3" t="s">
        <v>366</v>
      </c>
      <c r="B33" s="12">
        <f>SUMIFS('Transaction Details 2025'!$E$8:$E$331,'Transaction Details 2025'!$J$8:$J$331,A33)</f>
        <v>2509.7799999999997</v>
      </c>
      <c r="C33" s="13">
        <f t="shared" si="1"/>
        <v>7.1570339564015678E-2</v>
      </c>
    </row>
    <row r="34" spans="1:4" x14ac:dyDescent="0.25">
      <c r="A34" s="14" t="s">
        <v>1010</v>
      </c>
      <c r="B34" s="15">
        <f>SUM(B28:B33)</f>
        <v>3378.8399999999997</v>
      </c>
      <c r="C34" s="16">
        <f t="shared" si="1"/>
        <v>9.6352957682537405E-2</v>
      </c>
    </row>
    <row r="35" spans="1:4" x14ac:dyDescent="0.25">
      <c r="A35" s="11" t="s">
        <v>395</v>
      </c>
    </row>
    <row r="36" spans="1:4" x14ac:dyDescent="0.25">
      <c r="A36" s="3" t="s">
        <v>396</v>
      </c>
      <c r="B36" s="12">
        <f>SUMIFS('Transaction Details 2025'!$E$8:$E$331,'Transaction Details 2025'!$J$8:$J$331,A36)</f>
        <v>10690.629999999997</v>
      </c>
      <c r="C36" s="13">
        <f>IFERROR(B36/$B$9,0)</f>
        <v>0.3048601946199479</v>
      </c>
    </row>
    <row r="37" spans="1:4" x14ac:dyDescent="0.25">
      <c r="A37" s="3" t="s">
        <v>398</v>
      </c>
      <c r="B37" s="12">
        <f>SUMIFS('Transaction Details 2025'!$E$8:$E$331,'Transaction Details 2025'!$J$8:$J$331,A37)</f>
        <v>447.99</v>
      </c>
      <c r="C37" s="13">
        <f>IFERROR(B37/$B$9,0)</f>
        <v>1.2775142212179309E-2</v>
      </c>
    </row>
    <row r="38" spans="1:4" x14ac:dyDescent="0.25">
      <c r="A38" s="14" t="s">
        <v>399</v>
      </c>
      <c r="B38" s="15">
        <f>SUM(B36:B37)</f>
        <v>11138.619999999997</v>
      </c>
      <c r="C38" s="16">
        <f>IFERROR(B38/$B$9,0)</f>
        <v>0.31763533683212719</v>
      </c>
    </row>
    <row r="39" spans="1:4" x14ac:dyDescent="0.25">
      <c r="A39" s="11" t="s">
        <v>386</v>
      </c>
    </row>
    <row r="40" spans="1:4" x14ac:dyDescent="0.25">
      <c r="A40" s="3" t="s">
        <v>373</v>
      </c>
      <c r="B40" s="12">
        <f>SUMIFS('Transaction Details 2025'!$E$8:$E$331,'Transaction Details 2025'!$J$8:$J$331,A40)</f>
        <v>-33765.130000000005</v>
      </c>
      <c r="C40" s="13">
        <f>IFERROR(B40/$B$9,0)</f>
        <v>-0.96286599603277312</v>
      </c>
    </row>
    <row r="41" spans="1:4" x14ac:dyDescent="0.25">
      <c r="A41" s="14" t="s">
        <v>400</v>
      </c>
      <c r="B41" s="15">
        <f>SUM(B40:B40)</f>
        <v>-33765.130000000005</v>
      </c>
      <c r="C41" s="16">
        <f>IFERROR(B41/$B$9,0)</f>
        <v>-0.96286599603277312</v>
      </c>
    </row>
    <row r="42" spans="1:4" x14ac:dyDescent="0.25">
      <c r="A42" s="5" t="s">
        <v>401</v>
      </c>
      <c r="B42" s="17">
        <f>B22+B26+B34+B38+B41</f>
        <v>-835.61000000000786</v>
      </c>
      <c r="C42" s="18">
        <f>IFERROR(B42/$B$9,0)</f>
        <v>-2.3828738552019581E-2</v>
      </c>
    </row>
    <row r="44" spans="1:4" x14ac:dyDescent="0.25">
      <c r="A44" s="5" t="s">
        <v>402</v>
      </c>
    </row>
    <row r="45" spans="1:4" x14ac:dyDescent="0.25">
      <c r="A45" s="10" t="s">
        <v>376</v>
      </c>
      <c r="B45" s="10" t="s">
        <v>369</v>
      </c>
      <c r="C45" s="10" t="s">
        <v>403</v>
      </c>
      <c r="D45" s="10" t="s">
        <v>404</v>
      </c>
    </row>
    <row r="46" spans="1:4" x14ac:dyDescent="0.25">
      <c r="A46" s="19">
        <f>DATE(2025,1,1)</f>
        <v>45658</v>
      </c>
      <c r="B46" s="20">
        <f>SUMIFS('Transaction Details 2025'!$E$8:$E$331,'Transaction Details 2025'!$I$8:$I$331,$A46,'Transaction Details 2025'!$E$8:$E$331,"&gt;0")</f>
        <v>5242.7499999999982</v>
      </c>
      <c r="C46" s="20">
        <f>SUMIFS('Transaction Details 2025'!$E$8:$E$331,'Transaction Details 2025'!$I$8:$I$331,$A46,'Transaction Details 2025'!$E$8:$E$331,"&lt;0")</f>
        <v>-5429.5</v>
      </c>
      <c r="D46" s="20">
        <f>B46+C46</f>
        <v>-186.75000000000182</v>
      </c>
    </row>
    <row r="47" spans="1:4" x14ac:dyDescent="0.25">
      <c r="A47" s="19">
        <f t="shared" ref="A47:A57" si="2">EDATE(A46,1)</f>
        <v>45689</v>
      </c>
      <c r="B47" s="20">
        <f>SUMIFS('Transaction Details 2025'!$E$8:$E$331,'Transaction Details 2025'!$I$8:$I$331,$A47,'Transaction Details 2025'!$E$8:$E$331,"&gt;0")</f>
        <v>2796.1200000000003</v>
      </c>
      <c r="C47" s="20">
        <f>SUMIFS('Transaction Details 2025'!$E$8:$E$331,'Transaction Details 2025'!$I$8:$I$331,$A47,'Transaction Details 2025'!$E$8:$E$331,"&lt;0")</f>
        <v>-3171.33</v>
      </c>
      <c r="D47" s="20">
        <f t="shared" ref="D47:D57" si="3">B47+C47</f>
        <v>-375.20999999999958</v>
      </c>
    </row>
    <row r="48" spans="1:4" x14ac:dyDescent="0.25">
      <c r="A48" s="19">
        <f t="shared" si="2"/>
        <v>45717</v>
      </c>
      <c r="B48" s="20">
        <f>SUMIFS('Transaction Details 2025'!$E$8:$E$331,'Transaction Details 2025'!$I$8:$I$331,$A48,'Transaction Details 2025'!$E$8:$E$331,"&gt;0")</f>
        <v>2046.8800000000003</v>
      </c>
      <c r="C48" s="20">
        <f>SUMIFS('Transaction Details 2025'!$E$8:$E$331,'Transaction Details 2025'!$I$8:$I$331,$A48,'Transaction Details 2025'!$E$8:$E$331,"&lt;0")</f>
        <v>-2132.0099999999998</v>
      </c>
      <c r="D48" s="20">
        <f t="shared" si="3"/>
        <v>-85.129999999999427</v>
      </c>
    </row>
    <row r="49" spans="1:4" x14ac:dyDescent="0.25">
      <c r="A49" s="19">
        <f t="shared" si="2"/>
        <v>45748</v>
      </c>
      <c r="B49" s="20">
        <f>SUMIFS('Transaction Details 2025'!$E$8:$E$331,'Transaction Details 2025'!$I$8:$I$331,$A49,'Transaction Details 2025'!$E$8:$E$331,"&gt;0")</f>
        <v>2110.8000000000002</v>
      </c>
      <c r="C49" s="20">
        <f>SUMIFS('Transaction Details 2025'!$E$8:$E$331,'Transaction Details 2025'!$I$8:$I$331,$A49,'Transaction Details 2025'!$E$8:$E$331,"&lt;0")</f>
        <v>-2241.85</v>
      </c>
      <c r="D49" s="20">
        <f t="shared" si="3"/>
        <v>-131.04999999999973</v>
      </c>
    </row>
    <row r="50" spans="1:4" x14ac:dyDescent="0.25">
      <c r="A50" s="19">
        <f t="shared" si="2"/>
        <v>45778</v>
      </c>
      <c r="B50" s="20">
        <f>SUMIFS('Transaction Details 2025'!$E$8:$E$331,'Transaction Details 2025'!$I$8:$I$331,$A50,'Transaction Details 2025'!$E$8:$E$331,"&gt;0")</f>
        <v>12482.35</v>
      </c>
      <c r="C50" s="20">
        <f>SUMIFS('Transaction Details 2025'!$E$8:$E$331,'Transaction Details 2025'!$I$8:$I$331,$A50,'Transaction Details 2025'!$E$8:$E$331,"&lt;0")</f>
        <v>-1542.61</v>
      </c>
      <c r="D50" s="20">
        <f t="shared" si="3"/>
        <v>10939.74</v>
      </c>
    </row>
    <row r="51" spans="1:4" x14ac:dyDescent="0.25">
      <c r="A51" s="19">
        <f t="shared" si="2"/>
        <v>45809</v>
      </c>
      <c r="B51" s="20">
        <f>SUMIFS('Transaction Details 2025'!$E$8:$E$331,'Transaction Details 2025'!$I$8:$I$331,$A51,'Transaction Details 2025'!$E$8:$E$331,"&gt;0")</f>
        <v>1737.73</v>
      </c>
      <c r="C51" s="20">
        <f>SUMIFS('Transaction Details 2025'!$E$8:$E$331,'Transaction Details 2025'!$I$8:$I$331,$A51,'Transaction Details 2025'!$E$8:$E$331,"&lt;0")</f>
        <v>-12616.91</v>
      </c>
      <c r="D51" s="20">
        <f t="shared" si="3"/>
        <v>-10879.18</v>
      </c>
    </row>
    <row r="52" spans="1:4" x14ac:dyDescent="0.25">
      <c r="A52" s="19">
        <f t="shared" si="2"/>
        <v>45839</v>
      </c>
      <c r="B52" s="20">
        <f>SUMIFS('Transaction Details 2025'!$E$8:$E$331,'Transaction Details 2025'!$I$8:$I$331,$A52,'Transaction Details 2025'!$E$8:$E$331,"&gt;0")</f>
        <v>1632.1699999999998</v>
      </c>
      <c r="C52" s="20">
        <f>SUMIFS('Transaction Details 2025'!$E$8:$E$331,'Transaction Details 2025'!$I$8:$I$331,$A52,'Transaction Details 2025'!$E$8:$E$331,"&lt;0")</f>
        <v>-1373.57</v>
      </c>
      <c r="D52" s="20">
        <f t="shared" si="3"/>
        <v>258.59999999999991</v>
      </c>
    </row>
    <row r="53" spans="1:4" x14ac:dyDescent="0.25">
      <c r="A53" s="19">
        <f t="shared" si="2"/>
        <v>45870</v>
      </c>
      <c r="B53" s="20">
        <f>SUMIFS('Transaction Details 2025'!$E$8:$E$331,'Transaction Details 2025'!$I$8:$I$331,$A53,'Transaction Details 2025'!$E$8:$E$331,"&gt;0")</f>
        <v>1493.06</v>
      </c>
      <c r="C53" s="20">
        <f>SUMIFS('Transaction Details 2025'!$E$8:$E$331,'Transaction Details 2025'!$I$8:$I$331,$A53,'Transaction Details 2025'!$E$8:$E$331,"&lt;0")</f>
        <v>-2055.2199999999998</v>
      </c>
      <c r="D53" s="20">
        <f t="shared" si="3"/>
        <v>-562.15999999999985</v>
      </c>
    </row>
    <row r="54" spans="1:4" x14ac:dyDescent="0.25">
      <c r="A54" s="19">
        <f t="shared" si="2"/>
        <v>45901</v>
      </c>
      <c r="B54" s="20">
        <f>SUMIFS('Transaction Details 2025'!$E$8:$E$331,'Transaction Details 2025'!$I$8:$I$331,$A54,'Transaction Details 2025'!$E$8:$E$331,"&gt;0")</f>
        <v>1301.5800000000002</v>
      </c>
      <c r="C54" s="20">
        <f>SUMIFS('Transaction Details 2025'!$E$8:$E$331,'Transaction Details 2025'!$I$8:$I$331,$A54,'Transaction Details 2025'!$E$8:$E$331,"&lt;0")</f>
        <v>0</v>
      </c>
      <c r="D54" s="20">
        <f t="shared" si="3"/>
        <v>1301.5800000000002</v>
      </c>
    </row>
    <row r="55" spans="1:4" x14ac:dyDescent="0.25">
      <c r="A55" s="19">
        <f t="shared" si="2"/>
        <v>45931</v>
      </c>
      <c r="B55" s="20">
        <f>SUMIFS('Transaction Details 2025'!$E$8:$E$331,'Transaction Details 2025'!$I$8:$I$331,$A55,'Transaction Details 2025'!$E$8:$E$331,"&gt;0")</f>
        <v>1394.9100000000003</v>
      </c>
      <c r="C55" s="20">
        <f>SUMIFS('Transaction Details 2025'!$E$8:$E$331,'Transaction Details 2025'!$I$8:$I$331,$A55,'Transaction Details 2025'!$E$8:$E$331,"&lt;0")</f>
        <v>-1274.54</v>
      </c>
      <c r="D55" s="20">
        <f t="shared" si="3"/>
        <v>120.37000000000035</v>
      </c>
    </row>
    <row r="56" spans="1:4" x14ac:dyDescent="0.25">
      <c r="A56" s="19">
        <f t="shared" si="2"/>
        <v>45962</v>
      </c>
      <c r="B56" s="20">
        <f>SUMIFS('Transaction Details 2025'!$E$8:$E$331,'Transaction Details 2025'!$I$8:$I$331,$A56,'Transaction Details 2025'!$E$8:$E$331,"&gt;0")</f>
        <v>1091.5500000000002</v>
      </c>
      <c r="C56" s="20">
        <f>SUMIFS('Transaction Details 2025'!$E$8:$E$331,'Transaction Details 2025'!$I$8:$I$331,$A56,'Transaction Details 2025'!$E$8:$E$331,"&lt;0")</f>
        <v>-2439.5300000000002</v>
      </c>
      <c r="D56" s="20">
        <f t="shared" si="3"/>
        <v>-1347.98</v>
      </c>
    </row>
    <row r="57" spans="1:4" x14ac:dyDescent="0.25">
      <c r="A57" s="19">
        <f t="shared" si="2"/>
        <v>45992</v>
      </c>
      <c r="B57" s="20">
        <f>SUMIFS('Transaction Details 2025'!$E$8:$E$331,'Transaction Details 2025'!$I$8:$I$331,$A57,'Transaction Details 2025'!$E$8:$E$331,"&gt;0")</f>
        <v>1737.42</v>
      </c>
      <c r="C57" s="20">
        <f>SUMIFS('Transaction Details 2025'!$E$8:$E$331,'Transaction Details 2025'!$I$8:$I$331,$A57,'Transaction Details 2025'!$E$8:$E$331,"&lt;0")</f>
        <v>-1625.86</v>
      </c>
      <c r="D57" s="20">
        <f t="shared" si="3"/>
        <v>111.56000000000017</v>
      </c>
    </row>
    <row r="58" spans="1:4" x14ac:dyDescent="0.25">
      <c r="A58" s="14" t="s">
        <v>370</v>
      </c>
      <c r="B58" s="21">
        <f>SUM(B46:B57)</f>
        <v>35067.32</v>
      </c>
      <c r="C58" s="21">
        <f>SUM(C46:C57)</f>
        <v>-35902.93</v>
      </c>
      <c r="D58" s="21">
        <f>SUM(D46:D57)</f>
        <v>-835.61000000000104</v>
      </c>
    </row>
    <row r="60" spans="1:4" x14ac:dyDescent="0.25">
      <c r="A60" s="5" t="s">
        <v>405</v>
      </c>
    </row>
    <row r="61" spans="1:4" x14ac:dyDescent="0.25">
      <c r="A61" s="10" t="s">
        <v>8</v>
      </c>
      <c r="B61" s="10" t="s">
        <v>369</v>
      </c>
      <c r="C61" s="10" t="s">
        <v>403</v>
      </c>
      <c r="D61" s="10" t="s">
        <v>404</v>
      </c>
    </row>
    <row r="62" spans="1:4" x14ac:dyDescent="0.25">
      <c r="A62" s="3" t="s">
        <v>381</v>
      </c>
      <c r="B62" s="20">
        <f>SUMIFS('Transaction Details 2025'!$E$8:$E$331,'Transaction Details 2025'!$C$8:$C$331,$A62,'Transaction Details 2025'!$E$8:$E$331,"&gt;0")</f>
        <v>23639.85000000002</v>
      </c>
      <c r="C62" s="20">
        <f>SUMIFS('Transaction Details 2025'!$E$8:$E$331,'Transaction Details 2025'!$C$8:$C$331,$A62,'Transaction Details 2025'!$E$8:$E$331,"&lt;0")</f>
        <v>-35614.080000000002</v>
      </c>
      <c r="D62" s="20">
        <f>B62+C62</f>
        <v>-11974.229999999981</v>
      </c>
    </row>
    <row r="63" spans="1:4" x14ac:dyDescent="0.25">
      <c r="A63" s="3" t="s">
        <v>396</v>
      </c>
      <c r="B63" s="20">
        <f>SUMIFS('Transaction Details 2025'!$E$8:$E$331,'Transaction Details 2025'!$C$8:$C$331,$A63,'Transaction Details 2025'!$E$8:$E$331,"&gt;0")</f>
        <v>10979.48</v>
      </c>
      <c r="C63" s="20">
        <f>SUMIFS('Transaction Details 2025'!$E$8:$E$331,'Transaction Details 2025'!$C$8:$C$331,$A63,'Transaction Details 2025'!$E$8:$E$331,"&lt;0")</f>
        <v>-288.85000000000002</v>
      </c>
      <c r="D63" s="20">
        <f t="shared" ref="D63:D64" si="4">B63+C63</f>
        <v>10690.63</v>
      </c>
    </row>
    <row r="64" spans="1:4" x14ac:dyDescent="0.25">
      <c r="A64" s="3" t="s">
        <v>398</v>
      </c>
      <c r="B64" s="20">
        <f>SUMIFS('Transaction Details 2025'!$E$8:$E$331,'Transaction Details 2025'!$C$8:$C$331,$A64,'Transaction Details 2025'!$E$8:$E$331,"&gt;0")</f>
        <v>447.99</v>
      </c>
      <c r="C64" s="20">
        <f>SUMIFS('Transaction Details 2025'!$E$8:$E$331,'Transaction Details 2025'!$C$8:$C$331,$A64,'Transaction Details 2025'!$E$8:$E$331,"&lt;0")</f>
        <v>0</v>
      </c>
      <c r="D64" s="20">
        <f t="shared" si="4"/>
        <v>447.99</v>
      </c>
    </row>
    <row r="65" spans="1:4" x14ac:dyDescent="0.25">
      <c r="A65" s="14" t="s">
        <v>370</v>
      </c>
      <c r="B65" s="21">
        <f>SUM(B62:B64)</f>
        <v>35067.320000000014</v>
      </c>
      <c r="C65" s="21">
        <f>SUM(C62:C64)</f>
        <v>-35902.93</v>
      </c>
      <c r="D65" s="21">
        <f>SUM(D62:D64)</f>
        <v>-835.60999999998216</v>
      </c>
    </row>
    <row r="67" spans="1:4" x14ac:dyDescent="0.25">
      <c r="A67" s="5" t="s">
        <v>406</v>
      </c>
    </row>
    <row r="68" spans="1:4" x14ac:dyDescent="0.25">
      <c r="A68" s="10" t="s">
        <v>6</v>
      </c>
      <c r="B68" s="10" t="s">
        <v>7</v>
      </c>
      <c r="C68" s="10" t="s">
        <v>8</v>
      </c>
      <c r="D68" s="10" t="s">
        <v>10</v>
      </c>
    </row>
    <row r="69" spans="1:4" x14ac:dyDescent="0.25">
      <c r="A69" s="23" t="str">
        <f>'Transaction Details 2025'!A13</f>
        <v>12/18/2025</v>
      </c>
      <c r="B69" s="3" t="str">
        <f>'Transaction Details 2025'!B13</f>
        <v>ONLINE PAYMENT - THANK YOU</v>
      </c>
      <c r="C69" s="3" t="str">
        <f>'Transaction Details 2025'!C13</f>
        <v>JOHN DUNNING</v>
      </c>
      <c r="D69" s="12">
        <f>'Transaction Details 2025'!E13</f>
        <v>-1625.86</v>
      </c>
    </row>
    <row r="70" spans="1:4" x14ac:dyDescent="0.25">
      <c r="A70" s="23" t="str">
        <f>'Transaction Details 2025'!A30</f>
        <v>11/26/2025</v>
      </c>
      <c r="B70" s="3" t="str">
        <f>'Transaction Details 2025'!B30</f>
        <v>CUSTOMER SERVICE PAYMENT - THANK YOU</v>
      </c>
      <c r="C70" s="3" t="str">
        <f>'Transaction Details 2025'!C30</f>
        <v>JOHN DUNNING</v>
      </c>
      <c r="D70" s="12">
        <f>'Transaction Details 2025'!E30</f>
        <v>-2439.5300000000002</v>
      </c>
    </row>
    <row r="71" spans="1:4" x14ac:dyDescent="0.25">
      <c r="A71" s="23" t="str">
        <f>'Transaction Details 2025'!A48</f>
        <v>10/27/2025</v>
      </c>
      <c r="B71" s="3" t="str">
        <f>'Transaction Details 2025'!B48</f>
        <v>ONLINE PAYMENT - THANK YOU</v>
      </c>
      <c r="C71" s="3" t="str">
        <f>'Transaction Details 2025'!C48</f>
        <v>JOHN DUNNING</v>
      </c>
      <c r="D71" s="12">
        <f>'Transaction Details 2025'!E48</f>
        <v>-1242.8399999999999</v>
      </c>
    </row>
    <row r="72" spans="1:4" x14ac:dyDescent="0.25">
      <c r="A72" s="23" t="str">
        <f>'Transaction Details 2025'!A71</f>
        <v>10/03/2025</v>
      </c>
      <c r="B72" s="3" t="str">
        <f>'Transaction Details 2025'!B71</f>
        <v>ADJ REDIST PURCHASE BAL</v>
      </c>
      <c r="C72" s="3" t="str">
        <f>'Transaction Details 2025'!C71</f>
        <v>JOHN DUNNING</v>
      </c>
      <c r="D72" s="12">
        <f>'Transaction Details 2025'!E71</f>
        <v>-31.7</v>
      </c>
    </row>
    <row r="73" spans="1:4" x14ac:dyDescent="0.25">
      <c r="A73" s="23" t="str">
        <f>'Transaction Details 2025'!A100</f>
        <v>08/28/2025</v>
      </c>
      <c r="B73" s="3" t="str">
        <f>'Transaction Details 2025'!B100</f>
        <v>DEPOP               BROOKLYN            NY</v>
      </c>
      <c r="C73" s="3" t="str">
        <f>'Transaction Details 2025'!C100</f>
        <v>AVA PEREZ</v>
      </c>
      <c r="D73" s="12">
        <f>'Transaction Details 2025'!E100</f>
        <v>-120.19</v>
      </c>
    </row>
    <row r="74" spans="1:4" x14ac:dyDescent="0.25">
      <c r="A74" s="23" t="str">
        <f>'Transaction Details 2025'!A101</f>
        <v>08/28/2025</v>
      </c>
      <c r="B74" s="3" t="str">
        <f>'Transaction Details 2025'!B101</f>
        <v>ONLINE PAYMENT - THANK YOU</v>
      </c>
      <c r="C74" s="3" t="str">
        <f>'Transaction Details 2025'!C101</f>
        <v>JOHN DUNNING</v>
      </c>
      <c r="D74" s="12">
        <f>'Transaction Details 2025'!E101</f>
        <v>-1935.03</v>
      </c>
    </row>
    <row r="75" spans="1:4" x14ac:dyDescent="0.25">
      <c r="A75" s="23" t="str">
        <f>'Transaction Details 2025'!A136</f>
        <v>07/17/2025</v>
      </c>
      <c r="B75" s="3" t="str">
        <f>'Transaction Details 2025'!B136</f>
        <v>ONLINE PAYMENT - THANK YOU</v>
      </c>
      <c r="C75" s="3" t="str">
        <f>'Transaction Details 2025'!C136</f>
        <v>JOHN DUNNING</v>
      </c>
      <c r="D75" s="12">
        <f>'Transaction Details 2025'!E136</f>
        <v>-1373.57</v>
      </c>
    </row>
    <row r="76" spans="1:4" x14ac:dyDescent="0.25">
      <c r="A76" s="23" t="str">
        <f>'Transaction Details 2025'!A158</f>
        <v>06/27/2025</v>
      </c>
      <c r="B76" s="3" t="str">
        <f>'Transaction Details 2025'!B158</f>
        <v>CUSTOMER SERVICE PAYMENT - THANK YOU</v>
      </c>
      <c r="C76" s="3" t="str">
        <f>'Transaction Details 2025'!C158</f>
        <v>JOHN DUNNING</v>
      </c>
      <c r="D76" s="12">
        <f>'Transaction Details 2025'!E158</f>
        <v>-11124</v>
      </c>
    </row>
    <row r="77" spans="1:4" x14ac:dyDescent="0.25">
      <c r="A77" s="23" t="str">
        <f>'Transaction Details 2025'!A159</f>
        <v>06/27/2025</v>
      </c>
      <c r="B77" s="3" t="str">
        <f>'Transaction Details 2025'!B159</f>
        <v>CUSTOMER SERVICE PAYMENT - THANK YOU</v>
      </c>
      <c r="C77" s="3" t="str">
        <f>'Transaction Details 2025'!C159</f>
        <v>JOHN DUNNING</v>
      </c>
      <c r="D77" s="12">
        <f>'Transaction Details 2025'!E159</f>
        <v>-1492.91</v>
      </c>
    </row>
    <row r="78" spans="1:4" x14ac:dyDescent="0.25">
      <c r="A78" s="23" t="str">
        <f>'Transaction Details 2025'!A192</f>
        <v>05/26/2025</v>
      </c>
      <c r="B78" s="3" t="str">
        <f>'Transaction Details 2025'!B192</f>
        <v>CUSTOMER SERVICE PAYMENT - THANK YOU</v>
      </c>
      <c r="C78" s="3" t="str">
        <f>'Transaction Details 2025'!C192</f>
        <v>JOHN DUNNING</v>
      </c>
      <c r="D78" s="12">
        <f>'Transaction Details 2025'!E192</f>
        <v>-1542.61</v>
      </c>
    </row>
    <row r="79" spans="1:4" x14ac:dyDescent="0.25">
      <c r="A79" s="23" t="str">
        <f>'Transaction Details 2025'!A214</f>
        <v>04/28/2025</v>
      </c>
      <c r="B79" s="3" t="str">
        <f>'Transaction Details 2025'!B214</f>
        <v>CUSTOMER SERVICE PAYMENT - THANK YOU</v>
      </c>
      <c r="C79" s="3" t="str">
        <f>'Transaction Details 2025'!C214</f>
        <v>JOHN DUNNING</v>
      </c>
      <c r="D79" s="12">
        <f>'Transaction Details 2025'!E214</f>
        <v>-2222.92</v>
      </c>
    </row>
    <row r="80" spans="1:4" x14ac:dyDescent="0.25">
      <c r="A80" s="23" t="str">
        <f>'Transaction Details 2025'!A234</f>
        <v>04/06/2025</v>
      </c>
      <c r="B80" s="3" t="str">
        <f>'Transaction Details 2025'!B234</f>
        <v>PAYPAL *POSHMARK    6502624771          CA</v>
      </c>
      <c r="C80" s="3" t="str">
        <f>'Transaction Details 2025'!C234</f>
        <v>AVA PEREZ</v>
      </c>
      <c r="D80" s="12">
        <f>'Transaction Details 2025'!E234</f>
        <v>-18.93</v>
      </c>
    </row>
    <row r="81" spans="1:4" x14ac:dyDescent="0.25">
      <c r="A81" s="23" t="str">
        <f>'Transaction Details 2025'!A243</f>
        <v>03/29/2025</v>
      </c>
      <c r="B81" s="3" t="str">
        <f>'Transaction Details 2025'!B243</f>
        <v>DEPOP               NEW YORK            NY</v>
      </c>
      <c r="C81" s="3" t="str">
        <f>'Transaction Details 2025'!C243</f>
        <v>AVA PEREZ</v>
      </c>
      <c r="D81" s="12">
        <f>'Transaction Details 2025'!E243</f>
        <v>-149.72999999999999</v>
      </c>
    </row>
    <row r="82" spans="1:4" x14ac:dyDescent="0.25">
      <c r="A82" s="23" t="str">
        <f>'Transaction Details 2025'!A245</f>
        <v>03/28/2025</v>
      </c>
      <c r="B82" s="3" t="str">
        <f>'Transaction Details 2025'!B245</f>
        <v>CUSTOMER SERVICE PAYMENT - THANK YOU</v>
      </c>
      <c r="C82" s="3" t="str">
        <f>'Transaction Details 2025'!C245</f>
        <v>JOHN DUNNING</v>
      </c>
      <c r="D82" s="12">
        <f>'Transaction Details 2025'!E245</f>
        <v>-1982.28</v>
      </c>
    </row>
    <row r="83" spans="1:4" x14ac:dyDescent="0.25">
      <c r="A83" s="23" t="str">
        <f>'Transaction Details 2025'!A275</f>
        <v>02/24/2025</v>
      </c>
      <c r="B83" s="3" t="str">
        <f>'Transaction Details 2025'!B275</f>
        <v>ONLINE PAYMENT - THANK YOU</v>
      </c>
      <c r="C83" s="3" t="str">
        <f>'Transaction Details 2025'!C275</f>
        <v>JOHN DUNNING</v>
      </c>
      <c r="D83" s="12">
        <f>'Transaction Details 2025'!E275</f>
        <v>-1853.08</v>
      </c>
    </row>
    <row r="84" spans="1:4" x14ac:dyDescent="0.25">
      <c r="A84" s="23" t="str">
        <f>'Transaction Details 2025'!A278</f>
        <v>02/20/2025</v>
      </c>
      <c r="B84" s="3" t="str">
        <f>'Transaction Details 2025'!B278</f>
        <v>EQUINOX PLUS        NEW YORK</v>
      </c>
      <c r="C84" s="3" t="str">
        <f>'Transaction Details 2025'!C278</f>
        <v>JOHN DUNNING</v>
      </c>
      <c r="D84" s="12">
        <f>'Transaction Details 2025'!E278</f>
        <v>-300</v>
      </c>
    </row>
    <row r="85" spans="1:4" x14ac:dyDescent="0.25">
      <c r="A85" s="23" t="str">
        <f>'Transaction Details 2025'!A294</f>
        <v>02/04/2025</v>
      </c>
      <c r="B85" s="3" t="str">
        <f>'Transaction Details 2025'!B294</f>
        <v>AMEX TRAVEL PURCHASE WITH MR POINTS CREDIT</v>
      </c>
      <c r="C85" s="3" t="str">
        <f>'Transaction Details 2025'!C294</f>
        <v>JOHN DUNNING</v>
      </c>
      <c r="D85" s="12">
        <f>'Transaction Details 2025'!E294</f>
        <v>-705.48</v>
      </c>
    </row>
    <row r="86" spans="1:4" x14ac:dyDescent="0.25">
      <c r="A86" s="23" t="str">
        <f>'Transaction Details 2025'!A295</f>
        <v>02/04/2025</v>
      </c>
      <c r="B86" s="3" t="str">
        <f>'Transaction Details 2025'!B295</f>
        <v>Credit for AMEX Error</v>
      </c>
      <c r="C86" s="3" t="str">
        <f>'Transaction Details 2025'!C295</f>
        <v>JOHN DUNNING</v>
      </c>
      <c r="D86" s="12">
        <f>'Transaction Details 2025'!E295</f>
        <v>-12.77</v>
      </c>
    </row>
    <row r="87" spans="1:4" x14ac:dyDescent="0.25">
      <c r="A87" s="23" t="str">
        <f>'Transaction Details 2025'!A296</f>
        <v>02/03/2025</v>
      </c>
      <c r="B87" s="3" t="str">
        <f>'Transaction Details 2025'!B296</f>
        <v>ADJ REDIST PURCHASE BAL</v>
      </c>
      <c r="C87" s="3" t="str">
        <f>'Transaction Details 2025'!C296</f>
        <v>JOHN DUNNING</v>
      </c>
      <c r="D87" s="12">
        <f>'Transaction Details 2025'!E296</f>
        <v>-300</v>
      </c>
    </row>
    <row r="88" spans="1:4" x14ac:dyDescent="0.25">
      <c r="A88" s="23" t="str">
        <f>'Transaction Details 2025'!A301</f>
        <v>01/30/2025</v>
      </c>
      <c r="B88" s="3" t="str">
        <f>'Transaction Details 2025'!B301</f>
        <v>CUSTOMER SERVICE PAYMENT - THANK YOU</v>
      </c>
      <c r="C88" s="3" t="str">
        <f>'Transaction Details 2025'!C301</f>
        <v>JOHN DUNNING</v>
      </c>
      <c r="D88" s="12">
        <f>'Transaction Details 2025'!E301</f>
        <v>-2465.25</v>
      </c>
    </row>
    <row r="89" spans="1:4" x14ac:dyDescent="0.25">
      <c r="A89" s="23" t="str">
        <f>'Transaction Details 2025'!A302</f>
        <v>01/28/2025</v>
      </c>
      <c r="B89" s="3" t="str">
        <f>'Transaction Details 2025'!B302</f>
        <v>ONLINE PAYMENT - THANK YOU</v>
      </c>
      <c r="C89" s="3" t="str">
        <f>'Transaction Details 2025'!C302</f>
        <v>JOHN DUNNING</v>
      </c>
      <c r="D89" s="12">
        <f>'Transaction Details 2025'!E302</f>
        <v>-2465.25</v>
      </c>
    </row>
    <row r="90" spans="1:4" x14ac:dyDescent="0.25">
      <c r="A90" s="23" t="str">
        <f>'Transaction Details 2025'!A311</f>
        <v>01/17/2025</v>
      </c>
      <c r="B90" s="3" t="str">
        <f>'Transaction Details 2025'!B311</f>
        <v>AMERICAN EXPRESS COMNEW YORK</v>
      </c>
      <c r="C90" s="3" t="str">
        <f>'Transaction Details 2025'!C311</f>
        <v>JOHN DUNNING</v>
      </c>
      <c r="D90" s="12">
        <f>'Transaction Details 2025'!E311</f>
        <v>-300</v>
      </c>
    </row>
    <row r="91" spans="1:4" x14ac:dyDescent="0.25">
      <c r="A91" s="23" t="str">
        <f>'Transaction Details 2025'!A324</f>
        <v>01/07/2025</v>
      </c>
      <c r="B91" s="3" t="str">
        <f>'Transaction Details 2025'!B324</f>
        <v>CLEAR               NEW YORK</v>
      </c>
      <c r="C91" s="3" t="str">
        <f>'Transaction Details 2025'!C324</f>
        <v>JOHN DUNNING</v>
      </c>
      <c r="D91" s="12">
        <f>'Transaction Details 2025'!E324</f>
        <v>-199</v>
      </c>
    </row>
    <row r="92" spans="1:4" x14ac:dyDescent="0.25">
      <c r="A92" s="14" t="s">
        <v>413</v>
      </c>
      <c r="B92" s="14"/>
      <c r="C92" s="14"/>
      <c r="D92" s="15">
        <f>SUM(D69:D91)</f>
        <v>-35902.93</v>
      </c>
    </row>
    <row r="93" spans="1:4" x14ac:dyDescent="0.25">
      <c r="B93" s="26" t="str">
        <f>IF(ROUND(D92-B10,2)=0,"✓ ties to Credits &amp; Payments total","⚠ mismatch")</f>
        <v>✓ ties to Credits &amp; Payments total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CFA8-4DA4-453E-BFCB-BC63702B9C5C}">
  <dimension ref="A1:N28"/>
  <sheetViews>
    <sheetView workbookViewId="0"/>
  </sheetViews>
  <sheetFormatPr defaultRowHeight="15" x14ac:dyDescent="0.25"/>
  <cols>
    <col min="1" max="1" width="41" customWidth="1"/>
    <col min="2" max="14" width="14.85546875" customWidth="1"/>
  </cols>
  <sheetData>
    <row r="1" spans="1:14" ht="21" x14ac:dyDescent="0.35">
      <c r="A1" s="1" t="s">
        <v>378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x14ac:dyDescent="0.25">
      <c r="A2" s="2" t="s">
        <v>1011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14" x14ac:dyDescent="0.25">
      <c r="A4" s="10" t="s">
        <v>13</v>
      </c>
      <c r="B4" s="24">
        <f>DATE(2025,1,1)</f>
        <v>45658</v>
      </c>
      <c r="C4" s="24">
        <f t="shared" ref="C4:M4" si="0">EDATE(B4,1)</f>
        <v>45689</v>
      </c>
      <c r="D4" s="24">
        <f t="shared" si="0"/>
        <v>45717</v>
      </c>
      <c r="E4" s="24">
        <f t="shared" si="0"/>
        <v>45748</v>
      </c>
      <c r="F4" s="24">
        <f t="shared" si="0"/>
        <v>45778</v>
      </c>
      <c r="G4" s="24">
        <f t="shared" si="0"/>
        <v>45809</v>
      </c>
      <c r="H4" s="24">
        <f t="shared" si="0"/>
        <v>45839</v>
      </c>
      <c r="I4" s="24">
        <f t="shared" si="0"/>
        <v>45870</v>
      </c>
      <c r="J4" s="24">
        <f t="shared" si="0"/>
        <v>45901</v>
      </c>
      <c r="K4" s="24">
        <f t="shared" si="0"/>
        <v>45931</v>
      </c>
      <c r="L4" s="24">
        <f t="shared" si="0"/>
        <v>45962</v>
      </c>
      <c r="M4" s="24">
        <f t="shared" si="0"/>
        <v>45992</v>
      </c>
      <c r="N4" s="10" t="s">
        <v>370</v>
      </c>
    </row>
    <row r="5" spans="1:14" x14ac:dyDescent="0.25">
      <c r="A5" s="3" t="s">
        <v>371</v>
      </c>
      <c r="B5" s="20">
        <f>SUMIFS('Transaction Details 2025'!$E$8:$E$331,'Transaction Details 2025'!$J$8:$J$331,$A5,'Transaction Details 2025'!$I$8:$I$331,B$4)</f>
        <v>362.91999999999996</v>
      </c>
      <c r="C5" s="20">
        <f>SUMIFS('Transaction Details 2025'!$E$8:$E$331,'Transaction Details 2025'!$J$8:$J$331,$A5,'Transaction Details 2025'!$I$8:$I$331,C$4)</f>
        <v>365.91999999999996</v>
      </c>
      <c r="D5" s="20">
        <f>SUMIFS('Transaction Details 2025'!$E$8:$E$331,'Transaction Details 2025'!$J$8:$J$331,$A5,'Transaction Details 2025'!$I$8:$I$331,D$4)</f>
        <v>365.91999999999996</v>
      </c>
      <c r="E5" s="20">
        <f>SUMIFS('Transaction Details 2025'!$E$8:$E$331,'Transaction Details 2025'!$J$8:$J$331,$A5,'Transaction Details 2025'!$I$8:$I$331,E$4)</f>
        <v>1129.9100000000001</v>
      </c>
      <c r="F5" s="20">
        <f>SUMIFS('Transaction Details 2025'!$E$8:$E$331,'Transaction Details 2025'!$J$8:$J$331,$A5,'Transaction Details 2025'!$I$8:$I$331,F$4)</f>
        <v>11489.92</v>
      </c>
      <c r="G5" s="20">
        <f>SUMIFS('Transaction Details 2025'!$E$8:$E$331,'Transaction Details 2025'!$J$8:$J$331,$A5,'Transaction Details 2025'!$I$8:$I$331,G$4)</f>
        <v>365.91999999999996</v>
      </c>
      <c r="H5" s="20">
        <f>SUMIFS('Transaction Details 2025'!$E$8:$E$331,'Transaction Details 2025'!$J$8:$J$331,$A5,'Transaction Details 2025'!$I$8:$I$331,H$4)</f>
        <v>365.91999999999996</v>
      </c>
      <c r="I5" s="20">
        <f>SUMIFS('Transaction Details 2025'!$E$8:$E$331,'Transaction Details 2025'!$J$8:$J$331,$A5,'Transaction Details 2025'!$I$8:$I$331,I$4)</f>
        <v>365.91999999999996</v>
      </c>
      <c r="J5" s="20">
        <f>SUMIFS('Transaction Details 2025'!$E$8:$E$331,'Transaction Details 2025'!$J$8:$J$331,$A5,'Transaction Details 2025'!$I$8:$I$331,J$4)</f>
        <v>365.91999999999996</v>
      </c>
      <c r="K5" s="20">
        <f>SUMIFS('Transaction Details 2025'!$E$8:$E$331,'Transaction Details 2025'!$J$8:$J$331,$A5,'Transaction Details 2025'!$I$8:$I$331,K$4)</f>
        <v>375.91999999999996</v>
      </c>
      <c r="L5" s="20">
        <f>SUMIFS('Transaction Details 2025'!$E$8:$E$331,'Transaction Details 2025'!$J$8:$J$331,$A5,'Transaction Details 2025'!$I$8:$I$331,L$4)</f>
        <v>375.91999999999996</v>
      </c>
      <c r="M5" s="20">
        <f>SUMIFS('Transaction Details 2025'!$E$8:$E$331,'Transaction Details 2025'!$J$8:$J$331,$A5,'Transaction Details 2025'!$I$8:$I$331,M$4)</f>
        <v>386.37</v>
      </c>
      <c r="N5" s="20">
        <f t="shared" ref="N5:N22" si="1">SUM(B5:M5)</f>
        <v>16316.480000000001</v>
      </c>
    </row>
    <row r="6" spans="1:14" x14ac:dyDescent="0.25">
      <c r="A6" s="3" t="s">
        <v>992</v>
      </c>
      <c r="B6" s="20">
        <f>SUMIFS('Transaction Details 2025'!$E$8:$E$331,'Transaction Details 2025'!$J$8:$J$331,$A6,'Transaction Details 2025'!$I$8:$I$331,B$4)</f>
        <v>0</v>
      </c>
      <c r="C6" s="20">
        <f>SUMIFS('Transaction Details 2025'!$E$8:$E$331,'Transaction Details 2025'!$J$8:$J$331,$A6,'Transaction Details 2025'!$I$8:$I$331,C$4)</f>
        <v>0</v>
      </c>
      <c r="D6" s="20">
        <f>SUMIFS('Transaction Details 2025'!$E$8:$E$331,'Transaction Details 2025'!$J$8:$J$331,$A6,'Transaction Details 2025'!$I$8:$I$331,D$4)</f>
        <v>0</v>
      </c>
      <c r="E6" s="20">
        <f>SUMIFS('Transaction Details 2025'!$E$8:$E$331,'Transaction Details 2025'!$J$8:$J$331,$A6,'Transaction Details 2025'!$I$8:$I$331,E$4)</f>
        <v>0</v>
      </c>
      <c r="F6" s="20">
        <f>SUMIFS('Transaction Details 2025'!$E$8:$E$331,'Transaction Details 2025'!$J$8:$J$331,$A6,'Transaction Details 2025'!$I$8:$I$331,F$4)</f>
        <v>0</v>
      </c>
      <c r="G6" s="20">
        <f>SUMIFS('Transaction Details 2025'!$E$8:$E$331,'Transaction Details 2025'!$J$8:$J$331,$A6,'Transaction Details 2025'!$I$8:$I$331,G$4)</f>
        <v>0</v>
      </c>
      <c r="H6" s="20">
        <f>SUMIFS('Transaction Details 2025'!$E$8:$E$331,'Transaction Details 2025'!$J$8:$J$331,$A6,'Transaction Details 2025'!$I$8:$I$331,H$4)</f>
        <v>0</v>
      </c>
      <c r="I6" s="20">
        <f>SUMIFS('Transaction Details 2025'!$E$8:$E$331,'Transaction Details 2025'!$J$8:$J$331,$A6,'Transaction Details 2025'!$I$8:$I$331,I$4)</f>
        <v>0</v>
      </c>
      <c r="J6" s="20">
        <f>SUMIFS('Transaction Details 2025'!$E$8:$E$331,'Transaction Details 2025'!$J$8:$J$331,$A6,'Transaction Details 2025'!$I$8:$I$331,J$4)</f>
        <v>0</v>
      </c>
      <c r="K6" s="20">
        <f>SUMIFS('Transaction Details 2025'!$E$8:$E$331,'Transaction Details 2025'!$J$8:$J$331,$A6,'Transaction Details 2025'!$I$8:$I$331,K$4)</f>
        <v>0</v>
      </c>
      <c r="L6" s="20">
        <f>SUMIFS('Transaction Details 2025'!$E$8:$E$331,'Transaction Details 2025'!$J$8:$J$331,$A6,'Transaction Details 2025'!$I$8:$I$331,L$4)</f>
        <v>0</v>
      </c>
      <c r="M6" s="20">
        <f>SUMIFS('Transaction Details 2025'!$E$8:$E$331,'Transaction Details 2025'!$J$8:$J$331,$A6,'Transaction Details 2025'!$I$8:$I$331,M$4)</f>
        <v>48</v>
      </c>
      <c r="N6" s="20">
        <f t="shared" si="1"/>
        <v>48</v>
      </c>
    </row>
    <row r="7" spans="1:14" x14ac:dyDescent="0.25">
      <c r="A7" s="3" t="s">
        <v>372</v>
      </c>
      <c r="B7" s="20">
        <f>SUMIFS('Transaction Details 2025'!$E$8:$E$331,'Transaction Details 2025'!$J$8:$J$331,$A7,'Transaction Details 2025'!$I$8:$I$331,B$4)</f>
        <v>0</v>
      </c>
      <c r="C7" s="20">
        <f>SUMIFS('Transaction Details 2025'!$E$8:$E$331,'Transaction Details 2025'!$J$8:$J$331,$A7,'Transaction Details 2025'!$I$8:$I$331,C$4)</f>
        <v>2.94</v>
      </c>
      <c r="D7" s="20">
        <f>SUMIFS('Transaction Details 2025'!$E$8:$E$331,'Transaction Details 2025'!$J$8:$J$331,$A7,'Transaction Details 2025'!$I$8:$I$331,D$4)</f>
        <v>152.11000000000001</v>
      </c>
      <c r="E7" s="20">
        <f>SUMIFS('Transaction Details 2025'!$E$8:$E$331,'Transaction Details 2025'!$J$8:$J$331,$A7,'Transaction Details 2025'!$I$8:$I$331,E$4)</f>
        <v>184.26</v>
      </c>
      <c r="F7" s="20">
        <f>SUMIFS('Transaction Details 2025'!$E$8:$E$331,'Transaction Details 2025'!$J$8:$J$331,$A7,'Transaction Details 2025'!$I$8:$I$331,F$4)</f>
        <v>0</v>
      </c>
      <c r="G7" s="20">
        <f>SUMIFS('Transaction Details 2025'!$E$8:$E$331,'Transaction Details 2025'!$J$8:$J$331,$A7,'Transaction Details 2025'!$I$8:$I$331,G$4)</f>
        <v>0</v>
      </c>
      <c r="H7" s="20">
        <f>SUMIFS('Transaction Details 2025'!$E$8:$E$331,'Transaction Details 2025'!$J$8:$J$331,$A7,'Transaction Details 2025'!$I$8:$I$331,H$4)</f>
        <v>0</v>
      </c>
      <c r="I7" s="20">
        <f>SUMIFS('Transaction Details 2025'!$E$8:$E$331,'Transaction Details 2025'!$J$8:$J$331,$A7,'Transaction Details 2025'!$I$8:$I$331,I$4)</f>
        <v>0</v>
      </c>
      <c r="J7" s="20">
        <f>SUMIFS('Transaction Details 2025'!$E$8:$E$331,'Transaction Details 2025'!$J$8:$J$331,$A7,'Transaction Details 2025'!$I$8:$I$331,J$4)</f>
        <v>0</v>
      </c>
      <c r="K7" s="20">
        <f>SUMIFS('Transaction Details 2025'!$E$8:$E$331,'Transaction Details 2025'!$J$8:$J$331,$A7,'Transaction Details 2025'!$I$8:$I$331,K$4)</f>
        <v>0</v>
      </c>
      <c r="L7" s="20">
        <f>SUMIFS('Transaction Details 2025'!$E$8:$E$331,'Transaction Details 2025'!$J$8:$J$331,$A7,'Transaction Details 2025'!$I$8:$I$331,L$4)</f>
        <v>0</v>
      </c>
      <c r="M7" s="20">
        <f>SUMIFS('Transaction Details 2025'!$E$8:$E$331,'Transaction Details 2025'!$J$8:$J$331,$A7,'Transaction Details 2025'!$I$8:$I$331,M$4)</f>
        <v>0</v>
      </c>
      <c r="N7" s="20">
        <f t="shared" si="1"/>
        <v>339.31</v>
      </c>
    </row>
    <row r="8" spans="1:14" x14ac:dyDescent="0.25">
      <c r="A8" s="3" t="s">
        <v>112</v>
      </c>
      <c r="B8" s="20">
        <f>SUMIFS('Transaction Details 2025'!$E$8:$E$331,'Transaction Details 2025'!$J$8:$J$331,$A8,'Transaction Details 2025'!$I$8:$I$331,B$4)</f>
        <v>-300</v>
      </c>
      <c r="C8" s="20">
        <f>SUMIFS('Transaction Details 2025'!$E$8:$E$331,'Transaction Details 2025'!$J$8:$J$331,$A8,'Transaction Details 2025'!$I$8:$I$331,C$4)</f>
        <v>0</v>
      </c>
      <c r="D8" s="20">
        <f>SUMIFS('Transaction Details 2025'!$E$8:$E$331,'Transaction Details 2025'!$J$8:$J$331,$A8,'Transaction Details 2025'!$I$8:$I$331,D$4)</f>
        <v>0</v>
      </c>
      <c r="E8" s="20">
        <f>SUMIFS('Transaction Details 2025'!$E$8:$E$331,'Transaction Details 2025'!$J$8:$J$331,$A8,'Transaction Details 2025'!$I$8:$I$331,E$4)</f>
        <v>0</v>
      </c>
      <c r="F8" s="20">
        <f>SUMIFS('Transaction Details 2025'!$E$8:$E$331,'Transaction Details 2025'!$J$8:$J$331,$A8,'Transaction Details 2025'!$I$8:$I$331,F$4)</f>
        <v>0</v>
      </c>
      <c r="G8" s="20">
        <f>SUMIFS('Transaction Details 2025'!$E$8:$E$331,'Transaction Details 2025'!$J$8:$J$331,$A8,'Transaction Details 2025'!$I$8:$I$331,G$4)</f>
        <v>0</v>
      </c>
      <c r="H8" s="20">
        <f>SUMIFS('Transaction Details 2025'!$E$8:$E$331,'Transaction Details 2025'!$J$8:$J$331,$A8,'Transaction Details 2025'!$I$8:$I$331,H$4)</f>
        <v>0</v>
      </c>
      <c r="I8" s="20">
        <f>SUMIFS('Transaction Details 2025'!$E$8:$E$331,'Transaction Details 2025'!$J$8:$J$331,$A8,'Transaction Details 2025'!$I$8:$I$331,I$4)</f>
        <v>0</v>
      </c>
      <c r="J8" s="20">
        <f>SUMIFS('Transaction Details 2025'!$E$8:$E$331,'Transaction Details 2025'!$J$8:$J$331,$A8,'Transaction Details 2025'!$I$8:$I$331,J$4)</f>
        <v>0</v>
      </c>
      <c r="K8" s="20">
        <f>SUMIFS('Transaction Details 2025'!$E$8:$E$331,'Transaction Details 2025'!$J$8:$J$331,$A8,'Transaction Details 2025'!$I$8:$I$331,K$4)</f>
        <v>0</v>
      </c>
      <c r="L8" s="20">
        <f>SUMIFS('Transaction Details 2025'!$E$8:$E$331,'Transaction Details 2025'!$J$8:$J$331,$A8,'Transaction Details 2025'!$I$8:$I$331,L$4)</f>
        <v>0</v>
      </c>
      <c r="M8" s="20">
        <f>SUMIFS('Transaction Details 2025'!$E$8:$E$331,'Transaction Details 2025'!$J$8:$J$331,$A8,'Transaction Details 2025'!$I$8:$I$331,M$4)</f>
        <v>0</v>
      </c>
      <c r="N8" s="20">
        <f t="shared" si="1"/>
        <v>-300</v>
      </c>
    </row>
    <row r="9" spans="1:14" x14ac:dyDescent="0.25">
      <c r="A9" s="3" t="s">
        <v>176</v>
      </c>
      <c r="B9" s="20">
        <f>SUMIFS('Transaction Details 2025'!$E$8:$E$331,'Transaction Details 2025'!$J$8:$J$331,$A9,'Transaction Details 2025'!$I$8:$I$331,B$4)</f>
        <v>119</v>
      </c>
      <c r="C9" s="20">
        <f>SUMIFS('Transaction Details 2025'!$E$8:$E$331,'Transaction Details 2025'!$J$8:$J$331,$A9,'Transaction Details 2025'!$I$8:$I$331,C$4)</f>
        <v>0</v>
      </c>
      <c r="D9" s="20">
        <f>SUMIFS('Transaction Details 2025'!$E$8:$E$331,'Transaction Details 2025'!$J$8:$J$331,$A9,'Transaction Details 2025'!$I$8:$I$331,D$4)</f>
        <v>0</v>
      </c>
      <c r="E9" s="20">
        <f>SUMIFS('Transaction Details 2025'!$E$8:$E$331,'Transaction Details 2025'!$J$8:$J$331,$A9,'Transaction Details 2025'!$I$8:$I$331,E$4)</f>
        <v>0</v>
      </c>
      <c r="F9" s="20">
        <f>SUMIFS('Transaction Details 2025'!$E$8:$E$331,'Transaction Details 2025'!$J$8:$J$331,$A9,'Transaction Details 2025'!$I$8:$I$331,F$4)</f>
        <v>0</v>
      </c>
      <c r="G9" s="20">
        <f>SUMIFS('Transaction Details 2025'!$E$8:$E$331,'Transaction Details 2025'!$J$8:$J$331,$A9,'Transaction Details 2025'!$I$8:$I$331,G$4)</f>
        <v>0</v>
      </c>
      <c r="H9" s="20">
        <f>SUMIFS('Transaction Details 2025'!$E$8:$E$331,'Transaction Details 2025'!$J$8:$J$331,$A9,'Transaction Details 2025'!$I$8:$I$331,H$4)</f>
        <v>0</v>
      </c>
      <c r="I9" s="20">
        <f>SUMIFS('Transaction Details 2025'!$E$8:$E$331,'Transaction Details 2025'!$J$8:$J$331,$A9,'Transaction Details 2025'!$I$8:$I$331,I$4)</f>
        <v>0</v>
      </c>
      <c r="J9" s="20">
        <f>SUMIFS('Transaction Details 2025'!$E$8:$E$331,'Transaction Details 2025'!$J$8:$J$331,$A9,'Transaction Details 2025'!$I$8:$I$331,J$4)</f>
        <v>0</v>
      </c>
      <c r="K9" s="20">
        <f>SUMIFS('Transaction Details 2025'!$E$8:$E$331,'Transaction Details 2025'!$J$8:$J$331,$A9,'Transaction Details 2025'!$I$8:$I$331,K$4)</f>
        <v>0</v>
      </c>
      <c r="L9" s="20">
        <f>SUMIFS('Transaction Details 2025'!$E$8:$E$331,'Transaction Details 2025'!$J$8:$J$331,$A9,'Transaction Details 2025'!$I$8:$I$331,L$4)</f>
        <v>0</v>
      </c>
      <c r="M9" s="20">
        <f>SUMIFS('Transaction Details 2025'!$E$8:$E$331,'Transaction Details 2025'!$J$8:$J$331,$A9,'Transaction Details 2025'!$I$8:$I$331,M$4)</f>
        <v>0</v>
      </c>
      <c r="N9" s="20">
        <f t="shared" si="1"/>
        <v>119</v>
      </c>
    </row>
    <row r="10" spans="1:14" x14ac:dyDescent="0.25">
      <c r="A10" s="3" t="s">
        <v>972</v>
      </c>
      <c r="B10" s="20">
        <f>SUMIFS('Transaction Details 2025'!$E$8:$E$331,'Transaction Details 2025'!$J$8:$J$331,$A10,'Transaction Details 2025'!$I$8:$I$331,B$4)</f>
        <v>0</v>
      </c>
      <c r="C10" s="20">
        <f>SUMIFS('Transaction Details 2025'!$E$8:$E$331,'Transaction Details 2025'!$J$8:$J$331,$A10,'Transaction Details 2025'!$I$8:$I$331,C$4)</f>
        <v>0</v>
      </c>
      <c r="D10" s="20">
        <f>SUMIFS('Transaction Details 2025'!$E$8:$E$331,'Transaction Details 2025'!$J$8:$J$331,$A10,'Transaction Details 2025'!$I$8:$I$331,D$4)</f>
        <v>0</v>
      </c>
      <c r="E10" s="20">
        <f>SUMIFS('Transaction Details 2025'!$E$8:$E$331,'Transaction Details 2025'!$J$8:$J$331,$A10,'Transaction Details 2025'!$I$8:$I$331,E$4)</f>
        <v>0</v>
      </c>
      <c r="F10" s="20">
        <f>SUMIFS('Transaction Details 2025'!$E$8:$E$331,'Transaction Details 2025'!$J$8:$J$331,$A10,'Transaction Details 2025'!$I$8:$I$331,F$4)</f>
        <v>0</v>
      </c>
      <c r="G10" s="20">
        <f>SUMIFS('Transaction Details 2025'!$E$8:$E$331,'Transaction Details 2025'!$J$8:$J$331,$A10,'Transaction Details 2025'!$I$8:$I$331,G$4)</f>
        <v>0</v>
      </c>
      <c r="H10" s="20">
        <f>SUMIFS('Transaction Details 2025'!$E$8:$E$331,'Transaction Details 2025'!$J$8:$J$331,$A10,'Transaction Details 2025'!$I$8:$I$331,H$4)</f>
        <v>0</v>
      </c>
      <c r="I10" s="20">
        <f>SUMIFS('Transaction Details 2025'!$E$8:$E$331,'Transaction Details 2025'!$J$8:$J$331,$A10,'Transaction Details 2025'!$I$8:$I$331,I$4)</f>
        <v>0</v>
      </c>
      <c r="J10" s="20">
        <f>SUMIFS('Transaction Details 2025'!$E$8:$E$331,'Transaction Details 2025'!$J$8:$J$331,$A10,'Transaction Details 2025'!$I$8:$I$331,J$4)</f>
        <v>0</v>
      </c>
      <c r="K10" s="20">
        <f>SUMIFS('Transaction Details 2025'!$E$8:$E$331,'Transaction Details 2025'!$J$8:$J$331,$A10,'Transaction Details 2025'!$I$8:$I$331,K$4)</f>
        <v>0</v>
      </c>
      <c r="L10" s="20">
        <f>SUMIFS('Transaction Details 2025'!$E$8:$E$331,'Transaction Details 2025'!$J$8:$J$331,$A10,'Transaction Details 2025'!$I$8:$I$331,L$4)</f>
        <v>0</v>
      </c>
      <c r="M10" s="20">
        <f>SUMIFS('Transaction Details 2025'!$E$8:$E$331,'Transaction Details 2025'!$J$8:$J$331,$A10,'Transaction Details 2025'!$I$8:$I$331,M$4)</f>
        <v>695</v>
      </c>
      <c r="N10" s="20">
        <f t="shared" si="1"/>
        <v>695</v>
      </c>
    </row>
    <row r="11" spans="1:14" x14ac:dyDescent="0.25">
      <c r="A11" s="3" t="s">
        <v>572</v>
      </c>
      <c r="B11" s="20">
        <f>SUMIFS('Transaction Details 2025'!$E$8:$E$331,'Transaction Details 2025'!$J$8:$J$331,$A11,'Transaction Details 2025'!$I$8:$I$331,B$4)</f>
        <v>0</v>
      </c>
      <c r="C11" s="20">
        <f>SUMIFS('Transaction Details 2025'!$E$8:$E$331,'Transaction Details 2025'!$J$8:$J$331,$A11,'Transaction Details 2025'!$I$8:$I$331,C$4)</f>
        <v>0</v>
      </c>
      <c r="D11" s="20">
        <f>SUMIFS('Transaction Details 2025'!$E$8:$E$331,'Transaction Details 2025'!$J$8:$J$331,$A11,'Transaction Details 2025'!$I$8:$I$331,D$4)</f>
        <v>50.31</v>
      </c>
      <c r="E11" s="20">
        <f>SUMIFS('Transaction Details 2025'!$E$8:$E$331,'Transaction Details 2025'!$J$8:$J$331,$A11,'Transaction Details 2025'!$I$8:$I$331,E$4)</f>
        <v>0</v>
      </c>
      <c r="F11" s="20">
        <f>SUMIFS('Transaction Details 2025'!$E$8:$E$331,'Transaction Details 2025'!$J$8:$J$331,$A11,'Transaction Details 2025'!$I$8:$I$331,F$4)</f>
        <v>0</v>
      </c>
      <c r="G11" s="20">
        <f>SUMIFS('Transaction Details 2025'!$E$8:$E$331,'Transaction Details 2025'!$J$8:$J$331,$A11,'Transaction Details 2025'!$I$8:$I$331,G$4)</f>
        <v>0</v>
      </c>
      <c r="H11" s="20">
        <f>SUMIFS('Transaction Details 2025'!$E$8:$E$331,'Transaction Details 2025'!$J$8:$J$331,$A11,'Transaction Details 2025'!$I$8:$I$331,H$4)</f>
        <v>0</v>
      </c>
      <c r="I11" s="20">
        <f>SUMIFS('Transaction Details 2025'!$E$8:$E$331,'Transaction Details 2025'!$J$8:$J$331,$A11,'Transaction Details 2025'!$I$8:$I$331,I$4)</f>
        <v>0</v>
      </c>
      <c r="J11" s="20">
        <f>SUMIFS('Transaction Details 2025'!$E$8:$E$331,'Transaction Details 2025'!$J$8:$J$331,$A11,'Transaction Details 2025'!$I$8:$I$331,J$4)</f>
        <v>0</v>
      </c>
      <c r="K11" s="20">
        <f>SUMIFS('Transaction Details 2025'!$E$8:$E$331,'Transaction Details 2025'!$J$8:$J$331,$A11,'Transaction Details 2025'!$I$8:$I$331,K$4)</f>
        <v>0</v>
      </c>
      <c r="L11" s="20">
        <f>SUMIFS('Transaction Details 2025'!$E$8:$E$331,'Transaction Details 2025'!$J$8:$J$331,$A11,'Transaction Details 2025'!$I$8:$I$331,L$4)</f>
        <v>0</v>
      </c>
      <c r="M11" s="20">
        <f>SUMIFS('Transaction Details 2025'!$E$8:$E$331,'Transaction Details 2025'!$J$8:$J$331,$A11,'Transaction Details 2025'!$I$8:$I$331,M$4)</f>
        <v>0</v>
      </c>
      <c r="N11" s="20">
        <f t="shared" si="1"/>
        <v>50.31</v>
      </c>
    </row>
    <row r="12" spans="1:14" x14ac:dyDescent="0.25">
      <c r="A12" s="3" t="s">
        <v>433</v>
      </c>
      <c r="B12" s="20">
        <f>SUMIFS('Transaction Details 2025'!$E$8:$E$331,'Transaction Details 2025'!$J$8:$J$331,$A12,'Transaction Details 2025'!$I$8:$I$331,B$4)</f>
        <v>438.48</v>
      </c>
      <c r="C12" s="20">
        <f>SUMIFS('Transaction Details 2025'!$E$8:$E$331,'Transaction Details 2025'!$J$8:$J$331,$A12,'Transaction Details 2025'!$I$8:$I$331,C$4)</f>
        <v>705.48</v>
      </c>
      <c r="D12" s="20">
        <f>SUMIFS('Transaction Details 2025'!$E$8:$E$331,'Transaction Details 2025'!$J$8:$J$331,$A12,'Transaction Details 2025'!$I$8:$I$331,D$4)</f>
        <v>0</v>
      </c>
      <c r="E12" s="20">
        <f>SUMIFS('Transaction Details 2025'!$E$8:$E$331,'Transaction Details 2025'!$J$8:$J$331,$A12,'Transaction Details 2025'!$I$8:$I$331,E$4)</f>
        <v>0</v>
      </c>
      <c r="F12" s="20">
        <f>SUMIFS('Transaction Details 2025'!$E$8:$E$331,'Transaction Details 2025'!$J$8:$J$331,$A12,'Transaction Details 2025'!$I$8:$I$331,F$4)</f>
        <v>0</v>
      </c>
      <c r="G12" s="20">
        <f>SUMIFS('Transaction Details 2025'!$E$8:$E$331,'Transaction Details 2025'!$J$8:$J$331,$A12,'Transaction Details 2025'!$I$8:$I$331,G$4)</f>
        <v>0</v>
      </c>
      <c r="H12" s="20">
        <f>SUMIFS('Transaction Details 2025'!$E$8:$E$331,'Transaction Details 2025'!$J$8:$J$331,$A12,'Transaction Details 2025'!$I$8:$I$331,H$4)</f>
        <v>0</v>
      </c>
      <c r="I12" s="20">
        <f>SUMIFS('Transaction Details 2025'!$E$8:$E$331,'Transaction Details 2025'!$J$8:$J$331,$A12,'Transaction Details 2025'!$I$8:$I$331,I$4)</f>
        <v>0</v>
      </c>
      <c r="J12" s="20">
        <f>SUMIFS('Transaction Details 2025'!$E$8:$E$331,'Transaction Details 2025'!$J$8:$J$331,$A12,'Transaction Details 2025'!$I$8:$I$331,J$4)</f>
        <v>0</v>
      </c>
      <c r="K12" s="20">
        <f>SUMIFS('Transaction Details 2025'!$E$8:$E$331,'Transaction Details 2025'!$J$8:$J$331,$A12,'Transaction Details 2025'!$I$8:$I$331,K$4)</f>
        <v>0</v>
      </c>
      <c r="L12" s="20">
        <f>SUMIFS('Transaction Details 2025'!$E$8:$E$331,'Transaction Details 2025'!$J$8:$J$331,$A12,'Transaction Details 2025'!$I$8:$I$331,L$4)</f>
        <v>0</v>
      </c>
      <c r="M12" s="20">
        <f>SUMIFS('Transaction Details 2025'!$E$8:$E$331,'Transaction Details 2025'!$J$8:$J$331,$A12,'Transaction Details 2025'!$I$8:$I$331,M$4)</f>
        <v>0</v>
      </c>
      <c r="N12" s="20">
        <f t="shared" si="1"/>
        <v>1143.96</v>
      </c>
    </row>
    <row r="13" spans="1:14" x14ac:dyDescent="0.25">
      <c r="A13" s="3" t="s">
        <v>374</v>
      </c>
      <c r="B13" s="20">
        <f>SUMIFS('Transaction Details 2025'!$E$8:$E$331,'Transaction Details 2025'!$J$8:$J$331,$A13,'Transaction Details 2025'!$I$8:$I$331,B$4)</f>
        <v>22.99</v>
      </c>
      <c r="C13" s="20">
        <f>SUMIFS('Transaction Details 2025'!$E$8:$E$331,'Transaction Details 2025'!$J$8:$J$331,$A13,'Transaction Details 2025'!$I$8:$I$331,C$4)</f>
        <v>22.99</v>
      </c>
      <c r="D13" s="20">
        <f>SUMIFS('Transaction Details 2025'!$E$8:$E$331,'Transaction Details 2025'!$J$8:$J$331,$A13,'Transaction Details 2025'!$I$8:$I$331,D$4)</f>
        <v>24.99</v>
      </c>
      <c r="E13" s="20">
        <f>SUMIFS('Transaction Details 2025'!$E$8:$E$331,'Transaction Details 2025'!$J$8:$J$331,$A13,'Transaction Details 2025'!$I$8:$I$331,E$4)</f>
        <v>31.979999999999997</v>
      </c>
      <c r="F13" s="20">
        <f>SUMIFS('Transaction Details 2025'!$E$8:$E$331,'Transaction Details 2025'!$J$8:$J$331,$A13,'Transaction Details 2025'!$I$8:$I$331,F$4)</f>
        <v>24.99</v>
      </c>
      <c r="G13" s="20">
        <f>SUMIFS('Transaction Details 2025'!$E$8:$E$331,'Transaction Details 2025'!$J$8:$J$331,$A13,'Transaction Details 2025'!$I$8:$I$331,G$4)</f>
        <v>24.99</v>
      </c>
      <c r="H13" s="20">
        <f>SUMIFS('Transaction Details 2025'!$E$8:$E$331,'Transaction Details 2025'!$J$8:$J$331,$A13,'Transaction Details 2025'!$I$8:$I$331,H$4)</f>
        <v>24.99</v>
      </c>
      <c r="I13" s="20">
        <f>SUMIFS('Transaction Details 2025'!$E$8:$E$331,'Transaction Details 2025'!$J$8:$J$331,$A13,'Transaction Details 2025'!$I$8:$I$331,I$4)</f>
        <v>24.99</v>
      </c>
      <c r="J13" s="20">
        <f>SUMIFS('Transaction Details 2025'!$E$8:$E$331,'Transaction Details 2025'!$J$8:$J$331,$A13,'Transaction Details 2025'!$I$8:$I$331,J$4)</f>
        <v>24.99</v>
      </c>
      <c r="K13" s="20">
        <f>SUMIFS('Transaction Details 2025'!$E$8:$E$331,'Transaction Details 2025'!$J$8:$J$331,$A13,'Transaction Details 2025'!$I$8:$I$331,K$4)</f>
        <v>24.99</v>
      </c>
      <c r="L13" s="20">
        <f>SUMIFS('Transaction Details 2025'!$E$8:$E$331,'Transaction Details 2025'!$J$8:$J$331,$A13,'Transaction Details 2025'!$I$8:$I$331,L$4)</f>
        <v>24.99</v>
      </c>
      <c r="M13" s="20">
        <f>SUMIFS('Transaction Details 2025'!$E$8:$E$331,'Transaction Details 2025'!$J$8:$J$331,$A13,'Transaction Details 2025'!$I$8:$I$331,M$4)</f>
        <v>24.99</v>
      </c>
      <c r="N13" s="20">
        <f t="shared" si="1"/>
        <v>302.87</v>
      </c>
    </row>
    <row r="14" spans="1:14" x14ac:dyDescent="0.25">
      <c r="A14" s="3" t="s">
        <v>375</v>
      </c>
      <c r="B14" s="20">
        <f>SUMIFS('Transaction Details 2025'!$E$8:$E$331,'Transaction Details 2025'!$J$8:$J$331,$A14,'Transaction Details 2025'!$I$8:$I$331,B$4)</f>
        <v>28.5</v>
      </c>
      <c r="C14" s="20">
        <f>SUMIFS('Transaction Details 2025'!$E$8:$E$331,'Transaction Details 2025'!$J$8:$J$331,$A14,'Transaction Details 2025'!$I$8:$I$331,C$4)</f>
        <v>0</v>
      </c>
      <c r="D14" s="20">
        <f>SUMIFS('Transaction Details 2025'!$E$8:$E$331,'Transaction Details 2025'!$J$8:$J$331,$A14,'Transaction Details 2025'!$I$8:$I$331,D$4)</f>
        <v>0</v>
      </c>
      <c r="E14" s="20">
        <f>SUMIFS('Transaction Details 2025'!$E$8:$E$331,'Transaction Details 2025'!$J$8:$J$331,$A14,'Transaction Details 2025'!$I$8:$I$331,E$4)</f>
        <v>0</v>
      </c>
      <c r="F14" s="20">
        <f>SUMIFS('Transaction Details 2025'!$E$8:$E$331,'Transaction Details 2025'!$J$8:$J$331,$A14,'Transaction Details 2025'!$I$8:$I$331,F$4)</f>
        <v>0</v>
      </c>
      <c r="G14" s="20">
        <f>SUMIFS('Transaction Details 2025'!$E$8:$E$331,'Transaction Details 2025'!$J$8:$J$331,$A14,'Transaction Details 2025'!$I$8:$I$331,G$4)</f>
        <v>0</v>
      </c>
      <c r="H14" s="20">
        <f>SUMIFS('Transaction Details 2025'!$E$8:$E$331,'Transaction Details 2025'!$J$8:$J$331,$A14,'Transaction Details 2025'!$I$8:$I$331,H$4)</f>
        <v>0</v>
      </c>
      <c r="I14" s="20">
        <f>SUMIFS('Transaction Details 2025'!$E$8:$E$331,'Transaction Details 2025'!$J$8:$J$331,$A14,'Transaction Details 2025'!$I$8:$I$331,I$4)</f>
        <v>0</v>
      </c>
      <c r="J14" s="20">
        <f>SUMIFS('Transaction Details 2025'!$E$8:$E$331,'Transaction Details 2025'!$J$8:$J$331,$A14,'Transaction Details 2025'!$I$8:$I$331,J$4)</f>
        <v>0</v>
      </c>
      <c r="K14" s="20">
        <f>SUMIFS('Transaction Details 2025'!$E$8:$E$331,'Transaction Details 2025'!$J$8:$J$331,$A14,'Transaction Details 2025'!$I$8:$I$331,K$4)</f>
        <v>21.94</v>
      </c>
      <c r="L14" s="20">
        <f>SUMIFS('Transaction Details 2025'!$E$8:$E$331,'Transaction Details 2025'!$J$8:$J$331,$A14,'Transaction Details 2025'!$I$8:$I$331,L$4)</f>
        <v>230</v>
      </c>
      <c r="M14" s="20">
        <f>SUMIFS('Transaction Details 2025'!$E$8:$E$331,'Transaction Details 2025'!$J$8:$J$331,$A14,'Transaction Details 2025'!$I$8:$I$331,M$4)</f>
        <v>0</v>
      </c>
      <c r="N14" s="20">
        <f t="shared" si="1"/>
        <v>280.44</v>
      </c>
    </row>
    <row r="15" spans="1:14" x14ac:dyDescent="0.25">
      <c r="A15" s="3" t="s">
        <v>448</v>
      </c>
      <c r="B15" s="20">
        <f>SUMIFS('Transaction Details 2025'!$E$8:$E$331,'Transaction Details 2025'!$J$8:$J$331,$A15,'Transaction Details 2025'!$I$8:$I$331,B$4)</f>
        <v>62.8</v>
      </c>
      <c r="C15" s="20">
        <f>SUMIFS('Transaction Details 2025'!$E$8:$E$331,'Transaction Details 2025'!$J$8:$J$331,$A15,'Transaction Details 2025'!$I$8:$I$331,C$4)</f>
        <v>0</v>
      </c>
      <c r="D15" s="20">
        <f>SUMIFS('Transaction Details 2025'!$E$8:$E$331,'Transaction Details 2025'!$J$8:$J$331,$A15,'Transaction Details 2025'!$I$8:$I$331,D$4)</f>
        <v>0</v>
      </c>
      <c r="E15" s="20">
        <f>SUMIFS('Transaction Details 2025'!$E$8:$E$331,'Transaction Details 2025'!$J$8:$J$331,$A15,'Transaction Details 2025'!$I$8:$I$331,E$4)</f>
        <v>0</v>
      </c>
      <c r="F15" s="20">
        <f>SUMIFS('Transaction Details 2025'!$E$8:$E$331,'Transaction Details 2025'!$J$8:$J$331,$A15,'Transaction Details 2025'!$I$8:$I$331,F$4)</f>
        <v>0</v>
      </c>
      <c r="G15" s="20">
        <f>SUMIFS('Transaction Details 2025'!$E$8:$E$331,'Transaction Details 2025'!$J$8:$J$331,$A15,'Transaction Details 2025'!$I$8:$I$331,G$4)</f>
        <v>0</v>
      </c>
      <c r="H15" s="20">
        <f>SUMIFS('Transaction Details 2025'!$E$8:$E$331,'Transaction Details 2025'!$J$8:$J$331,$A15,'Transaction Details 2025'!$I$8:$I$331,H$4)</f>
        <v>0</v>
      </c>
      <c r="I15" s="20">
        <f>SUMIFS('Transaction Details 2025'!$E$8:$E$331,'Transaction Details 2025'!$J$8:$J$331,$A15,'Transaction Details 2025'!$I$8:$I$331,I$4)</f>
        <v>0</v>
      </c>
      <c r="J15" s="20">
        <f>SUMIFS('Transaction Details 2025'!$E$8:$E$331,'Transaction Details 2025'!$J$8:$J$331,$A15,'Transaction Details 2025'!$I$8:$I$331,J$4)</f>
        <v>0</v>
      </c>
      <c r="K15" s="20">
        <f>SUMIFS('Transaction Details 2025'!$E$8:$E$331,'Transaction Details 2025'!$J$8:$J$331,$A15,'Transaction Details 2025'!$I$8:$I$331,K$4)</f>
        <v>0</v>
      </c>
      <c r="L15" s="20">
        <f>SUMIFS('Transaction Details 2025'!$E$8:$E$331,'Transaction Details 2025'!$J$8:$J$331,$A15,'Transaction Details 2025'!$I$8:$I$331,L$4)</f>
        <v>0</v>
      </c>
      <c r="M15" s="20">
        <f>SUMIFS('Transaction Details 2025'!$E$8:$E$331,'Transaction Details 2025'!$J$8:$J$331,$A15,'Transaction Details 2025'!$I$8:$I$331,M$4)</f>
        <v>0</v>
      </c>
      <c r="N15" s="20">
        <f t="shared" si="1"/>
        <v>62.8</v>
      </c>
    </row>
    <row r="16" spans="1:14" x14ac:dyDescent="0.25">
      <c r="A16" s="3" t="s">
        <v>419</v>
      </c>
      <c r="B16" s="20">
        <f>SUMIFS('Transaction Details 2025'!$E$8:$E$331,'Transaction Details 2025'!$J$8:$J$331,$A16,'Transaction Details 2025'!$I$8:$I$331,B$4)</f>
        <v>591.26</v>
      </c>
      <c r="C16" s="20">
        <f>SUMIFS('Transaction Details 2025'!$E$8:$E$331,'Transaction Details 2025'!$J$8:$J$331,$A16,'Transaction Details 2025'!$I$8:$I$331,C$4)</f>
        <v>0</v>
      </c>
      <c r="D16" s="20">
        <f>SUMIFS('Transaction Details 2025'!$E$8:$E$331,'Transaction Details 2025'!$J$8:$J$331,$A16,'Transaction Details 2025'!$I$8:$I$331,D$4)</f>
        <v>0</v>
      </c>
      <c r="E16" s="20">
        <f>SUMIFS('Transaction Details 2025'!$E$8:$E$331,'Transaction Details 2025'!$J$8:$J$331,$A16,'Transaction Details 2025'!$I$8:$I$331,E$4)</f>
        <v>0</v>
      </c>
      <c r="F16" s="20">
        <f>SUMIFS('Transaction Details 2025'!$E$8:$E$331,'Transaction Details 2025'!$J$8:$J$331,$A16,'Transaction Details 2025'!$I$8:$I$331,F$4)</f>
        <v>0</v>
      </c>
      <c r="G16" s="20">
        <f>SUMIFS('Transaction Details 2025'!$E$8:$E$331,'Transaction Details 2025'!$J$8:$J$331,$A16,'Transaction Details 2025'!$I$8:$I$331,G$4)</f>
        <v>0</v>
      </c>
      <c r="H16" s="20">
        <f>SUMIFS('Transaction Details 2025'!$E$8:$E$331,'Transaction Details 2025'!$J$8:$J$331,$A16,'Transaction Details 2025'!$I$8:$I$331,H$4)</f>
        <v>0</v>
      </c>
      <c r="I16" s="20">
        <f>SUMIFS('Transaction Details 2025'!$E$8:$E$331,'Transaction Details 2025'!$J$8:$J$331,$A16,'Transaction Details 2025'!$I$8:$I$331,I$4)</f>
        <v>0</v>
      </c>
      <c r="J16" s="20">
        <f>SUMIFS('Transaction Details 2025'!$E$8:$E$331,'Transaction Details 2025'!$J$8:$J$331,$A16,'Transaction Details 2025'!$I$8:$I$331,J$4)</f>
        <v>0</v>
      </c>
      <c r="K16" s="20">
        <f>SUMIFS('Transaction Details 2025'!$E$8:$E$331,'Transaction Details 2025'!$J$8:$J$331,$A16,'Transaction Details 2025'!$I$8:$I$331,K$4)</f>
        <v>0</v>
      </c>
      <c r="L16" s="20">
        <f>SUMIFS('Transaction Details 2025'!$E$8:$E$331,'Transaction Details 2025'!$J$8:$J$331,$A16,'Transaction Details 2025'!$I$8:$I$331,L$4)</f>
        <v>0</v>
      </c>
      <c r="M16" s="20">
        <f>SUMIFS('Transaction Details 2025'!$E$8:$E$331,'Transaction Details 2025'!$J$8:$J$331,$A16,'Transaction Details 2025'!$I$8:$I$331,M$4)</f>
        <v>0</v>
      </c>
      <c r="N16" s="20">
        <f t="shared" si="1"/>
        <v>591.26</v>
      </c>
    </row>
    <row r="17" spans="1:14" x14ac:dyDescent="0.25">
      <c r="A17" s="3" t="s">
        <v>41</v>
      </c>
      <c r="B17" s="20">
        <f>SUMIFS('Transaction Details 2025'!$E$8:$E$331,'Transaction Details 2025'!$J$8:$J$331,$A17,'Transaction Details 2025'!$I$8:$I$331,B$4)</f>
        <v>337.17</v>
      </c>
      <c r="C17" s="20">
        <f>SUMIFS('Transaction Details 2025'!$E$8:$E$331,'Transaction Details 2025'!$J$8:$J$331,$A17,'Transaction Details 2025'!$I$8:$I$331,C$4)</f>
        <v>-705.48</v>
      </c>
      <c r="D17" s="20">
        <f>SUMIFS('Transaction Details 2025'!$E$8:$E$331,'Transaction Details 2025'!$J$8:$J$331,$A17,'Transaction Details 2025'!$I$8:$I$331,D$4)</f>
        <v>0</v>
      </c>
      <c r="E17" s="20">
        <f>SUMIFS('Transaction Details 2025'!$E$8:$E$331,'Transaction Details 2025'!$J$8:$J$331,$A17,'Transaction Details 2025'!$I$8:$I$331,E$4)</f>
        <v>0</v>
      </c>
      <c r="F17" s="20">
        <f>SUMIFS('Transaction Details 2025'!$E$8:$E$331,'Transaction Details 2025'!$J$8:$J$331,$A17,'Transaction Details 2025'!$I$8:$I$331,F$4)</f>
        <v>0</v>
      </c>
      <c r="G17" s="20">
        <f>SUMIFS('Transaction Details 2025'!$E$8:$E$331,'Transaction Details 2025'!$J$8:$J$331,$A17,'Transaction Details 2025'!$I$8:$I$331,G$4)</f>
        <v>0</v>
      </c>
      <c r="H17" s="20">
        <f>SUMIFS('Transaction Details 2025'!$E$8:$E$331,'Transaction Details 2025'!$J$8:$J$331,$A17,'Transaction Details 2025'!$I$8:$I$331,H$4)</f>
        <v>0</v>
      </c>
      <c r="I17" s="20">
        <f>SUMIFS('Transaction Details 2025'!$E$8:$E$331,'Transaction Details 2025'!$J$8:$J$331,$A17,'Transaction Details 2025'!$I$8:$I$331,I$4)</f>
        <v>0</v>
      </c>
      <c r="J17" s="20">
        <f>SUMIFS('Transaction Details 2025'!$E$8:$E$331,'Transaction Details 2025'!$J$8:$J$331,$A17,'Transaction Details 2025'!$I$8:$I$331,J$4)</f>
        <v>0</v>
      </c>
      <c r="K17" s="20">
        <f>SUMIFS('Transaction Details 2025'!$E$8:$E$331,'Transaction Details 2025'!$J$8:$J$331,$A17,'Transaction Details 2025'!$I$8:$I$331,K$4)</f>
        <v>0</v>
      </c>
      <c r="L17" s="20">
        <f>SUMIFS('Transaction Details 2025'!$E$8:$E$331,'Transaction Details 2025'!$J$8:$J$331,$A17,'Transaction Details 2025'!$I$8:$I$331,L$4)</f>
        <v>0</v>
      </c>
      <c r="M17" s="20">
        <f>SUMIFS('Transaction Details 2025'!$E$8:$E$331,'Transaction Details 2025'!$J$8:$J$331,$A17,'Transaction Details 2025'!$I$8:$I$331,M$4)</f>
        <v>0</v>
      </c>
      <c r="N17" s="20">
        <f t="shared" si="1"/>
        <v>-368.31</v>
      </c>
    </row>
    <row r="18" spans="1:14" x14ac:dyDescent="0.25">
      <c r="A18" s="3" t="s">
        <v>366</v>
      </c>
      <c r="B18" s="20">
        <f>SUMIFS('Transaction Details 2025'!$E$8:$E$331,'Transaction Details 2025'!$J$8:$J$331,$A18,'Transaction Details 2025'!$I$8:$I$331,B$4)</f>
        <v>2486.83</v>
      </c>
      <c r="C18" s="20">
        <f>SUMIFS('Transaction Details 2025'!$E$8:$E$331,'Transaction Details 2025'!$J$8:$J$331,$A18,'Transaction Details 2025'!$I$8:$I$331,C$4)</f>
        <v>22.950000000000017</v>
      </c>
      <c r="D18" s="20">
        <f>SUMIFS('Transaction Details 2025'!$E$8:$E$331,'Transaction Details 2025'!$J$8:$J$331,$A18,'Transaction Details 2025'!$I$8:$I$331,D$4)</f>
        <v>0</v>
      </c>
      <c r="E18" s="20">
        <f>SUMIFS('Transaction Details 2025'!$E$8:$E$331,'Transaction Details 2025'!$J$8:$J$331,$A18,'Transaction Details 2025'!$I$8:$I$331,E$4)</f>
        <v>0</v>
      </c>
      <c r="F18" s="20">
        <f>SUMIFS('Transaction Details 2025'!$E$8:$E$331,'Transaction Details 2025'!$J$8:$J$331,$A18,'Transaction Details 2025'!$I$8:$I$331,F$4)</f>
        <v>0</v>
      </c>
      <c r="G18" s="20">
        <f>SUMIFS('Transaction Details 2025'!$E$8:$E$331,'Transaction Details 2025'!$J$8:$J$331,$A18,'Transaction Details 2025'!$I$8:$I$331,G$4)</f>
        <v>0</v>
      </c>
      <c r="H18" s="20">
        <f>SUMIFS('Transaction Details 2025'!$E$8:$E$331,'Transaction Details 2025'!$J$8:$J$331,$A18,'Transaction Details 2025'!$I$8:$I$331,H$4)</f>
        <v>0</v>
      </c>
      <c r="I18" s="20">
        <f>SUMIFS('Transaction Details 2025'!$E$8:$E$331,'Transaction Details 2025'!$J$8:$J$331,$A18,'Transaction Details 2025'!$I$8:$I$331,I$4)</f>
        <v>0</v>
      </c>
      <c r="J18" s="20">
        <f>SUMIFS('Transaction Details 2025'!$E$8:$E$331,'Transaction Details 2025'!$J$8:$J$331,$A18,'Transaction Details 2025'!$I$8:$I$331,J$4)</f>
        <v>0</v>
      </c>
      <c r="K18" s="20">
        <f>SUMIFS('Transaction Details 2025'!$E$8:$E$331,'Transaction Details 2025'!$J$8:$J$331,$A18,'Transaction Details 2025'!$I$8:$I$331,K$4)</f>
        <v>0</v>
      </c>
      <c r="L18" s="20">
        <f>SUMIFS('Transaction Details 2025'!$E$8:$E$331,'Transaction Details 2025'!$J$8:$J$331,$A18,'Transaction Details 2025'!$I$8:$I$331,L$4)</f>
        <v>0</v>
      </c>
      <c r="M18" s="20">
        <f>SUMIFS('Transaction Details 2025'!$E$8:$E$331,'Transaction Details 2025'!$J$8:$J$331,$A18,'Transaction Details 2025'!$I$8:$I$331,M$4)</f>
        <v>0</v>
      </c>
      <c r="N18" s="20">
        <f t="shared" si="1"/>
        <v>2509.7799999999997</v>
      </c>
    </row>
    <row r="19" spans="1:14" x14ac:dyDescent="0.25">
      <c r="A19" s="3" t="s">
        <v>393</v>
      </c>
      <c r="B19" s="20">
        <f>SUMIFS('Transaction Details 2025'!$E$8:$E$331,'Transaction Details 2025'!$J$8:$J$331,$A19,'Transaction Details 2025'!$I$8:$I$331,B$4)</f>
        <v>0</v>
      </c>
      <c r="C19" s="20">
        <f>SUMIFS('Transaction Details 2025'!$E$8:$E$331,'Transaction Details 2025'!$J$8:$J$331,$A19,'Transaction Details 2025'!$I$8:$I$331,C$4)</f>
        <v>0</v>
      </c>
      <c r="D19" s="20">
        <f>SUMIFS('Transaction Details 2025'!$E$8:$E$331,'Transaction Details 2025'!$J$8:$J$331,$A19,'Transaction Details 2025'!$I$8:$I$331,D$4)</f>
        <v>0</v>
      </c>
      <c r="E19" s="20">
        <f>SUMIFS('Transaction Details 2025'!$E$8:$E$331,'Transaction Details 2025'!$J$8:$J$331,$A19,'Transaction Details 2025'!$I$8:$I$331,E$4)</f>
        <v>0</v>
      </c>
      <c r="F19" s="20">
        <f>SUMIFS('Transaction Details 2025'!$E$8:$E$331,'Transaction Details 2025'!$J$8:$J$331,$A19,'Transaction Details 2025'!$I$8:$I$331,F$4)</f>
        <v>0</v>
      </c>
      <c r="G19" s="20">
        <f>SUMIFS('Transaction Details 2025'!$E$8:$E$331,'Transaction Details 2025'!$J$8:$J$331,$A19,'Transaction Details 2025'!$I$8:$I$331,G$4)</f>
        <v>0</v>
      </c>
      <c r="H19" s="20">
        <f>SUMIFS('Transaction Details 2025'!$E$8:$E$331,'Transaction Details 2025'!$J$8:$J$331,$A19,'Transaction Details 2025'!$I$8:$I$331,H$4)</f>
        <v>0</v>
      </c>
      <c r="I19" s="20">
        <f>SUMIFS('Transaction Details 2025'!$E$8:$E$331,'Transaction Details 2025'!$J$8:$J$331,$A19,'Transaction Details 2025'!$I$8:$I$331,I$4)</f>
        <v>0</v>
      </c>
      <c r="J19" s="20">
        <f>SUMIFS('Transaction Details 2025'!$E$8:$E$331,'Transaction Details 2025'!$J$8:$J$331,$A19,'Transaction Details 2025'!$I$8:$I$331,J$4)</f>
        <v>0</v>
      </c>
      <c r="K19" s="20">
        <f>SUMIFS('Transaction Details 2025'!$E$8:$E$331,'Transaction Details 2025'!$J$8:$J$331,$A19,'Transaction Details 2025'!$I$8:$I$331,K$4)</f>
        <v>0</v>
      </c>
      <c r="L19" s="20">
        <f>SUMIFS('Transaction Details 2025'!$E$8:$E$331,'Transaction Details 2025'!$J$8:$J$331,$A19,'Transaction Details 2025'!$I$8:$I$331,L$4)</f>
        <v>0</v>
      </c>
      <c r="M19" s="20">
        <f>SUMIFS('Transaction Details 2025'!$E$8:$E$331,'Transaction Details 2025'!$J$8:$J$331,$A19,'Transaction Details 2025'!$I$8:$I$331,M$4)</f>
        <v>0</v>
      </c>
      <c r="N19" s="20">
        <f t="shared" si="1"/>
        <v>0</v>
      </c>
    </row>
    <row r="20" spans="1:14" x14ac:dyDescent="0.25">
      <c r="A20" s="3" t="s">
        <v>396</v>
      </c>
      <c r="B20" s="20">
        <f>SUMIFS('Transaction Details 2025'!$E$8:$E$331,'Transaction Details 2025'!$J$8:$J$331,$A20,'Transaction Details 2025'!$I$8:$I$331,B$4)</f>
        <v>533.79999999999995</v>
      </c>
      <c r="C20" s="20">
        <f>SUMIFS('Transaction Details 2025'!$E$8:$E$331,'Transaction Details 2025'!$J$8:$J$331,$A20,'Transaction Details 2025'!$I$8:$I$331,C$4)</f>
        <v>1063.0700000000002</v>
      </c>
      <c r="D20" s="20">
        <f>SUMIFS('Transaction Details 2025'!$E$8:$E$331,'Transaction Details 2025'!$J$8:$J$331,$A20,'Transaction Details 2025'!$I$8:$I$331,D$4)</f>
        <v>1303.8200000000002</v>
      </c>
      <c r="E20" s="20">
        <f>SUMIFS('Transaction Details 2025'!$E$8:$E$331,'Transaction Details 2025'!$J$8:$J$331,$A20,'Transaction Details 2025'!$I$8:$I$331,E$4)</f>
        <v>685.72</v>
      </c>
      <c r="F20" s="20">
        <f>SUMIFS('Transaction Details 2025'!$E$8:$E$331,'Transaction Details 2025'!$J$8:$J$331,$A20,'Transaction Details 2025'!$I$8:$I$331,F$4)</f>
        <v>967.43999999999994</v>
      </c>
      <c r="G20" s="20">
        <f>SUMIFS('Transaction Details 2025'!$E$8:$E$331,'Transaction Details 2025'!$J$8:$J$331,$A20,'Transaction Details 2025'!$I$8:$I$331,G$4)</f>
        <v>1346.8199999999997</v>
      </c>
      <c r="H20" s="20">
        <f>SUMIFS('Transaction Details 2025'!$E$8:$E$331,'Transaction Details 2025'!$J$8:$J$331,$A20,'Transaction Details 2025'!$I$8:$I$331,H$4)</f>
        <v>1181.26</v>
      </c>
      <c r="I20" s="20">
        <f>SUMIFS('Transaction Details 2025'!$E$8:$E$331,'Transaction Details 2025'!$J$8:$J$331,$A20,'Transaction Details 2025'!$I$8:$I$331,I$4)</f>
        <v>968.97</v>
      </c>
      <c r="J20" s="20">
        <f>SUMIFS('Transaction Details 2025'!$E$8:$E$331,'Transaction Details 2025'!$J$8:$J$331,$A20,'Transaction Details 2025'!$I$8:$I$331,J$4)</f>
        <v>910.67000000000019</v>
      </c>
      <c r="K20" s="20">
        <f>SUMIFS('Transaction Details 2025'!$E$8:$E$331,'Transaction Details 2025'!$J$8:$J$331,$A20,'Transaction Details 2025'!$I$8:$I$331,K$4)</f>
        <v>880.36000000000024</v>
      </c>
      <c r="L20" s="20">
        <f>SUMIFS('Transaction Details 2025'!$E$8:$E$331,'Transaction Details 2025'!$J$8:$J$331,$A20,'Transaction Details 2025'!$I$8:$I$331,L$4)</f>
        <v>460.64</v>
      </c>
      <c r="M20" s="20">
        <f>SUMIFS('Transaction Details 2025'!$E$8:$E$331,'Transaction Details 2025'!$J$8:$J$331,$A20,'Transaction Details 2025'!$I$8:$I$331,M$4)</f>
        <v>388.05999999999989</v>
      </c>
      <c r="N20" s="20">
        <f t="shared" si="1"/>
        <v>10690.630000000001</v>
      </c>
    </row>
    <row r="21" spans="1:14" x14ac:dyDescent="0.25">
      <c r="A21" s="3" t="s">
        <v>398</v>
      </c>
      <c r="B21" s="20">
        <f>SUMIFS('Transaction Details 2025'!$E$8:$E$331,'Transaction Details 2025'!$J$8:$J$331,$A21,'Transaction Details 2025'!$I$8:$I$331,B$4)</f>
        <v>60</v>
      </c>
      <c r="C21" s="20">
        <f>SUMIFS('Transaction Details 2025'!$E$8:$E$331,'Transaction Details 2025'!$J$8:$J$331,$A21,'Transaction Details 2025'!$I$8:$I$331,C$4)</f>
        <v>0</v>
      </c>
      <c r="D21" s="20">
        <f>SUMIFS('Transaction Details 2025'!$E$8:$E$331,'Transaction Details 2025'!$J$8:$J$331,$A21,'Transaction Details 2025'!$I$8:$I$331,D$4)</f>
        <v>0</v>
      </c>
      <c r="E21" s="20">
        <f>SUMIFS('Transaction Details 2025'!$E$8:$E$331,'Transaction Details 2025'!$J$8:$J$331,$A21,'Transaction Details 2025'!$I$8:$I$331,E$4)</f>
        <v>60</v>
      </c>
      <c r="F21" s="20">
        <f>SUMIFS('Transaction Details 2025'!$E$8:$E$331,'Transaction Details 2025'!$J$8:$J$331,$A21,'Transaction Details 2025'!$I$8:$I$331,F$4)</f>
        <v>0</v>
      </c>
      <c r="G21" s="20">
        <f>SUMIFS('Transaction Details 2025'!$E$8:$E$331,'Transaction Details 2025'!$J$8:$J$331,$A21,'Transaction Details 2025'!$I$8:$I$331,G$4)</f>
        <v>0</v>
      </c>
      <c r="H21" s="20">
        <f>SUMIFS('Transaction Details 2025'!$E$8:$E$331,'Transaction Details 2025'!$J$8:$J$331,$A21,'Transaction Details 2025'!$I$8:$I$331,H$4)</f>
        <v>60</v>
      </c>
      <c r="I21" s="20">
        <f>SUMIFS('Transaction Details 2025'!$E$8:$E$331,'Transaction Details 2025'!$J$8:$J$331,$A21,'Transaction Details 2025'!$I$8:$I$331,I$4)</f>
        <v>12.99</v>
      </c>
      <c r="J21" s="20">
        <f>SUMIFS('Transaction Details 2025'!$E$8:$E$331,'Transaction Details 2025'!$J$8:$J$331,$A21,'Transaction Details 2025'!$I$8:$I$331,J$4)</f>
        <v>0</v>
      </c>
      <c r="K21" s="20">
        <f>SUMIFS('Transaction Details 2025'!$E$8:$E$331,'Transaction Details 2025'!$J$8:$J$331,$A21,'Transaction Details 2025'!$I$8:$I$331,K$4)</f>
        <v>60</v>
      </c>
      <c r="L21" s="20">
        <f>SUMIFS('Transaction Details 2025'!$E$8:$E$331,'Transaction Details 2025'!$J$8:$J$331,$A21,'Transaction Details 2025'!$I$8:$I$331,L$4)</f>
        <v>0</v>
      </c>
      <c r="M21" s="20">
        <f>SUMIFS('Transaction Details 2025'!$E$8:$E$331,'Transaction Details 2025'!$J$8:$J$331,$A21,'Transaction Details 2025'!$I$8:$I$331,M$4)</f>
        <v>195</v>
      </c>
      <c r="N21" s="20">
        <f t="shared" si="1"/>
        <v>447.99</v>
      </c>
    </row>
    <row r="22" spans="1:14" x14ac:dyDescent="0.25">
      <c r="A22" s="3" t="s">
        <v>373</v>
      </c>
      <c r="B22" s="20">
        <f>SUMIFS('Transaction Details 2025'!$E$8:$E$331,'Transaction Details 2025'!$J$8:$J$331,$A22,'Transaction Details 2025'!$I$8:$I$331,B$4)</f>
        <v>-4930.5</v>
      </c>
      <c r="C22" s="20">
        <f>SUMIFS('Transaction Details 2025'!$E$8:$E$331,'Transaction Details 2025'!$J$8:$J$331,$A22,'Transaction Details 2025'!$I$8:$I$331,C$4)</f>
        <v>-1853.08</v>
      </c>
      <c r="D22" s="20">
        <f>SUMIFS('Transaction Details 2025'!$E$8:$E$331,'Transaction Details 2025'!$J$8:$J$331,$A22,'Transaction Details 2025'!$I$8:$I$331,D$4)</f>
        <v>-1982.28</v>
      </c>
      <c r="E22" s="20">
        <f>SUMIFS('Transaction Details 2025'!$E$8:$E$331,'Transaction Details 2025'!$J$8:$J$331,$A22,'Transaction Details 2025'!$I$8:$I$331,E$4)</f>
        <v>-2222.92</v>
      </c>
      <c r="F22" s="20">
        <f>SUMIFS('Transaction Details 2025'!$E$8:$E$331,'Transaction Details 2025'!$J$8:$J$331,$A22,'Transaction Details 2025'!$I$8:$I$331,F$4)</f>
        <v>-1542.61</v>
      </c>
      <c r="G22" s="20">
        <f>SUMIFS('Transaction Details 2025'!$E$8:$E$331,'Transaction Details 2025'!$J$8:$J$331,$A22,'Transaction Details 2025'!$I$8:$I$331,G$4)</f>
        <v>-12616.91</v>
      </c>
      <c r="H22" s="20">
        <f>SUMIFS('Transaction Details 2025'!$E$8:$E$331,'Transaction Details 2025'!$J$8:$J$331,$A22,'Transaction Details 2025'!$I$8:$I$331,H$4)</f>
        <v>-1373.57</v>
      </c>
      <c r="I22" s="20">
        <f>SUMIFS('Transaction Details 2025'!$E$8:$E$331,'Transaction Details 2025'!$J$8:$J$331,$A22,'Transaction Details 2025'!$I$8:$I$331,I$4)</f>
        <v>-1935.03</v>
      </c>
      <c r="J22" s="20">
        <f>SUMIFS('Transaction Details 2025'!$E$8:$E$331,'Transaction Details 2025'!$J$8:$J$331,$A22,'Transaction Details 2025'!$I$8:$I$331,J$4)</f>
        <v>0</v>
      </c>
      <c r="K22" s="20">
        <f>SUMIFS('Transaction Details 2025'!$E$8:$E$331,'Transaction Details 2025'!$J$8:$J$331,$A22,'Transaction Details 2025'!$I$8:$I$331,K$4)</f>
        <v>-1242.8399999999999</v>
      </c>
      <c r="L22" s="20">
        <f>SUMIFS('Transaction Details 2025'!$E$8:$E$331,'Transaction Details 2025'!$J$8:$J$331,$A22,'Transaction Details 2025'!$I$8:$I$331,L$4)</f>
        <v>-2439.5300000000002</v>
      </c>
      <c r="M22" s="20">
        <f>SUMIFS('Transaction Details 2025'!$E$8:$E$331,'Transaction Details 2025'!$J$8:$J$331,$A22,'Transaction Details 2025'!$I$8:$I$331,M$4)</f>
        <v>-1625.86</v>
      </c>
      <c r="N22" s="20">
        <f t="shared" si="1"/>
        <v>-33765.129999999997</v>
      </c>
    </row>
    <row r="24" spans="1:14" x14ac:dyDescent="0.25">
      <c r="A24" s="14" t="s">
        <v>415</v>
      </c>
      <c r="B24" s="21">
        <f>SUMIFS('Transaction Details 2025'!$E$8:$E$331,'Transaction Details 2025'!$I$8:$I$331,B$4,'Transaction Details 2025'!$E$8:$E$331,"&gt;0")</f>
        <v>5242.7499999999982</v>
      </c>
      <c r="C24" s="21">
        <f>SUMIFS('Transaction Details 2025'!$E$8:$E$331,'Transaction Details 2025'!$I$8:$I$331,C$4,'Transaction Details 2025'!$E$8:$E$331,"&gt;0")</f>
        <v>2796.1200000000003</v>
      </c>
      <c r="D24" s="21">
        <f>SUMIFS('Transaction Details 2025'!$E$8:$E$331,'Transaction Details 2025'!$I$8:$I$331,D$4,'Transaction Details 2025'!$E$8:$E$331,"&gt;0")</f>
        <v>2046.8800000000003</v>
      </c>
      <c r="E24" s="21">
        <f>SUMIFS('Transaction Details 2025'!$E$8:$E$331,'Transaction Details 2025'!$I$8:$I$331,E$4,'Transaction Details 2025'!$E$8:$E$331,"&gt;0")</f>
        <v>2110.8000000000002</v>
      </c>
      <c r="F24" s="21">
        <f>SUMIFS('Transaction Details 2025'!$E$8:$E$331,'Transaction Details 2025'!$I$8:$I$331,F$4,'Transaction Details 2025'!$E$8:$E$331,"&gt;0")</f>
        <v>12482.35</v>
      </c>
      <c r="G24" s="21">
        <f>SUMIFS('Transaction Details 2025'!$E$8:$E$331,'Transaction Details 2025'!$I$8:$I$331,G$4,'Transaction Details 2025'!$E$8:$E$331,"&gt;0")</f>
        <v>1737.73</v>
      </c>
      <c r="H24" s="21">
        <f>SUMIFS('Transaction Details 2025'!$E$8:$E$331,'Transaction Details 2025'!$I$8:$I$331,H$4,'Transaction Details 2025'!$E$8:$E$331,"&gt;0")</f>
        <v>1632.1699999999998</v>
      </c>
      <c r="I24" s="21">
        <f>SUMIFS('Transaction Details 2025'!$E$8:$E$331,'Transaction Details 2025'!$I$8:$I$331,I$4,'Transaction Details 2025'!$E$8:$E$331,"&gt;0")</f>
        <v>1493.06</v>
      </c>
      <c r="J24" s="21">
        <f>SUMIFS('Transaction Details 2025'!$E$8:$E$331,'Transaction Details 2025'!$I$8:$I$331,J$4,'Transaction Details 2025'!$E$8:$E$331,"&gt;0")</f>
        <v>1301.5800000000002</v>
      </c>
      <c r="K24" s="21">
        <f>SUMIFS('Transaction Details 2025'!$E$8:$E$331,'Transaction Details 2025'!$I$8:$I$331,K$4,'Transaction Details 2025'!$E$8:$E$331,"&gt;0")</f>
        <v>1394.9100000000003</v>
      </c>
      <c r="L24" s="21">
        <f>SUMIFS('Transaction Details 2025'!$E$8:$E$331,'Transaction Details 2025'!$I$8:$I$331,L$4,'Transaction Details 2025'!$E$8:$E$331,"&gt;0")</f>
        <v>1091.5500000000002</v>
      </c>
      <c r="M24" s="21">
        <f>SUMIFS('Transaction Details 2025'!$E$8:$E$331,'Transaction Details 2025'!$I$8:$I$331,M$4,'Transaction Details 2025'!$E$8:$E$331,"&gt;0")</f>
        <v>1737.42</v>
      </c>
      <c r="N24" s="21">
        <f>SUM(B24:M24)</f>
        <v>35067.32</v>
      </c>
    </row>
    <row r="25" spans="1:14" x14ac:dyDescent="0.25">
      <c r="A25" s="14" t="s">
        <v>413</v>
      </c>
      <c r="B25" s="21">
        <f>SUMIFS('Transaction Details 2025'!$E$8:$E$331,'Transaction Details 2025'!$I$8:$I$331,B$4,'Transaction Details 2025'!$E$8:$E$331,"&lt;0")</f>
        <v>-5429.5</v>
      </c>
      <c r="C25" s="21">
        <f>SUMIFS('Transaction Details 2025'!$E$8:$E$331,'Transaction Details 2025'!$I$8:$I$331,C$4,'Transaction Details 2025'!$E$8:$E$331,"&lt;0")</f>
        <v>-3171.33</v>
      </c>
      <c r="D25" s="21">
        <f>SUMIFS('Transaction Details 2025'!$E$8:$E$331,'Transaction Details 2025'!$I$8:$I$331,D$4,'Transaction Details 2025'!$E$8:$E$331,"&lt;0")</f>
        <v>-2132.0099999999998</v>
      </c>
      <c r="E25" s="21">
        <f>SUMIFS('Transaction Details 2025'!$E$8:$E$331,'Transaction Details 2025'!$I$8:$I$331,E$4,'Transaction Details 2025'!$E$8:$E$331,"&lt;0")</f>
        <v>-2241.85</v>
      </c>
      <c r="F25" s="21">
        <f>SUMIFS('Transaction Details 2025'!$E$8:$E$331,'Transaction Details 2025'!$I$8:$I$331,F$4,'Transaction Details 2025'!$E$8:$E$331,"&lt;0")</f>
        <v>-1542.61</v>
      </c>
      <c r="G25" s="21">
        <f>SUMIFS('Transaction Details 2025'!$E$8:$E$331,'Transaction Details 2025'!$I$8:$I$331,G$4,'Transaction Details 2025'!$E$8:$E$331,"&lt;0")</f>
        <v>-12616.91</v>
      </c>
      <c r="H25" s="21">
        <f>SUMIFS('Transaction Details 2025'!$E$8:$E$331,'Transaction Details 2025'!$I$8:$I$331,H$4,'Transaction Details 2025'!$E$8:$E$331,"&lt;0")</f>
        <v>-1373.57</v>
      </c>
      <c r="I25" s="21">
        <f>SUMIFS('Transaction Details 2025'!$E$8:$E$331,'Transaction Details 2025'!$I$8:$I$331,I$4,'Transaction Details 2025'!$E$8:$E$331,"&lt;0")</f>
        <v>-2055.2199999999998</v>
      </c>
      <c r="J25" s="21">
        <f>SUMIFS('Transaction Details 2025'!$E$8:$E$331,'Transaction Details 2025'!$I$8:$I$331,J$4,'Transaction Details 2025'!$E$8:$E$331,"&lt;0")</f>
        <v>0</v>
      </c>
      <c r="K25" s="21">
        <f>SUMIFS('Transaction Details 2025'!$E$8:$E$331,'Transaction Details 2025'!$I$8:$I$331,K$4,'Transaction Details 2025'!$E$8:$E$331,"&lt;0")</f>
        <v>-1274.54</v>
      </c>
      <c r="L25" s="21">
        <f>SUMIFS('Transaction Details 2025'!$E$8:$E$331,'Transaction Details 2025'!$I$8:$I$331,L$4,'Transaction Details 2025'!$E$8:$E$331,"&lt;0")</f>
        <v>-2439.5300000000002</v>
      </c>
      <c r="M25" s="21">
        <f>SUMIFS('Transaction Details 2025'!$E$8:$E$331,'Transaction Details 2025'!$I$8:$I$331,M$4,'Transaction Details 2025'!$E$8:$E$331,"&lt;0")</f>
        <v>-1625.86</v>
      </c>
      <c r="N25" s="21">
        <f>SUM(B25:M25)</f>
        <v>-35902.93</v>
      </c>
    </row>
    <row r="26" spans="1:14" x14ac:dyDescent="0.25">
      <c r="A26" s="5" t="s">
        <v>404</v>
      </c>
      <c r="B26" s="25">
        <f t="shared" ref="B26:M26" si="2">B24+B25</f>
        <v>-186.75000000000182</v>
      </c>
      <c r="C26" s="25">
        <f t="shared" si="2"/>
        <v>-375.20999999999958</v>
      </c>
      <c r="D26" s="25">
        <f t="shared" si="2"/>
        <v>-85.129999999999427</v>
      </c>
      <c r="E26" s="25">
        <f t="shared" si="2"/>
        <v>-131.04999999999973</v>
      </c>
      <c r="F26" s="25">
        <f t="shared" si="2"/>
        <v>10939.74</v>
      </c>
      <c r="G26" s="25">
        <f t="shared" si="2"/>
        <v>-10879.18</v>
      </c>
      <c r="H26" s="25">
        <f t="shared" si="2"/>
        <v>258.59999999999991</v>
      </c>
      <c r="I26" s="25">
        <f t="shared" si="2"/>
        <v>-562.15999999999985</v>
      </c>
      <c r="J26" s="25">
        <f t="shared" si="2"/>
        <v>1301.5800000000002</v>
      </c>
      <c r="K26" s="25">
        <f t="shared" si="2"/>
        <v>120.37000000000035</v>
      </c>
      <c r="L26" s="25">
        <f t="shared" si="2"/>
        <v>-1347.98</v>
      </c>
      <c r="M26" s="25">
        <f t="shared" si="2"/>
        <v>111.56000000000017</v>
      </c>
      <c r="N26" s="25">
        <f>SUM(B26:M26)</f>
        <v>-835.61000000000104</v>
      </c>
    </row>
    <row r="28" spans="1:14" x14ac:dyDescent="0.25">
      <c r="A28" s="26" t="str">
        <f>IF(ROUND(N26-'Transaction Summary 2025'!B11,2)=0,"✓ Net ties to Transaction Summary 2025","⚠ mismatch")</f>
        <v>✓ Net ties to Transaction Summary 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C419-2E75-40E0-A6DC-D16096509CFB}">
  <dimension ref="A1:K331"/>
  <sheetViews>
    <sheetView zoomScale="115" zoomScaleNormal="115" workbookViewId="0">
      <selection activeCell="H335" sqref="H335"/>
    </sheetView>
  </sheetViews>
  <sheetFormatPr defaultColWidth="26.28515625" defaultRowHeight="15" x14ac:dyDescent="0.25"/>
  <cols>
    <col min="1" max="7" width="26.28515625" style="43"/>
    <col min="8" max="8" width="30.85546875" style="43" customWidth="1"/>
    <col min="9" max="16384" width="26.28515625" style="43"/>
  </cols>
  <sheetData>
    <row r="1" spans="1:11" ht="30" x14ac:dyDescent="0.25">
      <c r="A1" s="46" t="s">
        <v>378</v>
      </c>
      <c r="B1" s="47" t="s">
        <v>1005</v>
      </c>
      <c r="C1" s="45"/>
      <c r="D1" s="45"/>
      <c r="E1" s="45"/>
      <c r="F1" s="45"/>
      <c r="G1" s="45"/>
      <c r="H1" s="45"/>
      <c r="I1" s="45"/>
      <c r="J1" s="45"/>
      <c r="K1" s="44"/>
    </row>
    <row r="2" spans="1:11" x14ac:dyDescent="0.25">
      <c r="A2" s="48" t="s">
        <v>2</v>
      </c>
      <c r="B2" s="49" t="s">
        <v>0</v>
      </c>
      <c r="C2" s="50"/>
      <c r="D2" s="50"/>
      <c r="E2" s="50"/>
      <c r="F2" s="50"/>
      <c r="G2" s="50"/>
      <c r="H2" s="50"/>
      <c r="I2" s="50"/>
      <c r="J2" s="50"/>
      <c r="K2" s="44"/>
    </row>
    <row r="3" spans="1:11" x14ac:dyDescent="0.25">
      <c r="A3" s="51" t="s">
        <v>3</v>
      </c>
      <c r="B3" s="52" t="s">
        <v>0</v>
      </c>
      <c r="C3" s="50"/>
      <c r="D3" s="50"/>
      <c r="E3" s="50"/>
      <c r="F3" s="50"/>
      <c r="G3" s="50"/>
      <c r="H3" s="50"/>
      <c r="I3" s="50"/>
      <c r="J3" s="50"/>
      <c r="K3" s="44"/>
    </row>
    <row r="4" spans="1:11" x14ac:dyDescent="0.25">
      <c r="A4" s="48" t="s">
        <v>4</v>
      </c>
      <c r="B4" s="49" t="s">
        <v>0</v>
      </c>
      <c r="C4" s="50"/>
      <c r="D4" s="50"/>
      <c r="E4" s="50"/>
      <c r="F4" s="50"/>
      <c r="G4" s="50"/>
      <c r="H4" s="50"/>
      <c r="I4" s="50"/>
      <c r="J4" s="50"/>
      <c r="K4" s="44"/>
    </row>
    <row r="5" spans="1:11" x14ac:dyDescent="0.25">
      <c r="A5" s="51" t="s">
        <v>5</v>
      </c>
      <c r="B5" s="52" t="s">
        <v>0</v>
      </c>
      <c r="C5" s="50"/>
      <c r="D5" s="50"/>
      <c r="E5" s="50"/>
      <c r="F5" s="50"/>
      <c r="G5" s="50"/>
      <c r="H5" s="50"/>
      <c r="I5" s="50"/>
      <c r="J5" s="50"/>
      <c r="K5" s="44"/>
    </row>
    <row r="6" spans="1:11" x14ac:dyDescent="0.25">
      <c r="A6" s="49" t="s">
        <v>0</v>
      </c>
      <c r="B6" s="49" t="s">
        <v>0</v>
      </c>
      <c r="C6" s="50"/>
      <c r="D6" s="50"/>
      <c r="E6" s="50"/>
      <c r="F6" s="50"/>
      <c r="G6" s="50"/>
      <c r="H6" s="50"/>
      <c r="I6" s="50"/>
      <c r="J6" s="50"/>
      <c r="K6" s="44"/>
    </row>
    <row r="7" spans="1:11" x14ac:dyDescent="0.25">
      <c r="A7" s="53" t="s">
        <v>6</v>
      </c>
      <c r="B7" s="53" t="s">
        <v>7</v>
      </c>
      <c r="C7" s="53" t="s">
        <v>8</v>
      </c>
      <c r="D7" s="53" t="s">
        <v>9</v>
      </c>
      <c r="E7" s="53" t="s">
        <v>10</v>
      </c>
      <c r="F7" s="53" t="s">
        <v>11</v>
      </c>
      <c r="G7" s="53" t="s">
        <v>12</v>
      </c>
      <c r="H7" s="53" t="s">
        <v>13</v>
      </c>
      <c r="I7" s="54" t="s">
        <v>376</v>
      </c>
      <c r="J7" s="54" t="s">
        <v>377</v>
      </c>
      <c r="K7" s="44"/>
    </row>
    <row r="8" spans="1:11" ht="60" customHeight="1" x14ac:dyDescent="0.25">
      <c r="A8" s="57" t="s">
        <v>1004</v>
      </c>
      <c r="B8" s="57" t="s">
        <v>53</v>
      </c>
      <c r="C8" s="57" t="s">
        <v>22</v>
      </c>
      <c r="D8" s="57" t="s">
        <v>23</v>
      </c>
      <c r="E8" s="58">
        <v>15</v>
      </c>
      <c r="F8" s="57" t="s">
        <v>1003</v>
      </c>
      <c r="G8" s="57" t="s">
        <v>53</v>
      </c>
      <c r="H8" s="57" t="s">
        <v>33</v>
      </c>
      <c r="I8" s="59">
        <f>DATE(RIGHT(A8,4)+0,LEFT(A8,2)+0,1)</f>
        <v>45992</v>
      </c>
      <c r="J8" s="61" t="str">
        <f>IF(C8="JOHN DUNNING",IF(TRIM(H8)="",IF(ISNUMBER(SEARCH("PAYMENT",B8)),"Online AMEX Payment","(Uncategorized)"),TRIM(H8)),C8)</f>
        <v>AVA PEREZ</v>
      </c>
      <c r="K8" s="44"/>
    </row>
    <row r="9" spans="1:11" ht="60" customHeight="1" x14ac:dyDescent="0.25">
      <c r="A9" s="51" t="s">
        <v>1002</v>
      </c>
      <c r="B9" s="51" t="s">
        <v>26</v>
      </c>
      <c r="C9" s="51" t="s">
        <v>22</v>
      </c>
      <c r="D9" s="51" t="s">
        <v>23</v>
      </c>
      <c r="E9" s="56">
        <v>26.86</v>
      </c>
      <c r="F9" s="51" t="s">
        <v>1001</v>
      </c>
      <c r="G9" s="51" t="s">
        <v>26</v>
      </c>
      <c r="H9" s="51" t="s">
        <v>28</v>
      </c>
      <c r="I9" s="55">
        <f t="shared" ref="I9:I72" si="0">DATE(RIGHT(A9,4)+0,LEFT(A9,2)+0,1)</f>
        <v>45992</v>
      </c>
      <c r="J9" s="61" t="str">
        <f t="shared" ref="J9:J72" si="1">IF(C9="JOHN DUNNING",IF(TRIM(H9)="",IF(ISNUMBER(SEARCH("PAYMENT",B9)),"Online AMEX Payment","(Uncategorized)"),TRIM(H9)),C9)</f>
        <v>AVA PEREZ</v>
      </c>
      <c r="K9" s="44"/>
    </row>
    <row r="10" spans="1:11" ht="60" customHeight="1" x14ac:dyDescent="0.25">
      <c r="A10" s="57" t="s">
        <v>1000</v>
      </c>
      <c r="B10" s="57" t="s">
        <v>339</v>
      </c>
      <c r="C10" s="57" t="s">
        <v>22</v>
      </c>
      <c r="D10" s="57" t="s">
        <v>23</v>
      </c>
      <c r="E10" s="58">
        <v>1.95</v>
      </c>
      <c r="F10" s="57" t="s">
        <v>999</v>
      </c>
      <c r="G10" s="57" t="s">
        <v>339</v>
      </c>
      <c r="H10" s="57" t="s">
        <v>64</v>
      </c>
      <c r="I10" s="59">
        <f t="shared" si="0"/>
        <v>45992</v>
      </c>
      <c r="J10" s="61" t="str">
        <f t="shared" si="1"/>
        <v>AVA PEREZ</v>
      </c>
      <c r="K10" s="44"/>
    </row>
    <row r="11" spans="1:11" ht="60" customHeight="1" x14ac:dyDescent="0.25">
      <c r="A11" s="51" t="s">
        <v>997</v>
      </c>
      <c r="B11" s="51" t="s">
        <v>73</v>
      </c>
      <c r="C11" s="51" t="s">
        <v>3</v>
      </c>
      <c r="D11" s="51" t="s">
        <v>31</v>
      </c>
      <c r="E11" s="56">
        <v>69.989999999999995</v>
      </c>
      <c r="F11" s="51" t="s">
        <v>998</v>
      </c>
      <c r="G11" s="51" t="s">
        <v>73</v>
      </c>
      <c r="H11" s="51" t="s">
        <v>371</v>
      </c>
      <c r="I11" s="55">
        <f t="shared" si="0"/>
        <v>45992</v>
      </c>
      <c r="J11" s="61" t="str">
        <f t="shared" si="1"/>
        <v>DWG-RE Platform (Redirected)</v>
      </c>
      <c r="K11" s="44"/>
    </row>
    <row r="12" spans="1:11" ht="60" customHeight="1" x14ac:dyDescent="0.25">
      <c r="A12" s="57" t="s">
        <v>997</v>
      </c>
      <c r="B12" s="57" t="s">
        <v>462</v>
      </c>
      <c r="C12" s="57" t="s">
        <v>3</v>
      </c>
      <c r="D12" s="57" t="s">
        <v>31</v>
      </c>
      <c r="E12" s="58">
        <v>12.99</v>
      </c>
      <c r="F12" s="57" t="s">
        <v>996</v>
      </c>
      <c r="G12" s="57" t="s">
        <v>462</v>
      </c>
      <c r="H12" s="57" t="s">
        <v>371</v>
      </c>
      <c r="I12" s="59">
        <f t="shared" si="0"/>
        <v>45992</v>
      </c>
      <c r="J12" s="61" t="str">
        <f t="shared" si="1"/>
        <v>DWG-RE Platform (Redirected)</v>
      </c>
      <c r="K12" s="44"/>
    </row>
    <row r="13" spans="1:11" ht="60" customHeight="1" x14ac:dyDescent="0.25">
      <c r="A13" s="51" t="s">
        <v>995</v>
      </c>
      <c r="B13" s="51" t="s">
        <v>56</v>
      </c>
      <c r="C13" s="51" t="s">
        <v>3</v>
      </c>
      <c r="D13" s="51" t="s">
        <v>31</v>
      </c>
      <c r="E13" s="56">
        <v>-1625.86</v>
      </c>
      <c r="F13" s="51" t="s">
        <v>57</v>
      </c>
      <c r="G13" s="51" t="s">
        <v>56</v>
      </c>
      <c r="H13" s="51" t="s">
        <v>373</v>
      </c>
      <c r="I13" s="55">
        <f t="shared" si="0"/>
        <v>45992</v>
      </c>
      <c r="J13" s="61" t="str">
        <f t="shared" si="1"/>
        <v>Online AMEX Payment</v>
      </c>
      <c r="K13" s="44"/>
    </row>
    <row r="14" spans="1:11" ht="60" customHeight="1" x14ac:dyDescent="0.25">
      <c r="A14" s="57" t="s">
        <v>991</v>
      </c>
      <c r="B14" s="57" t="s">
        <v>993</v>
      </c>
      <c r="C14" s="57" t="s">
        <v>3</v>
      </c>
      <c r="D14" s="57" t="s">
        <v>31</v>
      </c>
      <c r="E14" s="58">
        <v>48</v>
      </c>
      <c r="F14" s="57" t="s">
        <v>994</v>
      </c>
      <c r="G14" s="57" t="s">
        <v>993</v>
      </c>
      <c r="H14" s="57" t="s">
        <v>992</v>
      </c>
      <c r="I14" s="59">
        <f t="shared" si="0"/>
        <v>45992</v>
      </c>
      <c r="J14" s="61" t="str">
        <f t="shared" si="1"/>
        <v>DWG-RE Platform (Canceled)</v>
      </c>
      <c r="K14" s="44"/>
    </row>
    <row r="15" spans="1:11" ht="60" customHeight="1" x14ac:dyDescent="0.25">
      <c r="A15" s="51" t="s">
        <v>991</v>
      </c>
      <c r="B15" s="51" t="s">
        <v>78</v>
      </c>
      <c r="C15" s="51" t="s">
        <v>3</v>
      </c>
      <c r="D15" s="51" t="s">
        <v>31</v>
      </c>
      <c r="E15" s="56">
        <v>24.99</v>
      </c>
      <c r="F15" s="51" t="s">
        <v>990</v>
      </c>
      <c r="G15" s="51" t="s">
        <v>78</v>
      </c>
      <c r="H15" s="51" t="s">
        <v>374</v>
      </c>
      <c r="I15" s="55">
        <f t="shared" si="0"/>
        <v>45992</v>
      </c>
      <c r="J15" s="61" t="str">
        <f t="shared" si="1"/>
        <v>Family</v>
      </c>
      <c r="K15" s="44"/>
    </row>
    <row r="16" spans="1:11" ht="60" customHeight="1" x14ac:dyDescent="0.25">
      <c r="A16" s="57" t="s">
        <v>988</v>
      </c>
      <c r="B16" s="57" t="s">
        <v>43</v>
      </c>
      <c r="C16" s="57" t="s">
        <v>22</v>
      </c>
      <c r="D16" s="57" t="s">
        <v>23</v>
      </c>
      <c r="E16" s="58">
        <v>19.989999999999998</v>
      </c>
      <c r="F16" s="57" t="s">
        <v>989</v>
      </c>
      <c r="G16" s="57" t="s">
        <v>43</v>
      </c>
      <c r="H16" s="57" t="s">
        <v>45</v>
      </c>
      <c r="I16" s="59">
        <f t="shared" si="0"/>
        <v>45992</v>
      </c>
      <c r="J16" s="61" t="str">
        <f t="shared" si="1"/>
        <v>AVA PEREZ</v>
      </c>
      <c r="K16" s="44"/>
    </row>
    <row r="17" spans="1:11" ht="60" customHeight="1" x14ac:dyDescent="0.25">
      <c r="A17" s="51" t="s">
        <v>988</v>
      </c>
      <c r="B17" s="51" t="s">
        <v>280</v>
      </c>
      <c r="C17" s="51" t="s">
        <v>22</v>
      </c>
      <c r="D17" s="51" t="s">
        <v>23</v>
      </c>
      <c r="E17" s="56">
        <v>14.99</v>
      </c>
      <c r="F17" s="51" t="s">
        <v>987</v>
      </c>
      <c r="G17" s="51" t="s">
        <v>280</v>
      </c>
      <c r="H17" s="51" t="s">
        <v>282</v>
      </c>
      <c r="I17" s="55">
        <f t="shared" si="0"/>
        <v>45992</v>
      </c>
      <c r="J17" s="61" t="str">
        <f t="shared" si="1"/>
        <v>AVA PEREZ</v>
      </c>
      <c r="K17" s="44"/>
    </row>
    <row r="18" spans="1:11" ht="60" customHeight="1" x14ac:dyDescent="0.25">
      <c r="A18" s="57" t="s">
        <v>986</v>
      </c>
      <c r="B18" s="57" t="s">
        <v>984</v>
      </c>
      <c r="C18" s="57" t="s">
        <v>22</v>
      </c>
      <c r="D18" s="57" t="s">
        <v>23</v>
      </c>
      <c r="E18" s="58">
        <v>11.99</v>
      </c>
      <c r="F18" s="57" t="s">
        <v>985</v>
      </c>
      <c r="G18" s="57" t="s">
        <v>984</v>
      </c>
      <c r="H18" s="57" t="s">
        <v>102</v>
      </c>
      <c r="I18" s="59">
        <f t="shared" si="0"/>
        <v>45992</v>
      </c>
      <c r="J18" s="61" t="str">
        <f t="shared" si="1"/>
        <v>AVA PEREZ</v>
      </c>
      <c r="K18" s="44"/>
    </row>
    <row r="19" spans="1:11" ht="60" customHeight="1" x14ac:dyDescent="0.25">
      <c r="A19" s="51" t="s">
        <v>982</v>
      </c>
      <c r="B19" s="51" t="s">
        <v>138</v>
      </c>
      <c r="C19" s="51" t="s">
        <v>22</v>
      </c>
      <c r="D19" s="51" t="s">
        <v>23</v>
      </c>
      <c r="E19" s="56">
        <v>131.69999999999999</v>
      </c>
      <c r="F19" s="51" t="s">
        <v>983</v>
      </c>
      <c r="G19" s="51" t="s">
        <v>138</v>
      </c>
      <c r="H19" s="51" t="s">
        <v>25</v>
      </c>
      <c r="I19" s="55">
        <f t="shared" si="0"/>
        <v>45992</v>
      </c>
      <c r="J19" s="61" t="str">
        <f t="shared" si="1"/>
        <v>AVA PEREZ</v>
      </c>
      <c r="K19" s="44"/>
    </row>
    <row r="20" spans="1:11" ht="60" customHeight="1" x14ac:dyDescent="0.25">
      <c r="A20" s="57" t="s">
        <v>982</v>
      </c>
      <c r="B20" s="57" t="s">
        <v>501</v>
      </c>
      <c r="C20" s="57" t="s">
        <v>22</v>
      </c>
      <c r="D20" s="57" t="s">
        <v>23</v>
      </c>
      <c r="E20" s="58">
        <v>74.08</v>
      </c>
      <c r="F20" s="57" t="s">
        <v>981</v>
      </c>
      <c r="G20" s="57" t="s">
        <v>501</v>
      </c>
      <c r="H20" s="57" t="s">
        <v>25</v>
      </c>
      <c r="I20" s="59">
        <f t="shared" si="0"/>
        <v>45992</v>
      </c>
      <c r="J20" s="61" t="str">
        <f t="shared" si="1"/>
        <v>AVA PEREZ</v>
      </c>
      <c r="K20" s="44"/>
    </row>
    <row r="21" spans="1:11" ht="60" customHeight="1" x14ac:dyDescent="0.25">
      <c r="A21" s="51" t="s">
        <v>978</v>
      </c>
      <c r="B21" s="51" t="s">
        <v>108</v>
      </c>
      <c r="C21" s="51" t="s">
        <v>3</v>
      </c>
      <c r="D21" s="51" t="s">
        <v>31</v>
      </c>
      <c r="E21" s="56">
        <v>29.99</v>
      </c>
      <c r="F21" s="51" t="s">
        <v>980</v>
      </c>
      <c r="G21" s="51" t="s">
        <v>108</v>
      </c>
      <c r="H21" s="51" t="s">
        <v>371</v>
      </c>
      <c r="I21" s="55">
        <f t="shared" si="0"/>
        <v>45992</v>
      </c>
      <c r="J21" s="61" t="str">
        <f t="shared" si="1"/>
        <v>DWG-RE Platform (Redirected)</v>
      </c>
      <c r="K21" s="44"/>
    </row>
    <row r="22" spans="1:11" ht="60" customHeight="1" x14ac:dyDescent="0.25">
      <c r="A22" s="57" t="s">
        <v>978</v>
      </c>
      <c r="B22" s="57" t="s">
        <v>21</v>
      </c>
      <c r="C22" s="57" t="s">
        <v>22</v>
      </c>
      <c r="D22" s="57" t="s">
        <v>23</v>
      </c>
      <c r="E22" s="58">
        <v>21.95</v>
      </c>
      <c r="F22" s="57" t="s">
        <v>979</v>
      </c>
      <c r="G22" s="57" t="s">
        <v>21</v>
      </c>
      <c r="H22" s="57" t="s">
        <v>25</v>
      </c>
      <c r="I22" s="59">
        <f t="shared" si="0"/>
        <v>45992</v>
      </c>
      <c r="J22" s="61" t="str">
        <f t="shared" si="1"/>
        <v>AVA PEREZ</v>
      </c>
      <c r="K22" s="44"/>
    </row>
    <row r="23" spans="1:11" ht="60" customHeight="1" x14ac:dyDescent="0.25">
      <c r="A23" s="51" t="s">
        <v>978</v>
      </c>
      <c r="B23" s="51" t="s">
        <v>30</v>
      </c>
      <c r="C23" s="51" t="s">
        <v>3</v>
      </c>
      <c r="D23" s="51" t="s">
        <v>31</v>
      </c>
      <c r="E23" s="56">
        <v>219.4</v>
      </c>
      <c r="F23" s="51" t="s">
        <v>977</v>
      </c>
      <c r="G23" s="51" t="s">
        <v>30</v>
      </c>
      <c r="H23" s="51" t="s">
        <v>371</v>
      </c>
      <c r="I23" s="55">
        <f t="shared" si="0"/>
        <v>45992</v>
      </c>
      <c r="J23" s="61" t="str">
        <f t="shared" si="1"/>
        <v>DWG-RE Platform (Redirected)</v>
      </c>
      <c r="K23" s="44"/>
    </row>
    <row r="24" spans="1:11" ht="60" customHeight="1" x14ac:dyDescent="0.25">
      <c r="A24" s="57" t="s">
        <v>976</v>
      </c>
      <c r="B24" s="57" t="s">
        <v>974</v>
      </c>
      <c r="C24" s="57" t="s">
        <v>3</v>
      </c>
      <c r="D24" s="57" t="s">
        <v>31</v>
      </c>
      <c r="E24" s="58">
        <v>54</v>
      </c>
      <c r="F24" s="57" t="s">
        <v>975</v>
      </c>
      <c r="G24" s="57" t="s">
        <v>974</v>
      </c>
      <c r="H24" s="57" t="s">
        <v>371</v>
      </c>
      <c r="I24" s="59">
        <f t="shared" si="0"/>
        <v>45992</v>
      </c>
      <c r="J24" s="61" t="str">
        <f t="shared" si="1"/>
        <v>DWG-RE Platform (Redirected)</v>
      </c>
      <c r="K24" s="44"/>
    </row>
    <row r="25" spans="1:11" ht="60" customHeight="1" x14ac:dyDescent="0.25">
      <c r="A25" s="51" t="s">
        <v>973</v>
      </c>
      <c r="B25" s="51" t="s">
        <v>364</v>
      </c>
      <c r="C25" s="51" t="s">
        <v>165</v>
      </c>
      <c r="D25" s="51" t="s">
        <v>166</v>
      </c>
      <c r="E25" s="56">
        <v>195</v>
      </c>
      <c r="F25" s="51" t="s">
        <v>365</v>
      </c>
      <c r="G25" s="51" t="s">
        <v>364</v>
      </c>
      <c r="H25" s="51" t="s">
        <v>972</v>
      </c>
      <c r="I25" s="55">
        <f t="shared" si="0"/>
        <v>45992</v>
      </c>
      <c r="J25" s="61" t="str">
        <f t="shared" si="1"/>
        <v>ANGELA L DUNNING</v>
      </c>
      <c r="K25" s="44"/>
    </row>
    <row r="26" spans="1:11" ht="60" customHeight="1" x14ac:dyDescent="0.25">
      <c r="A26" s="57" t="s">
        <v>973</v>
      </c>
      <c r="B26" s="57" t="s">
        <v>364</v>
      </c>
      <c r="C26" s="57" t="s">
        <v>3</v>
      </c>
      <c r="D26" s="57" t="s">
        <v>31</v>
      </c>
      <c r="E26" s="58">
        <v>695</v>
      </c>
      <c r="F26" s="57" t="s">
        <v>365</v>
      </c>
      <c r="G26" s="57" t="s">
        <v>364</v>
      </c>
      <c r="H26" s="57" t="s">
        <v>972</v>
      </c>
      <c r="I26" s="59">
        <f t="shared" si="0"/>
        <v>45992</v>
      </c>
      <c r="J26" s="61" t="str">
        <f t="shared" si="1"/>
        <v>Renewal Fee</v>
      </c>
      <c r="K26" s="44"/>
    </row>
    <row r="27" spans="1:11" ht="60" customHeight="1" x14ac:dyDescent="0.25">
      <c r="A27" s="51" t="s">
        <v>971</v>
      </c>
      <c r="B27" s="51" t="s">
        <v>969</v>
      </c>
      <c r="C27" s="51" t="s">
        <v>22</v>
      </c>
      <c r="D27" s="51" t="s">
        <v>23</v>
      </c>
      <c r="E27" s="56">
        <v>9.4</v>
      </c>
      <c r="F27" s="51" t="s">
        <v>970</v>
      </c>
      <c r="G27" s="51" t="s">
        <v>969</v>
      </c>
      <c r="H27" s="51" t="s">
        <v>25</v>
      </c>
      <c r="I27" s="55">
        <f t="shared" si="0"/>
        <v>45992</v>
      </c>
      <c r="J27" s="61" t="str">
        <f t="shared" si="1"/>
        <v>AVA PEREZ</v>
      </c>
      <c r="K27" s="44"/>
    </row>
    <row r="28" spans="1:11" ht="60" customHeight="1" x14ac:dyDescent="0.25">
      <c r="A28" s="57" t="s">
        <v>968</v>
      </c>
      <c r="B28" s="57" t="s">
        <v>966</v>
      </c>
      <c r="C28" s="57" t="s">
        <v>22</v>
      </c>
      <c r="D28" s="57" t="s">
        <v>23</v>
      </c>
      <c r="E28" s="58">
        <v>60.15</v>
      </c>
      <c r="F28" s="57" t="s">
        <v>967</v>
      </c>
      <c r="G28" s="57" t="s">
        <v>966</v>
      </c>
      <c r="H28" s="57" t="s">
        <v>273</v>
      </c>
      <c r="I28" s="59">
        <f t="shared" si="0"/>
        <v>45992</v>
      </c>
      <c r="J28" s="61" t="str">
        <f t="shared" si="1"/>
        <v>AVA PEREZ</v>
      </c>
      <c r="K28" s="44"/>
    </row>
    <row r="29" spans="1:11" ht="60" customHeight="1" x14ac:dyDescent="0.25">
      <c r="A29" s="51" t="s">
        <v>965</v>
      </c>
      <c r="B29" s="51" t="s">
        <v>53</v>
      </c>
      <c r="C29" s="51" t="s">
        <v>22</v>
      </c>
      <c r="D29" s="51" t="s">
        <v>23</v>
      </c>
      <c r="E29" s="56">
        <v>15</v>
      </c>
      <c r="F29" s="51" t="s">
        <v>964</v>
      </c>
      <c r="G29" s="51" t="s">
        <v>53</v>
      </c>
      <c r="H29" s="51" t="s">
        <v>33</v>
      </c>
      <c r="I29" s="55">
        <f t="shared" si="0"/>
        <v>45962</v>
      </c>
      <c r="J29" s="61" t="str">
        <f t="shared" si="1"/>
        <v>AVA PEREZ</v>
      </c>
      <c r="K29" s="44"/>
    </row>
    <row r="30" spans="1:11" ht="60" customHeight="1" x14ac:dyDescent="0.25">
      <c r="A30" s="57" t="s">
        <v>963</v>
      </c>
      <c r="B30" s="57" t="s">
        <v>477</v>
      </c>
      <c r="C30" s="57" t="s">
        <v>3</v>
      </c>
      <c r="D30" s="57" t="s">
        <v>31</v>
      </c>
      <c r="E30" s="58">
        <v>-2439.5300000000002</v>
      </c>
      <c r="F30" s="57" t="s">
        <v>478</v>
      </c>
      <c r="G30" s="57" t="s">
        <v>477</v>
      </c>
      <c r="H30" s="57" t="s">
        <v>373</v>
      </c>
      <c r="I30" s="59">
        <f t="shared" si="0"/>
        <v>45962</v>
      </c>
      <c r="J30" s="61" t="str">
        <f t="shared" si="1"/>
        <v>Online AMEX Payment</v>
      </c>
      <c r="K30" s="44"/>
    </row>
    <row r="31" spans="1:11" ht="60" customHeight="1" x14ac:dyDescent="0.25">
      <c r="A31" s="51" t="s">
        <v>962</v>
      </c>
      <c r="B31" s="51" t="s">
        <v>26</v>
      </c>
      <c r="C31" s="51" t="s">
        <v>22</v>
      </c>
      <c r="D31" s="51" t="s">
        <v>23</v>
      </c>
      <c r="E31" s="56">
        <v>26.33</v>
      </c>
      <c r="F31" s="51" t="s">
        <v>961</v>
      </c>
      <c r="G31" s="51" t="s">
        <v>26</v>
      </c>
      <c r="H31" s="51" t="s">
        <v>28</v>
      </c>
      <c r="I31" s="55">
        <f t="shared" si="0"/>
        <v>45962</v>
      </c>
      <c r="J31" s="61" t="str">
        <f t="shared" si="1"/>
        <v>AVA PEREZ</v>
      </c>
      <c r="K31" s="44"/>
    </row>
    <row r="32" spans="1:11" ht="60" customHeight="1" x14ac:dyDescent="0.25">
      <c r="A32" s="57" t="s">
        <v>960</v>
      </c>
      <c r="B32" s="57" t="s">
        <v>81</v>
      </c>
      <c r="C32" s="57" t="s">
        <v>3</v>
      </c>
      <c r="D32" s="57" t="s">
        <v>31</v>
      </c>
      <c r="E32" s="58">
        <v>230</v>
      </c>
      <c r="F32" s="57" t="s">
        <v>959</v>
      </c>
      <c r="G32" s="57" t="s">
        <v>81</v>
      </c>
      <c r="H32" s="57" t="s">
        <v>375</v>
      </c>
      <c r="I32" s="59">
        <f t="shared" si="0"/>
        <v>45962</v>
      </c>
      <c r="J32" s="61" t="str">
        <f t="shared" si="1"/>
        <v>Personal - Health</v>
      </c>
      <c r="K32" s="44"/>
    </row>
    <row r="33" spans="1:11" ht="60" customHeight="1" x14ac:dyDescent="0.25">
      <c r="A33" s="51" t="s">
        <v>957</v>
      </c>
      <c r="B33" s="51" t="s">
        <v>73</v>
      </c>
      <c r="C33" s="51" t="s">
        <v>3</v>
      </c>
      <c r="D33" s="51" t="s">
        <v>31</v>
      </c>
      <c r="E33" s="56">
        <v>69.989999999999995</v>
      </c>
      <c r="F33" s="51" t="s">
        <v>958</v>
      </c>
      <c r="G33" s="51" t="s">
        <v>73</v>
      </c>
      <c r="H33" s="51" t="s">
        <v>371</v>
      </c>
      <c r="I33" s="55">
        <f t="shared" si="0"/>
        <v>45962</v>
      </c>
      <c r="J33" s="61" t="str">
        <f t="shared" si="1"/>
        <v>DWG-RE Platform (Redirected)</v>
      </c>
      <c r="K33" s="44"/>
    </row>
    <row r="34" spans="1:11" ht="60" customHeight="1" x14ac:dyDescent="0.25">
      <c r="A34" s="57" t="s">
        <v>957</v>
      </c>
      <c r="B34" s="57" t="s">
        <v>516</v>
      </c>
      <c r="C34" s="57" t="s">
        <v>3</v>
      </c>
      <c r="D34" s="57" t="s">
        <v>31</v>
      </c>
      <c r="E34" s="58">
        <v>12.99</v>
      </c>
      <c r="F34" s="57" t="s">
        <v>956</v>
      </c>
      <c r="G34" s="57" t="s">
        <v>516</v>
      </c>
      <c r="H34" s="57" t="s">
        <v>371</v>
      </c>
      <c r="I34" s="59">
        <f t="shared" si="0"/>
        <v>45962</v>
      </c>
      <c r="J34" s="61" t="str">
        <f t="shared" si="1"/>
        <v>DWG-RE Platform (Redirected)</v>
      </c>
      <c r="K34" s="44"/>
    </row>
    <row r="35" spans="1:11" ht="60" customHeight="1" x14ac:dyDescent="0.25">
      <c r="A35" s="51" t="s">
        <v>955</v>
      </c>
      <c r="B35" s="51" t="s">
        <v>953</v>
      </c>
      <c r="C35" s="51" t="s">
        <v>22</v>
      </c>
      <c r="D35" s="51" t="s">
        <v>23</v>
      </c>
      <c r="E35" s="56">
        <v>86.19</v>
      </c>
      <c r="F35" s="51" t="s">
        <v>954</v>
      </c>
      <c r="G35" s="51" t="s">
        <v>953</v>
      </c>
      <c r="H35" s="51" t="s">
        <v>273</v>
      </c>
      <c r="I35" s="55">
        <f t="shared" si="0"/>
        <v>45962</v>
      </c>
      <c r="J35" s="61" t="str">
        <f t="shared" si="1"/>
        <v>AVA PEREZ</v>
      </c>
      <c r="K35" s="44"/>
    </row>
    <row r="36" spans="1:11" ht="60" customHeight="1" x14ac:dyDescent="0.25">
      <c r="A36" s="57" t="s">
        <v>952</v>
      </c>
      <c r="B36" s="57" t="s">
        <v>21</v>
      </c>
      <c r="C36" s="57" t="s">
        <v>22</v>
      </c>
      <c r="D36" s="57" t="s">
        <v>23</v>
      </c>
      <c r="E36" s="58">
        <v>31.05</v>
      </c>
      <c r="F36" s="57" t="s">
        <v>951</v>
      </c>
      <c r="G36" s="57" t="s">
        <v>21</v>
      </c>
      <c r="H36" s="57" t="s">
        <v>25</v>
      </c>
      <c r="I36" s="59">
        <f t="shared" si="0"/>
        <v>45962</v>
      </c>
      <c r="J36" s="61" t="str">
        <f t="shared" si="1"/>
        <v>AVA PEREZ</v>
      </c>
      <c r="K36" s="44"/>
    </row>
    <row r="37" spans="1:11" ht="60" customHeight="1" x14ac:dyDescent="0.25">
      <c r="A37" s="51" t="s">
        <v>950</v>
      </c>
      <c r="B37" s="51" t="s">
        <v>78</v>
      </c>
      <c r="C37" s="51" t="s">
        <v>3</v>
      </c>
      <c r="D37" s="51" t="s">
        <v>31</v>
      </c>
      <c r="E37" s="56">
        <v>24.99</v>
      </c>
      <c r="F37" s="51" t="s">
        <v>949</v>
      </c>
      <c r="G37" s="51" t="s">
        <v>78</v>
      </c>
      <c r="H37" s="51" t="s">
        <v>374</v>
      </c>
      <c r="I37" s="55">
        <f t="shared" si="0"/>
        <v>45962</v>
      </c>
      <c r="J37" s="61" t="str">
        <f t="shared" si="1"/>
        <v>Family</v>
      </c>
      <c r="K37" s="44"/>
    </row>
    <row r="38" spans="1:11" ht="60" customHeight="1" x14ac:dyDescent="0.25">
      <c r="A38" s="57" t="s">
        <v>948</v>
      </c>
      <c r="B38" s="57" t="s">
        <v>138</v>
      </c>
      <c r="C38" s="57" t="s">
        <v>22</v>
      </c>
      <c r="D38" s="57" t="s">
        <v>23</v>
      </c>
      <c r="E38" s="58">
        <v>237.63</v>
      </c>
      <c r="F38" s="57" t="s">
        <v>947</v>
      </c>
      <c r="G38" s="57" t="s">
        <v>138</v>
      </c>
      <c r="H38" s="57" t="s">
        <v>25</v>
      </c>
      <c r="I38" s="59">
        <f t="shared" si="0"/>
        <v>45962</v>
      </c>
      <c r="J38" s="61" t="str">
        <f t="shared" si="1"/>
        <v>AVA PEREZ</v>
      </c>
      <c r="K38" s="44"/>
    </row>
    <row r="39" spans="1:11" ht="60" customHeight="1" x14ac:dyDescent="0.25">
      <c r="A39" s="51" t="s">
        <v>945</v>
      </c>
      <c r="B39" s="51" t="s">
        <v>43</v>
      </c>
      <c r="C39" s="51" t="s">
        <v>22</v>
      </c>
      <c r="D39" s="51" t="s">
        <v>23</v>
      </c>
      <c r="E39" s="56">
        <v>19.989999999999998</v>
      </c>
      <c r="F39" s="51" t="s">
        <v>946</v>
      </c>
      <c r="G39" s="51" t="s">
        <v>43</v>
      </c>
      <c r="H39" s="51" t="s">
        <v>45</v>
      </c>
      <c r="I39" s="55">
        <f t="shared" si="0"/>
        <v>45962</v>
      </c>
      <c r="J39" s="61" t="str">
        <f t="shared" si="1"/>
        <v>AVA PEREZ</v>
      </c>
      <c r="K39" s="44"/>
    </row>
    <row r="40" spans="1:11" ht="60" customHeight="1" x14ac:dyDescent="0.25">
      <c r="A40" s="57" t="s">
        <v>945</v>
      </c>
      <c r="B40" s="57" t="s">
        <v>280</v>
      </c>
      <c r="C40" s="57" t="s">
        <v>22</v>
      </c>
      <c r="D40" s="57" t="s">
        <v>23</v>
      </c>
      <c r="E40" s="58">
        <v>14.99</v>
      </c>
      <c r="F40" s="57" t="s">
        <v>944</v>
      </c>
      <c r="G40" s="57" t="s">
        <v>280</v>
      </c>
      <c r="H40" s="57" t="s">
        <v>282</v>
      </c>
      <c r="I40" s="59">
        <f t="shared" si="0"/>
        <v>45962</v>
      </c>
      <c r="J40" s="61" t="str">
        <f t="shared" si="1"/>
        <v>AVA PEREZ</v>
      </c>
      <c r="K40" s="44"/>
    </row>
    <row r="41" spans="1:11" ht="60" customHeight="1" x14ac:dyDescent="0.25">
      <c r="A41" s="51" t="s">
        <v>943</v>
      </c>
      <c r="B41" s="51" t="s">
        <v>941</v>
      </c>
      <c r="C41" s="51" t="s">
        <v>22</v>
      </c>
      <c r="D41" s="51" t="s">
        <v>23</v>
      </c>
      <c r="E41" s="56">
        <v>11.99</v>
      </c>
      <c r="F41" s="51" t="s">
        <v>942</v>
      </c>
      <c r="G41" s="51" t="s">
        <v>941</v>
      </c>
      <c r="H41" s="51" t="s">
        <v>102</v>
      </c>
      <c r="I41" s="55">
        <f t="shared" si="0"/>
        <v>45962</v>
      </c>
      <c r="J41" s="61" t="str">
        <f t="shared" si="1"/>
        <v>AVA PEREZ</v>
      </c>
      <c r="K41" s="44"/>
    </row>
    <row r="42" spans="1:11" ht="60" customHeight="1" x14ac:dyDescent="0.25">
      <c r="A42" s="57" t="s">
        <v>939</v>
      </c>
      <c r="B42" s="57" t="s">
        <v>108</v>
      </c>
      <c r="C42" s="57" t="s">
        <v>3</v>
      </c>
      <c r="D42" s="57" t="s">
        <v>31</v>
      </c>
      <c r="E42" s="58">
        <v>29.99</v>
      </c>
      <c r="F42" s="57" t="s">
        <v>940</v>
      </c>
      <c r="G42" s="57" t="s">
        <v>108</v>
      </c>
      <c r="H42" s="57" t="s">
        <v>371</v>
      </c>
      <c r="I42" s="59">
        <f t="shared" si="0"/>
        <v>45962</v>
      </c>
      <c r="J42" s="61" t="str">
        <f t="shared" si="1"/>
        <v>DWG-RE Platform (Redirected)</v>
      </c>
      <c r="K42" s="44"/>
    </row>
    <row r="43" spans="1:11" ht="60" customHeight="1" x14ac:dyDescent="0.25">
      <c r="A43" s="51" t="s">
        <v>939</v>
      </c>
      <c r="B43" s="51" t="s">
        <v>30</v>
      </c>
      <c r="C43" s="51" t="s">
        <v>3</v>
      </c>
      <c r="D43" s="51" t="s">
        <v>31</v>
      </c>
      <c r="E43" s="56">
        <v>208.95</v>
      </c>
      <c r="F43" s="51" t="s">
        <v>938</v>
      </c>
      <c r="G43" s="51" t="s">
        <v>30</v>
      </c>
      <c r="H43" s="51" t="s">
        <v>371</v>
      </c>
      <c r="I43" s="55">
        <f t="shared" si="0"/>
        <v>45962</v>
      </c>
      <c r="J43" s="61" t="str">
        <f t="shared" si="1"/>
        <v>DWG-RE Platform (Redirected)</v>
      </c>
      <c r="K43" s="44"/>
    </row>
    <row r="44" spans="1:11" ht="60" customHeight="1" x14ac:dyDescent="0.25">
      <c r="A44" s="57" t="s">
        <v>937</v>
      </c>
      <c r="B44" s="57" t="s">
        <v>935</v>
      </c>
      <c r="C44" s="57" t="s">
        <v>3</v>
      </c>
      <c r="D44" s="57" t="s">
        <v>31</v>
      </c>
      <c r="E44" s="58">
        <v>54</v>
      </c>
      <c r="F44" s="57" t="s">
        <v>936</v>
      </c>
      <c r="G44" s="57" t="s">
        <v>935</v>
      </c>
      <c r="H44" s="57" t="s">
        <v>371</v>
      </c>
      <c r="I44" s="59">
        <f t="shared" si="0"/>
        <v>45962</v>
      </c>
      <c r="J44" s="61" t="str">
        <f t="shared" si="1"/>
        <v>DWG-RE Platform (Redirected)</v>
      </c>
      <c r="K44" s="44"/>
    </row>
    <row r="45" spans="1:11" ht="60" customHeight="1" x14ac:dyDescent="0.25">
      <c r="A45" s="51" t="s">
        <v>934</v>
      </c>
      <c r="B45" s="51" t="s">
        <v>330</v>
      </c>
      <c r="C45" s="51" t="s">
        <v>22</v>
      </c>
      <c r="D45" s="51" t="s">
        <v>23</v>
      </c>
      <c r="E45" s="56">
        <v>17.47</v>
      </c>
      <c r="F45" s="51" t="s">
        <v>933</v>
      </c>
      <c r="G45" s="51" t="s">
        <v>330</v>
      </c>
      <c r="H45" s="51" t="s">
        <v>25</v>
      </c>
      <c r="I45" s="55">
        <f t="shared" si="0"/>
        <v>45962</v>
      </c>
      <c r="J45" s="61" t="str">
        <f t="shared" si="1"/>
        <v>AVA PEREZ</v>
      </c>
      <c r="K45" s="44"/>
    </row>
    <row r="46" spans="1:11" ht="60" customHeight="1" x14ac:dyDescent="0.25">
      <c r="A46" s="57" t="s">
        <v>932</v>
      </c>
      <c r="B46" s="57" t="s">
        <v>21</v>
      </c>
      <c r="C46" s="57" t="s">
        <v>22</v>
      </c>
      <c r="D46" s="57" t="s">
        <v>23</v>
      </c>
      <c r="E46" s="58">
        <v>161.21</v>
      </c>
      <c r="F46" s="57" t="s">
        <v>931</v>
      </c>
      <c r="G46" s="57" t="s">
        <v>21</v>
      </c>
      <c r="H46" s="57" t="s">
        <v>25</v>
      </c>
      <c r="I46" s="59">
        <f t="shared" si="0"/>
        <v>45931</v>
      </c>
      <c r="J46" s="61" t="str">
        <f t="shared" si="1"/>
        <v>AVA PEREZ</v>
      </c>
      <c r="K46" s="44"/>
    </row>
    <row r="47" spans="1:11" ht="60" customHeight="1" x14ac:dyDescent="0.25">
      <c r="A47" s="51" t="s">
        <v>930</v>
      </c>
      <c r="B47" s="51" t="s">
        <v>53</v>
      </c>
      <c r="C47" s="51" t="s">
        <v>22</v>
      </c>
      <c r="D47" s="51" t="s">
        <v>23</v>
      </c>
      <c r="E47" s="56">
        <v>15</v>
      </c>
      <c r="F47" s="51" t="s">
        <v>929</v>
      </c>
      <c r="G47" s="51" t="s">
        <v>53</v>
      </c>
      <c r="H47" s="51" t="s">
        <v>33</v>
      </c>
      <c r="I47" s="55">
        <f t="shared" si="0"/>
        <v>45931</v>
      </c>
      <c r="J47" s="61" t="str">
        <f t="shared" si="1"/>
        <v>AVA PEREZ</v>
      </c>
      <c r="K47" s="44"/>
    </row>
    <row r="48" spans="1:11" ht="60" customHeight="1" x14ac:dyDescent="0.25">
      <c r="A48" s="57" t="s">
        <v>928</v>
      </c>
      <c r="B48" s="57" t="s">
        <v>56</v>
      </c>
      <c r="C48" s="57" t="s">
        <v>3</v>
      </c>
      <c r="D48" s="57" t="s">
        <v>31</v>
      </c>
      <c r="E48" s="58">
        <v>-1242.8399999999999</v>
      </c>
      <c r="F48" s="57" t="s">
        <v>57</v>
      </c>
      <c r="G48" s="57" t="s">
        <v>56</v>
      </c>
      <c r="H48" s="57" t="s">
        <v>373</v>
      </c>
      <c r="I48" s="59">
        <f t="shared" si="0"/>
        <v>45931</v>
      </c>
      <c r="J48" s="61" t="str">
        <f t="shared" si="1"/>
        <v>Online AMEX Payment</v>
      </c>
      <c r="K48" s="44"/>
    </row>
    <row r="49" spans="1:11" ht="60" customHeight="1" x14ac:dyDescent="0.25">
      <c r="A49" s="51" t="s">
        <v>928</v>
      </c>
      <c r="B49" s="51" t="s">
        <v>926</v>
      </c>
      <c r="C49" s="51" t="s">
        <v>22</v>
      </c>
      <c r="D49" s="51" t="s">
        <v>23</v>
      </c>
      <c r="E49" s="56">
        <v>26.62</v>
      </c>
      <c r="F49" s="51" t="s">
        <v>927</v>
      </c>
      <c r="G49" s="51" t="s">
        <v>926</v>
      </c>
      <c r="H49" s="51" t="s">
        <v>28</v>
      </c>
      <c r="I49" s="55">
        <f t="shared" si="0"/>
        <v>45931</v>
      </c>
      <c r="J49" s="61" t="str">
        <f t="shared" si="1"/>
        <v>AVA PEREZ</v>
      </c>
      <c r="K49" s="44"/>
    </row>
    <row r="50" spans="1:11" ht="60" customHeight="1" x14ac:dyDescent="0.25">
      <c r="A50" s="57" t="s">
        <v>925</v>
      </c>
      <c r="B50" s="57" t="s">
        <v>330</v>
      </c>
      <c r="C50" s="57" t="s">
        <v>22</v>
      </c>
      <c r="D50" s="57" t="s">
        <v>23</v>
      </c>
      <c r="E50" s="58">
        <v>33.93</v>
      </c>
      <c r="F50" s="57" t="s">
        <v>924</v>
      </c>
      <c r="G50" s="57" t="s">
        <v>330</v>
      </c>
      <c r="H50" s="57" t="s">
        <v>25</v>
      </c>
      <c r="I50" s="59">
        <f t="shared" si="0"/>
        <v>45931</v>
      </c>
      <c r="J50" s="61" t="str">
        <f t="shared" si="1"/>
        <v>AVA PEREZ</v>
      </c>
      <c r="K50" s="44"/>
    </row>
    <row r="51" spans="1:11" ht="60" customHeight="1" x14ac:dyDescent="0.25">
      <c r="A51" s="51" t="s">
        <v>923</v>
      </c>
      <c r="B51" s="51" t="s">
        <v>21</v>
      </c>
      <c r="C51" s="51" t="s">
        <v>22</v>
      </c>
      <c r="D51" s="51" t="s">
        <v>23</v>
      </c>
      <c r="E51" s="56">
        <v>51.21</v>
      </c>
      <c r="F51" s="51" t="s">
        <v>922</v>
      </c>
      <c r="G51" s="51" t="s">
        <v>21</v>
      </c>
      <c r="H51" s="51" t="s">
        <v>25</v>
      </c>
      <c r="I51" s="55">
        <f t="shared" si="0"/>
        <v>45931</v>
      </c>
      <c r="J51" s="61" t="str">
        <f t="shared" si="1"/>
        <v>AVA PEREZ</v>
      </c>
      <c r="K51" s="44"/>
    </row>
    <row r="52" spans="1:11" ht="60" customHeight="1" x14ac:dyDescent="0.25">
      <c r="A52" s="57" t="s">
        <v>921</v>
      </c>
      <c r="B52" s="57" t="s">
        <v>43</v>
      </c>
      <c r="C52" s="57" t="s">
        <v>22</v>
      </c>
      <c r="D52" s="57" t="s">
        <v>23</v>
      </c>
      <c r="E52" s="58">
        <v>2.99</v>
      </c>
      <c r="F52" s="57" t="s">
        <v>920</v>
      </c>
      <c r="G52" s="57" t="s">
        <v>43</v>
      </c>
      <c r="H52" s="57" t="s">
        <v>45</v>
      </c>
      <c r="I52" s="59">
        <f t="shared" si="0"/>
        <v>45931</v>
      </c>
      <c r="J52" s="61" t="str">
        <f t="shared" si="1"/>
        <v>AVA PEREZ</v>
      </c>
      <c r="K52" s="44"/>
    </row>
    <row r="53" spans="1:11" ht="60" customHeight="1" x14ac:dyDescent="0.25">
      <c r="A53" s="51" t="s">
        <v>917</v>
      </c>
      <c r="B53" s="51" t="s">
        <v>73</v>
      </c>
      <c r="C53" s="51" t="s">
        <v>3</v>
      </c>
      <c r="D53" s="51" t="s">
        <v>31</v>
      </c>
      <c r="E53" s="56">
        <v>69.989999999999995</v>
      </c>
      <c r="F53" s="51" t="s">
        <v>919</v>
      </c>
      <c r="G53" s="51" t="s">
        <v>73</v>
      </c>
      <c r="H53" s="51" t="s">
        <v>371</v>
      </c>
      <c r="I53" s="55">
        <f t="shared" si="0"/>
        <v>45931</v>
      </c>
      <c r="J53" s="61" t="str">
        <f t="shared" si="1"/>
        <v>DWG-RE Platform (Redirected)</v>
      </c>
      <c r="K53" s="44"/>
    </row>
    <row r="54" spans="1:11" ht="60" customHeight="1" x14ac:dyDescent="0.25">
      <c r="A54" s="57" t="s">
        <v>917</v>
      </c>
      <c r="B54" s="57" t="s">
        <v>516</v>
      </c>
      <c r="C54" s="57" t="s">
        <v>3</v>
      </c>
      <c r="D54" s="57" t="s">
        <v>31</v>
      </c>
      <c r="E54" s="58">
        <v>12.99</v>
      </c>
      <c r="F54" s="57" t="s">
        <v>918</v>
      </c>
      <c r="G54" s="57" t="s">
        <v>516</v>
      </c>
      <c r="H54" s="57" t="s">
        <v>371</v>
      </c>
      <c r="I54" s="59">
        <f t="shared" si="0"/>
        <v>45931</v>
      </c>
      <c r="J54" s="61" t="str">
        <f t="shared" si="1"/>
        <v>DWG-RE Platform (Redirected)</v>
      </c>
      <c r="K54" s="44"/>
    </row>
    <row r="55" spans="1:11" ht="60" customHeight="1" x14ac:dyDescent="0.25">
      <c r="A55" s="51" t="s">
        <v>917</v>
      </c>
      <c r="B55" s="51" t="s">
        <v>21</v>
      </c>
      <c r="C55" s="51" t="s">
        <v>22</v>
      </c>
      <c r="D55" s="51" t="s">
        <v>23</v>
      </c>
      <c r="E55" s="56">
        <v>115.81</v>
      </c>
      <c r="F55" s="51" t="s">
        <v>916</v>
      </c>
      <c r="G55" s="51" t="s">
        <v>21</v>
      </c>
      <c r="H55" s="51" t="s">
        <v>25</v>
      </c>
      <c r="I55" s="55">
        <f t="shared" si="0"/>
        <v>45931</v>
      </c>
      <c r="J55" s="61" t="str">
        <f t="shared" si="1"/>
        <v>AVA PEREZ</v>
      </c>
      <c r="K55" s="44"/>
    </row>
    <row r="56" spans="1:11" ht="60" customHeight="1" x14ac:dyDescent="0.25">
      <c r="A56" s="57" t="s">
        <v>915</v>
      </c>
      <c r="B56" s="57" t="s">
        <v>21</v>
      </c>
      <c r="C56" s="57" t="s">
        <v>22</v>
      </c>
      <c r="D56" s="57" t="s">
        <v>23</v>
      </c>
      <c r="E56" s="58">
        <v>88.49</v>
      </c>
      <c r="F56" s="57" t="s">
        <v>914</v>
      </c>
      <c r="G56" s="57" t="s">
        <v>21</v>
      </c>
      <c r="H56" s="57" t="s">
        <v>25</v>
      </c>
      <c r="I56" s="59">
        <f t="shared" si="0"/>
        <v>45931</v>
      </c>
      <c r="J56" s="61" t="str">
        <f t="shared" si="1"/>
        <v>AVA PEREZ</v>
      </c>
      <c r="K56" s="44"/>
    </row>
    <row r="57" spans="1:11" ht="60" customHeight="1" x14ac:dyDescent="0.25">
      <c r="A57" s="51" t="s">
        <v>911</v>
      </c>
      <c r="B57" s="51" t="s">
        <v>78</v>
      </c>
      <c r="C57" s="51" t="s">
        <v>3</v>
      </c>
      <c r="D57" s="51" t="s">
        <v>31</v>
      </c>
      <c r="E57" s="56">
        <v>24.99</v>
      </c>
      <c r="F57" s="51" t="s">
        <v>913</v>
      </c>
      <c r="G57" s="51" t="s">
        <v>78</v>
      </c>
      <c r="H57" s="51" t="s">
        <v>374</v>
      </c>
      <c r="I57" s="55">
        <f t="shared" si="0"/>
        <v>45931</v>
      </c>
      <c r="J57" s="61" t="str">
        <f t="shared" si="1"/>
        <v>Family</v>
      </c>
      <c r="K57" s="44"/>
    </row>
    <row r="58" spans="1:11" ht="60" customHeight="1" x14ac:dyDescent="0.25">
      <c r="A58" s="57" t="s">
        <v>911</v>
      </c>
      <c r="B58" s="57" t="s">
        <v>21</v>
      </c>
      <c r="C58" s="57" t="s">
        <v>22</v>
      </c>
      <c r="D58" s="57" t="s">
        <v>23</v>
      </c>
      <c r="E58" s="58">
        <v>194.36</v>
      </c>
      <c r="F58" s="57" t="s">
        <v>912</v>
      </c>
      <c r="G58" s="57" t="s">
        <v>21</v>
      </c>
      <c r="H58" s="57" t="s">
        <v>25</v>
      </c>
      <c r="I58" s="59">
        <f t="shared" si="0"/>
        <v>45931</v>
      </c>
      <c r="J58" s="61" t="str">
        <f t="shared" si="1"/>
        <v>AVA PEREZ</v>
      </c>
      <c r="K58" s="44"/>
    </row>
    <row r="59" spans="1:11" ht="60" customHeight="1" x14ac:dyDescent="0.25">
      <c r="A59" s="51" t="s">
        <v>911</v>
      </c>
      <c r="B59" s="51" t="s">
        <v>138</v>
      </c>
      <c r="C59" s="51" t="s">
        <v>22</v>
      </c>
      <c r="D59" s="51" t="s">
        <v>23</v>
      </c>
      <c r="E59" s="56">
        <v>16.82</v>
      </c>
      <c r="F59" s="51" t="s">
        <v>910</v>
      </c>
      <c r="G59" s="51" t="s">
        <v>138</v>
      </c>
      <c r="H59" s="51" t="s">
        <v>25</v>
      </c>
      <c r="I59" s="55">
        <f t="shared" si="0"/>
        <v>45931</v>
      </c>
      <c r="J59" s="61" t="str">
        <f t="shared" si="1"/>
        <v>AVA PEREZ</v>
      </c>
      <c r="K59" s="44"/>
    </row>
    <row r="60" spans="1:11" ht="60" customHeight="1" x14ac:dyDescent="0.25">
      <c r="A60" s="57" t="s">
        <v>907</v>
      </c>
      <c r="B60" s="57" t="s">
        <v>258</v>
      </c>
      <c r="C60" s="57" t="s">
        <v>3</v>
      </c>
      <c r="D60" s="57" t="s">
        <v>31</v>
      </c>
      <c r="E60" s="58">
        <v>21.94</v>
      </c>
      <c r="F60" s="57" t="s">
        <v>909</v>
      </c>
      <c r="G60" s="57" t="s">
        <v>258</v>
      </c>
      <c r="H60" s="57" t="s">
        <v>375</v>
      </c>
      <c r="I60" s="59">
        <f t="shared" si="0"/>
        <v>45931</v>
      </c>
      <c r="J60" s="61" t="str">
        <f t="shared" si="1"/>
        <v>Personal - Health</v>
      </c>
      <c r="K60" s="44"/>
    </row>
    <row r="61" spans="1:11" ht="60" customHeight="1" x14ac:dyDescent="0.25">
      <c r="A61" s="51" t="s">
        <v>907</v>
      </c>
      <c r="B61" s="51" t="s">
        <v>905</v>
      </c>
      <c r="C61" s="51" t="s">
        <v>22</v>
      </c>
      <c r="D61" s="51" t="s">
        <v>23</v>
      </c>
      <c r="E61" s="56">
        <v>4</v>
      </c>
      <c r="F61" s="51" t="s">
        <v>908</v>
      </c>
      <c r="G61" s="51" t="s">
        <v>905</v>
      </c>
      <c r="H61" s="51" t="s">
        <v>106</v>
      </c>
      <c r="I61" s="55">
        <f t="shared" si="0"/>
        <v>45931</v>
      </c>
      <c r="J61" s="61" t="str">
        <f t="shared" si="1"/>
        <v>AVA PEREZ</v>
      </c>
      <c r="K61" s="44"/>
    </row>
    <row r="62" spans="1:11" ht="60" customHeight="1" x14ac:dyDescent="0.25">
      <c r="A62" s="57" t="s">
        <v>907</v>
      </c>
      <c r="B62" s="57" t="s">
        <v>905</v>
      </c>
      <c r="C62" s="57" t="s">
        <v>22</v>
      </c>
      <c r="D62" s="57" t="s">
        <v>23</v>
      </c>
      <c r="E62" s="58">
        <v>23.95</v>
      </c>
      <c r="F62" s="57" t="s">
        <v>906</v>
      </c>
      <c r="G62" s="57" t="s">
        <v>905</v>
      </c>
      <c r="H62" s="57" t="s">
        <v>106</v>
      </c>
      <c r="I62" s="59">
        <f t="shared" si="0"/>
        <v>45931</v>
      </c>
      <c r="J62" s="61" t="str">
        <f t="shared" si="1"/>
        <v>AVA PEREZ</v>
      </c>
      <c r="K62" s="44"/>
    </row>
    <row r="63" spans="1:11" ht="60" customHeight="1" x14ac:dyDescent="0.25">
      <c r="A63" s="51" t="s">
        <v>904</v>
      </c>
      <c r="B63" s="51" t="s">
        <v>164</v>
      </c>
      <c r="C63" s="51" t="s">
        <v>165</v>
      </c>
      <c r="D63" s="51" t="s">
        <v>166</v>
      </c>
      <c r="E63" s="56">
        <v>60</v>
      </c>
      <c r="F63" s="51" t="s">
        <v>903</v>
      </c>
      <c r="G63" s="51" t="s">
        <v>164</v>
      </c>
      <c r="H63" s="51" t="s">
        <v>64</v>
      </c>
      <c r="I63" s="55">
        <f t="shared" si="0"/>
        <v>45931</v>
      </c>
      <c r="J63" s="61" t="str">
        <f t="shared" si="1"/>
        <v>ANGELA L DUNNING</v>
      </c>
      <c r="K63" s="44"/>
    </row>
    <row r="64" spans="1:11" ht="60" customHeight="1" x14ac:dyDescent="0.25">
      <c r="A64" s="57" t="s">
        <v>901</v>
      </c>
      <c r="B64" s="57" t="s">
        <v>43</v>
      </c>
      <c r="C64" s="57" t="s">
        <v>22</v>
      </c>
      <c r="D64" s="57" t="s">
        <v>23</v>
      </c>
      <c r="E64" s="58">
        <v>19.989999999999998</v>
      </c>
      <c r="F64" s="57" t="s">
        <v>902</v>
      </c>
      <c r="G64" s="57" t="s">
        <v>43</v>
      </c>
      <c r="H64" s="57" t="s">
        <v>45</v>
      </c>
      <c r="I64" s="59">
        <f t="shared" si="0"/>
        <v>45931</v>
      </c>
      <c r="J64" s="61" t="str">
        <f t="shared" si="1"/>
        <v>AVA PEREZ</v>
      </c>
      <c r="K64" s="44"/>
    </row>
    <row r="65" spans="1:11" ht="60" customHeight="1" x14ac:dyDescent="0.25">
      <c r="A65" s="51" t="s">
        <v>901</v>
      </c>
      <c r="B65" s="51" t="s">
        <v>280</v>
      </c>
      <c r="C65" s="51" t="s">
        <v>22</v>
      </c>
      <c r="D65" s="51" t="s">
        <v>23</v>
      </c>
      <c r="E65" s="56">
        <v>14.99</v>
      </c>
      <c r="F65" s="51" t="s">
        <v>900</v>
      </c>
      <c r="G65" s="51" t="s">
        <v>280</v>
      </c>
      <c r="H65" s="51" t="s">
        <v>282</v>
      </c>
      <c r="I65" s="55">
        <f t="shared" si="0"/>
        <v>45931</v>
      </c>
      <c r="J65" s="61" t="str">
        <f t="shared" si="1"/>
        <v>AVA PEREZ</v>
      </c>
      <c r="K65" s="44"/>
    </row>
    <row r="66" spans="1:11" ht="60" customHeight="1" x14ac:dyDescent="0.25">
      <c r="A66" s="57" t="s">
        <v>899</v>
      </c>
      <c r="B66" s="57" t="s">
        <v>897</v>
      </c>
      <c r="C66" s="57" t="s">
        <v>22</v>
      </c>
      <c r="D66" s="57" t="s">
        <v>23</v>
      </c>
      <c r="E66" s="58">
        <v>11.99</v>
      </c>
      <c r="F66" s="57" t="s">
        <v>898</v>
      </c>
      <c r="G66" s="57" t="s">
        <v>897</v>
      </c>
      <c r="H66" s="57" t="s">
        <v>102</v>
      </c>
      <c r="I66" s="59">
        <f t="shared" si="0"/>
        <v>45931</v>
      </c>
      <c r="J66" s="61" t="str">
        <f t="shared" si="1"/>
        <v>AVA PEREZ</v>
      </c>
      <c r="K66" s="44"/>
    </row>
    <row r="67" spans="1:11" ht="60" customHeight="1" x14ac:dyDescent="0.25">
      <c r="A67" s="51" t="s">
        <v>895</v>
      </c>
      <c r="B67" s="51" t="s">
        <v>108</v>
      </c>
      <c r="C67" s="51" t="s">
        <v>3</v>
      </c>
      <c r="D67" s="51" t="s">
        <v>31</v>
      </c>
      <c r="E67" s="56">
        <v>29.99</v>
      </c>
      <c r="F67" s="51" t="s">
        <v>896</v>
      </c>
      <c r="G67" s="51" t="s">
        <v>108</v>
      </c>
      <c r="H67" s="51" t="s">
        <v>371</v>
      </c>
      <c r="I67" s="55">
        <f t="shared" si="0"/>
        <v>45931</v>
      </c>
      <c r="J67" s="61" t="str">
        <f t="shared" si="1"/>
        <v>DWG-RE Platform (Redirected)</v>
      </c>
      <c r="K67" s="44"/>
    </row>
    <row r="68" spans="1:11" ht="60" customHeight="1" x14ac:dyDescent="0.25">
      <c r="A68" s="57" t="s">
        <v>895</v>
      </c>
      <c r="B68" s="57" t="s">
        <v>30</v>
      </c>
      <c r="C68" s="57" t="s">
        <v>3</v>
      </c>
      <c r="D68" s="57" t="s">
        <v>31</v>
      </c>
      <c r="E68" s="58">
        <v>208.95</v>
      </c>
      <c r="F68" s="57" t="s">
        <v>894</v>
      </c>
      <c r="G68" s="57" t="s">
        <v>30</v>
      </c>
      <c r="H68" s="57" t="s">
        <v>371</v>
      </c>
      <c r="I68" s="59">
        <f t="shared" si="0"/>
        <v>45931</v>
      </c>
      <c r="J68" s="61" t="str">
        <f t="shared" si="1"/>
        <v>DWG-RE Platform (Redirected)</v>
      </c>
      <c r="K68" s="44"/>
    </row>
    <row r="69" spans="1:11" ht="60" customHeight="1" x14ac:dyDescent="0.25">
      <c r="A69" s="51" t="s">
        <v>893</v>
      </c>
      <c r="B69" s="51" t="s">
        <v>891</v>
      </c>
      <c r="C69" s="51" t="s">
        <v>3</v>
      </c>
      <c r="D69" s="51" t="s">
        <v>31</v>
      </c>
      <c r="E69" s="56">
        <v>54</v>
      </c>
      <c r="F69" s="51" t="s">
        <v>892</v>
      </c>
      <c r="G69" s="51" t="s">
        <v>891</v>
      </c>
      <c r="H69" s="51" t="s">
        <v>371</v>
      </c>
      <c r="I69" s="55">
        <f t="shared" si="0"/>
        <v>45931</v>
      </c>
      <c r="J69" s="61" t="str">
        <f t="shared" si="1"/>
        <v>DWG-RE Platform (Redirected)</v>
      </c>
      <c r="K69" s="44"/>
    </row>
    <row r="70" spans="1:11" ht="60" customHeight="1" x14ac:dyDescent="0.25">
      <c r="A70" s="57" t="s">
        <v>890</v>
      </c>
      <c r="B70" s="57" t="s">
        <v>533</v>
      </c>
      <c r="C70" s="57" t="s">
        <v>22</v>
      </c>
      <c r="D70" s="57" t="s">
        <v>23</v>
      </c>
      <c r="E70" s="58">
        <v>99</v>
      </c>
      <c r="F70" s="57" t="s">
        <v>889</v>
      </c>
      <c r="G70" s="57" t="s">
        <v>533</v>
      </c>
      <c r="H70" s="57" t="s">
        <v>64</v>
      </c>
      <c r="I70" s="59">
        <f t="shared" si="0"/>
        <v>45931</v>
      </c>
      <c r="J70" s="61" t="str">
        <f t="shared" si="1"/>
        <v>AVA PEREZ</v>
      </c>
      <c r="K70" s="44"/>
    </row>
    <row r="71" spans="1:11" ht="60" customHeight="1" x14ac:dyDescent="0.25">
      <c r="A71" s="51" t="s">
        <v>888</v>
      </c>
      <c r="B71" s="51" t="s">
        <v>487</v>
      </c>
      <c r="C71" s="51" t="s">
        <v>3</v>
      </c>
      <c r="D71" s="51" t="s">
        <v>31</v>
      </c>
      <c r="E71" s="56">
        <v>-31.7</v>
      </c>
      <c r="F71" s="51" t="s">
        <v>488</v>
      </c>
      <c r="G71" s="51" t="s">
        <v>487</v>
      </c>
      <c r="H71" s="51" t="s">
        <v>366</v>
      </c>
      <c r="I71" s="55">
        <f t="shared" si="0"/>
        <v>45931</v>
      </c>
      <c r="J71" s="61" t="str">
        <f t="shared" si="1"/>
        <v>Fees &amp; Adjustments-Fees &amp; Adjustments</v>
      </c>
      <c r="K71" s="44"/>
    </row>
    <row r="72" spans="1:11" ht="60" customHeight="1" x14ac:dyDescent="0.25">
      <c r="A72" s="57" t="s">
        <v>888</v>
      </c>
      <c r="B72" s="57" t="s">
        <v>485</v>
      </c>
      <c r="C72" s="57" t="s">
        <v>3</v>
      </c>
      <c r="D72" s="57" t="s">
        <v>31</v>
      </c>
      <c r="E72" s="58">
        <v>31.7</v>
      </c>
      <c r="F72" s="57" t="s">
        <v>486</v>
      </c>
      <c r="G72" s="57" t="s">
        <v>485</v>
      </c>
      <c r="H72" s="57" t="s">
        <v>366</v>
      </c>
      <c r="I72" s="59">
        <f t="shared" si="0"/>
        <v>45931</v>
      </c>
      <c r="J72" s="61" t="str">
        <f t="shared" si="1"/>
        <v>Fees &amp; Adjustments-Fees &amp; Adjustments</v>
      </c>
      <c r="K72" s="44"/>
    </row>
    <row r="73" spans="1:11" ht="60" customHeight="1" x14ac:dyDescent="0.25">
      <c r="A73" s="51" t="s">
        <v>887</v>
      </c>
      <c r="B73" s="51" t="s">
        <v>53</v>
      </c>
      <c r="C73" s="51" t="s">
        <v>22</v>
      </c>
      <c r="D73" s="51" t="s">
        <v>23</v>
      </c>
      <c r="E73" s="56">
        <v>15</v>
      </c>
      <c r="F73" s="51" t="s">
        <v>886</v>
      </c>
      <c r="G73" s="51" t="s">
        <v>53</v>
      </c>
      <c r="H73" s="51" t="s">
        <v>33</v>
      </c>
      <c r="I73" s="55">
        <f t="shared" ref="I73:I136" si="2">DATE(RIGHT(A73,4)+0,LEFT(A73,2)+0,1)</f>
        <v>45901</v>
      </c>
      <c r="J73" s="61" t="str">
        <f t="shared" ref="J73:J136" si="3">IF(C73="JOHN DUNNING",IF(TRIM(H73)="",IF(ISNUMBER(SEARCH("PAYMENT",B73)),"Online AMEX Payment","(Uncategorized)"),TRIM(H73)),C73)</f>
        <v>AVA PEREZ</v>
      </c>
      <c r="K73" s="44"/>
    </row>
    <row r="74" spans="1:11" ht="60" customHeight="1" x14ac:dyDescent="0.25">
      <c r="A74" s="57" t="s">
        <v>885</v>
      </c>
      <c r="B74" s="57" t="s">
        <v>26</v>
      </c>
      <c r="C74" s="57" t="s">
        <v>22</v>
      </c>
      <c r="D74" s="57" t="s">
        <v>23</v>
      </c>
      <c r="E74" s="58">
        <v>26.85</v>
      </c>
      <c r="F74" s="57" t="s">
        <v>884</v>
      </c>
      <c r="G74" s="57" t="s">
        <v>26</v>
      </c>
      <c r="H74" s="57" t="s">
        <v>28</v>
      </c>
      <c r="I74" s="59">
        <f t="shared" si="2"/>
        <v>45901</v>
      </c>
      <c r="J74" s="61" t="str">
        <f t="shared" si="3"/>
        <v>AVA PEREZ</v>
      </c>
      <c r="K74" s="44"/>
    </row>
    <row r="75" spans="1:11" ht="60" customHeight="1" x14ac:dyDescent="0.25">
      <c r="A75" s="51" t="s">
        <v>883</v>
      </c>
      <c r="B75" s="51" t="s">
        <v>21</v>
      </c>
      <c r="C75" s="51" t="s">
        <v>22</v>
      </c>
      <c r="D75" s="51" t="s">
        <v>23</v>
      </c>
      <c r="E75" s="56">
        <v>31.97</v>
      </c>
      <c r="F75" s="51" t="s">
        <v>882</v>
      </c>
      <c r="G75" s="51" t="s">
        <v>21</v>
      </c>
      <c r="H75" s="51" t="s">
        <v>25</v>
      </c>
      <c r="I75" s="55">
        <f t="shared" si="2"/>
        <v>45901</v>
      </c>
      <c r="J75" s="61" t="str">
        <f t="shared" si="3"/>
        <v>AVA PEREZ</v>
      </c>
      <c r="K75" s="44"/>
    </row>
    <row r="76" spans="1:11" ht="60" customHeight="1" x14ac:dyDescent="0.25">
      <c r="A76" s="57" t="s">
        <v>881</v>
      </c>
      <c r="B76" s="57" t="s">
        <v>643</v>
      </c>
      <c r="C76" s="57" t="s">
        <v>22</v>
      </c>
      <c r="D76" s="57" t="s">
        <v>23</v>
      </c>
      <c r="E76" s="58">
        <v>227.71</v>
      </c>
      <c r="F76" s="57" t="s">
        <v>880</v>
      </c>
      <c r="G76" s="57" t="s">
        <v>643</v>
      </c>
      <c r="H76" s="57" t="s">
        <v>273</v>
      </c>
      <c r="I76" s="59">
        <f t="shared" si="2"/>
        <v>45901</v>
      </c>
      <c r="J76" s="61" t="str">
        <f t="shared" si="3"/>
        <v>AVA PEREZ</v>
      </c>
      <c r="K76" s="44"/>
    </row>
    <row r="77" spans="1:11" ht="60" customHeight="1" x14ac:dyDescent="0.25">
      <c r="A77" s="51" t="s">
        <v>877</v>
      </c>
      <c r="B77" s="51" t="s">
        <v>21</v>
      </c>
      <c r="C77" s="51" t="s">
        <v>22</v>
      </c>
      <c r="D77" s="51" t="s">
        <v>23</v>
      </c>
      <c r="E77" s="56">
        <v>75.8</v>
      </c>
      <c r="F77" s="51" t="s">
        <v>879</v>
      </c>
      <c r="G77" s="51" t="s">
        <v>21</v>
      </c>
      <c r="H77" s="51" t="s">
        <v>25</v>
      </c>
      <c r="I77" s="55">
        <f t="shared" si="2"/>
        <v>45901</v>
      </c>
      <c r="J77" s="61" t="str">
        <f t="shared" si="3"/>
        <v>AVA PEREZ</v>
      </c>
      <c r="K77" s="44"/>
    </row>
    <row r="78" spans="1:11" ht="60" customHeight="1" x14ac:dyDescent="0.25">
      <c r="A78" s="57" t="s">
        <v>877</v>
      </c>
      <c r="B78" s="57" t="s">
        <v>21</v>
      </c>
      <c r="C78" s="57" t="s">
        <v>22</v>
      </c>
      <c r="D78" s="57" t="s">
        <v>23</v>
      </c>
      <c r="E78" s="58">
        <v>98.79</v>
      </c>
      <c r="F78" s="57" t="s">
        <v>878</v>
      </c>
      <c r="G78" s="57" t="s">
        <v>21</v>
      </c>
      <c r="H78" s="57" t="s">
        <v>25</v>
      </c>
      <c r="I78" s="59">
        <f t="shared" si="2"/>
        <v>45901</v>
      </c>
      <c r="J78" s="61" t="str">
        <f t="shared" si="3"/>
        <v>AVA PEREZ</v>
      </c>
      <c r="K78" s="44"/>
    </row>
    <row r="79" spans="1:11" ht="60" customHeight="1" x14ac:dyDescent="0.25">
      <c r="A79" s="51" t="s">
        <v>877</v>
      </c>
      <c r="B79" s="51" t="s">
        <v>330</v>
      </c>
      <c r="C79" s="51" t="s">
        <v>22</v>
      </c>
      <c r="D79" s="51" t="s">
        <v>23</v>
      </c>
      <c r="E79" s="56">
        <v>19.66</v>
      </c>
      <c r="F79" s="51" t="s">
        <v>876</v>
      </c>
      <c r="G79" s="51" t="s">
        <v>330</v>
      </c>
      <c r="H79" s="51" t="s">
        <v>25</v>
      </c>
      <c r="I79" s="55">
        <f t="shared" si="2"/>
        <v>45901</v>
      </c>
      <c r="J79" s="61" t="str">
        <f t="shared" si="3"/>
        <v>AVA PEREZ</v>
      </c>
      <c r="K79" s="44"/>
    </row>
    <row r="80" spans="1:11" ht="60" customHeight="1" x14ac:dyDescent="0.25">
      <c r="A80" s="57" t="s">
        <v>875</v>
      </c>
      <c r="B80" s="57" t="s">
        <v>43</v>
      </c>
      <c r="C80" s="57" t="s">
        <v>22</v>
      </c>
      <c r="D80" s="57" t="s">
        <v>23</v>
      </c>
      <c r="E80" s="58">
        <v>2.99</v>
      </c>
      <c r="F80" s="57" t="s">
        <v>874</v>
      </c>
      <c r="G80" s="57" t="s">
        <v>43</v>
      </c>
      <c r="H80" s="57" t="s">
        <v>45</v>
      </c>
      <c r="I80" s="59">
        <f t="shared" si="2"/>
        <v>45901</v>
      </c>
      <c r="J80" s="61" t="str">
        <f t="shared" si="3"/>
        <v>AVA PEREZ</v>
      </c>
      <c r="K80" s="44"/>
    </row>
    <row r="81" spans="1:11" ht="60" customHeight="1" x14ac:dyDescent="0.25">
      <c r="A81" s="51" t="s">
        <v>872</v>
      </c>
      <c r="B81" s="51" t="s">
        <v>73</v>
      </c>
      <c r="C81" s="51" t="s">
        <v>3</v>
      </c>
      <c r="D81" s="51" t="s">
        <v>31</v>
      </c>
      <c r="E81" s="56">
        <v>59.99</v>
      </c>
      <c r="F81" s="51" t="s">
        <v>873</v>
      </c>
      <c r="G81" s="51" t="s">
        <v>73</v>
      </c>
      <c r="H81" s="51" t="s">
        <v>371</v>
      </c>
      <c r="I81" s="55">
        <f t="shared" si="2"/>
        <v>45901</v>
      </c>
      <c r="J81" s="61" t="str">
        <f t="shared" si="3"/>
        <v>DWG-RE Platform (Redirected)</v>
      </c>
      <c r="K81" s="44"/>
    </row>
    <row r="82" spans="1:11" ht="60" customHeight="1" x14ac:dyDescent="0.25">
      <c r="A82" s="57" t="s">
        <v>872</v>
      </c>
      <c r="B82" s="57" t="s">
        <v>516</v>
      </c>
      <c r="C82" s="57" t="s">
        <v>3</v>
      </c>
      <c r="D82" s="57" t="s">
        <v>31</v>
      </c>
      <c r="E82" s="58">
        <v>12.99</v>
      </c>
      <c r="F82" s="57" t="s">
        <v>871</v>
      </c>
      <c r="G82" s="57" t="s">
        <v>516</v>
      </c>
      <c r="H82" s="57" t="s">
        <v>371</v>
      </c>
      <c r="I82" s="59">
        <f t="shared" si="2"/>
        <v>45901</v>
      </c>
      <c r="J82" s="61" t="str">
        <f t="shared" si="3"/>
        <v>DWG-RE Platform (Redirected)</v>
      </c>
      <c r="K82" s="44"/>
    </row>
    <row r="83" spans="1:11" ht="60" customHeight="1" x14ac:dyDescent="0.25">
      <c r="A83" s="51" t="s">
        <v>870</v>
      </c>
      <c r="B83" s="51" t="s">
        <v>78</v>
      </c>
      <c r="C83" s="51" t="s">
        <v>3</v>
      </c>
      <c r="D83" s="51" t="s">
        <v>31</v>
      </c>
      <c r="E83" s="56">
        <v>24.99</v>
      </c>
      <c r="F83" s="51" t="s">
        <v>869</v>
      </c>
      <c r="G83" s="51" t="s">
        <v>78</v>
      </c>
      <c r="H83" s="51" t="s">
        <v>374</v>
      </c>
      <c r="I83" s="55">
        <f t="shared" si="2"/>
        <v>45901</v>
      </c>
      <c r="J83" s="61" t="str">
        <f t="shared" si="3"/>
        <v>Family</v>
      </c>
      <c r="K83" s="44"/>
    </row>
    <row r="84" spans="1:11" ht="60" customHeight="1" x14ac:dyDescent="0.25">
      <c r="A84" s="57" t="s">
        <v>868</v>
      </c>
      <c r="B84" s="57" t="s">
        <v>21</v>
      </c>
      <c r="C84" s="57" t="s">
        <v>22</v>
      </c>
      <c r="D84" s="57" t="s">
        <v>23</v>
      </c>
      <c r="E84" s="58">
        <v>30.8</v>
      </c>
      <c r="F84" s="57" t="s">
        <v>867</v>
      </c>
      <c r="G84" s="57" t="s">
        <v>21</v>
      </c>
      <c r="H84" s="57" t="s">
        <v>25</v>
      </c>
      <c r="I84" s="59">
        <f t="shared" si="2"/>
        <v>45901</v>
      </c>
      <c r="J84" s="61" t="str">
        <f t="shared" si="3"/>
        <v>AVA PEREZ</v>
      </c>
      <c r="K84" s="44"/>
    </row>
    <row r="85" spans="1:11" ht="60" customHeight="1" x14ac:dyDescent="0.25">
      <c r="A85" s="51" t="s">
        <v>864</v>
      </c>
      <c r="B85" s="51" t="s">
        <v>643</v>
      </c>
      <c r="C85" s="51" t="s">
        <v>22</v>
      </c>
      <c r="D85" s="51" t="s">
        <v>23</v>
      </c>
      <c r="E85" s="56">
        <v>37.57</v>
      </c>
      <c r="F85" s="51" t="s">
        <v>866</v>
      </c>
      <c r="G85" s="51" t="s">
        <v>643</v>
      </c>
      <c r="H85" s="51" t="s">
        <v>273</v>
      </c>
      <c r="I85" s="55">
        <f t="shared" si="2"/>
        <v>45901</v>
      </c>
      <c r="J85" s="61" t="str">
        <f t="shared" si="3"/>
        <v>AVA PEREZ</v>
      </c>
      <c r="K85" s="44"/>
    </row>
    <row r="86" spans="1:11" ht="60" customHeight="1" x14ac:dyDescent="0.25">
      <c r="A86" s="57" t="s">
        <v>864</v>
      </c>
      <c r="B86" s="57" t="s">
        <v>43</v>
      </c>
      <c r="C86" s="57" t="s">
        <v>22</v>
      </c>
      <c r="D86" s="57" t="s">
        <v>23</v>
      </c>
      <c r="E86" s="58">
        <v>19.989999999999998</v>
      </c>
      <c r="F86" s="57" t="s">
        <v>865</v>
      </c>
      <c r="G86" s="57" t="s">
        <v>43</v>
      </c>
      <c r="H86" s="57" t="s">
        <v>45</v>
      </c>
      <c r="I86" s="59">
        <f t="shared" si="2"/>
        <v>45901</v>
      </c>
      <c r="J86" s="61" t="str">
        <f t="shared" si="3"/>
        <v>AVA PEREZ</v>
      </c>
      <c r="K86" s="44"/>
    </row>
    <row r="87" spans="1:11" ht="60" customHeight="1" x14ac:dyDescent="0.25">
      <c r="A87" s="51" t="s">
        <v>864</v>
      </c>
      <c r="B87" s="51" t="s">
        <v>280</v>
      </c>
      <c r="C87" s="51" t="s">
        <v>22</v>
      </c>
      <c r="D87" s="51" t="s">
        <v>23</v>
      </c>
      <c r="E87" s="56">
        <v>14.99</v>
      </c>
      <c r="F87" s="51" t="s">
        <v>863</v>
      </c>
      <c r="G87" s="51" t="s">
        <v>280</v>
      </c>
      <c r="H87" s="51" t="s">
        <v>282</v>
      </c>
      <c r="I87" s="55">
        <f t="shared" si="2"/>
        <v>45901</v>
      </c>
      <c r="J87" s="61" t="str">
        <f t="shared" si="3"/>
        <v>AVA PEREZ</v>
      </c>
      <c r="K87" s="44"/>
    </row>
    <row r="88" spans="1:11" ht="60" customHeight="1" x14ac:dyDescent="0.25">
      <c r="A88" s="57" t="s">
        <v>862</v>
      </c>
      <c r="B88" s="57" t="s">
        <v>860</v>
      </c>
      <c r="C88" s="57" t="s">
        <v>22</v>
      </c>
      <c r="D88" s="57" t="s">
        <v>23</v>
      </c>
      <c r="E88" s="58">
        <v>11.99</v>
      </c>
      <c r="F88" s="57" t="s">
        <v>861</v>
      </c>
      <c r="G88" s="57" t="s">
        <v>860</v>
      </c>
      <c r="H88" s="57" t="s">
        <v>102</v>
      </c>
      <c r="I88" s="59">
        <f t="shared" si="2"/>
        <v>45901</v>
      </c>
      <c r="J88" s="61" t="str">
        <f t="shared" si="3"/>
        <v>AVA PEREZ</v>
      </c>
      <c r="K88" s="44"/>
    </row>
    <row r="89" spans="1:11" ht="60" customHeight="1" x14ac:dyDescent="0.25">
      <c r="A89" s="51" t="s">
        <v>858</v>
      </c>
      <c r="B89" s="51" t="s">
        <v>21</v>
      </c>
      <c r="C89" s="51" t="s">
        <v>22</v>
      </c>
      <c r="D89" s="51" t="s">
        <v>23</v>
      </c>
      <c r="E89" s="56">
        <v>99.1</v>
      </c>
      <c r="F89" s="51" t="s">
        <v>859</v>
      </c>
      <c r="G89" s="51" t="s">
        <v>21</v>
      </c>
      <c r="H89" s="51" t="s">
        <v>25</v>
      </c>
      <c r="I89" s="55">
        <f t="shared" si="2"/>
        <v>45901</v>
      </c>
      <c r="J89" s="61" t="str">
        <f t="shared" si="3"/>
        <v>AVA PEREZ</v>
      </c>
      <c r="K89" s="44"/>
    </row>
    <row r="90" spans="1:11" ht="60" customHeight="1" x14ac:dyDescent="0.25">
      <c r="A90" s="57" t="s">
        <v>858</v>
      </c>
      <c r="B90" s="57" t="s">
        <v>330</v>
      </c>
      <c r="C90" s="57" t="s">
        <v>22</v>
      </c>
      <c r="D90" s="57" t="s">
        <v>23</v>
      </c>
      <c r="E90" s="58">
        <v>35.71</v>
      </c>
      <c r="F90" s="57" t="s">
        <v>857</v>
      </c>
      <c r="G90" s="57" t="s">
        <v>330</v>
      </c>
      <c r="H90" s="57" t="s">
        <v>25</v>
      </c>
      <c r="I90" s="59">
        <f t="shared" si="2"/>
        <v>45901</v>
      </c>
      <c r="J90" s="61" t="str">
        <f t="shared" si="3"/>
        <v>AVA PEREZ</v>
      </c>
      <c r="K90" s="44"/>
    </row>
    <row r="91" spans="1:11" ht="60" customHeight="1" x14ac:dyDescent="0.25">
      <c r="A91" s="51" t="s">
        <v>855</v>
      </c>
      <c r="B91" s="51" t="s">
        <v>108</v>
      </c>
      <c r="C91" s="51" t="s">
        <v>3</v>
      </c>
      <c r="D91" s="51" t="s">
        <v>31</v>
      </c>
      <c r="E91" s="56">
        <v>29.99</v>
      </c>
      <c r="F91" s="51" t="s">
        <v>856</v>
      </c>
      <c r="G91" s="51" t="s">
        <v>108</v>
      </c>
      <c r="H91" s="51" t="s">
        <v>371</v>
      </c>
      <c r="I91" s="55">
        <f t="shared" si="2"/>
        <v>45901</v>
      </c>
      <c r="J91" s="61" t="str">
        <f t="shared" si="3"/>
        <v>DWG-RE Platform (Redirected)</v>
      </c>
      <c r="K91" s="44"/>
    </row>
    <row r="92" spans="1:11" ht="60" customHeight="1" x14ac:dyDescent="0.25">
      <c r="A92" s="57" t="s">
        <v>855</v>
      </c>
      <c r="B92" s="57" t="s">
        <v>30</v>
      </c>
      <c r="C92" s="57" t="s">
        <v>3</v>
      </c>
      <c r="D92" s="57" t="s">
        <v>31</v>
      </c>
      <c r="E92" s="58">
        <v>208.95</v>
      </c>
      <c r="F92" s="57" t="s">
        <v>854</v>
      </c>
      <c r="G92" s="57" t="s">
        <v>30</v>
      </c>
      <c r="H92" s="57" t="s">
        <v>371</v>
      </c>
      <c r="I92" s="59">
        <f t="shared" si="2"/>
        <v>45901</v>
      </c>
      <c r="J92" s="61" t="str">
        <f t="shared" si="3"/>
        <v>DWG-RE Platform (Redirected)</v>
      </c>
      <c r="K92" s="44"/>
    </row>
    <row r="93" spans="1:11" ht="60" customHeight="1" x14ac:dyDescent="0.25">
      <c r="A93" s="51" t="s">
        <v>851</v>
      </c>
      <c r="B93" s="51" t="s">
        <v>852</v>
      </c>
      <c r="C93" s="51" t="s">
        <v>3</v>
      </c>
      <c r="D93" s="51" t="s">
        <v>31</v>
      </c>
      <c r="E93" s="56">
        <v>54</v>
      </c>
      <c r="F93" s="51" t="s">
        <v>853</v>
      </c>
      <c r="G93" s="51" t="s">
        <v>852</v>
      </c>
      <c r="H93" s="51" t="s">
        <v>371</v>
      </c>
      <c r="I93" s="55">
        <f t="shared" si="2"/>
        <v>45901</v>
      </c>
      <c r="J93" s="61" t="str">
        <f t="shared" si="3"/>
        <v>DWG-RE Platform (Redirected)</v>
      </c>
      <c r="K93" s="44"/>
    </row>
    <row r="94" spans="1:11" ht="60" customHeight="1" x14ac:dyDescent="0.25">
      <c r="A94" s="57" t="s">
        <v>851</v>
      </c>
      <c r="B94" s="57" t="s">
        <v>330</v>
      </c>
      <c r="C94" s="57" t="s">
        <v>22</v>
      </c>
      <c r="D94" s="57" t="s">
        <v>23</v>
      </c>
      <c r="E94" s="58">
        <v>35.71</v>
      </c>
      <c r="F94" s="57" t="s">
        <v>850</v>
      </c>
      <c r="G94" s="57" t="s">
        <v>330</v>
      </c>
      <c r="H94" s="57" t="s">
        <v>25</v>
      </c>
      <c r="I94" s="59">
        <f t="shared" si="2"/>
        <v>45901</v>
      </c>
      <c r="J94" s="61" t="str">
        <f t="shared" si="3"/>
        <v>AVA PEREZ</v>
      </c>
      <c r="K94" s="44"/>
    </row>
    <row r="95" spans="1:11" ht="60" customHeight="1" x14ac:dyDescent="0.25">
      <c r="A95" s="51" t="s">
        <v>849</v>
      </c>
      <c r="B95" s="51" t="s">
        <v>533</v>
      </c>
      <c r="C95" s="51" t="s">
        <v>22</v>
      </c>
      <c r="D95" s="51" t="s">
        <v>23</v>
      </c>
      <c r="E95" s="56">
        <v>99</v>
      </c>
      <c r="F95" s="51" t="s">
        <v>848</v>
      </c>
      <c r="G95" s="51" t="s">
        <v>533</v>
      </c>
      <c r="H95" s="51" t="s">
        <v>64</v>
      </c>
      <c r="I95" s="55">
        <f t="shared" si="2"/>
        <v>45901</v>
      </c>
      <c r="J95" s="61" t="str">
        <f t="shared" si="3"/>
        <v>AVA PEREZ</v>
      </c>
      <c r="K95" s="44"/>
    </row>
    <row r="96" spans="1:11" ht="60" customHeight="1" x14ac:dyDescent="0.25">
      <c r="A96" s="57" t="s">
        <v>847</v>
      </c>
      <c r="B96" s="57" t="s">
        <v>26</v>
      </c>
      <c r="C96" s="57" t="s">
        <v>22</v>
      </c>
      <c r="D96" s="57" t="s">
        <v>23</v>
      </c>
      <c r="E96" s="58">
        <v>27.04</v>
      </c>
      <c r="F96" s="57" t="s">
        <v>846</v>
      </c>
      <c r="G96" s="57" t="s">
        <v>26</v>
      </c>
      <c r="H96" s="57" t="s">
        <v>28</v>
      </c>
      <c r="I96" s="59">
        <f t="shared" si="2"/>
        <v>45901</v>
      </c>
      <c r="J96" s="61" t="str">
        <f t="shared" si="3"/>
        <v>AVA PEREZ</v>
      </c>
      <c r="K96" s="44"/>
    </row>
    <row r="97" spans="1:11" ht="60" customHeight="1" x14ac:dyDescent="0.25">
      <c r="A97" s="51" t="s">
        <v>843</v>
      </c>
      <c r="B97" s="51" t="s">
        <v>53</v>
      </c>
      <c r="C97" s="51" t="s">
        <v>22</v>
      </c>
      <c r="D97" s="51" t="s">
        <v>23</v>
      </c>
      <c r="E97" s="56">
        <v>15</v>
      </c>
      <c r="F97" s="51" t="s">
        <v>845</v>
      </c>
      <c r="G97" s="51" t="s">
        <v>53</v>
      </c>
      <c r="H97" s="51" t="s">
        <v>33</v>
      </c>
      <c r="I97" s="55">
        <f t="shared" si="2"/>
        <v>45870</v>
      </c>
      <c r="J97" s="61" t="str">
        <f t="shared" si="3"/>
        <v>AVA PEREZ</v>
      </c>
      <c r="K97" s="44"/>
    </row>
    <row r="98" spans="1:11" ht="60" customHeight="1" x14ac:dyDescent="0.25">
      <c r="A98" s="57" t="s">
        <v>843</v>
      </c>
      <c r="B98" s="57" t="s">
        <v>21</v>
      </c>
      <c r="C98" s="57" t="s">
        <v>22</v>
      </c>
      <c r="D98" s="57" t="s">
        <v>23</v>
      </c>
      <c r="E98" s="58">
        <v>33.46</v>
      </c>
      <c r="F98" s="57" t="s">
        <v>844</v>
      </c>
      <c r="G98" s="57" t="s">
        <v>21</v>
      </c>
      <c r="H98" s="57" t="s">
        <v>25</v>
      </c>
      <c r="I98" s="59">
        <f t="shared" si="2"/>
        <v>45870</v>
      </c>
      <c r="J98" s="61" t="str">
        <f t="shared" si="3"/>
        <v>AVA PEREZ</v>
      </c>
      <c r="K98" s="44"/>
    </row>
    <row r="99" spans="1:11" ht="60" customHeight="1" x14ac:dyDescent="0.25">
      <c r="A99" s="51" t="s">
        <v>843</v>
      </c>
      <c r="B99" s="51" t="s">
        <v>619</v>
      </c>
      <c r="C99" s="51" t="s">
        <v>165</v>
      </c>
      <c r="D99" s="51" t="s">
        <v>166</v>
      </c>
      <c r="E99" s="56">
        <v>12.99</v>
      </c>
      <c r="F99" s="51" t="s">
        <v>842</v>
      </c>
      <c r="G99" s="51" t="s">
        <v>619</v>
      </c>
      <c r="H99" s="51" t="s">
        <v>64</v>
      </c>
      <c r="I99" s="55">
        <f t="shared" si="2"/>
        <v>45870</v>
      </c>
      <c r="J99" s="61" t="str">
        <f t="shared" si="3"/>
        <v>ANGELA L DUNNING</v>
      </c>
      <c r="K99" s="44"/>
    </row>
    <row r="100" spans="1:11" ht="60" customHeight="1" x14ac:dyDescent="0.25">
      <c r="A100" s="57" t="s">
        <v>840</v>
      </c>
      <c r="B100" s="57" t="s">
        <v>643</v>
      </c>
      <c r="C100" s="57" t="s">
        <v>22</v>
      </c>
      <c r="D100" s="57" t="s">
        <v>23</v>
      </c>
      <c r="E100" s="58">
        <v>-120.19</v>
      </c>
      <c r="F100" s="57" t="s">
        <v>841</v>
      </c>
      <c r="G100" s="57" t="s">
        <v>643</v>
      </c>
      <c r="H100" s="57" t="s">
        <v>273</v>
      </c>
      <c r="I100" s="59">
        <f t="shared" si="2"/>
        <v>45870</v>
      </c>
      <c r="J100" s="61" t="str">
        <f t="shared" si="3"/>
        <v>AVA PEREZ</v>
      </c>
      <c r="K100" s="44"/>
    </row>
    <row r="101" spans="1:11" ht="60" customHeight="1" x14ac:dyDescent="0.25">
      <c r="A101" s="51" t="s">
        <v>840</v>
      </c>
      <c r="B101" s="51" t="s">
        <v>56</v>
      </c>
      <c r="C101" s="51" t="s">
        <v>3</v>
      </c>
      <c r="D101" s="51" t="s">
        <v>31</v>
      </c>
      <c r="E101" s="56">
        <v>-1935.03</v>
      </c>
      <c r="F101" s="51" t="s">
        <v>57</v>
      </c>
      <c r="G101" s="51" t="s">
        <v>56</v>
      </c>
      <c r="H101" s="51" t="s">
        <v>373</v>
      </c>
      <c r="I101" s="55">
        <f t="shared" si="2"/>
        <v>45870</v>
      </c>
      <c r="J101" s="61" t="str">
        <f t="shared" si="3"/>
        <v>Online AMEX Payment</v>
      </c>
      <c r="K101" s="44"/>
    </row>
    <row r="102" spans="1:11" ht="60" customHeight="1" x14ac:dyDescent="0.25">
      <c r="A102" s="57" t="s">
        <v>839</v>
      </c>
      <c r="B102" s="57" t="s">
        <v>837</v>
      </c>
      <c r="C102" s="57" t="s">
        <v>22</v>
      </c>
      <c r="D102" s="57" t="s">
        <v>23</v>
      </c>
      <c r="E102" s="58">
        <v>93.34</v>
      </c>
      <c r="F102" s="57" t="s">
        <v>838</v>
      </c>
      <c r="G102" s="57" t="s">
        <v>837</v>
      </c>
      <c r="H102" s="57" t="s">
        <v>836</v>
      </c>
      <c r="I102" s="59">
        <f t="shared" si="2"/>
        <v>45870</v>
      </c>
      <c r="J102" s="61" t="str">
        <f t="shared" si="3"/>
        <v>AVA PEREZ</v>
      </c>
      <c r="K102" s="44"/>
    </row>
    <row r="103" spans="1:11" ht="60" customHeight="1" x14ac:dyDescent="0.25">
      <c r="A103" s="51" t="s">
        <v>835</v>
      </c>
      <c r="B103" s="51" t="s">
        <v>138</v>
      </c>
      <c r="C103" s="51" t="s">
        <v>22</v>
      </c>
      <c r="D103" s="51" t="s">
        <v>23</v>
      </c>
      <c r="E103" s="56">
        <v>80.47</v>
      </c>
      <c r="F103" s="51" t="s">
        <v>834</v>
      </c>
      <c r="G103" s="51" t="s">
        <v>138</v>
      </c>
      <c r="H103" s="51" t="s">
        <v>25</v>
      </c>
      <c r="I103" s="55">
        <f t="shared" si="2"/>
        <v>45870</v>
      </c>
      <c r="J103" s="61" t="str">
        <f t="shared" si="3"/>
        <v>AVA PEREZ</v>
      </c>
      <c r="K103" s="44"/>
    </row>
    <row r="104" spans="1:11" ht="60" customHeight="1" x14ac:dyDescent="0.25">
      <c r="A104" s="57" t="s">
        <v>832</v>
      </c>
      <c r="B104" s="57" t="s">
        <v>67</v>
      </c>
      <c r="C104" s="57" t="s">
        <v>22</v>
      </c>
      <c r="D104" s="57" t="s">
        <v>23</v>
      </c>
      <c r="E104" s="58">
        <v>5</v>
      </c>
      <c r="F104" s="57" t="s">
        <v>833</v>
      </c>
      <c r="G104" s="57" t="s">
        <v>67</v>
      </c>
      <c r="H104" s="57" t="s">
        <v>37</v>
      </c>
      <c r="I104" s="59">
        <f t="shared" si="2"/>
        <v>45870</v>
      </c>
      <c r="J104" s="61" t="str">
        <f t="shared" si="3"/>
        <v>AVA PEREZ</v>
      </c>
      <c r="K104" s="44"/>
    </row>
    <row r="105" spans="1:11" ht="60" customHeight="1" x14ac:dyDescent="0.25">
      <c r="A105" s="51" t="s">
        <v>832</v>
      </c>
      <c r="B105" s="51" t="s">
        <v>67</v>
      </c>
      <c r="C105" s="51" t="s">
        <v>22</v>
      </c>
      <c r="D105" s="51" t="s">
        <v>23</v>
      </c>
      <c r="E105" s="56">
        <v>19.95</v>
      </c>
      <c r="F105" s="51" t="s">
        <v>831</v>
      </c>
      <c r="G105" s="51" t="s">
        <v>67</v>
      </c>
      <c r="H105" s="51" t="s">
        <v>37</v>
      </c>
      <c r="I105" s="55">
        <f t="shared" si="2"/>
        <v>45870</v>
      </c>
      <c r="J105" s="61" t="str">
        <f t="shared" si="3"/>
        <v>AVA PEREZ</v>
      </c>
      <c r="K105" s="44"/>
    </row>
    <row r="106" spans="1:11" ht="60" customHeight="1" x14ac:dyDescent="0.25">
      <c r="A106" s="57" t="s">
        <v>829</v>
      </c>
      <c r="B106" s="57" t="s">
        <v>43</v>
      </c>
      <c r="C106" s="57" t="s">
        <v>22</v>
      </c>
      <c r="D106" s="57" t="s">
        <v>23</v>
      </c>
      <c r="E106" s="58">
        <v>2.99</v>
      </c>
      <c r="F106" s="57" t="s">
        <v>830</v>
      </c>
      <c r="G106" s="57" t="s">
        <v>43</v>
      </c>
      <c r="H106" s="57" t="s">
        <v>45</v>
      </c>
      <c r="I106" s="59">
        <f t="shared" si="2"/>
        <v>45870</v>
      </c>
      <c r="J106" s="61" t="str">
        <f t="shared" si="3"/>
        <v>AVA PEREZ</v>
      </c>
      <c r="K106" s="44"/>
    </row>
    <row r="107" spans="1:11" ht="60" customHeight="1" x14ac:dyDescent="0.25">
      <c r="A107" s="51" t="s">
        <v>829</v>
      </c>
      <c r="B107" s="51" t="s">
        <v>138</v>
      </c>
      <c r="C107" s="51" t="s">
        <v>22</v>
      </c>
      <c r="D107" s="51" t="s">
        <v>23</v>
      </c>
      <c r="E107" s="56">
        <v>163</v>
      </c>
      <c r="F107" s="51" t="s">
        <v>828</v>
      </c>
      <c r="G107" s="51" t="s">
        <v>138</v>
      </c>
      <c r="H107" s="51" t="s">
        <v>25</v>
      </c>
      <c r="I107" s="55">
        <f t="shared" si="2"/>
        <v>45870</v>
      </c>
      <c r="J107" s="61" t="str">
        <f t="shared" si="3"/>
        <v>AVA PEREZ</v>
      </c>
      <c r="K107" s="44"/>
    </row>
    <row r="108" spans="1:11" ht="60" customHeight="1" x14ac:dyDescent="0.25">
      <c r="A108" s="57" t="s">
        <v>826</v>
      </c>
      <c r="B108" s="57" t="s">
        <v>73</v>
      </c>
      <c r="C108" s="57" t="s">
        <v>3</v>
      </c>
      <c r="D108" s="57" t="s">
        <v>31</v>
      </c>
      <c r="E108" s="58">
        <v>59.99</v>
      </c>
      <c r="F108" s="57" t="s">
        <v>827</v>
      </c>
      <c r="G108" s="57" t="s">
        <v>73</v>
      </c>
      <c r="H108" s="57" t="s">
        <v>371</v>
      </c>
      <c r="I108" s="59">
        <f t="shared" si="2"/>
        <v>45870</v>
      </c>
      <c r="J108" s="61" t="str">
        <f t="shared" si="3"/>
        <v>DWG-RE Platform (Redirected)</v>
      </c>
      <c r="K108" s="44"/>
    </row>
    <row r="109" spans="1:11" ht="60" customHeight="1" x14ac:dyDescent="0.25">
      <c r="A109" s="51" t="s">
        <v>826</v>
      </c>
      <c r="B109" s="51" t="s">
        <v>516</v>
      </c>
      <c r="C109" s="51" t="s">
        <v>3</v>
      </c>
      <c r="D109" s="51" t="s">
        <v>31</v>
      </c>
      <c r="E109" s="56">
        <v>12.99</v>
      </c>
      <c r="F109" s="51" t="s">
        <v>825</v>
      </c>
      <c r="G109" s="51" t="s">
        <v>516</v>
      </c>
      <c r="H109" s="51" t="s">
        <v>371</v>
      </c>
      <c r="I109" s="55">
        <f t="shared" si="2"/>
        <v>45870</v>
      </c>
      <c r="J109" s="61" t="str">
        <f t="shared" si="3"/>
        <v>DWG-RE Platform (Redirected)</v>
      </c>
      <c r="K109" s="44"/>
    </row>
    <row r="110" spans="1:11" ht="60" customHeight="1" x14ac:dyDescent="0.25">
      <c r="A110" s="57" t="s">
        <v>823</v>
      </c>
      <c r="B110" s="57" t="s">
        <v>21</v>
      </c>
      <c r="C110" s="57" t="s">
        <v>22</v>
      </c>
      <c r="D110" s="57" t="s">
        <v>23</v>
      </c>
      <c r="E110" s="58">
        <v>29.82</v>
      </c>
      <c r="F110" s="57" t="s">
        <v>824</v>
      </c>
      <c r="G110" s="57" t="s">
        <v>21</v>
      </c>
      <c r="H110" s="57" t="s">
        <v>25</v>
      </c>
      <c r="I110" s="59">
        <f t="shared" si="2"/>
        <v>45870</v>
      </c>
      <c r="J110" s="61" t="str">
        <f t="shared" si="3"/>
        <v>AVA PEREZ</v>
      </c>
      <c r="K110" s="44"/>
    </row>
    <row r="111" spans="1:11" ht="60" customHeight="1" x14ac:dyDescent="0.25">
      <c r="A111" s="51" t="s">
        <v>823</v>
      </c>
      <c r="B111" s="51" t="s">
        <v>138</v>
      </c>
      <c r="C111" s="51" t="s">
        <v>22</v>
      </c>
      <c r="D111" s="51" t="s">
        <v>23</v>
      </c>
      <c r="E111" s="56">
        <v>235.96</v>
      </c>
      <c r="F111" s="51" t="s">
        <v>822</v>
      </c>
      <c r="G111" s="51" t="s">
        <v>138</v>
      </c>
      <c r="H111" s="51" t="s">
        <v>25</v>
      </c>
      <c r="I111" s="55">
        <f t="shared" si="2"/>
        <v>45870</v>
      </c>
      <c r="J111" s="61" t="str">
        <f t="shared" si="3"/>
        <v>AVA PEREZ</v>
      </c>
      <c r="K111" s="44"/>
    </row>
    <row r="112" spans="1:11" ht="60" customHeight="1" x14ac:dyDescent="0.25">
      <c r="A112" s="57" t="s">
        <v>820</v>
      </c>
      <c r="B112" s="57" t="s">
        <v>643</v>
      </c>
      <c r="C112" s="57" t="s">
        <v>22</v>
      </c>
      <c r="D112" s="57" t="s">
        <v>23</v>
      </c>
      <c r="E112" s="58">
        <v>120.19</v>
      </c>
      <c r="F112" s="57" t="s">
        <v>821</v>
      </c>
      <c r="G112" s="57" t="s">
        <v>643</v>
      </c>
      <c r="H112" s="57" t="s">
        <v>273</v>
      </c>
      <c r="I112" s="59">
        <f t="shared" si="2"/>
        <v>45870</v>
      </c>
      <c r="J112" s="61" t="str">
        <f t="shared" si="3"/>
        <v>AVA PEREZ</v>
      </c>
      <c r="K112" s="44"/>
    </row>
    <row r="113" spans="1:11" ht="60" customHeight="1" x14ac:dyDescent="0.25">
      <c r="A113" s="51" t="s">
        <v>820</v>
      </c>
      <c r="B113" s="51" t="s">
        <v>78</v>
      </c>
      <c r="C113" s="51" t="s">
        <v>3</v>
      </c>
      <c r="D113" s="51" t="s">
        <v>31</v>
      </c>
      <c r="E113" s="56">
        <v>24.99</v>
      </c>
      <c r="F113" s="51" t="s">
        <v>819</v>
      </c>
      <c r="G113" s="51" t="s">
        <v>78</v>
      </c>
      <c r="H113" s="51" t="s">
        <v>374</v>
      </c>
      <c r="I113" s="55">
        <f t="shared" si="2"/>
        <v>45870</v>
      </c>
      <c r="J113" s="61" t="str">
        <f t="shared" si="3"/>
        <v>Family</v>
      </c>
      <c r="K113" s="44"/>
    </row>
    <row r="114" spans="1:11" ht="60" customHeight="1" x14ac:dyDescent="0.25">
      <c r="A114" s="57" t="s">
        <v>818</v>
      </c>
      <c r="B114" s="57" t="s">
        <v>774</v>
      </c>
      <c r="C114" s="57" t="s">
        <v>22</v>
      </c>
      <c r="D114" s="57" t="s">
        <v>23</v>
      </c>
      <c r="E114" s="58">
        <v>82.32</v>
      </c>
      <c r="F114" s="57" t="s">
        <v>817</v>
      </c>
      <c r="G114" s="57" t="s">
        <v>774</v>
      </c>
      <c r="H114" s="57" t="s">
        <v>601</v>
      </c>
      <c r="I114" s="59">
        <f t="shared" si="2"/>
        <v>45870</v>
      </c>
      <c r="J114" s="61" t="str">
        <f t="shared" si="3"/>
        <v>AVA PEREZ</v>
      </c>
      <c r="K114" s="44"/>
    </row>
    <row r="115" spans="1:11" ht="60" customHeight="1" x14ac:dyDescent="0.25">
      <c r="A115" s="51" t="s">
        <v>815</v>
      </c>
      <c r="B115" s="51" t="s">
        <v>43</v>
      </c>
      <c r="C115" s="51" t="s">
        <v>22</v>
      </c>
      <c r="D115" s="51" t="s">
        <v>23</v>
      </c>
      <c r="E115" s="56">
        <v>19.989999999999998</v>
      </c>
      <c r="F115" s="51" t="s">
        <v>816</v>
      </c>
      <c r="G115" s="51" t="s">
        <v>43</v>
      </c>
      <c r="H115" s="51" t="s">
        <v>45</v>
      </c>
      <c r="I115" s="55">
        <f t="shared" si="2"/>
        <v>45870</v>
      </c>
      <c r="J115" s="61" t="str">
        <f t="shared" si="3"/>
        <v>AVA PEREZ</v>
      </c>
      <c r="K115" s="44"/>
    </row>
    <row r="116" spans="1:11" ht="60" customHeight="1" x14ac:dyDescent="0.25">
      <c r="A116" s="57" t="s">
        <v>815</v>
      </c>
      <c r="B116" s="57" t="s">
        <v>280</v>
      </c>
      <c r="C116" s="57" t="s">
        <v>22</v>
      </c>
      <c r="D116" s="57" t="s">
        <v>23</v>
      </c>
      <c r="E116" s="58">
        <v>14.99</v>
      </c>
      <c r="F116" s="57" t="s">
        <v>814</v>
      </c>
      <c r="G116" s="57" t="s">
        <v>280</v>
      </c>
      <c r="H116" s="57" t="s">
        <v>282</v>
      </c>
      <c r="I116" s="59">
        <f t="shared" si="2"/>
        <v>45870</v>
      </c>
      <c r="J116" s="61" t="str">
        <f t="shared" si="3"/>
        <v>AVA PEREZ</v>
      </c>
      <c r="K116" s="44"/>
    </row>
    <row r="117" spans="1:11" ht="60" customHeight="1" x14ac:dyDescent="0.25">
      <c r="A117" s="51" t="s">
        <v>813</v>
      </c>
      <c r="B117" s="51" t="s">
        <v>811</v>
      </c>
      <c r="C117" s="51" t="s">
        <v>22</v>
      </c>
      <c r="D117" s="51" t="s">
        <v>23</v>
      </c>
      <c r="E117" s="56">
        <v>11.99</v>
      </c>
      <c r="F117" s="51" t="s">
        <v>812</v>
      </c>
      <c r="G117" s="51" t="s">
        <v>811</v>
      </c>
      <c r="H117" s="51" t="s">
        <v>102</v>
      </c>
      <c r="I117" s="55">
        <f t="shared" si="2"/>
        <v>45870</v>
      </c>
      <c r="J117" s="61" t="str">
        <f t="shared" si="3"/>
        <v>AVA PEREZ</v>
      </c>
      <c r="K117" s="44"/>
    </row>
    <row r="118" spans="1:11" ht="60" customHeight="1" x14ac:dyDescent="0.25">
      <c r="A118" s="57" t="s">
        <v>809</v>
      </c>
      <c r="B118" s="57" t="s">
        <v>108</v>
      </c>
      <c r="C118" s="57" t="s">
        <v>3</v>
      </c>
      <c r="D118" s="57" t="s">
        <v>31</v>
      </c>
      <c r="E118" s="58">
        <v>29.99</v>
      </c>
      <c r="F118" s="57" t="s">
        <v>810</v>
      </c>
      <c r="G118" s="57" t="s">
        <v>108</v>
      </c>
      <c r="H118" s="57" t="s">
        <v>371</v>
      </c>
      <c r="I118" s="59">
        <f t="shared" si="2"/>
        <v>45870</v>
      </c>
      <c r="J118" s="61" t="str">
        <f t="shared" si="3"/>
        <v>DWG-RE Platform (Redirected)</v>
      </c>
      <c r="K118" s="44"/>
    </row>
    <row r="119" spans="1:11" ht="60" customHeight="1" x14ac:dyDescent="0.25">
      <c r="A119" s="51" t="s">
        <v>809</v>
      </c>
      <c r="B119" s="51" t="s">
        <v>30</v>
      </c>
      <c r="C119" s="51" t="s">
        <v>3</v>
      </c>
      <c r="D119" s="51" t="s">
        <v>31</v>
      </c>
      <c r="E119" s="56">
        <v>208.95</v>
      </c>
      <c r="F119" s="51" t="s">
        <v>808</v>
      </c>
      <c r="G119" s="51" t="s">
        <v>30</v>
      </c>
      <c r="H119" s="51" t="s">
        <v>371</v>
      </c>
      <c r="I119" s="55">
        <f t="shared" si="2"/>
        <v>45870</v>
      </c>
      <c r="J119" s="61" t="str">
        <f t="shared" si="3"/>
        <v>DWG-RE Platform (Redirected)</v>
      </c>
      <c r="K119" s="44"/>
    </row>
    <row r="120" spans="1:11" ht="60" customHeight="1" x14ac:dyDescent="0.25">
      <c r="A120" s="57" t="s">
        <v>807</v>
      </c>
      <c r="B120" s="57" t="s">
        <v>805</v>
      </c>
      <c r="C120" s="57" t="s">
        <v>3</v>
      </c>
      <c r="D120" s="57" t="s">
        <v>31</v>
      </c>
      <c r="E120" s="58">
        <v>54</v>
      </c>
      <c r="F120" s="57" t="s">
        <v>806</v>
      </c>
      <c r="G120" s="57" t="s">
        <v>805</v>
      </c>
      <c r="H120" s="57" t="s">
        <v>371</v>
      </c>
      <c r="I120" s="59">
        <f t="shared" si="2"/>
        <v>45870</v>
      </c>
      <c r="J120" s="61" t="str">
        <f t="shared" si="3"/>
        <v>DWG-RE Platform (Redirected)</v>
      </c>
      <c r="K120" s="44"/>
    </row>
    <row r="121" spans="1:11" ht="60" customHeight="1" x14ac:dyDescent="0.25">
      <c r="A121" s="51" t="s">
        <v>803</v>
      </c>
      <c r="B121" s="51" t="s">
        <v>533</v>
      </c>
      <c r="C121" s="51" t="s">
        <v>22</v>
      </c>
      <c r="D121" s="51" t="s">
        <v>23</v>
      </c>
      <c r="E121" s="56">
        <v>99</v>
      </c>
      <c r="F121" s="51" t="s">
        <v>804</v>
      </c>
      <c r="G121" s="51" t="s">
        <v>533</v>
      </c>
      <c r="H121" s="51" t="s">
        <v>64</v>
      </c>
      <c r="I121" s="55">
        <f t="shared" si="2"/>
        <v>45870</v>
      </c>
      <c r="J121" s="61" t="str">
        <f t="shared" si="3"/>
        <v>AVA PEREZ</v>
      </c>
      <c r="K121" s="44"/>
    </row>
    <row r="122" spans="1:11" ht="60" customHeight="1" x14ac:dyDescent="0.25">
      <c r="A122" s="57" t="s">
        <v>803</v>
      </c>
      <c r="B122" s="57" t="s">
        <v>26</v>
      </c>
      <c r="C122" s="57" t="s">
        <v>22</v>
      </c>
      <c r="D122" s="57" t="s">
        <v>23</v>
      </c>
      <c r="E122" s="58">
        <v>26.6</v>
      </c>
      <c r="F122" s="57" t="s">
        <v>802</v>
      </c>
      <c r="G122" s="57" t="s">
        <v>26</v>
      </c>
      <c r="H122" s="57" t="s">
        <v>28</v>
      </c>
      <c r="I122" s="59">
        <f t="shared" si="2"/>
        <v>45870</v>
      </c>
      <c r="J122" s="61" t="str">
        <f t="shared" si="3"/>
        <v>AVA PEREZ</v>
      </c>
      <c r="K122" s="44"/>
    </row>
    <row r="123" spans="1:11" ht="60" customHeight="1" x14ac:dyDescent="0.25">
      <c r="A123" s="51" t="s">
        <v>801</v>
      </c>
      <c r="B123" s="51" t="s">
        <v>21</v>
      </c>
      <c r="C123" s="51" t="s">
        <v>22</v>
      </c>
      <c r="D123" s="51" t="s">
        <v>23</v>
      </c>
      <c r="E123" s="56">
        <v>35.090000000000003</v>
      </c>
      <c r="F123" s="51" t="s">
        <v>800</v>
      </c>
      <c r="G123" s="51" t="s">
        <v>21</v>
      </c>
      <c r="H123" s="51" t="s">
        <v>25</v>
      </c>
      <c r="I123" s="55">
        <f t="shared" si="2"/>
        <v>45870</v>
      </c>
      <c r="J123" s="61" t="str">
        <f t="shared" si="3"/>
        <v>AVA PEREZ</v>
      </c>
      <c r="K123" s="44"/>
    </row>
    <row r="124" spans="1:11" ht="60" customHeight="1" x14ac:dyDescent="0.25">
      <c r="A124" s="57" t="s">
        <v>799</v>
      </c>
      <c r="B124" s="57" t="s">
        <v>53</v>
      </c>
      <c r="C124" s="57" t="s">
        <v>22</v>
      </c>
      <c r="D124" s="57" t="s">
        <v>23</v>
      </c>
      <c r="E124" s="58">
        <v>15</v>
      </c>
      <c r="F124" s="57" t="s">
        <v>798</v>
      </c>
      <c r="G124" s="57" t="s">
        <v>53</v>
      </c>
      <c r="H124" s="57" t="s">
        <v>33</v>
      </c>
      <c r="I124" s="59">
        <f t="shared" si="2"/>
        <v>45839</v>
      </c>
      <c r="J124" s="61" t="str">
        <f t="shared" si="3"/>
        <v>AVA PEREZ</v>
      </c>
      <c r="K124" s="44"/>
    </row>
    <row r="125" spans="1:11" ht="60" customHeight="1" x14ac:dyDescent="0.25">
      <c r="A125" s="51" t="s">
        <v>797</v>
      </c>
      <c r="B125" s="51" t="s">
        <v>643</v>
      </c>
      <c r="C125" s="51" t="s">
        <v>22</v>
      </c>
      <c r="D125" s="51" t="s">
        <v>23</v>
      </c>
      <c r="E125" s="56">
        <v>24.04</v>
      </c>
      <c r="F125" s="51" t="s">
        <v>796</v>
      </c>
      <c r="G125" s="51" t="s">
        <v>643</v>
      </c>
      <c r="H125" s="51" t="s">
        <v>273</v>
      </c>
      <c r="I125" s="55">
        <f t="shared" si="2"/>
        <v>45839</v>
      </c>
      <c r="J125" s="61" t="str">
        <f t="shared" si="3"/>
        <v>AVA PEREZ</v>
      </c>
      <c r="K125" s="44"/>
    </row>
    <row r="126" spans="1:11" ht="60" customHeight="1" x14ac:dyDescent="0.25">
      <c r="A126" s="57" t="s">
        <v>794</v>
      </c>
      <c r="B126" s="57" t="s">
        <v>330</v>
      </c>
      <c r="C126" s="57" t="s">
        <v>22</v>
      </c>
      <c r="D126" s="57" t="s">
        <v>23</v>
      </c>
      <c r="E126" s="58">
        <v>30.22</v>
      </c>
      <c r="F126" s="57" t="s">
        <v>795</v>
      </c>
      <c r="G126" s="57" t="s">
        <v>330</v>
      </c>
      <c r="H126" s="57" t="s">
        <v>25</v>
      </c>
      <c r="I126" s="59">
        <f t="shared" si="2"/>
        <v>45839</v>
      </c>
      <c r="J126" s="61" t="str">
        <f t="shared" si="3"/>
        <v>AVA PEREZ</v>
      </c>
      <c r="K126" s="44"/>
    </row>
    <row r="127" spans="1:11" ht="60" customHeight="1" x14ac:dyDescent="0.25">
      <c r="A127" s="51" t="s">
        <v>794</v>
      </c>
      <c r="B127" s="51" t="s">
        <v>330</v>
      </c>
      <c r="C127" s="51" t="s">
        <v>22</v>
      </c>
      <c r="D127" s="51" t="s">
        <v>23</v>
      </c>
      <c r="E127" s="56">
        <v>35.71</v>
      </c>
      <c r="F127" s="51" t="s">
        <v>793</v>
      </c>
      <c r="G127" s="51" t="s">
        <v>330</v>
      </c>
      <c r="H127" s="51" t="s">
        <v>25</v>
      </c>
      <c r="I127" s="55">
        <f t="shared" si="2"/>
        <v>45839</v>
      </c>
      <c r="J127" s="61" t="str">
        <f t="shared" si="3"/>
        <v>AVA PEREZ</v>
      </c>
      <c r="K127" s="44"/>
    </row>
    <row r="128" spans="1:11" ht="60" customHeight="1" x14ac:dyDescent="0.25">
      <c r="A128" s="57" t="s">
        <v>792</v>
      </c>
      <c r="B128" s="57" t="s">
        <v>643</v>
      </c>
      <c r="C128" s="57" t="s">
        <v>22</v>
      </c>
      <c r="D128" s="57" t="s">
        <v>23</v>
      </c>
      <c r="E128" s="58">
        <v>134.02000000000001</v>
      </c>
      <c r="F128" s="57" t="s">
        <v>791</v>
      </c>
      <c r="G128" s="57" t="s">
        <v>643</v>
      </c>
      <c r="H128" s="57" t="s">
        <v>273</v>
      </c>
      <c r="I128" s="59">
        <f t="shared" si="2"/>
        <v>45839</v>
      </c>
      <c r="J128" s="61" t="str">
        <f t="shared" si="3"/>
        <v>AVA PEREZ</v>
      </c>
      <c r="K128" s="44"/>
    </row>
    <row r="129" spans="1:11" ht="60" customHeight="1" x14ac:dyDescent="0.25">
      <c r="A129" s="51" t="s">
        <v>790</v>
      </c>
      <c r="B129" s="51" t="s">
        <v>643</v>
      </c>
      <c r="C129" s="51" t="s">
        <v>22</v>
      </c>
      <c r="D129" s="51" t="s">
        <v>23</v>
      </c>
      <c r="E129" s="56">
        <v>36.07</v>
      </c>
      <c r="F129" s="51" t="s">
        <v>789</v>
      </c>
      <c r="G129" s="51" t="s">
        <v>643</v>
      </c>
      <c r="H129" s="51" t="s">
        <v>273</v>
      </c>
      <c r="I129" s="55">
        <f t="shared" si="2"/>
        <v>45839</v>
      </c>
      <c r="J129" s="61" t="str">
        <f t="shared" si="3"/>
        <v>AVA PEREZ</v>
      </c>
      <c r="K129" s="44"/>
    </row>
    <row r="130" spans="1:11" ht="60" customHeight="1" x14ac:dyDescent="0.25">
      <c r="A130" s="57" t="s">
        <v>786</v>
      </c>
      <c r="B130" s="57" t="s">
        <v>643</v>
      </c>
      <c r="C130" s="57" t="s">
        <v>22</v>
      </c>
      <c r="D130" s="57" t="s">
        <v>23</v>
      </c>
      <c r="E130" s="58">
        <v>41.83</v>
      </c>
      <c r="F130" s="57" t="s">
        <v>788</v>
      </c>
      <c r="G130" s="57" t="s">
        <v>643</v>
      </c>
      <c r="H130" s="57" t="s">
        <v>273</v>
      </c>
      <c r="I130" s="59">
        <f t="shared" si="2"/>
        <v>45839</v>
      </c>
      <c r="J130" s="61" t="str">
        <f t="shared" si="3"/>
        <v>AVA PEREZ</v>
      </c>
      <c r="K130" s="44"/>
    </row>
    <row r="131" spans="1:11" ht="60" customHeight="1" x14ac:dyDescent="0.25">
      <c r="A131" s="51" t="s">
        <v>786</v>
      </c>
      <c r="B131" s="51" t="s">
        <v>643</v>
      </c>
      <c r="C131" s="51" t="s">
        <v>22</v>
      </c>
      <c r="D131" s="51" t="s">
        <v>23</v>
      </c>
      <c r="E131" s="56">
        <v>64.88</v>
      </c>
      <c r="F131" s="51" t="s">
        <v>787</v>
      </c>
      <c r="G131" s="51" t="s">
        <v>643</v>
      </c>
      <c r="H131" s="51" t="s">
        <v>273</v>
      </c>
      <c r="I131" s="55">
        <f t="shared" si="2"/>
        <v>45839</v>
      </c>
      <c r="J131" s="61" t="str">
        <f t="shared" si="3"/>
        <v>AVA PEREZ</v>
      </c>
      <c r="K131" s="44"/>
    </row>
    <row r="132" spans="1:11" ht="60" customHeight="1" x14ac:dyDescent="0.25">
      <c r="A132" s="57" t="s">
        <v>786</v>
      </c>
      <c r="B132" s="57" t="s">
        <v>43</v>
      </c>
      <c r="C132" s="57" t="s">
        <v>22</v>
      </c>
      <c r="D132" s="57" t="s">
        <v>23</v>
      </c>
      <c r="E132" s="58">
        <v>2.99</v>
      </c>
      <c r="F132" s="57" t="s">
        <v>785</v>
      </c>
      <c r="G132" s="57" t="s">
        <v>43</v>
      </c>
      <c r="H132" s="57" t="s">
        <v>45</v>
      </c>
      <c r="I132" s="59">
        <f t="shared" si="2"/>
        <v>45839</v>
      </c>
      <c r="J132" s="61" t="str">
        <f t="shared" si="3"/>
        <v>AVA PEREZ</v>
      </c>
      <c r="K132" s="44"/>
    </row>
    <row r="133" spans="1:11" ht="60" customHeight="1" x14ac:dyDescent="0.25">
      <c r="A133" s="51" t="s">
        <v>782</v>
      </c>
      <c r="B133" s="51" t="s">
        <v>73</v>
      </c>
      <c r="C133" s="51" t="s">
        <v>3</v>
      </c>
      <c r="D133" s="51" t="s">
        <v>31</v>
      </c>
      <c r="E133" s="56">
        <v>59.99</v>
      </c>
      <c r="F133" s="51" t="s">
        <v>784</v>
      </c>
      <c r="G133" s="51" t="s">
        <v>73</v>
      </c>
      <c r="H133" s="51" t="s">
        <v>371</v>
      </c>
      <c r="I133" s="55">
        <f t="shared" si="2"/>
        <v>45839</v>
      </c>
      <c r="J133" s="61" t="str">
        <f t="shared" si="3"/>
        <v>DWG-RE Platform (Redirected)</v>
      </c>
      <c r="K133" s="44"/>
    </row>
    <row r="134" spans="1:11" ht="60" customHeight="1" x14ac:dyDescent="0.25">
      <c r="A134" s="57" t="s">
        <v>782</v>
      </c>
      <c r="B134" s="57" t="s">
        <v>516</v>
      </c>
      <c r="C134" s="57" t="s">
        <v>3</v>
      </c>
      <c r="D134" s="57" t="s">
        <v>31</v>
      </c>
      <c r="E134" s="58">
        <v>12.99</v>
      </c>
      <c r="F134" s="57" t="s">
        <v>783</v>
      </c>
      <c r="G134" s="57" t="s">
        <v>516</v>
      </c>
      <c r="H134" s="57" t="s">
        <v>371</v>
      </c>
      <c r="I134" s="59">
        <f t="shared" si="2"/>
        <v>45839</v>
      </c>
      <c r="J134" s="61" t="str">
        <f t="shared" si="3"/>
        <v>DWG-RE Platform (Redirected)</v>
      </c>
      <c r="K134" s="44"/>
    </row>
    <row r="135" spans="1:11" ht="60" customHeight="1" x14ac:dyDescent="0.25">
      <c r="A135" s="51" t="s">
        <v>782</v>
      </c>
      <c r="B135" s="51" t="s">
        <v>138</v>
      </c>
      <c r="C135" s="51" t="s">
        <v>22</v>
      </c>
      <c r="D135" s="51" t="s">
        <v>23</v>
      </c>
      <c r="E135" s="56">
        <v>45.68</v>
      </c>
      <c r="F135" s="51" t="s">
        <v>781</v>
      </c>
      <c r="G135" s="51" t="s">
        <v>138</v>
      </c>
      <c r="H135" s="51" t="s">
        <v>25</v>
      </c>
      <c r="I135" s="55">
        <f t="shared" si="2"/>
        <v>45839</v>
      </c>
      <c r="J135" s="61" t="str">
        <f t="shared" si="3"/>
        <v>AVA PEREZ</v>
      </c>
      <c r="K135" s="44"/>
    </row>
    <row r="136" spans="1:11" ht="60" customHeight="1" x14ac:dyDescent="0.25">
      <c r="A136" s="57" t="s">
        <v>780</v>
      </c>
      <c r="B136" s="57" t="s">
        <v>56</v>
      </c>
      <c r="C136" s="57" t="s">
        <v>3</v>
      </c>
      <c r="D136" s="57" t="s">
        <v>31</v>
      </c>
      <c r="E136" s="58">
        <v>-1373.57</v>
      </c>
      <c r="F136" s="57" t="s">
        <v>57</v>
      </c>
      <c r="G136" s="57" t="s">
        <v>56</v>
      </c>
      <c r="H136" s="57" t="s">
        <v>0</v>
      </c>
      <c r="I136" s="59">
        <f t="shared" si="2"/>
        <v>45839</v>
      </c>
      <c r="J136" s="61" t="str">
        <f t="shared" si="3"/>
        <v>Online AMEX Payment</v>
      </c>
      <c r="K136" s="44"/>
    </row>
    <row r="137" spans="1:11" ht="60" customHeight="1" x14ac:dyDescent="0.25">
      <c r="A137" s="51" t="s">
        <v>779</v>
      </c>
      <c r="B137" s="51" t="s">
        <v>78</v>
      </c>
      <c r="C137" s="51" t="s">
        <v>3</v>
      </c>
      <c r="D137" s="51" t="s">
        <v>31</v>
      </c>
      <c r="E137" s="56">
        <v>24.99</v>
      </c>
      <c r="F137" s="51" t="s">
        <v>778</v>
      </c>
      <c r="G137" s="51" t="s">
        <v>78</v>
      </c>
      <c r="H137" s="51" t="s">
        <v>374</v>
      </c>
      <c r="I137" s="55">
        <f t="shared" ref="I137:I200" si="4">DATE(RIGHT(A137,4)+0,LEFT(A137,2)+0,1)</f>
        <v>45839</v>
      </c>
      <c r="J137" s="61" t="str">
        <f t="shared" ref="J137:J200" si="5">IF(C137="JOHN DUNNING",IF(TRIM(H137)="",IF(ISNUMBER(SEARCH("PAYMENT",B137)),"Online AMEX Payment","(Uncategorized)"),TRIM(H137)),C137)</f>
        <v>Family</v>
      </c>
      <c r="K137" s="44"/>
    </row>
    <row r="138" spans="1:11" ht="60" customHeight="1" x14ac:dyDescent="0.25">
      <c r="A138" s="57" t="s">
        <v>777</v>
      </c>
      <c r="B138" s="57" t="s">
        <v>138</v>
      </c>
      <c r="C138" s="57" t="s">
        <v>22</v>
      </c>
      <c r="D138" s="57" t="s">
        <v>23</v>
      </c>
      <c r="E138" s="58">
        <v>15.33</v>
      </c>
      <c r="F138" s="57" t="s">
        <v>776</v>
      </c>
      <c r="G138" s="57" t="s">
        <v>138</v>
      </c>
      <c r="H138" s="57" t="s">
        <v>25</v>
      </c>
      <c r="I138" s="59">
        <f t="shared" si="4"/>
        <v>45839</v>
      </c>
      <c r="J138" s="61" t="str">
        <f t="shared" si="5"/>
        <v>AVA PEREZ</v>
      </c>
      <c r="K138" s="44"/>
    </row>
    <row r="139" spans="1:11" ht="60" customHeight="1" x14ac:dyDescent="0.25">
      <c r="A139" s="51" t="s">
        <v>771</v>
      </c>
      <c r="B139" s="51" t="s">
        <v>774</v>
      </c>
      <c r="C139" s="51" t="s">
        <v>22</v>
      </c>
      <c r="D139" s="51" t="s">
        <v>23</v>
      </c>
      <c r="E139" s="56">
        <v>88.51</v>
      </c>
      <c r="F139" s="51" t="s">
        <v>775</v>
      </c>
      <c r="G139" s="51" t="s">
        <v>774</v>
      </c>
      <c r="H139" s="51" t="s">
        <v>601</v>
      </c>
      <c r="I139" s="55">
        <f t="shared" si="4"/>
        <v>45839</v>
      </c>
      <c r="J139" s="61" t="str">
        <f t="shared" si="5"/>
        <v>AVA PEREZ</v>
      </c>
      <c r="K139" s="44"/>
    </row>
    <row r="140" spans="1:11" ht="60" customHeight="1" x14ac:dyDescent="0.25">
      <c r="A140" s="57" t="s">
        <v>771</v>
      </c>
      <c r="B140" s="57" t="s">
        <v>21</v>
      </c>
      <c r="C140" s="57" t="s">
        <v>22</v>
      </c>
      <c r="D140" s="57" t="s">
        <v>23</v>
      </c>
      <c r="E140" s="58">
        <v>41.05</v>
      </c>
      <c r="F140" s="57" t="s">
        <v>773</v>
      </c>
      <c r="G140" s="57" t="s">
        <v>21</v>
      </c>
      <c r="H140" s="57" t="s">
        <v>25</v>
      </c>
      <c r="I140" s="59">
        <f t="shared" si="4"/>
        <v>45839</v>
      </c>
      <c r="J140" s="61" t="str">
        <f t="shared" si="5"/>
        <v>AVA PEREZ</v>
      </c>
      <c r="K140" s="44"/>
    </row>
    <row r="141" spans="1:11" ht="60" customHeight="1" x14ac:dyDescent="0.25">
      <c r="A141" s="51" t="s">
        <v>771</v>
      </c>
      <c r="B141" s="51" t="s">
        <v>138</v>
      </c>
      <c r="C141" s="51" t="s">
        <v>22</v>
      </c>
      <c r="D141" s="51" t="s">
        <v>23</v>
      </c>
      <c r="E141" s="56">
        <v>27.9</v>
      </c>
      <c r="F141" s="51" t="s">
        <v>772</v>
      </c>
      <c r="G141" s="51" t="s">
        <v>138</v>
      </c>
      <c r="H141" s="51" t="s">
        <v>25</v>
      </c>
      <c r="I141" s="55">
        <f t="shared" si="4"/>
        <v>45839</v>
      </c>
      <c r="J141" s="61" t="str">
        <f t="shared" si="5"/>
        <v>AVA PEREZ</v>
      </c>
      <c r="K141" s="44"/>
    </row>
    <row r="142" spans="1:11" ht="60" customHeight="1" x14ac:dyDescent="0.25">
      <c r="A142" s="57" t="s">
        <v>771</v>
      </c>
      <c r="B142" s="57" t="s">
        <v>330</v>
      </c>
      <c r="C142" s="57" t="s">
        <v>22</v>
      </c>
      <c r="D142" s="57" t="s">
        <v>23</v>
      </c>
      <c r="E142" s="58">
        <v>30.1</v>
      </c>
      <c r="F142" s="57" t="s">
        <v>770</v>
      </c>
      <c r="G142" s="57" t="s">
        <v>330</v>
      </c>
      <c r="H142" s="57" t="s">
        <v>25</v>
      </c>
      <c r="I142" s="59">
        <f t="shared" si="4"/>
        <v>45839</v>
      </c>
      <c r="J142" s="61" t="str">
        <f t="shared" si="5"/>
        <v>AVA PEREZ</v>
      </c>
      <c r="K142" s="44"/>
    </row>
    <row r="143" spans="1:11" ht="60" customHeight="1" x14ac:dyDescent="0.25">
      <c r="A143" s="51" t="s">
        <v>767</v>
      </c>
      <c r="B143" s="51" t="s">
        <v>164</v>
      </c>
      <c r="C143" s="51" t="s">
        <v>165</v>
      </c>
      <c r="D143" s="51" t="s">
        <v>166</v>
      </c>
      <c r="E143" s="56">
        <v>60</v>
      </c>
      <c r="F143" s="51" t="s">
        <v>769</v>
      </c>
      <c r="G143" s="51" t="s">
        <v>164</v>
      </c>
      <c r="H143" s="51" t="s">
        <v>64</v>
      </c>
      <c r="I143" s="55">
        <f t="shared" si="4"/>
        <v>45839</v>
      </c>
      <c r="J143" s="61" t="str">
        <f t="shared" si="5"/>
        <v>ANGELA L DUNNING</v>
      </c>
      <c r="K143" s="44"/>
    </row>
    <row r="144" spans="1:11" ht="60" customHeight="1" x14ac:dyDescent="0.25">
      <c r="A144" s="57" t="s">
        <v>767</v>
      </c>
      <c r="B144" s="57" t="s">
        <v>21</v>
      </c>
      <c r="C144" s="57" t="s">
        <v>22</v>
      </c>
      <c r="D144" s="57" t="s">
        <v>23</v>
      </c>
      <c r="E144" s="58">
        <v>35.56</v>
      </c>
      <c r="F144" s="57" t="s">
        <v>768</v>
      </c>
      <c r="G144" s="57" t="s">
        <v>21</v>
      </c>
      <c r="H144" s="57" t="s">
        <v>25</v>
      </c>
      <c r="I144" s="59">
        <f t="shared" si="4"/>
        <v>45839</v>
      </c>
      <c r="J144" s="61" t="str">
        <f t="shared" si="5"/>
        <v>AVA PEREZ</v>
      </c>
      <c r="K144" s="44"/>
    </row>
    <row r="145" spans="1:11" ht="60" customHeight="1" x14ac:dyDescent="0.25">
      <c r="A145" s="51" t="s">
        <v>767</v>
      </c>
      <c r="B145" s="51" t="s">
        <v>21</v>
      </c>
      <c r="C145" s="51" t="s">
        <v>22</v>
      </c>
      <c r="D145" s="51" t="s">
        <v>23</v>
      </c>
      <c r="E145" s="56">
        <v>40.11</v>
      </c>
      <c r="F145" s="51" t="s">
        <v>766</v>
      </c>
      <c r="G145" s="51" t="s">
        <v>21</v>
      </c>
      <c r="H145" s="51" t="s">
        <v>25</v>
      </c>
      <c r="I145" s="55">
        <f t="shared" si="4"/>
        <v>45839</v>
      </c>
      <c r="J145" s="61" t="str">
        <f t="shared" si="5"/>
        <v>AVA PEREZ</v>
      </c>
      <c r="K145" s="44"/>
    </row>
    <row r="146" spans="1:11" ht="60" customHeight="1" x14ac:dyDescent="0.25">
      <c r="A146" s="57" t="s">
        <v>764</v>
      </c>
      <c r="B146" s="57" t="s">
        <v>43</v>
      </c>
      <c r="C146" s="57" t="s">
        <v>22</v>
      </c>
      <c r="D146" s="57" t="s">
        <v>23</v>
      </c>
      <c r="E146" s="58">
        <v>19.989999999999998</v>
      </c>
      <c r="F146" s="57" t="s">
        <v>765</v>
      </c>
      <c r="G146" s="57" t="s">
        <v>43</v>
      </c>
      <c r="H146" s="57" t="s">
        <v>45</v>
      </c>
      <c r="I146" s="59">
        <f t="shared" si="4"/>
        <v>45839</v>
      </c>
      <c r="J146" s="61" t="str">
        <f t="shared" si="5"/>
        <v>AVA PEREZ</v>
      </c>
      <c r="K146" s="44"/>
    </row>
    <row r="147" spans="1:11" ht="60" customHeight="1" x14ac:dyDescent="0.25">
      <c r="A147" s="51" t="s">
        <v>764</v>
      </c>
      <c r="B147" s="51" t="s">
        <v>280</v>
      </c>
      <c r="C147" s="51" t="s">
        <v>22</v>
      </c>
      <c r="D147" s="51" t="s">
        <v>23</v>
      </c>
      <c r="E147" s="56">
        <v>14.99</v>
      </c>
      <c r="F147" s="51" t="s">
        <v>763</v>
      </c>
      <c r="G147" s="51" t="s">
        <v>280</v>
      </c>
      <c r="H147" s="51" t="s">
        <v>282</v>
      </c>
      <c r="I147" s="55">
        <f t="shared" si="4"/>
        <v>45839</v>
      </c>
      <c r="J147" s="61" t="str">
        <f t="shared" si="5"/>
        <v>AVA PEREZ</v>
      </c>
      <c r="K147" s="44"/>
    </row>
    <row r="148" spans="1:11" ht="60" customHeight="1" x14ac:dyDescent="0.25">
      <c r="A148" s="57" t="s">
        <v>762</v>
      </c>
      <c r="B148" s="57" t="s">
        <v>760</v>
      </c>
      <c r="C148" s="57" t="s">
        <v>22</v>
      </c>
      <c r="D148" s="57" t="s">
        <v>23</v>
      </c>
      <c r="E148" s="58">
        <v>11.99</v>
      </c>
      <c r="F148" s="57" t="s">
        <v>761</v>
      </c>
      <c r="G148" s="57" t="s">
        <v>760</v>
      </c>
      <c r="H148" s="57" t="s">
        <v>102</v>
      </c>
      <c r="I148" s="59">
        <f t="shared" si="4"/>
        <v>45839</v>
      </c>
      <c r="J148" s="61" t="str">
        <f t="shared" si="5"/>
        <v>AVA PEREZ</v>
      </c>
      <c r="K148" s="44"/>
    </row>
    <row r="149" spans="1:11" ht="60" customHeight="1" x14ac:dyDescent="0.25">
      <c r="A149" s="51" t="s">
        <v>757</v>
      </c>
      <c r="B149" s="51" t="s">
        <v>108</v>
      </c>
      <c r="C149" s="51" t="s">
        <v>3</v>
      </c>
      <c r="D149" s="51" t="s">
        <v>31</v>
      </c>
      <c r="E149" s="56">
        <v>29.99</v>
      </c>
      <c r="F149" s="51" t="s">
        <v>759</v>
      </c>
      <c r="G149" s="51" t="s">
        <v>108</v>
      </c>
      <c r="H149" s="51" t="s">
        <v>371</v>
      </c>
      <c r="I149" s="55">
        <f t="shared" si="4"/>
        <v>45839</v>
      </c>
      <c r="J149" s="61" t="str">
        <f t="shared" si="5"/>
        <v>DWG-RE Platform (Redirected)</v>
      </c>
      <c r="K149" s="44"/>
    </row>
    <row r="150" spans="1:11" ht="60" customHeight="1" x14ac:dyDescent="0.25">
      <c r="A150" s="57" t="s">
        <v>757</v>
      </c>
      <c r="B150" s="57" t="s">
        <v>26</v>
      </c>
      <c r="C150" s="57" t="s">
        <v>22</v>
      </c>
      <c r="D150" s="57" t="s">
        <v>23</v>
      </c>
      <c r="E150" s="58">
        <v>27.23</v>
      </c>
      <c r="F150" s="57" t="s">
        <v>758</v>
      </c>
      <c r="G150" s="57" t="s">
        <v>26</v>
      </c>
      <c r="H150" s="57" t="s">
        <v>28</v>
      </c>
      <c r="I150" s="59">
        <f t="shared" si="4"/>
        <v>45839</v>
      </c>
      <c r="J150" s="61" t="str">
        <f t="shared" si="5"/>
        <v>AVA PEREZ</v>
      </c>
      <c r="K150" s="44"/>
    </row>
    <row r="151" spans="1:11" ht="60" customHeight="1" x14ac:dyDescent="0.25">
      <c r="A151" s="51" t="s">
        <v>757</v>
      </c>
      <c r="B151" s="51" t="s">
        <v>30</v>
      </c>
      <c r="C151" s="51" t="s">
        <v>3</v>
      </c>
      <c r="D151" s="51" t="s">
        <v>31</v>
      </c>
      <c r="E151" s="56">
        <v>208.95</v>
      </c>
      <c r="F151" s="51" t="s">
        <v>756</v>
      </c>
      <c r="G151" s="51" t="s">
        <v>30</v>
      </c>
      <c r="H151" s="51" t="s">
        <v>371</v>
      </c>
      <c r="I151" s="55">
        <f t="shared" si="4"/>
        <v>45839</v>
      </c>
      <c r="J151" s="61" t="str">
        <f t="shared" si="5"/>
        <v>DWG-RE Platform (Redirected)</v>
      </c>
      <c r="K151" s="44"/>
    </row>
    <row r="152" spans="1:11" ht="60" customHeight="1" x14ac:dyDescent="0.25">
      <c r="A152" s="57" t="s">
        <v>755</v>
      </c>
      <c r="B152" s="57" t="s">
        <v>753</v>
      </c>
      <c r="C152" s="57" t="s">
        <v>3</v>
      </c>
      <c r="D152" s="57" t="s">
        <v>31</v>
      </c>
      <c r="E152" s="58">
        <v>54</v>
      </c>
      <c r="F152" s="57" t="s">
        <v>754</v>
      </c>
      <c r="G152" s="57" t="s">
        <v>753</v>
      </c>
      <c r="H152" s="57" t="s">
        <v>371</v>
      </c>
      <c r="I152" s="59">
        <f t="shared" si="4"/>
        <v>45839</v>
      </c>
      <c r="J152" s="61" t="str">
        <f t="shared" si="5"/>
        <v>DWG-RE Platform (Redirected)</v>
      </c>
      <c r="K152" s="44"/>
    </row>
    <row r="153" spans="1:11" ht="60" customHeight="1" x14ac:dyDescent="0.25">
      <c r="A153" s="51" t="s">
        <v>752</v>
      </c>
      <c r="B153" s="51" t="s">
        <v>21</v>
      </c>
      <c r="C153" s="51" t="s">
        <v>22</v>
      </c>
      <c r="D153" s="51" t="s">
        <v>23</v>
      </c>
      <c r="E153" s="56">
        <v>22.5</v>
      </c>
      <c r="F153" s="51" t="s">
        <v>751</v>
      </c>
      <c r="G153" s="51" t="s">
        <v>21</v>
      </c>
      <c r="H153" s="51" t="s">
        <v>25</v>
      </c>
      <c r="I153" s="55">
        <f t="shared" si="4"/>
        <v>45839</v>
      </c>
      <c r="J153" s="61" t="str">
        <f t="shared" si="5"/>
        <v>AVA PEREZ</v>
      </c>
      <c r="K153" s="44"/>
    </row>
    <row r="154" spans="1:11" ht="60" customHeight="1" x14ac:dyDescent="0.25">
      <c r="A154" s="57" t="s">
        <v>750</v>
      </c>
      <c r="B154" s="57" t="s">
        <v>533</v>
      </c>
      <c r="C154" s="57" t="s">
        <v>22</v>
      </c>
      <c r="D154" s="57" t="s">
        <v>23</v>
      </c>
      <c r="E154" s="58">
        <v>99</v>
      </c>
      <c r="F154" s="57" t="s">
        <v>749</v>
      </c>
      <c r="G154" s="57" t="s">
        <v>533</v>
      </c>
      <c r="H154" s="57" t="s">
        <v>64</v>
      </c>
      <c r="I154" s="59">
        <f t="shared" si="4"/>
        <v>45839</v>
      </c>
      <c r="J154" s="61" t="str">
        <f t="shared" si="5"/>
        <v>AVA PEREZ</v>
      </c>
      <c r="K154" s="44"/>
    </row>
    <row r="155" spans="1:11" ht="60" customHeight="1" x14ac:dyDescent="0.25">
      <c r="A155" s="51" t="s">
        <v>748</v>
      </c>
      <c r="B155" s="51" t="s">
        <v>138</v>
      </c>
      <c r="C155" s="51" t="s">
        <v>22</v>
      </c>
      <c r="D155" s="51" t="s">
        <v>23</v>
      </c>
      <c r="E155" s="56">
        <v>276.56</v>
      </c>
      <c r="F155" s="51" t="s">
        <v>747</v>
      </c>
      <c r="G155" s="51" t="s">
        <v>138</v>
      </c>
      <c r="H155" s="51" t="s">
        <v>25</v>
      </c>
      <c r="I155" s="55">
        <f t="shared" si="4"/>
        <v>45839</v>
      </c>
      <c r="J155" s="61" t="str">
        <f t="shared" si="5"/>
        <v>AVA PEREZ</v>
      </c>
      <c r="K155" s="44"/>
    </row>
    <row r="156" spans="1:11" ht="60" customHeight="1" x14ac:dyDescent="0.25">
      <c r="A156" s="57" t="s">
        <v>746</v>
      </c>
      <c r="B156" s="57" t="s">
        <v>21</v>
      </c>
      <c r="C156" s="57" t="s">
        <v>22</v>
      </c>
      <c r="D156" s="57" t="s">
        <v>23</v>
      </c>
      <c r="E156" s="58">
        <v>187.09</v>
      </c>
      <c r="F156" s="57" t="s">
        <v>745</v>
      </c>
      <c r="G156" s="57" t="s">
        <v>21</v>
      </c>
      <c r="H156" s="57" t="s">
        <v>25</v>
      </c>
      <c r="I156" s="59">
        <f t="shared" si="4"/>
        <v>45809</v>
      </c>
      <c r="J156" s="61" t="str">
        <f t="shared" si="5"/>
        <v>AVA PEREZ</v>
      </c>
      <c r="K156" s="44"/>
    </row>
    <row r="157" spans="1:11" ht="60" customHeight="1" x14ac:dyDescent="0.25">
      <c r="A157" s="51" t="s">
        <v>744</v>
      </c>
      <c r="B157" s="51" t="s">
        <v>330</v>
      </c>
      <c r="C157" s="51" t="s">
        <v>22</v>
      </c>
      <c r="D157" s="51" t="s">
        <v>23</v>
      </c>
      <c r="E157" s="56">
        <v>15.96</v>
      </c>
      <c r="F157" s="51" t="s">
        <v>743</v>
      </c>
      <c r="G157" s="51" t="s">
        <v>330</v>
      </c>
      <c r="H157" s="51" t="s">
        <v>25</v>
      </c>
      <c r="I157" s="55">
        <f t="shared" si="4"/>
        <v>45809</v>
      </c>
      <c r="J157" s="61" t="str">
        <f t="shared" si="5"/>
        <v>AVA PEREZ</v>
      </c>
      <c r="K157" s="44"/>
    </row>
    <row r="158" spans="1:11" ht="60" customHeight="1" x14ac:dyDescent="0.25">
      <c r="A158" s="57" t="s">
        <v>742</v>
      </c>
      <c r="B158" s="57" t="s">
        <v>477</v>
      </c>
      <c r="C158" s="57" t="s">
        <v>3</v>
      </c>
      <c r="D158" s="57" t="s">
        <v>31</v>
      </c>
      <c r="E158" s="58">
        <v>-11124</v>
      </c>
      <c r="F158" s="57" t="s">
        <v>478</v>
      </c>
      <c r="G158" s="57" t="s">
        <v>477</v>
      </c>
      <c r="H158" s="57" t="s">
        <v>373</v>
      </c>
      <c r="I158" s="59">
        <f t="shared" si="4"/>
        <v>45809</v>
      </c>
      <c r="J158" s="61" t="str">
        <f t="shared" si="5"/>
        <v>Online AMEX Payment</v>
      </c>
      <c r="K158" s="44"/>
    </row>
    <row r="159" spans="1:11" ht="60" customHeight="1" x14ac:dyDescent="0.25">
      <c r="A159" s="51" t="s">
        <v>742</v>
      </c>
      <c r="B159" s="51" t="s">
        <v>477</v>
      </c>
      <c r="C159" s="51" t="s">
        <v>3</v>
      </c>
      <c r="D159" s="51" t="s">
        <v>31</v>
      </c>
      <c r="E159" s="56">
        <v>-1492.91</v>
      </c>
      <c r="F159" s="51" t="s">
        <v>478</v>
      </c>
      <c r="G159" s="51" t="s">
        <v>477</v>
      </c>
      <c r="H159" s="51" t="s">
        <v>373</v>
      </c>
      <c r="I159" s="55">
        <f t="shared" si="4"/>
        <v>45809</v>
      </c>
      <c r="J159" s="61" t="str">
        <f t="shared" si="5"/>
        <v>Online AMEX Payment</v>
      </c>
      <c r="K159" s="44"/>
    </row>
    <row r="160" spans="1:11" ht="60" customHeight="1" x14ac:dyDescent="0.25">
      <c r="A160" s="57" t="s">
        <v>742</v>
      </c>
      <c r="B160" s="57" t="s">
        <v>21</v>
      </c>
      <c r="C160" s="57" t="s">
        <v>22</v>
      </c>
      <c r="D160" s="57" t="s">
        <v>23</v>
      </c>
      <c r="E160" s="58">
        <v>11.09</v>
      </c>
      <c r="F160" s="57" t="s">
        <v>741</v>
      </c>
      <c r="G160" s="57" t="s">
        <v>21</v>
      </c>
      <c r="H160" s="57" t="s">
        <v>25</v>
      </c>
      <c r="I160" s="59">
        <f t="shared" si="4"/>
        <v>45809</v>
      </c>
      <c r="J160" s="61" t="str">
        <f t="shared" si="5"/>
        <v>AVA PEREZ</v>
      </c>
      <c r="K160" s="44"/>
    </row>
    <row r="161" spans="1:11" ht="60" customHeight="1" x14ac:dyDescent="0.25">
      <c r="A161" s="51" t="s">
        <v>740</v>
      </c>
      <c r="B161" s="51" t="s">
        <v>330</v>
      </c>
      <c r="C161" s="51" t="s">
        <v>22</v>
      </c>
      <c r="D161" s="51" t="s">
        <v>23</v>
      </c>
      <c r="E161" s="56">
        <v>13.76</v>
      </c>
      <c r="F161" s="51" t="s">
        <v>739</v>
      </c>
      <c r="G161" s="51" t="s">
        <v>330</v>
      </c>
      <c r="H161" s="51" t="s">
        <v>25</v>
      </c>
      <c r="I161" s="55">
        <f t="shared" si="4"/>
        <v>45809</v>
      </c>
      <c r="J161" s="61" t="str">
        <f t="shared" si="5"/>
        <v>AVA PEREZ</v>
      </c>
      <c r="K161" s="44"/>
    </row>
    <row r="162" spans="1:11" ht="60" customHeight="1" x14ac:dyDescent="0.25">
      <c r="A162" s="57" t="s">
        <v>737</v>
      </c>
      <c r="B162" s="57" t="s">
        <v>67</v>
      </c>
      <c r="C162" s="57" t="s">
        <v>22</v>
      </c>
      <c r="D162" s="57" t="s">
        <v>23</v>
      </c>
      <c r="E162" s="58">
        <v>16.920000000000002</v>
      </c>
      <c r="F162" s="57" t="s">
        <v>738</v>
      </c>
      <c r="G162" s="57" t="s">
        <v>67</v>
      </c>
      <c r="H162" s="57" t="s">
        <v>37</v>
      </c>
      <c r="I162" s="59">
        <f t="shared" si="4"/>
        <v>45809</v>
      </c>
      <c r="J162" s="61" t="str">
        <f t="shared" si="5"/>
        <v>AVA PEREZ</v>
      </c>
      <c r="K162" s="44"/>
    </row>
    <row r="163" spans="1:11" ht="60" customHeight="1" x14ac:dyDescent="0.25">
      <c r="A163" s="51" t="s">
        <v>737</v>
      </c>
      <c r="B163" s="51" t="s">
        <v>67</v>
      </c>
      <c r="C163" s="51" t="s">
        <v>22</v>
      </c>
      <c r="D163" s="51" t="s">
        <v>23</v>
      </c>
      <c r="E163" s="56">
        <v>21.73</v>
      </c>
      <c r="F163" s="51" t="s">
        <v>736</v>
      </c>
      <c r="G163" s="51" t="s">
        <v>67</v>
      </c>
      <c r="H163" s="51" t="s">
        <v>37</v>
      </c>
      <c r="I163" s="55">
        <f t="shared" si="4"/>
        <v>45809</v>
      </c>
      <c r="J163" s="61" t="str">
        <f t="shared" si="5"/>
        <v>AVA PEREZ</v>
      </c>
      <c r="K163" s="44"/>
    </row>
    <row r="164" spans="1:11" ht="60" customHeight="1" x14ac:dyDescent="0.25">
      <c r="A164" s="57" t="s">
        <v>734</v>
      </c>
      <c r="B164" s="57" t="s">
        <v>21</v>
      </c>
      <c r="C164" s="57" t="s">
        <v>22</v>
      </c>
      <c r="D164" s="57" t="s">
        <v>23</v>
      </c>
      <c r="E164" s="58">
        <v>30.14</v>
      </c>
      <c r="F164" s="57" t="s">
        <v>735</v>
      </c>
      <c r="G164" s="57" t="s">
        <v>21</v>
      </c>
      <c r="H164" s="57" t="s">
        <v>25</v>
      </c>
      <c r="I164" s="59">
        <f t="shared" si="4"/>
        <v>45809</v>
      </c>
      <c r="J164" s="61" t="str">
        <f t="shared" si="5"/>
        <v>AVA PEREZ</v>
      </c>
      <c r="K164" s="44"/>
    </row>
    <row r="165" spans="1:11" ht="60" customHeight="1" x14ac:dyDescent="0.25">
      <c r="A165" s="51" t="s">
        <v>734</v>
      </c>
      <c r="B165" s="51" t="s">
        <v>138</v>
      </c>
      <c r="C165" s="51" t="s">
        <v>22</v>
      </c>
      <c r="D165" s="51" t="s">
        <v>23</v>
      </c>
      <c r="E165" s="56">
        <v>29.06</v>
      </c>
      <c r="F165" s="51" t="s">
        <v>733</v>
      </c>
      <c r="G165" s="51" t="s">
        <v>138</v>
      </c>
      <c r="H165" s="51" t="s">
        <v>25</v>
      </c>
      <c r="I165" s="55">
        <f t="shared" si="4"/>
        <v>45809</v>
      </c>
      <c r="J165" s="61" t="str">
        <f t="shared" si="5"/>
        <v>AVA PEREZ</v>
      </c>
      <c r="K165" s="44"/>
    </row>
    <row r="166" spans="1:11" ht="60" customHeight="1" x14ac:dyDescent="0.25">
      <c r="A166" s="57" t="s">
        <v>731</v>
      </c>
      <c r="B166" s="57" t="s">
        <v>21</v>
      </c>
      <c r="C166" s="57" t="s">
        <v>22</v>
      </c>
      <c r="D166" s="57" t="s">
        <v>23</v>
      </c>
      <c r="E166" s="58">
        <v>26.75</v>
      </c>
      <c r="F166" s="57" t="s">
        <v>732</v>
      </c>
      <c r="G166" s="57" t="s">
        <v>21</v>
      </c>
      <c r="H166" s="57" t="s">
        <v>25</v>
      </c>
      <c r="I166" s="59">
        <f t="shared" si="4"/>
        <v>45809</v>
      </c>
      <c r="J166" s="61" t="str">
        <f t="shared" si="5"/>
        <v>AVA PEREZ</v>
      </c>
      <c r="K166" s="44"/>
    </row>
    <row r="167" spans="1:11" ht="60" customHeight="1" x14ac:dyDescent="0.25">
      <c r="A167" s="51" t="s">
        <v>731</v>
      </c>
      <c r="B167" s="51" t="s">
        <v>67</v>
      </c>
      <c r="C167" s="51" t="s">
        <v>22</v>
      </c>
      <c r="D167" s="51" t="s">
        <v>23</v>
      </c>
      <c r="E167" s="56">
        <v>1</v>
      </c>
      <c r="F167" s="51" t="s">
        <v>730</v>
      </c>
      <c r="G167" s="51" t="s">
        <v>67</v>
      </c>
      <c r="H167" s="51" t="s">
        <v>37</v>
      </c>
      <c r="I167" s="55">
        <f t="shared" si="4"/>
        <v>45809</v>
      </c>
      <c r="J167" s="61" t="str">
        <f t="shared" si="5"/>
        <v>AVA PEREZ</v>
      </c>
      <c r="K167" s="44"/>
    </row>
    <row r="168" spans="1:11" ht="60" customHeight="1" x14ac:dyDescent="0.25">
      <c r="A168" s="57" t="s">
        <v>726</v>
      </c>
      <c r="B168" s="57" t="s">
        <v>330</v>
      </c>
      <c r="C168" s="57" t="s">
        <v>22</v>
      </c>
      <c r="D168" s="57" t="s">
        <v>23</v>
      </c>
      <c r="E168" s="58">
        <v>21.44</v>
      </c>
      <c r="F168" s="57" t="s">
        <v>729</v>
      </c>
      <c r="G168" s="57" t="s">
        <v>330</v>
      </c>
      <c r="H168" s="57" t="s">
        <v>25</v>
      </c>
      <c r="I168" s="59">
        <f t="shared" si="4"/>
        <v>45809</v>
      </c>
      <c r="J168" s="61" t="str">
        <f t="shared" si="5"/>
        <v>AVA PEREZ</v>
      </c>
      <c r="K168" s="44"/>
    </row>
    <row r="169" spans="1:11" ht="60" customHeight="1" x14ac:dyDescent="0.25">
      <c r="A169" s="51" t="s">
        <v>726</v>
      </c>
      <c r="B169" s="51" t="s">
        <v>67</v>
      </c>
      <c r="C169" s="51" t="s">
        <v>22</v>
      </c>
      <c r="D169" s="51" t="s">
        <v>23</v>
      </c>
      <c r="E169" s="56">
        <v>1</v>
      </c>
      <c r="F169" s="51" t="s">
        <v>728</v>
      </c>
      <c r="G169" s="51" t="s">
        <v>67</v>
      </c>
      <c r="H169" s="51" t="s">
        <v>37</v>
      </c>
      <c r="I169" s="55">
        <f t="shared" si="4"/>
        <v>45809</v>
      </c>
      <c r="J169" s="61" t="str">
        <f t="shared" si="5"/>
        <v>AVA PEREZ</v>
      </c>
      <c r="K169" s="44"/>
    </row>
    <row r="170" spans="1:11" ht="60" customHeight="1" x14ac:dyDescent="0.25">
      <c r="A170" s="57" t="s">
        <v>726</v>
      </c>
      <c r="B170" s="57" t="s">
        <v>67</v>
      </c>
      <c r="C170" s="57" t="s">
        <v>22</v>
      </c>
      <c r="D170" s="57" t="s">
        <v>23</v>
      </c>
      <c r="E170" s="58">
        <v>19.97</v>
      </c>
      <c r="F170" s="57" t="s">
        <v>727</v>
      </c>
      <c r="G170" s="57" t="s">
        <v>67</v>
      </c>
      <c r="H170" s="57" t="s">
        <v>37</v>
      </c>
      <c r="I170" s="59">
        <f t="shared" si="4"/>
        <v>45809</v>
      </c>
      <c r="J170" s="61" t="str">
        <f t="shared" si="5"/>
        <v>AVA PEREZ</v>
      </c>
      <c r="K170" s="44"/>
    </row>
    <row r="171" spans="1:11" ht="60" customHeight="1" x14ac:dyDescent="0.25">
      <c r="A171" s="51" t="s">
        <v>726</v>
      </c>
      <c r="B171" s="51" t="s">
        <v>67</v>
      </c>
      <c r="C171" s="51" t="s">
        <v>22</v>
      </c>
      <c r="D171" s="51" t="s">
        <v>23</v>
      </c>
      <c r="E171" s="56">
        <v>19.98</v>
      </c>
      <c r="F171" s="51" t="s">
        <v>725</v>
      </c>
      <c r="G171" s="51" t="s">
        <v>67</v>
      </c>
      <c r="H171" s="51" t="s">
        <v>37</v>
      </c>
      <c r="I171" s="55">
        <f t="shared" si="4"/>
        <v>45809</v>
      </c>
      <c r="J171" s="61" t="str">
        <f t="shared" si="5"/>
        <v>AVA PEREZ</v>
      </c>
      <c r="K171" s="44"/>
    </row>
    <row r="172" spans="1:11" ht="60" customHeight="1" x14ac:dyDescent="0.25">
      <c r="A172" s="57" t="s">
        <v>724</v>
      </c>
      <c r="B172" s="57" t="s">
        <v>43</v>
      </c>
      <c r="C172" s="57" t="s">
        <v>22</v>
      </c>
      <c r="D172" s="57" t="s">
        <v>23</v>
      </c>
      <c r="E172" s="58">
        <v>2.99</v>
      </c>
      <c r="F172" s="57" t="s">
        <v>723</v>
      </c>
      <c r="G172" s="57" t="s">
        <v>43</v>
      </c>
      <c r="H172" s="57" t="s">
        <v>45</v>
      </c>
      <c r="I172" s="59">
        <f t="shared" si="4"/>
        <v>45809</v>
      </c>
      <c r="J172" s="61" t="str">
        <f t="shared" si="5"/>
        <v>AVA PEREZ</v>
      </c>
      <c r="K172" s="44"/>
    </row>
    <row r="173" spans="1:11" ht="60" customHeight="1" x14ac:dyDescent="0.25">
      <c r="A173" s="51" t="s">
        <v>722</v>
      </c>
      <c r="B173" s="51" t="s">
        <v>73</v>
      </c>
      <c r="C173" s="51" t="s">
        <v>3</v>
      </c>
      <c r="D173" s="51" t="s">
        <v>31</v>
      </c>
      <c r="E173" s="56">
        <v>59.99</v>
      </c>
      <c r="F173" s="51" t="s">
        <v>721</v>
      </c>
      <c r="G173" s="51" t="s">
        <v>73</v>
      </c>
      <c r="H173" s="51" t="s">
        <v>371</v>
      </c>
      <c r="I173" s="55">
        <f t="shared" si="4"/>
        <v>45809</v>
      </c>
      <c r="J173" s="61" t="str">
        <f t="shared" si="5"/>
        <v>DWG-RE Platform (Redirected)</v>
      </c>
      <c r="K173" s="44"/>
    </row>
    <row r="174" spans="1:11" ht="60" customHeight="1" x14ac:dyDescent="0.25">
      <c r="A174" s="57" t="s">
        <v>720</v>
      </c>
      <c r="B174" s="57" t="s">
        <v>462</v>
      </c>
      <c r="C174" s="57" t="s">
        <v>3</v>
      </c>
      <c r="D174" s="57" t="s">
        <v>31</v>
      </c>
      <c r="E174" s="58">
        <v>12.99</v>
      </c>
      <c r="F174" s="57" t="s">
        <v>719</v>
      </c>
      <c r="G174" s="57" t="s">
        <v>462</v>
      </c>
      <c r="H174" s="57" t="s">
        <v>371</v>
      </c>
      <c r="I174" s="59">
        <f t="shared" si="4"/>
        <v>45809</v>
      </c>
      <c r="J174" s="61" t="str">
        <f t="shared" si="5"/>
        <v>DWG-RE Platform (Redirected)</v>
      </c>
      <c r="K174" s="44"/>
    </row>
    <row r="175" spans="1:11" ht="60" customHeight="1" x14ac:dyDescent="0.25">
      <c r="A175" s="51" t="s">
        <v>718</v>
      </c>
      <c r="B175" s="51" t="s">
        <v>78</v>
      </c>
      <c r="C175" s="51" t="s">
        <v>3</v>
      </c>
      <c r="D175" s="51" t="s">
        <v>31</v>
      </c>
      <c r="E175" s="56">
        <v>24.99</v>
      </c>
      <c r="F175" s="51" t="s">
        <v>717</v>
      </c>
      <c r="G175" s="51" t="s">
        <v>78</v>
      </c>
      <c r="H175" s="51" t="s">
        <v>374</v>
      </c>
      <c r="I175" s="55">
        <f t="shared" si="4"/>
        <v>45809</v>
      </c>
      <c r="J175" s="61" t="str">
        <f t="shared" si="5"/>
        <v>Family</v>
      </c>
      <c r="K175" s="44"/>
    </row>
    <row r="176" spans="1:11" ht="60" customHeight="1" x14ac:dyDescent="0.25">
      <c r="A176" s="57" t="s">
        <v>714</v>
      </c>
      <c r="B176" s="57" t="s">
        <v>138</v>
      </c>
      <c r="C176" s="57" t="s">
        <v>22</v>
      </c>
      <c r="D176" s="57" t="s">
        <v>23</v>
      </c>
      <c r="E176" s="58">
        <v>294.13</v>
      </c>
      <c r="F176" s="57" t="s">
        <v>716</v>
      </c>
      <c r="G176" s="57" t="s">
        <v>138</v>
      </c>
      <c r="H176" s="57" t="s">
        <v>25</v>
      </c>
      <c r="I176" s="59">
        <f t="shared" si="4"/>
        <v>45809</v>
      </c>
      <c r="J176" s="61" t="str">
        <f t="shared" si="5"/>
        <v>AVA PEREZ</v>
      </c>
      <c r="K176" s="44"/>
    </row>
    <row r="177" spans="1:11" ht="60" customHeight="1" x14ac:dyDescent="0.25">
      <c r="A177" s="51" t="s">
        <v>714</v>
      </c>
      <c r="B177" s="51" t="s">
        <v>330</v>
      </c>
      <c r="C177" s="51" t="s">
        <v>22</v>
      </c>
      <c r="D177" s="51" t="s">
        <v>23</v>
      </c>
      <c r="E177" s="56">
        <v>28.03</v>
      </c>
      <c r="F177" s="51" t="s">
        <v>715</v>
      </c>
      <c r="G177" s="51" t="s">
        <v>330</v>
      </c>
      <c r="H177" s="51" t="s">
        <v>25</v>
      </c>
      <c r="I177" s="55">
        <f t="shared" si="4"/>
        <v>45809</v>
      </c>
      <c r="J177" s="61" t="str">
        <f t="shared" si="5"/>
        <v>AVA PEREZ</v>
      </c>
      <c r="K177" s="44"/>
    </row>
    <row r="178" spans="1:11" ht="60" customHeight="1" x14ac:dyDescent="0.25">
      <c r="A178" s="57" t="s">
        <v>714</v>
      </c>
      <c r="B178" s="57" t="s">
        <v>330</v>
      </c>
      <c r="C178" s="57" t="s">
        <v>22</v>
      </c>
      <c r="D178" s="57" t="s">
        <v>23</v>
      </c>
      <c r="E178" s="58">
        <v>214.02</v>
      </c>
      <c r="F178" s="57" t="s">
        <v>713</v>
      </c>
      <c r="G178" s="57" t="s">
        <v>330</v>
      </c>
      <c r="H178" s="57" t="s">
        <v>25</v>
      </c>
      <c r="I178" s="59">
        <f t="shared" si="4"/>
        <v>45809</v>
      </c>
      <c r="J178" s="61" t="str">
        <f t="shared" si="5"/>
        <v>AVA PEREZ</v>
      </c>
      <c r="K178" s="44"/>
    </row>
    <row r="179" spans="1:11" ht="60" customHeight="1" x14ac:dyDescent="0.25">
      <c r="A179" s="51" t="s">
        <v>711</v>
      </c>
      <c r="B179" s="51" t="s">
        <v>43</v>
      </c>
      <c r="C179" s="51" t="s">
        <v>22</v>
      </c>
      <c r="D179" s="51" t="s">
        <v>23</v>
      </c>
      <c r="E179" s="56">
        <v>19.989999999999998</v>
      </c>
      <c r="F179" s="51" t="s">
        <v>712</v>
      </c>
      <c r="G179" s="51" t="s">
        <v>43</v>
      </c>
      <c r="H179" s="51" t="s">
        <v>45</v>
      </c>
      <c r="I179" s="55">
        <f t="shared" si="4"/>
        <v>45809</v>
      </c>
      <c r="J179" s="61" t="str">
        <f t="shared" si="5"/>
        <v>AVA PEREZ</v>
      </c>
      <c r="K179" s="44"/>
    </row>
    <row r="180" spans="1:11" ht="60" customHeight="1" x14ac:dyDescent="0.25">
      <c r="A180" s="57" t="s">
        <v>711</v>
      </c>
      <c r="B180" s="57" t="s">
        <v>280</v>
      </c>
      <c r="C180" s="57" t="s">
        <v>22</v>
      </c>
      <c r="D180" s="57" t="s">
        <v>23</v>
      </c>
      <c r="E180" s="58">
        <v>14.99</v>
      </c>
      <c r="F180" s="57" t="s">
        <v>710</v>
      </c>
      <c r="G180" s="57" t="s">
        <v>280</v>
      </c>
      <c r="H180" s="57" t="s">
        <v>282</v>
      </c>
      <c r="I180" s="59">
        <f t="shared" si="4"/>
        <v>45809</v>
      </c>
      <c r="J180" s="61" t="str">
        <f t="shared" si="5"/>
        <v>AVA PEREZ</v>
      </c>
      <c r="K180" s="44"/>
    </row>
    <row r="181" spans="1:11" ht="60" customHeight="1" x14ac:dyDescent="0.25">
      <c r="A181" s="51" t="s">
        <v>708</v>
      </c>
      <c r="B181" s="51" t="s">
        <v>138</v>
      </c>
      <c r="C181" s="51" t="s">
        <v>22</v>
      </c>
      <c r="D181" s="51" t="s">
        <v>23</v>
      </c>
      <c r="E181" s="56">
        <v>136.63999999999999</v>
      </c>
      <c r="F181" s="51" t="s">
        <v>709</v>
      </c>
      <c r="G181" s="51" t="s">
        <v>138</v>
      </c>
      <c r="H181" s="51" t="s">
        <v>25</v>
      </c>
      <c r="I181" s="55">
        <f t="shared" si="4"/>
        <v>45809</v>
      </c>
      <c r="J181" s="61" t="str">
        <f t="shared" si="5"/>
        <v>AVA PEREZ</v>
      </c>
      <c r="K181" s="44"/>
    </row>
    <row r="182" spans="1:11" ht="60" customHeight="1" x14ac:dyDescent="0.25">
      <c r="A182" s="57" t="s">
        <v>708</v>
      </c>
      <c r="B182" s="57" t="s">
        <v>706</v>
      </c>
      <c r="C182" s="57" t="s">
        <v>22</v>
      </c>
      <c r="D182" s="57" t="s">
        <v>23</v>
      </c>
      <c r="E182" s="58">
        <v>11.99</v>
      </c>
      <c r="F182" s="57" t="s">
        <v>707</v>
      </c>
      <c r="G182" s="57" t="s">
        <v>706</v>
      </c>
      <c r="H182" s="57" t="s">
        <v>102</v>
      </c>
      <c r="I182" s="59">
        <f t="shared" si="4"/>
        <v>45809</v>
      </c>
      <c r="J182" s="61" t="str">
        <f t="shared" si="5"/>
        <v>AVA PEREZ</v>
      </c>
      <c r="K182" s="44"/>
    </row>
    <row r="183" spans="1:11" ht="60" customHeight="1" x14ac:dyDescent="0.25">
      <c r="A183" s="51" t="s">
        <v>703</v>
      </c>
      <c r="B183" s="51" t="s">
        <v>21</v>
      </c>
      <c r="C183" s="51" t="s">
        <v>22</v>
      </c>
      <c r="D183" s="51" t="s">
        <v>23</v>
      </c>
      <c r="E183" s="56">
        <v>22.06</v>
      </c>
      <c r="F183" s="51" t="s">
        <v>705</v>
      </c>
      <c r="G183" s="51" t="s">
        <v>21</v>
      </c>
      <c r="H183" s="51" t="s">
        <v>25</v>
      </c>
      <c r="I183" s="55">
        <f t="shared" si="4"/>
        <v>45809</v>
      </c>
      <c r="J183" s="61" t="str">
        <f t="shared" si="5"/>
        <v>AVA PEREZ</v>
      </c>
      <c r="K183" s="44"/>
    </row>
    <row r="184" spans="1:11" ht="60" customHeight="1" x14ac:dyDescent="0.25">
      <c r="A184" s="57" t="s">
        <v>703</v>
      </c>
      <c r="B184" s="57" t="s">
        <v>21</v>
      </c>
      <c r="C184" s="57" t="s">
        <v>22</v>
      </c>
      <c r="D184" s="57" t="s">
        <v>23</v>
      </c>
      <c r="E184" s="58">
        <v>28.85</v>
      </c>
      <c r="F184" s="57" t="s">
        <v>704</v>
      </c>
      <c r="G184" s="57" t="s">
        <v>21</v>
      </c>
      <c r="H184" s="57" t="s">
        <v>25</v>
      </c>
      <c r="I184" s="59">
        <f t="shared" si="4"/>
        <v>45809</v>
      </c>
      <c r="J184" s="61" t="str">
        <f t="shared" si="5"/>
        <v>AVA PEREZ</v>
      </c>
      <c r="K184" s="44"/>
    </row>
    <row r="185" spans="1:11" ht="60" customHeight="1" x14ac:dyDescent="0.25">
      <c r="A185" s="51" t="s">
        <v>703</v>
      </c>
      <c r="B185" s="51" t="s">
        <v>26</v>
      </c>
      <c r="C185" s="51" t="s">
        <v>22</v>
      </c>
      <c r="D185" s="51" t="s">
        <v>23</v>
      </c>
      <c r="E185" s="56">
        <v>27.1</v>
      </c>
      <c r="F185" s="51" t="s">
        <v>702</v>
      </c>
      <c r="G185" s="51" t="s">
        <v>26</v>
      </c>
      <c r="H185" s="51" t="s">
        <v>28</v>
      </c>
      <c r="I185" s="55">
        <f t="shared" si="4"/>
        <v>45809</v>
      </c>
      <c r="J185" s="61" t="str">
        <f t="shared" si="5"/>
        <v>AVA PEREZ</v>
      </c>
      <c r="K185" s="44"/>
    </row>
    <row r="186" spans="1:11" ht="60" customHeight="1" x14ac:dyDescent="0.25">
      <c r="A186" s="57" t="s">
        <v>701</v>
      </c>
      <c r="B186" s="57" t="s">
        <v>21</v>
      </c>
      <c r="C186" s="57" t="s">
        <v>22</v>
      </c>
      <c r="D186" s="57" t="s">
        <v>23</v>
      </c>
      <c r="E186" s="58">
        <v>31.14</v>
      </c>
      <c r="F186" s="57" t="s">
        <v>700</v>
      </c>
      <c r="G186" s="57" t="s">
        <v>21</v>
      </c>
      <c r="H186" s="57" t="s">
        <v>25</v>
      </c>
      <c r="I186" s="59">
        <f t="shared" si="4"/>
        <v>45809</v>
      </c>
      <c r="J186" s="61" t="str">
        <f t="shared" si="5"/>
        <v>AVA PEREZ</v>
      </c>
      <c r="K186" s="44"/>
    </row>
    <row r="187" spans="1:11" ht="60" customHeight="1" x14ac:dyDescent="0.25">
      <c r="A187" s="51" t="s">
        <v>698</v>
      </c>
      <c r="B187" s="51" t="s">
        <v>108</v>
      </c>
      <c r="C187" s="51" t="s">
        <v>3</v>
      </c>
      <c r="D187" s="51" t="s">
        <v>31</v>
      </c>
      <c r="E187" s="56">
        <v>29.99</v>
      </c>
      <c r="F187" s="51" t="s">
        <v>699</v>
      </c>
      <c r="G187" s="51" t="s">
        <v>108</v>
      </c>
      <c r="H187" s="51" t="s">
        <v>371</v>
      </c>
      <c r="I187" s="55">
        <f t="shared" si="4"/>
        <v>45809</v>
      </c>
      <c r="J187" s="61" t="str">
        <f t="shared" si="5"/>
        <v>DWG-RE Platform (Redirected)</v>
      </c>
      <c r="K187" s="44"/>
    </row>
    <row r="188" spans="1:11" ht="60" customHeight="1" x14ac:dyDescent="0.25">
      <c r="A188" s="57" t="s">
        <v>698</v>
      </c>
      <c r="B188" s="57" t="s">
        <v>30</v>
      </c>
      <c r="C188" s="57" t="s">
        <v>3</v>
      </c>
      <c r="D188" s="57" t="s">
        <v>31</v>
      </c>
      <c r="E188" s="58">
        <v>208.95</v>
      </c>
      <c r="F188" s="57" t="s">
        <v>697</v>
      </c>
      <c r="G188" s="57" t="s">
        <v>30</v>
      </c>
      <c r="H188" s="57" t="s">
        <v>371</v>
      </c>
      <c r="I188" s="59">
        <f t="shared" si="4"/>
        <v>45809</v>
      </c>
      <c r="J188" s="61" t="str">
        <f t="shared" si="5"/>
        <v>DWG-RE Platform (Redirected)</v>
      </c>
      <c r="K188" s="44"/>
    </row>
    <row r="189" spans="1:11" ht="60" customHeight="1" x14ac:dyDescent="0.25">
      <c r="A189" s="51" t="s">
        <v>696</v>
      </c>
      <c r="B189" s="51" t="s">
        <v>694</v>
      </c>
      <c r="C189" s="51" t="s">
        <v>3</v>
      </c>
      <c r="D189" s="51" t="s">
        <v>31</v>
      </c>
      <c r="E189" s="56">
        <v>54</v>
      </c>
      <c r="F189" s="51" t="s">
        <v>695</v>
      </c>
      <c r="G189" s="51" t="s">
        <v>694</v>
      </c>
      <c r="H189" s="51" t="s">
        <v>371</v>
      </c>
      <c r="I189" s="55">
        <f t="shared" si="4"/>
        <v>45809</v>
      </c>
      <c r="J189" s="61" t="str">
        <f t="shared" si="5"/>
        <v>DWG-RE Platform (Redirected)</v>
      </c>
      <c r="K189" s="44"/>
    </row>
    <row r="190" spans="1:11" ht="60" customHeight="1" x14ac:dyDescent="0.25">
      <c r="A190" s="57" t="s">
        <v>693</v>
      </c>
      <c r="B190" s="57" t="s">
        <v>533</v>
      </c>
      <c r="C190" s="57" t="s">
        <v>22</v>
      </c>
      <c r="D190" s="57" t="s">
        <v>23</v>
      </c>
      <c r="E190" s="58">
        <v>99</v>
      </c>
      <c r="F190" s="57" t="s">
        <v>692</v>
      </c>
      <c r="G190" s="57" t="s">
        <v>533</v>
      </c>
      <c r="H190" s="57" t="s">
        <v>64</v>
      </c>
      <c r="I190" s="59">
        <f t="shared" si="4"/>
        <v>45809</v>
      </c>
      <c r="J190" s="61" t="str">
        <f t="shared" si="5"/>
        <v>AVA PEREZ</v>
      </c>
      <c r="K190" s="44"/>
    </row>
    <row r="191" spans="1:11" ht="60" customHeight="1" x14ac:dyDescent="0.25">
      <c r="A191" s="51" t="s">
        <v>691</v>
      </c>
      <c r="B191" s="51" t="s">
        <v>689</v>
      </c>
      <c r="C191" s="51" t="s">
        <v>3</v>
      </c>
      <c r="D191" s="51" t="s">
        <v>31</v>
      </c>
      <c r="E191" s="56">
        <v>11124</v>
      </c>
      <c r="F191" s="51" t="s">
        <v>690</v>
      </c>
      <c r="G191" s="51" t="s">
        <v>689</v>
      </c>
      <c r="H191" s="51" t="s">
        <v>371</v>
      </c>
      <c r="I191" s="55">
        <f t="shared" si="4"/>
        <v>45778</v>
      </c>
      <c r="J191" s="61" t="str">
        <f t="shared" si="5"/>
        <v>DWG-RE Platform (Redirected)</v>
      </c>
      <c r="K191" s="44"/>
    </row>
    <row r="192" spans="1:11" ht="60" customHeight="1" x14ac:dyDescent="0.25">
      <c r="A192" s="57" t="s">
        <v>688</v>
      </c>
      <c r="B192" s="57" t="s">
        <v>477</v>
      </c>
      <c r="C192" s="57" t="s">
        <v>3</v>
      </c>
      <c r="D192" s="57" t="s">
        <v>31</v>
      </c>
      <c r="E192" s="58">
        <v>-1542.61</v>
      </c>
      <c r="F192" s="57" t="s">
        <v>478</v>
      </c>
      <c r="G192" s="57" t="s">
        <v>477</v>
      </c>
      <c r="H192" s="57" t="s">
        <v>0</v>
      </c>
      <c r="I192" s="59">
        <f t="shared" si="4"/>
        <v>45778</v>
      </c>
      <c r="J192" s="61" t="str">
        <f t="shared" si="5"/>
        <v>Online AMEX Payment</v>
      </c>
      <c r="K192" s="44"/>
    </row>
    <row r="193" spans="1:11" ht="60" customHeight="1" x14ac:dyDescent="0.25">
      <c r="A193" s="51" t="s">
        <v>687</v>
      </c>
      <c r="B193" s="51" t="s">
        <v>43</v>
      </c>
      <c r="C193" s="51" t="s">
        <v>22</v>
      </c>
      <c r="D193" s="51" t="s">
        <v>23</v>
      </c>
      <c r="E193" s="56">
        <v>2.99</v>
      </c>
      <c r="F193" s="51" t="s">
        <v>686</v>
      </c>
      <c r="G193" s="51" t="s">
        <v>43</v>
      </c>
      <c r="H193" s="51" t="s">
        <v>45</v>
      </c>
      <c r="I193" s="55">
        <f t="shared" si="4"/>
        <v>45778</v>
      </c>
      <c r="J193" s="61" t="str">
        <f t="shared" si="5"/>
        <v>AVA PEREZ</v>
      </c>
      <c r="K193" s="44"/>
    </row>
    <row r="194" spans="1:11" ht="60" customHeight="1" x14ac:dyDescent="0.25">
      <c r="A194" s="57" t="s">
        <v>683</v>
      </c>
      <c r="B194" s="57" t="s">
        <v>73</v>
      </c>
      <c r="C194" s="57" t="s">
        <v>3</v>
      </c>
      <c r="D194" s="57" t="s">
        <v>31</v>
      </c>
      <c r="E194" s="58">
        <v>59.99</v>
      </c>
      <c r="F194" s="57" t="s">
        <v>685</v>
      </c>
      <c r="G194" s="57" t="s">
        <v>73</v>
      </c>
      <c r="H194" s="57" t="s">
        <v>371</v>
      </c>
      <c r="I194" s="59">
        <f t="shared" si="4"/>
        <v>45778</v>
      </c>
      <c r="J194" s="61" t="str">
        <f t="shared" si="5"/>
        <v>DWG-RE Platform (Redirected)</v>
      </c>
      <c r="K194" s="44"/>
    </row>
    <row r="195" spans="1:11" ht="60" customHeight="1" x14ac:dyDescent="0.25">
      <c r="A195" s="51" t="s">
        <v>683</v>
      </c>
      <c r="B195" s="51" t="s">
        <v>516</v>
      </c>
      <c r="C195" s="51" t="s">
        <v>3</v>
      </c>
      <c r="D195" s="51" t="s">
        <v>31</v>
      </c>
      <c r="E195" s="56">
        <v>12.99</v>
      </c>
      <c r="F195" s="51" t="s">
        <v>684</v>
      </c>
      <c r="G195" s="51" t="s">
        <v>516</v>
      </c>
      <c r="H195" s="51" t="s">
        <v>371</v>
      </c>
      <c r="I195" s="55">
        <f t="shared" si="4"/>
        <v>45778</v>
      </c>
      <c r="J195" s="61" t="str">
        <f t="shared" si="5"/>
        <v>DWG-RE Platform (Redirected)</v>
      </c>
      <c r="K195" s="44"/>
    </row>
    <row r="196" spans="1:11" ht="60" customHeight="1" x14ac:dyDescent="0.25">
      <c r="A196" s="57" t="s">
        <v>683</v>
      </c>
      <c r="B196" s="57" t="s">
        <v>138</v>
      </c>
      <c r="C196" s="57" t="s">
        <v>22</v>
      </c>
      <c r="D196" s="57" t="s">
        <v>23</v>
      </c>
      <c r="E196" s="58">
        <v>142.68</v>
      </c>
      <c r="F196" s="57" t="s">
        <v>682</v>
      </c>
      <c r="G196" s="57" t="s">
        <v>138</v>
      </c>
      <c r="H196" s="57" t="s">
        <v>25</v>
      </c>
      <c r="I196" s="59">
        <f t="shared" si="4"/>
        <v>45778</v>
      </c>
      <c r="J196" s="61" t="str">
        <f t="shared" si="5"/>
        <v>AVA PEREZ</v>
      </c>
      <c r="K196" s="44"/>
    </row>
    <row r="197" spans="1:11" ht="60" customHeight="1" x14ac:dyDescent="0.25">
      <c r="A197" s="51" t="s">
        <v>681</v>
      </c>
      <c r="B197" s="51" t="s">
        <v>138</v>
      </c>
      <c r="C197" s="51" t="s">
        <v>22</v>
      </c>
      <c r="D197" s="51" t="s">
        <v>23</v>
      </c>
      <c r="E197" s="56">
        <v>67.77</v>
      </c>
      <c r="F197" s="51" t="s">
        <v>680</v>
      </c>
      <c r="G197" s="51" t="s">
        <v>138</v>
      </c>
      <c r="H197" s="51" t="s">
        <v>25</v>
      </c>
      <c r="I197" s="55">
        <f t="shared" si="4"/>
        <v>45778</v>
      </c>
      <c r="J197" s="61" t="str">
        <f t="shared" si="5"/>
        <v>AVA PEREZ</v>
      </c>
      <c r="K197" s="44"/>
    </row>
    <row r="198" spans="1:11" ht="60" customHeight="1" x14ac:dyDescent="0.25">
      <c r="A198" s="57" t="s">
        <v>679</v>
      </c>
      <c r="B198" s="57" t="s">
        <v>78</v>
      </c>
      <c r="C198" s="57" t="s">
        <v>3</v>
      </c>
      <c r="D198" s="57" t="s">
        <v>31</v>
      </c>
      <c r="E198" s="58">
        <v>24.99</v>
      </c>
      <c r="F198" s="57" t="s">
        <v>678</v>
      </c>
      <c r="G198" s="57" t="s">
        <v>78</v>
      </c>
      <c r="H198" s="57" t="s">
        <v>374</v>
      </c>
      <c r="I198" s="59">
        <f t="shared" si="4"/>
        <v>45778</v>
      </c>
      <c r="J198" s="61" t="str">
        <f t="shared" si="5"/>
        <v>Family</v>
      </c>
      <c r="K198" s="44"/>
    </row>
    <row r="199" spans="1:11" ht="60" customHeight="1" x14ac:dyDescent="0.25">
      <c r="A199" s="51" t="s">
        <v>677</v>
      </c>
      <c r="B199" s="51" t="s">
        <v>21</v>
      </c>
      <c r="C199" s="51" t="s">
        <v>22</v>
      </c>
      <c r="D199" s="51" t="s">
        <v>23</v>
      </c>
      <c r="E199" s="56">
        <v>65.849999999999994</v>
      </c>
      <c r="F199" s="51" t="s">
        <v>676</v>
      </c>
      <c r="G199" s="51" t="s">
        <v>21</v>
      </c>
      <c r="H199" s="51" t="s">
        <v>25</v>
      </c>
      <c r="I199" s="55">
        <f t="shared" si="4"/>
        <v>45778</v>
      </c>
      <c r="J199" s="61" t="str">
        <f t="shared" si="5"/>
        <v>AVA PEREZ</v>
      </c>
      <c r="K199" s="44"/>
    </row>
    <row r="200" spans="1:11" ht="60" customHeight="1" x14ac:dyDescent="0.25">
      <c r="A200" s="57" t="s">
        <v>675</v>
      </c>
      <c r="B200" s="57" t="s">
        <v>330</v>
      </c>
      <c r="C200" s="57" t="s">
        <v>22</v>
      </c>
      <c r="D200" s="57" t="s">
        <v>23</v>
      </c>
      <c r="E200" s="58">
        <v>30.22</v>
      </c>
      <c r="F200" s="57" t="s">
        <v>674</v>
      </c>
      <c r="G200" s="57" t="s">
        <v>330</v>
      </c>
      <c r="H200" s="57" t="s">
        <v>25</v>
      </c>
      <c r="I200" s="59">
        <f t="shared" si="4"/>
        <v>45778</v>
      </c>
      <c r="J200" s="61" t="str">
        <f t="shared" si="5"/>
        <v>AVA PEREZ</v>
      </c>
      <c r="K200" s="44"/>
    </row>
    <row r="201" spans="1:11" ht="60" customHeight="1" x14ac:dyDescent="0.25">
      <c r="A201" s="51" t="s">
        <v>673</v>
      </c>
      <c r="B201" s="51" t="s">
        <v>26</v>
      </c>
      <c r="C201" s="51" t="s">
        <v>22</v>
      </c>
      <c r="D201" s="51" t="s">
        <v>23</v>
      </c>
      <c r="E201" s="56">
        <v>26.52</v>
      </c>
      <c r="F201" s="51" t="s">
        <v>672</v>
      </c>
      <c r="G201" s="51" t="s">
        <v>26</v>
      </c>
      <c r="H201" s="51" t="s">
        <v>28</v>
      </c>
      <c r="I201" s="55">
        <f t="shared" ref="I201:I264" si="6">DATE(RIGHT(A201,4)+0,LEFT(A201,2)+0,1)</f>
        <v>45778</v>
      </c>
      <c r="J201" s="61" t="str">
        <f t="shared" ref="J201:J264" si="7">IF(C201="JOHN DUNNING",IF(TRIM(H201)="",IF(ISNUMBER(SEARCH("PAYMENT",B201)),"Online AMEX Payment","(Uncategorized)"),TRIM(H201)),C201)</f>
        <v>AVA PEREZ</v>
      </c>
      <c r="K201" s="44"/>
    </row>
    <row r="202" spans="1:11" ht="60" customHeight="1" x14ac:dyDescent="0.25">
      <c r="A202" s="57" t="s">
        <v>670</v>
      </c>
      <c r="B202" s="57" t="s">
        <v>43</v>
      </c>
      <c r="C202" s="57" t="s">
        <v>22</v>
      </c>
      <c r="D202" s="57" t="s">
        <v>23</v>
      </c>
      <c r="E202" s="58">
        <v>19.989999999999998</v>
      </c>
      <c r="F202" s="57" t="s">
        <v>671</v>
      </c>
      <c r="G202" s="57" t="s">
        <v>43</v>
      </c>
      <c r="H202" s="57" t="s">
        <v>45</v>
      </c>
      <c r="I202" s="59">
        <f t="shared" si="6"/>
        <v>45778</v>
      </c>
      <c r="J202" s="61" t="str">
        <f t="shared" si="7"/>
        <v>AVA PEREZ</v>
      </c>
      <c r="K202" s="44"/>
    </row>
    <row r="203" spans="1:11" ht="60" customHeight="1" x14ac:dyDescent="0.25">
      <c r="A203" s="51" t="s">
        <v>670</v>
      </c>
      <c r="B203" s="51" t="s">
        <v>280</v>
      </c>
      <c r="C203" s="51" t="s">
        <v>22</v>
      </c>
      <c r="D203" s="51" t="s">
        <v>23</v>
      </c>
      <c r="E203" s="56">
        <v>14.99</v>
      </c>
      <c r="F203" s="51" t="s">
        <v>669</v>
      </c>
      <c r="G203" s="51" t="s">
        <v>280</v>
      </c>
      <c r="H203" s="51" t="s">
        <v>282</v>
      </c>
      <c r="I203" s="55">
        <f t="shared" si="6"/>
        <v>45778</v>
      </c>
      <c r="J203" s="61" t="str">
        <f t="shared" si="7"/>
        <v>AVA PEREZ</v>
      </c>
      <c r="K203" s="44"/>
    </row>
    <row r="204" spans="1:11" ht="60" customHeight="1" x14ac:dyDescent="0.25">
      <c r="A204" s="57" t="s">
        <v>668</v>
      </c>
      <c r="B204" s="57" t="s">
        <v>666</v>
      </c>
      <c r="C204" s="57" t="s">
        <v>22</v>
      </c>
      <c r="D204" s="57" t="s">
        <v>23</v>
      </c>
      <c r="E204" s="58">
        <v>11.99</v>
      </c>
      <c r="F204" s="57" t="s">
        <v>667</v>
      </c>
      <c r="G204" s="57" t="s">
        <v>666</v>
      </c>
      <c r="H204" s="57" t="s">
        <v>102</v>
      </c>
      <c r="I204" s="59">
        <f t="shared" si="6"/>
        <v>45778</v>
      </c>
      <c r="J204" s="61" t="str">
        <f t="shared" si="7"/>
        <v>AVA PEREZ</v>
      </c>
      <c r="K204" s="44"/>
    </row>
    <row r="205" spans="1:11" ht="60" customHeight="1" x14ac:dyDescent="0.25">
      <c r="A205" s="51" t="s">
        <v>664</v>
      </c>
      <c r="B205" s="51" t="s">
        <v>108</v>
      </c>
      <c r="C205" s="51" t="s">
        <v>3</v>
      </c>
      <c r="D205" s="51" t="s">
        <v>31</v>
      </c>
      <c r="E205" s="56">
        <v>29.99</v>
      </c>
      <c r="F205" s="51" t="s">
        <v>665</v>
      </c>
      <c r="G205" s="51" t="s">
        <v>108</v>
      </c>
      <c r="H205" s="51" t="s">
        <v>371</v>
      </c>
      <c r="I205" s="55">
        <f t="shared" si="6"/>
        <v>45778</v>
      </c>
      <c r="J205" s="61" t="str">
        <f t="shared" si="7"/>
        <v>DWG-RE Platform (Redirected)</v>
      </c>
      <c r="K205" s="44"/>
    </row>
    <row r="206" spans="1:11" ht="60" customHeight="1" x14ac:dyDescent="0.25">
      <c r="A206" s="57" t="s">
        <v>664</v>
      </c>
      <c r="B206" s="57" t="s">
        <v>30</v>
      </c>
      <c r="C206" s="57" t="s">
        <v>3</v>
      </c>
      <c r="D206" s="57" t="s">
        <v>31</v>
      </c>
      <c r="E206" s="58">
        <v>208.95</v>
      </c>
      <c r="F206" s="57" t="s">
        <v>663</v>
      </c>
      <c r="G206" s="57" t="s">
        <v>30</v>
      </c>
      <c r="H206" s="57" t="s">
        <v>371</v>
      </c>
      <c r="I206" s="59">
        <f t="shared" si="6"/>
        <v>45778</v>
      </c>
      <c r="J206" s="61" t="str">
        <f t="shared" si="7"/>
        <v>DWG-RE Platform (Redirected)</v>
      </c>
      <c r="K206" s="44"/>
    </row>
    <row r="207" spans="1:11" ht="60" customHeight="1" x14ac:dyDescent="0.25">
      <c r="A207" s="51" t="s">
        <v>662</v>
      </c>
      <c r="B207" s="51" t="s">
        <v>660</v>
      </c>
      <c r="C207" s="51" t="s">
        <v>3</v>
      </c>
      <c r="D207" s="51" t="s">
        <v>31</v>
      </c>
      <c r="E207" s="56">
        <v>54</v>
      </c>
      <c r="F207" s="51" t="s">
        <v>661</v>
      </c>
      <c r="G207" s="51" t="s">
        <v>660</v>
      </c>
      <c r="H207" s="51" t="s">
        <v>371</v>
      </c>
      <c r="I207" s="55">
        <f t="shared" si="6"/>
        <v>45778</v>
      </c>
      <c r="J207" s="61" t="str">
        <f t="shared" si="7"/>
        <v>DWG-RE Platform (Redirected)</v>
      </c>
      <c r="K207" s="44"/>
    </row>
    <row r="208" spans="1:11" ht="60" customHeight="1" x14ac:dyDescent="0.25">
      <c r="A208" s="57" t="s">
        <v>659</v>
      </c>
      <c r="B208" s="57" t="s">
        <v>21</v>
      </c>
      <c r="C208" s="57" t="s">
        <v>22</v>
      </c>
      <c r="D208" s="57" t="s">
        <v>23</v>
      </c>
      <c r="E208" s="58">
        <v>75.849999999999994</v>
      </c>
      <c r="F208" s="57" t="s">
        <v>658</v>
      </c>
      <c r="G208" s="57" t="s">
        <v>21</v>
      </c>
      <c r="H208" s="57" t="s">
        <v>25</v>
      </c>
      <c r="I208" s="59">
        <f t="shared" si="6"/>
        <v>45778</v>
      </c>
      <c r="J208" s="61" t="str">
        <f t="shared" si="7"/>
        <v>AVA PEREZ</v>
      </c>
      <c r="K208" s="44"/>
    </row>
    <row r="209" spans="1:11" ht="60" customHeight="1" x14ac:dyDescent="0.25">
      <c r="A209" s="51" t="s">
        <v>656</v>
      </c>
      <c r="B209" s="51" t="s">
        <v>533</v>
      </c>
      <c r="C209" s="51" t="s">
        <v>22</v>
      </c>
      <c r="D209" s="51" t="s">
        <v>23</v>
      </c>
      <c r="E209" s="56">
        <v>99</v>
      </c>
      <c r="F209" s="51" t="s">
        <v>657</v>
      </c>
      <c r="G209" s="51" t="s">
        <v>533</v>
      </c>
      <c r="H209" s="51" t="s">
        <v>64</v>
      </c>
      <c r="I209" s="55">
        <f t="shared" si="6"/>
        <v>45778</v>
      </c>
      <c r="J209" s="61" t="str">
        <f t="shared" si="7"/>
        <v>AVA PEREZ</v>
      </c>
      <c r="K209" s="44"/>
    </row>
    <row r="210" spans="1:11" ht="60" customHeight="1" x14ac:dyDescent="0.25">
      <c r="A210" s="57" t="s">
        <v>656</v>
      </c>
      <c r="B210" s="57" t="s">
        <v>501</v>
      </c>
      <c r="C210" s="57" t="s">
        <v>22</v>
      </c>
      <c r="D210" s="57" t="s">
        <v>23</v>
      </c>
      <c r="E210" s="58">
        <v>104.26</v>
      </c>
      <c r="F210" s="57" t="s">
        <v>655</v>
      </c>
      <c r="G210" s="57" t="s">
        <v>501</v>
      </c>
      <c r="H210" s="57" t="s">
        <v>25</v>
      </c>
      <c r="I210" s="59">
        <f t="shared" si="6"/>
        <v>45778</v>
      </c>
      <c r="J210" s="61" t="str">
        <f t="shared" si="7"/>
        <v>AVA PEREZ</v>
      </c>
      <c r="K210" s="44"/>
    </row>
    <row r="211" spans="1:11" ht="60" customHeight="1" x14ac:dyDescent="0.25">
      <c r="A211" s="51" t="s">
        <v>654</v>
      </c>
      <c r="B211" s="51" t="s">
        <v>21</v>
      </c>
      <c r="C211" s="51" t="s">
        <v>22</v>
      </c>
      <c r="D211" s="51" t="s">
        <v>23</v>
      </c>
      <c r="E211" s="56">
        <v>140.69999999999999</v>
      </c>
      <c r="F211" s="51" t="s">
        <v>653</v>
      </c>
      <c r="G211" s="51" t="s">
        <v>21</v>
      </c>
      <c r="H211" s="51" t="s">
        <v>25</v>
      </c>
      <c r="I211" s="55">
        <f t="shared" si="6"/>
        <v>45778</v>
      </c>
      <c r="J211" s="61" t="str">
        <f t="shared" si="7"/>
        <v>AVA PEREZ</v>
      </c>
      <c r="K211" s="44"/>
    </row>
    <row r="212" spans="1:11" ht="60" customHeight="1" x14ac:dyDescent="0.25">
      <c r="A212" s="57" t="s">
        <v>652</v>
      </c>
      <c r="B212" s="57" t="s">
        <v>21</v>
      </c>
      <c r="C212" s="57" t="s">
        <v>22</v>
      </c>
      <c r="D212" s="57" t="s">
        <v>23</v>
      </c>
      <c r="E212" s="58">
        <v>164.63</v>
      </c>
      <c r="F212" s="57" t="s">
        <v>651</v>
      </c>
      <c r="G212" s="57" t="s">
        <v>21</v>
      </c>
      <c r="H212" s="57" t="s">
        <v>25</v>
      </c>
      <c r="I212" s="59">
        <f t="shared" si="6"/>
        <v>45778</v>
      </c>
      <c r="J212" s="61" t="str">
        <f t="shared" si="7"/>
        <v>AVA PEREZ</v>
      </c>
      <c r="K212" s="44"/>
    </row>
    <row r="213" spans="1:11" ht="60" customHeight="1" x14ac:dyDescent="0.25">
      <c r="A213" s="51" t="s">
        <v>650</v>
      </c>
      <c r="B213" s="51" t="s">
        <v>50</v>
      </c>
      <c r="C213" s="51" t="s">
        <v>3</v>
      </c>
      <c r="D213" s="51" t="s">
        <v>31</v>
      </c>
      <c r="E213" s="56">
        <v>184.26</v>
      </c>
      <c r="F213" s="51" t="s">
        <v>649</v>
      </c>
      <c r="G213" s="51" t="s">
        <v>50</v>
      </c>
      <c r="H213" s="51" t="s">
        <v>372</v>
      </c>
      <c r="I213" s="55">
        <f t="shared" si="6"/>
        <v>45748</v>
      </c>
      <c r="J213" s="61" t="str">
        <f t="shared" si="7"/>
        <v>Sponsor Cloud</v>
      </c>
      <c r="K213" s="44"/>
    </row>
    <row r="214" spans="1:11" ht="60" customHeight="1" x14ac:dyDescent="0.25">
      <c r="A214" s="57" t="s">
        <v>648</v>
      </c>
      <c r="B214" s="57" t="s">
        <v>477</v>
      </c>
      <c r="C214" s="57" t="s">
        <v>3</v>
      </c>
      <c r="D214" s="57" t="s">
        <v>31</v>
      </c>
      <c r="E214" s="58">
        <v>-2222.92</v>
      </c>
      <c r="F214" s="57" t="s">
        <v>478</v>
      </c>
      <c r="G214" s="57" t="s">
        <v>477</v>
      </c>
      <c r="H214" s="57" t="s">
        <v>373</v>
      </c>
      <c r="I214" s="59">
        <f t="shared" si="6"/>
        <v>45748</v>
      </c>
      <c r="J214" s="61" t="str">
        <f t="shared" si="7"/>
        <v>Online AMEX Payment</v>
      </c>
      <c r="K214" s="44"/>
    </row>
    <row r="215" spans="1:11" ht="60" customHeight="1" x14ac:dyDescent="0.25">
      <c r="A215" s="51" t="s">
        <v>647</v>
      </c>
      <c r="B215" s="51" t="s">
        <v>21</v>
      </c>
      <c r="C215" s="51" t="s">
        <v>22</v>
      </c>
      <c r="D215" s="51" t="s">
        <v>23</v>
      </c>
      <c r="E215" s="56">
        <v>94.79</v>
      </c>
      <c r="F215" s="51" t="s">
        <v>646</v>
      </c>
      <c r="G215" s="51" t="s">
        <v>21</v>
      </c>
      <c r="H215" s="51" t="s">
        <v>25</v>
      </c>
      <c r="I215" s="55">
        <f t="shared" si="6"/>
        <v>45748</v>
      </c>
      <c r="J215" s="61" t="str">
        <f t="shared" si="7"/>
        <v>AVA PEREZ</v>
      </c>
      <c r="K215" s="44"/>
    </row>
    <row r="216" spans="1:11" ht="60" customHeight="1" x14ac:dyDescent="0.25">
      <c r="A216" s="57" t="s">
        <v>642</v>
      </c>
      <c r="B216" s="57" t="s">
        <v>73</v>
      </c>
      <c r="C216" s="57" t="s">
        <v>3</v>
      </c>
      <c r="D216" s="57" t="s">
        <v>31</v>
      </c>
      <c r="E216" s="58">
        <v>59.99</v>
      </c>
      <c r="F216" s="57" t="s">
        <v>645</v>
      </c>
      <c r="G216" s="57" t="s">
        <v>73</v>
      </c>
      <c r="H216" s="57" t="s">
        <v>371</v>
      </c>
      <c r="I216" s="59">
        <f t="shared" si="6"/>
        <v>45748</v>
      </c>
      <c r="J216" s="61" t="str">
        <f t="shared" si="7"/>
        <v>DWG-RE Platform (Redirected)</v>
      </c>
      <c r="K216" s="44"/>
    </row>
    <row r="217" spans="1:11" ht="60" customHeight="1" x14ac:dyDescent="0.25">
      <c r="A217" s="51" t="s">
        <v>642</v>
      </c>
      <c r="B217" s="51" t="s">
        <v>643</v>
      </c>
      <c r="C217" s="51" t="s">
        <v>22</v>
      </c>
      <c r="D217" s="51" t="s">
        <v>23</v>
      </c>
      <c r="E217" s="56">
        <v>181.61</v>
      </c>
      <c r="F217" s="51" t="s">
        <v>644</v>
      </c>
      <c r="G217" s="51" t="s">
        <v>643</v>
      </c>
      <c r="H217" s="51" t="s">
        <v>273</v>
      </c>
      <c r="I217" s="55">
        <f t="shared" si="6"/>
        <v>45748</v>
      </c>
      <c r="J217" s="61" t="str">
        <f t="shared" si="7"/>
        <v>AVA PEREZ</v>
      </c>
      <c r="K217" s="44"/>
    </row>
    <row r="218" spans="1:11" ht="60" customHeight="1" x14ac:dyDescent="0.25">
      <c r="A218" s="57" t="s">
        <v>642</v>
      </c>
      <c r="B218" s="57" t="s">
        <v>330</v>
      </c>
      <c r="C218" s="57" t="s">
        <v>22</v>
      </c>
      <c r="D218" s="57" t="s">
        <v>23</v>
      </c>
      <c r="E218" s="58">
        <v>137.78</v>
      </c>
      <c r="F218" s="57" t="s">
        <v>641</v>
      </c>
      <c r="G218" s="57" t="s">
        <v>330</v>
      </c>
      <c r="H218" s="57" t="s">
        <v>25</v>
      </c>
      <c r="I218" s="59">
        <f t="shared" si="6"/>
        <v>45748</v>
      </c>
      <c r="J218" s="61" t="str">
        <f t="shared" si="7"/>
        <v>AVA PEREZ</v>
      </c>
      <c r="K218" s="44"/>
    </row>
    <row r="219" spans="1:11" ht="60" customHeight="1" x14ac:dyDescent="0.25">
      <c r="A219" s="51" t="s">
        <v>640</v>
      </c>
      <c r="B219" s="51" t="s">
        <v>43</v>
      </c>
      <c r="C219" s="51" t="s">
        <v>22</v>
      </c>
      <c r="D219" s="51" t="s">
        <v>23</v>
      </c>
      <c r="E219" s="56">
        <v>2.99</v>
      </c>
      <c r="F219" s="51" t="s">
        <v>639</v>
      </c>
      <c r="G219" s="51" t="s">
        <v>43</v>
      </c>
      <c r="H219" s="51" t="s">
        <v>45</v>
      </c>
      <c r="I219" s="55">
        <f t="shared" si="6"/>
        <v>45748</v>
      </c>
      <c r="J219" s="61" t="str">
        <f t="shared" si="7"/>
        <v>AVA PEREZ</v>
      </c>
      <c r="K219" s="44"/>
    </row>
    <row r="220" spans="1:11" ht="60" customHeight="1" x14ac:dyDescent="0.25">
      <c r="A220" s="57" t="s">
        <v>638</v>
      </c>
      <c r="B220" s="57" t="s">
        <v>516</v>
      </c>
      <c r="C220" s="57" t="s">
        <v>3</v>
      </c>
      <c r="D220" s="57" t="s">
        <v>31</v>
      </c>
      <c r="E220" s="58">
        <v>12.99</v>
      </c>
      <c r="F220" s="57" t="s">
        <v>637</v>
      </c>
      <c r="G220" s="57" t="s">
        <v>516</v>
      </c>
      <c r="H220" s="57" t="s">
        <v>371</v>
      </c>
      <c r="I220" s="59">
        <f t="shared" si="6"/>
        <v>45748</v>
      </c>
      <c r="J220" s="61" t="str">
        <f t="shared" si="7"/>
        <v>DWG-RE Platform (Redirected)</v>
      </c>
      <c r="K220" s="44"/>
    </row>
    <row r="221" spans="1:11" ht="60" customHeight="1" x14ac:dyDescent="0.25">
      <c r="A221" s="51" t="s">
        <v>635</v>
      </c>
      <c r="B221" s="51" t="s">
        <v>154</v>
      </c>
      <c r="C221" s="51" t="s">
        <v>3</v>
      </c>
      <c r="D221" s="51" t="s">
        <v>31</v>
      </c>
      <c r="E221" s="56">
        <v>375</v>
      </c>
      <c r="F221" s="51" t="s">
        <v>636</v>
      </c>
      <c r="G221" s="51" t="s">
        <v>154</v>
      </c>
      <c r="H221" s="51" t="s">
        <v>371</v>
      </c>
      <c r="I221" s="55">
        <f t="shared" si="6"/>
        <v>45748</v>
      </c>
      <c r="J221" s="61" t="str">
        <f t="shared" si="7"/>
        <v>DWG-RE Platform (Redirected)</v>
      </c>
      <c r="K221" s="44"/>
    </row>
    <row r="222" spans="1:11" ht="60" customHeight="1" x14ac:dyDescent="0.25">
      <c r="A222" s="57" t="s">
        <v>635</v>
      </c>
      <c r="B222" s="57" t="s">
        <v>78</v>
      </c>
      <c r="C222" s="57" t="s">
        <v>3</v>
      </c>
      <c r="D222" s="57" t="s">
        <v>31</v>
      </c>
      <c r="E222" s="58">
        <v>24.99</v>
      </c>
      <c r="F222" s="57" t="s">
        <v>634</v>
      </c>
      <c r="G222" s="57" t="s">
        <v>78</v>
      </c>
      <c r="H222" s="57" t="s">
        <v>374</v>
      </c>
      <c r="I222" s="59">
        <f t="shared" si="6"/>
        <v>45748</v>
      </c>
      <c r="J222" s="61" t="str">
        <f t="shared" si="7"/>
        <v>Family</v>
      </c>
      <c r="K222" s="44"/>
    </row>
    <row r="223" spans="1:11" ht="60" customHeight="1" x14ac:dyDescent="0.25">
      <c r="A223" s="51" t="s">
        <v>633</v>
      </c>
      <c r="B223" s="51" t="s">
        <v>26</v>
      </c>
      <c r="C223" s="51" t="s">
        <v>22</v>
      </c>
      <c r="D223" s="51" t="s">
        <v>23</v>
      </c>
      <c r="E223" s="56">
        <v>26.45</v>
      </c>
      <c r="F223" s="51" t="s">
        <v>632</v>
      </c>
      <c r="G223" s="51" t="s">
        <v>26</v>
      </c>
      <c r="H223" s="51" t="s">
        <v>28</v>
      </c>
      <c r="I223" s="55">
        <f t="shared" si="6"/>
        <v>45748</v>
      </c>
      <c r="J223" s="61" t="str">
        <f t="shared" si="7"/>
        <v>AVA PEREZ</v>
      </c>
      <c r="K223" s="44"/>
    </row>
    <row r="224" spans="1:11" ht="60" customHeight="1" x14ac:dyDescent="0.25">
      <c r="A224" s="57" t="s">
        <v>631</v>
      </c>
      <c r="B224" s="57" t="s">
        <v>164</v>
      </c>
      <c r="C224" s="57" t="s">
        <v>165</v>
      </c>
      <c r="D224" s="57" t="s">
        <v>166</v>
      </c>
      <c r="E224" s="58">
        <v>60</v>
      </c>
      <c r="F224" s="57" t="s">
        <v>630</v>
      </c>
      <c r="G224" s="57" t="s">
        <v>164</v>
      </c>
      <c r="H224" s="57" t="s">
        <v>64</v>
      </c>
      <c r="I224" s="59">
        <f t="shared" si="6"/>
        <v>45748</v>
      </c>
      <c r="J224" s="61" t="str">
        <f t="shared" si="7"/>
        <v>ANGELA L DUNNING</v>
      </c>
      <c r="K224" s="44"/>
    </row>
    <row r="225" spans="1:11" ht="60" customHeight="1" x14ac:dyDescent="0.25">
      <c r="A225" s="51" t="s">
        <v>627</v>
      </c>
      <c r="B225" s="51" t="s">
        <v>43</v>
      </c>
      <c r="C225" s="51" t="s">
        <v>22</v>
      </c>
      <c r="D225" s="51" t="s">
        <v>23</v>
      </c>
      <c r="E225" s="56">
        <v>27.97</v>
      </c>
      <c r="F225" s="51" t="s">
        <v>629</v>
      </c>
      <c r="G225" s="51" t="s">
        <v>43</v>
      </c>
      <c r="H225" s="51" t="s">
        <v>45</v>
      </c>
      <c r="I225" s="55">
        <f t="shared" si="6"/>
        <v>45748</v>
      </c>
      <c r="J225" s="61" t="str">
        <f t="shared" si="7"/>
        <v>AVA PEREZ</v>
      </c>
      <c r="K225" s="44"/>
    </row>
    <row r="226" spans="1:11" ht="60" customHeight="1" x14ac:dyDescent="0.25">
      <c r="A226" s="57" t="s">
        <v>627</v>
      </c>
      <c r="B226" s="57" t="s">
        <v>280</v>
      </c>
      <c r="C226" s="57" t="s">
        <v>22</v>
      </c>
      <c r="D226" s="57" t="s">
        <v>23</v>
      </c>
      <c r="E226" s="58">
        <v>14.99</v>
      </c>
      <c r="F226" s="57" t="s">
        <v>628</v>
      </c>
      <c r="G226" s="57" t="s">
        <v>280</v>
      </c>
      <c r="H226" s="57" t="s">
        <v>282</v>
      </c>
      <c r="I226" s="59">
        <f t="shared" si="6"/>
        <v>45748</v>
      </c>
      <c r="J226" s="61" t="str">
        <f t="shared" si="7"/>
        <v>AVA PEREZ</v>
      </c>
      <c r="K226" s="44"/>
    </row>
    <row r="227" spans="1:11" ht="60" customHeight="1" x14ac:dyDescent="0.25">
      <c r="A227" s="51" t="s">
        <v>627</v>
      </c>
      <c r="B227" s="51" t="s">
        <v>625</v>
      </c>
      <c r="C227" s="51" t="s">
        <v>22</v>
      </c>
      <c r="D227" s="51" t="s">
        <v>23</v>
      </c>
      <c r="E227" s="56">
        <v>24.77</v>
      </c>
      <c r="F227" s="51" t="s">
        <v>626</v>
      </c>
      <c r="G227" s="51" t="s">
        <v>625</v>
      </c>
      <c r="H227" s="51" t="s">
        <v>106</v>
      </c>
      <c r="I227" s="55">
        <f t="shared" si="6"/>
        <v>45748</v>
      </c>
      <c r="J227" s="61" t="str">
        <f t="shared" si="7"/>
        <v>AVA PEREZ</v>
      </c>
      <c r="K227" s="44"/>
    </row>
    <row r="228" spans="1:11" ht="60" customHeight="1" x14ac:dyDescent="0.25">
      <c r="A228" s="57" t="s">
        <v>624</v>
      </c>
      <c r="B228" s="57" t="s">
        <v>622</v>
      </c>
      <c r="C228" s="57" t="s">
        <v>22</v>
      </c>
      <c r="D228" s="57" t="s">
        <v>23</v>
      </c>
      <c r="E228" s="58">
        <v>11.99</v>
      </c>
      <c r="F228" s="57" t="s">
        <v>623</v>
      </c>
      <c r="G228" s="57" t="s">
        <v>622</v>
      </c>
      <c r="H228" s="57" t="s">
        <v>102</v>
      </c>
      <c r="I228" s="59">
        <f t="shared" si="6"/>
        <v>45748</v>
      </c>
      <c r="J228" s="61" t="str">
        <f t="shared" si="7"/>
        <v>AVA PEREZ</v>
      </c>
      <c r="K228" s="44"/>
    </row>
    <row r="229" spans="1:11" ht="60" customHeight="1" x14ac:dyDescent="0.25">
      <c r="A229" s="51" t="s">
        <v>621</v>
      </c>
      <c r="B229" s="51" t="s">
        <v>619</v>
      </c>
      <c r="C229" s="51" t="s">
        <v>3</v>
      </c>
      <c r="D229" s="51" t="s">
        <v>31</v>
      </c>
      <c r="E229" s="56">
        <v>6.99</v>
      </c>
      <c r="F229" s="51" t="s">
        <v>620</v>
      </c>
      <c r="G229" s="51" t="s">
        <v>619</v>
      </c>
      <c r="H229" s="51" t="s">
        <v>374</v>
      </c>
      <c r="I229" s="55">
        <f t="shared" si="6"/>
        <v>45748</v>
      </c>
      <c r="J229" s="61" t="str">
        <f t="shared" si="7"/>
        <v>Family</v>
      </c>
      <c r="K229" s="44"/>
    </row>
    <row r="230" spans="1:11" ht="60" customHeight="1" x14ac:dyDescent="0.25">
      <c r="A230" s="57" t="s">
        <v>618</v>
      </c>
      <c r="B230" s="57" t="s">
        <v>616</v>
      </c>
      <c r="C230" s="57" t="s">
        <v>3</v>
      </c>
      <c r="D230" s="57" t="s">
        <v>31</v>
      </c>
      <c r="E230" s="58">
        <v>139.99</v>
      </c>
      <c r="F230" s="57" t="s">
        <v>617</v>
      </c>
      <c r="G230" s="57" t="s">
        <v>616</v>
      </c>
      <c r="H230" s="57" t="s">
        <v>371</v>
      </c>
      <c r="I230" s="59">
        <f t="shared" si="6"/>
        <v>45748</v>
      </c>
      <c r="J230" s="61" t="str">
        <f t="shared" si="7"/>
        <v>DWG-RE Platform (Redirected)</v>
      </c>
      <c r="K230" s="44"/>
    </row>
    <row r="231" spans="1:11" ht="60" customHeight="1" x14ac:dyDescent="0.25">
      <c r="A231" s="51" t="s">
        <v>614</v>
      </c>
      <c r="B231" s="51" t="s">
        <v>108</v>
      </c>
      <c r="C231" s="51" t="s">
        <v>3</v>
      </c>
      <c r="D231" s="51" t="s">
        <v>31</v>
      </c>
      <c r="E231" s="56">
        <v>29.99</v>
      </c>
      <c r="F231" s="51" t="s">
        <v>615</v>
      </c>
      <c r="G231" s="51" t="s">
        <v>108</v>
      </c>
      <c r="H231" s="51" t="s">
        <v>371</v>
      </c>
      <c r="I231" s="55">
        <f t="shared" si="6"/>
        <v>45748</v>
      </c>
      <c r="J231" s="61" t="str">
        <f t="shared" si="7"/>
        <v>DWG-RE Platform (Redirected)</v>
      </c>
      <c r="K231" s="44"/>
    </row>
    <row r="232" spans="1:11" ht="60" customHeight="1" x14ac:dyDescent="0.25">
      <c r="A232" s="57" t="s">
        <v>614</v>
      </c>
      <c r="B232" s="57" t="s">
        <v>30</v>
      </c>
      <c r="C232" s="57" t="s">
        <v>3</v>
      </c>
      <c r="D232" s="57" t="s">
        <v>31</v>
      </c>
      <c r="E232" s="58">
        <v>208.95</v>
      </c>
      <c r="F232" s="57" t="s">
        <v>613</v>
      </c>
      <c r="G232" s="57" t="s">
        <v>30</v>
      </c>
      <c r="H232" s="57" t="s">
        <v>371</v>
      </c>
      <c r="I232" s="59">
        <f t="shared" si="6"/>
        <v>45748</v>
      </c>
      <c r="J232" s="61" t="str">
        <f t="shared" si="7"/>
        <v>DWG-RE Platform (Redirected)</v>
      </c>
      <c r="K232" s="44"/>
    </row>
    <row r="233" spans="1:11" ht="60" customHeight="1" x14ac:dyDescent="0.25">
      <c r="A233" s="51" t="s">
        <v>610</v>
      </c>
      <c r="B233" s="51" t="s">
        <v>611</v>
      </c>
      <c r="C233" s="51" t="s">
        <v>3</v>
      </c>
      <c r="D233" s="51" t="s">
        <v>31</v>
      </c>
      <c r="E233" s="56">
        <v>54</v>
      </c>
      <c r="F233" s="51" t="s">
        <v>612</v>
      </c>
      <c r="G233" s="51" t="s">
        <v>611</v>
      </c>
      <c r="H233" s="51" t="s">
        <v>371</v>
      </c>
      <c r="I233" s="55">
        <f t="shared" si="6"/>
        <v>45748</v>
      </c>
      <c r="J233" s="61" t="str">
        <f t="shared" si="7"/>
        <v>DWG-RE Platform (Redirected)</v>
      </c>
      <c r="K233" s="44"/>
    </row>
    <row r="234" spans="1:11" ht="60" customHeight="1" x14ac:dyDescent="0.25">
      <c r="A234" s="57" t="s">
        <v>610</v>
      </c>
      <c r="B234" s="57" t="s">
        <v>330</v>
      </c>
      <c r="C234" s="57" t="s">
        <v>22</v>
      </c>
      <c r="D234" s="57" t="s">
        <v>23</v>
      </c>
      <c r="E234" s="58">
        <v>-18.93</v>
      </c>
      <c r="F234" s="57" t="s">
        <v>609</v>
      </c>
      <c r="G234" s="57" t="s">
        <v>330</v>
      </c>
      <c r="H234" s="57" t="s">
        <v>25</v>
      </c>
      <c r="I234" s="59">
        <f t="shared" si="6"/>
        <v>45748</v>
      </c>
      <c r="J234" s="61" t="str">
        <f t="shared" si="7"/>
        <v>AVA PEREZ</v>
      </c>
      <c r="K234" s="44"/>
    </row>
    <row r="235" spans="1:11" ht="60" customHeight="1" x14ac:dyDescent="0.25">
      <c r="A235" s="51" t="s">
        <v>608</v>
      </c>
      <c r="B235" s="51" t="s">
        <v>190</v>
      </c>
      <c r="C235" s="51" t="s">
        <v>3</v>
      </c>
      <c r="D235" s="51" t="s">
        <v>31</v>
      </c>
      <c r="E235" s="56">
        <v>249</v>
      </c>
      <c r="F235" s="51" t="s">
        <v>607</v>
      </c>
      <c r="G235" s="51" t="s">
        <v>190</v>
      </c>
      <c r="H235" s="51" t="s">
        <v>371</v>
      </c>
      <c r="I235" s="55">
        <f t="shared" si="6"/>
        <v>45748</v>
      </c>
      <c r="J235" s="61" t="str">
        <f t="shared" si="7"/>
        <v>DWG-RE Platform (Redirected)</v>
      </c>
      <c r="K235" s="44"/>
    </row>
    <row r="236" spans="1:11" ht="60" customHeight="1" x14ac:dyDescent="0.25">
      <c r="A236" s="57" t="s">
        <v>606</v>
      </c>
      <c r="B236" s="57" t="s">
        <v>533</v>
      </c>
      <c r="C236" s="57" t="s">
        <v>22</v>
      </c>
      <c r="D236" s="57" t="s">
        <v>23</v>
      </c>
      <c r="E236" s="58">
        <v>99</v>
      </c>
      <c r="F236" s="57" t="s">
        <v>605</v>
      </c>
      <c r="G236" s="57" t="s">
        <v>533</v>
      </c>
      <c r="H236" s="57" t="s">
        <v>64</v>
      </c>
      <c r="I236" s="59">
        <f t="shared" si="6"/>
        <v>45748</v>
      </c>
      <c r="J236" s="61" t="str">
        <f t="shared" si="7"/>
        <v>AVA PEREZ</v>
      </c>
      <c r="K236" s="44"/>
    </row>
    <row r="237" spans="1:11" ht="60" customHeight="1" x14ac:dyDescent="0.25">
      <c r="A237" s="51" t="s">
        <v>604</v>
      </c>
      <c r="B237" s="51" t="s">
        <v>602</v>
      </c>
      <c r="C237" s="51" t="s">
        <v>22</v>
      </c>
      <c r="D237" s="51" t="s">
        <v>23</v>
      </c>
      <c r="E237" s="56">
        <v>82.31</v>
      </c>
      <c r="F237" s="51" t="s">
        <v>603</v>
      </c>
      <c r="G237" s="51" t="s">
        <v>602</v>
      </c>
      <c r="H237" s="51" t="s">
        <v>601</v>
      </c>
      <c r="I237" s="55">
        <f t="shared" si="6"/>
        <v>45748</v>
      </c>
      <c r="J237" s="61" t="str">
        <f t="shared" si="7"/>
        <v>AVA PEREZ</v>
      </c>
      <c r="K237" s="44"/>
    </row>
    <row r="238" spans="1:11" ht="60" customHeight="1" x14ac:dyDescent="0.25">
      <c r="A238" s="57" t="s">
        <v>597</v>
      </c>
      <c r="B238" s="57" t="s">
        <v>451</v>
      </c>
      <c r="C238" s="57" t="s">
        <v>22</v>
      </c>
      <c r="D238" s="57" t="s">
        <v>23</v>
      </c>
      <c r="E238" s="58">
        <v>16.100000000000001</v>
      </c>
      <c r="F238" s="57" t="s">
        <v>600</v>
      </c>
      <c r="G238" s="57" t="s">
        <v>451</v>
      </c>
      <c r="H238" s="57" t="s">
        <v>273</v>
      </c>
      <c r="I238" s="59">
        <f t="shared" si="6"/>
        <v>45717</v>
      </c>
      <c r="J238" s="61" t="str">
        <f t="shared" si="7"/>
        <v>AVA PEREZ</v>
      </c>
      <c r="K238" s="44"/>
    </row>
    <row r="239" spans="1:11" ht="60" customHeight="1" x14ac:dyDescent="0.25">
      <c r="A239" s="51" t="s">
        <v>597</v>
      </c>
      <c r="B239" s="51" t="s">
        <v>21</v>
      </c>
      <c r="C239" s="51" t="s">
        <v>22</v>
      </c>
      <c r="D239" s="51" t="s">
        <v>23</v>
      </c>
      <c r="E239" s="56">
        <v>16.8</v>
      </c>
      <c r="F239" s="51" t="s">
        <v>599</v>
      </c>
      <c r="G239" s="51" t="s">
        <v>21</v>
      </c>
      <c r="H239" s="51" t="s">
        <v>25</v>
      </c>
      <c r="I239" s="55">
        <f t="shared" si="6"/>
        <v>45717</v>
      </c>
      <c r="J239" s="61" t="str">
        <f t="shared" si="7"/>
        <v>AVA PEREZ</v>
      </c>
      <c r="K239" s="44"/>
    </row>
    <row r="240" spans="1:11" ht="60" customHeight="1" x14ac:dyDescent="0.25">
      <c r="A240" s="57" t="s">
        <v>597</v>
      </c>
      <c r="B240" s="57" t="s">
        <v>21</v>
      </c>
      <c r="C240" s="57" t="s">
        <v>22</v>
      </c>
      <c r="D240" s="57" t="s">
        <v>23</v>
      </c>
      <c r="E240" s="58">
        <v>41.28</v>
      </c>
      <c r="F240" s="57" t="s">
        <v>598</v>
      </c>
      <c r="G240" s="57" t="s">
        <v>21</v>
      </c>
      <c r="H240" s="57" t="s">
        <v>25</v>
      </c>
      <c r="I240" s="59">
        <f t="shared" si="6"/>
        <v>45717</v>
      </c>
      <c r="J240" s="61" t="str">
        <f t="shared" si="7"/>
        <v>AVA PEREZ</v>
      </c>
      <c r="K240" s="44"/>
    </row>
    <row r="241" spans="1:11" ht="60" customHeight="1" x14ac:dyDescent="0.25">
      <c r="A241" s="51" t="s">
        <v>597</v>
      </c>
      <c r="B241" s="51" t="s">
        <v>50</v>
      </c>
      <c r="C241" s="51" t="s">
        <v>3</v>
      </c>
      <c r="D241" s="51" t="s">
        <v>31</v>
      </c>
      <c r="E241" s="56">
        <v>152.11000000000001</v>
      </c>
      <c r="F241" s="51" t="s">
        <v>596</v>
      </c>
      <c r="G241" s="51" t="s">
        <v>50</v>
      </c>
      <c r="H241" s="51" t="s">
        <v>372</v>
      </c>
      <c r="I241" s="55">
        <f t="shared" si="6"/>
        <v>45717</v>
      </c>
      <c r="J241" s="61" t="str">
        <f t="shared" si="7"/>
        <v>Sponsor Cloud</v>
      </c>
      <c r="K241" s="44"/>
    </row>
    <row r="242" spans="1:11" ht="60" customHeight="1" x14ac:dyDescent="0.25">
      <c r="A242" s="57" t="s">
        <v>595</v>
      </c>
      <c r="B242" s="57" t="s">
        <v>21</v>
      </c>
      <c r="C242" s="57" t="s">
        <v>22</v>
      </c>
      <c r="D242" s="57" t="s">
        <v>23</v>
      </c>
      <c r="E242" s="58">
        <v>32.840000000000003</v>
      </c>
      <c r="F242" s="57" t="s">
        <v>594</v>
      </c>
      <c r="G242" s="57" t="s">
        <v>21</v>
      </c>
      <c r="H242" s="57" t="s">
        <v>25</v>
      </c>
      <c r="I242" s="59">
        <f t="shared" si="6"/>
        <v>45717</v>
      </c>
      <c r="J242" s="61" t="str">
        <f t="shared" si="7"/>
        <v>AVA PEREZ</v>
      </c>
      <c r="K242" s="44"/>
    </row>
    <row r="243" spans="1:11" ht="60" customHeight="1" x14ac:dyDescent="0.25">
      <c r="A243" s="51" t="s">
        <v>592</v>
      </c>
      <c r="B243" s="51" t="s">
        <v>451</v>
      </c>
      <c r="C243" s="51" t="s">
        <v>22</v>
      </c>
      <c r="D243" s="51" t="s">
        <v>23</v>
      </c>
      <c r="E243" s="56">
        <v>-149.72999999999999</v>
      </c>
      <c r="F243" s="51" t="s">
        <v>593</v>
      </c>
      <c r="G243" s="51" t="s">
        <v>451</v>
      </c>
      <c r="H243" s="51" t="s">
        <v>273</v>
      </c>
      <c r="I243" s="55">
        <f t="shared" si="6"/>
        <v>45717</v>
      </c>
      <c r="J243" s="61" t="str">
        <f t="shared" si="7"/>
        <v>AVA PEREZ</v>
      </c>
      <c r="K243" s="44"/>
    </row>
    <row r="244" spans="1:11" ht="60" customHeight="1" x14ac:dyDescent="0.25">
      <c r="A244" s="57" t="s">
        <v>592</v>
      </c>
      <c r="B244" s="57" t="s">
        <v>590</v>
      </c>
      <c r="C244" s="57" t="s">
        <v>22</v>
      </c>
      <c r="D244" s="57" t="s">
        <v>23</v>
      </c>
      <c r="E244" s="58">
        <v>17</v>
      </c>
      <c r="F244" s="57" t="s">
        <v>591</v>
      </c>
      <c r="G244" s="57" t="s">
        <v>590</v>
      </c>
      <c r="H244" s="57" t="s">
        <v>60</v>
      </c>
      <c r="I244" s="59">
        <f t="shared" si="6"/>
        <v>45717</v>
      </c>
      <c r="J244" s="61" t="str">
        <f t="shared" si="7"/>
        <v>AVA PEREZ</v>
      </c>
      <c r="K244" s="44"/>
    </row>
    <row r="245" spans="1:11" ht="60" customHeight="1" x14ac:dyDescent="0.25">
      <c r="A245" s="51" t="s">
        <v>589</v>
      </c>
      <c r="B245" s="51" t="s">
        <v>477</v>
      </c>
      <c r="C245" s="51" t="s">
        <v>3</v>
      </c>
      <c r="D245" s="51" t="s">
        <v>31</v>
      </c>
      <c r="E245" s="56">
        <v>-1982.28</v>
      </c>
      <c r="F245" s="51" t="s">
        <v>478</v>
      </c>
      <c r="G245" s="51" t="s">
        <v>477</v>
      </c>
      <c r="H245" s="51" t="s">
        <v>373</v>
      </c>
      <c r="I245" s="55">
        <f t="shared" si="6"/>
        <v>45717</v>
      </c>
      <c r="J245" s="61" t="str">
        <f t="shared" si="7"/>
        <v>Online AMEX Payment</v>
      </c>
      <c r="K245" s="44"/>
    </row>
    <row r="246" spans="1:11" ht="60" customHeight="1" x14ac:dyDescent="0.25">
      <c r="A246" s="57" t="s">
        <v>589</v>
      </c>
      <c r="B246" s="57" t="s">
        <v>21</v>
      </c>
      <c r="C246" s="57" t="s">
        <v>22</v>
      </c>
      <c r="D246" s="57" t="s">
        <v>23</v>
      </c>
      <c r="E246" s="58">
        <v>50.01</v>
      </c>
      <c r="F246" s="57" t="s">
        <v>588</v>
      </c>
      <c r="G246" s="57" t="s">
        <v>21</v>
      </c>
      <c r="H246" s="57" t="s">
        <v>25</v>
      </c>
      <c r="I246" s="59">
        <f t="shared" si="6"/>
        <v>45717</v>
      </c>
      <c r="J246" s="61" t="str">
        <f t="shared" si="7"/>
        <v>AVA PEREZ</v>
      </c>
      <c r="K246" s="44"/>
    </row>
    <row r="247" spans="1:11" ht="60" customHeight="1" x14ac:dyDescent="0.25">
      <c r="A247" s="51" t="s">
        <v>585</v>
      </c>
      <c r="B247" s="51" t="s">
        <v>330</v>
      </c>
      <c r="C247" s="51" t="s">
        <v>22</v>
      </c>
      <c r="D247" s="51" t="s">
        <v>23</v>
      </c>
      <c r="E247" s="56">
        <v>18.93</v>
      </c>
      <c r="F247" s="51" t="s">
        <v>587</v>
      </c>
      <c r="G247" s="51" t="s">
        <v>330</v>
      </c>
      <c r="H247" s="51" t="s">
        <v>25</v>
      </c>
      <c r="I247" s="55">
        <f t="shared" si="6"/>
        <v>45717</v>
      </c>
      <c r="J247" s="61" t="str">
        <f t="shared" si="7"/>
        <v>AVA PEREZ</v>
      </c>
      <c r="K247" s="44"/>
    </row>
    <row r="248" spans="1:11" ht="60" customHeight="1" x14ac:dyDescent="0.25">
      <c r="A248" s="57" t="s">
        <v>585</v>
      </c>
      <c r="B248" s="57" t="s">
        <v>330</v>
      </c>
      <c r="C248" s="57" t="s">
        <v>22</v>
      </c>
      <c r="D248" s="57" t="s">
        <v>23</v>
      </c>
      <c r="E248" s="58">
        <v>46.3</v>
      </c>
      <c r="F248" s="57" t="s">
        <v>586</v>
      </c>
      <c r="G248" s="57" t="s">
        <v>330</v>
      </c>
      <c r="H248" s="57" t="s">
        <v>25</v>
      </c>
      <c r="I248" s="59">
        <f t="shared" si="6"/>
        <v>45717</v>
      </c>
      <c r="J248" s="61" t="str">
        <f t="shared" si="7"/>
        <v>AVA PEREZ</v>
      </c>
      <c r="K248" s="44"/>
    </row>
    <row r="249" spans="1:11" ht="60" customHeight="1" x14ac:dyDescent="0.25">
      <c r="A249" s="51" t="s">
        <v>585</v>
      </c>
      <c r="B249" s="51" t="s">
        <v>330</v>
      </c>
      <c r="C249" s="51" t="s">
        <v>22</v>
      </c>
      <c r="D249" s="51" t="s">
        <v>23</v>
      </c>
      <c r="E249" s="56">
        <v>73.67</v>
      </c>
      <c r="F249" s="51" t="s">
        <v>584</v>
      </c>
      <c r="G249" s="51" t="s">
        <v>330</v>
      </c>
      <c r="H249" s="51" t="s">
        <v>25</v>
      </c>
      <c r="I249" s="55">
        <f t="shared" si="6"/>
        <v>45717</v>
      </c>
      <c r="J249" s="61" t="str">
        <f t="shared" si="7"/>
        <v>AVA PEREZ</v>
      </c>
      <c r="K249" s="44"/>
    </row>
    <row r="250" spans="1:11" ht="60" customHeight="1" x14ac:dyDescent="0.25">
      <c r="A250" s="57" t="s">
        <v>580</v>
      </c>
      <c r="B250" s="57" t="s">
        <v>582</v>
      </c>
      <c r="C250" s="57" t="s">
        <v>22</v>
      </c>
      <c r="D250" s="57" t="s">
        <v>23</v>
      </c>
      <c r="E250" s="58">
        <v>0.7</v>
      </c>
      <c r="F250" s="57" t="s">
        <v>583</v>
      </c>
      <c r="G250" s="57" t="s">
        <v>582</v>
      </c>
      <c r="H250" s="57" t="s">
        <v>577</v>
      </c>
      <c r="I250" s="59">
        <f t="shared" si="6"/>
        <v>45717</v>
      </c>
      <c r="J250" s="61" t="str">
        <f t="shared" si="7"/>
        <v>AVA PEREZ</v>
      </c>
      <c r="K250" s="44"/>
    </row>
    <row r="251" spans="1:11" ht="60" customHeight="1" x14ac:dyDescent="0.25">
      <c r="A251" s="51" t="s">
        <v>580</v>
      </c>
      <c r="B251" s="51" t="s">
        <v>451</v>
      </c>
      <c r="C251" s="51" t="s">
        <v>22</v>
      </c>
      <c r="D251" s="51" t="s">
        <v>23</v>
      </c>
      <c r="E251" s="56">
        <v>149.72999999999999</v>
      </c>
      <c r="F251" s="51" t="s">
        <v>581</v>
      </c>
      <c r="G251" s="51" t="s">
        <v>451</v>
      </c>
      <c r="H251" s="51" t="s">
        <v>273</v>
      </c>
      <c r="I251" s="55">
        <f t="shared" si="6"/>
        <v>45717</v>
      </c>
      <c r="J251" s="61" t="str">
        <f t="shared" si="7"/>
        <v>AVA PEREZ</v>
      </c>
      <c r="K251" s="44"/>
    </row>
    <row r="252" spans="1:11" ht="60" customHeight="1" x14ac:dyDescent="0.25">
      <c r="A252" s="57" t="s">
        <v>580</v>
      </c>
      <c r="B252" s="57" t="s">
        <v>578</v>
      </c>
      <c r="C252" s="57" t="s">
        <v>22</v>
      </c>
      <c r="D252" s="57" t="s">
        <v>23</v>
      </c>
      <c r="E252" s="58">
        <v>36</v>
      </c>
      <c r="F252" s="57" t="s">
        <v>579</v>
      </c>
      <c r="G252" s="57" t="s">
        <v>578</v>
      </c>
      <c r="H252" s="57" t="s">
        <v>577</v>
      </c>
      <c r="I252" s="59">
        <f t="shared" si="6"/>
        <v>45717</v>
      </c>
      <c r="J252" s="61" t="str">
        <f t="shared" si="7"/>
        <v>AVA PEREZ</v>
      </c>
      <c r="K252" s="44"/>
    </row>
    <row r="253" spans="1:11" ht="60" customHeight="1" x14ac:dyDescent="0.25">
      <c r="A253" s="51" t="s">
        <v>575</v>
      </c>
      <c r="B253" s="51" t="s">
        <v>451</v>
      </c>
      <c r="C253" s="51" t="s">
        <v>22</v>
      </c>
      <c r="D253" s="51" t="s">
        <v>23</v>
      </c>
      <c r="E253" s="56">
        <v>150.43</v>
      </c>
      <c r="F253" s="51" t="s">
        <v>576</v>
      </c>
      <c r="G253" s="51" t="s">
        <v>451</v>
      </c>
      <c r="H253" s="51" t="s">
        <v>273</v>
      </c>
      <c r="I253" s="55">
        <f t="shared" si="6"/>
        <v>45717</v>
      </c>
      <c r="J253" s="61" t="str">
        <f t="shared" si="7"/>
        <v>AVA PEREZ</v>
      </c>
      <c r="K253" s="44"/>
    </row>
    <row r="254" spans="1:11" ht="60" customHeight="1" x14ac:dyDescent="0.25">
      <c r="A254" s="57" t="s">
        <v>575</v>
      </c>
      <c r="B254" s="57" t="s">
        <v>573</v>
      </c>
      <c r="C254" s="57" t="s">
        <v>3</v>
      </c>
      <c r="D254" s="57" t="s">
        <v>31</v>
      </c>
      <c r="E254" s="58">
        <v>50.31</v>
      </c>
      <c r="F254" s="57" t="s">
        <v>574</v>
      </c>
      <c r="G254" s="57" t="s">
        <v>573</v>
      </c>
      <c r="H254" s="57" t="s">
        <v>572</v>
      </c>
      <c r="I254" s="59">
        <f t="shared" si="6"/>
        <v>45717</v>
      </c>
      <c r="J254" s="61" t="str">
        <f t="shared" si="7"/>
        <v>Travel</v>
      </c>
      <c r="K254" s="44"/>
    </row>
    <row r="255" spans="1:11" ht="60" customHeight="1" x14ac:dyDescent="0.25">
      <c r="A255" s="51" t="s">
        <v>570</v>
      </c>
      <c r="B255" s="51" t="s">
        <v>73</v>
      </c>
      <c r="C255" s="51" t="s">
        <v>3</v>
      </c>
      <c r="D255" s="51" t="s">
        <v>31</v>
      </c>
      <c r="E255" s="56">
        <v>59.99</v>
      </c>
      <c r="F255" s="51" t="s">
        <v>571</v>
      </c>
      <c r="G255" s="51" t="s">
        <v>73</v>
      </c>
      <c r="H255" s="51" t="s">
        <v>371</v>
      </c>
      <c r="I255" s="55">
        <f t="shared" si="6"/>
        <v>45717</v>
      </c>
      <c r="J255" s="61" t="str">
        <f t="shared" si="7"/>
        <v>DWG-RE Platform (Redirected)</v>
      </c>
      <c r="K255" s="44"/>
    </row>
    <row r="256" spans="1:11" ht="60" customHeight="1" x14ac:dyDescent="0.25">
      <c r="A256" s="57" t="s">
        <v>570</v>
      </c>
      <c r="B256" s="57" t="s">
        <v>516</v>
      </c>
      <c r="C256" s="57" t="s">
        <v>3</v>
      </c>
      <c r="D256" s="57" t="s">
        <v>31</v>
      </c>
      <c r="E256" s="58">
        <v>12.99</v>
      </c>
      <c r="F256" s="57" t="s">
        <v>569</v>
      </c>
      <c r="G256" s="57" t="s">
        <v>516</v>
      </c>
      <c r="H256" s="57" t="s">
        <v>371</v>
      </c>
      <c r="I256" s="59">
        <f t="shared" si="6"/>
        <v>45717</v>
      </c>
      <c r="J256" s="61" t="str">
        <f t="shared" si="7"/>
        <v>DWG-RE Platform (Redirected)</v>
      </c>
      <c r="K256" s="44"/>
    </row>
    <row r="257" spans="1:11" ht="60" customHeight="1" x14ac:dyDescent="0.25">
      <c r="A257" s="51" t="s">
        <v>568</v>
      </c>
      <c r="B257" s="51" t="s">
        <v>451</v>
      </c>
      <c r="C257" s="51" t="s">
        <v>22</v>
      </c>
      <c r="D257" s="51" t="s">
        <v>23</v>
      </c>
      <c r="E257" s="56">
        <v>23.01</v>
      </c>
      <c r="F257" s="51" t="s">
        <v>567</v>
      </c>
      <c r="G257" s="51" t="s">
        <v>451</v>
      </c>
      <c r="H257" s="51" t="s">
        <v>273</v>
      </c>
      <c r="I257" s="55">
        <f t="shared" si="6"/>
        <v>45717</v>
      </c>
      <c r="J257" s="61" t="str">
        <f t="shared" si="7"/>
        <v>AVA PEREZ</v>
      </c>
      <c r="K257" s="44"/>
    </row>
    <row r="258" spans="1:11" ht="60" customHeight="1" x14ac:dyDescent="0.25">
      <c r="A258" s="57" t="s">
        <v>566</v>
      </c>
      <c r="B258" s="57" t="s">
        <v>26</v>
      </c>
      <c r="C258" s="57" t="s">
        <v>22</v>
      </c>
      <c r="D258" s="57" t="s">
        <v>23</v>
      </c>
      <c r="E258" s="58">
        <v>25.93</v>
      </c>
      <c r="F258" s="57" t="s">
        <v>565</v>
      </c>
      <c r="G258" s="57" t="s">
        <v>26</v>
      </c>
      <c r="H258" s="57" t="s">
        <v>28</v>
      </c>
      <c r="I258" s="59">
        <f t="shared" si="6"/>
        <v>45717</v>
      </c>
      <c r="J258" s="61" t="str">
        <f t="shared" si="7"/>
        <v>AVA PEREZ</v>
      </c>
      <c r="K258" s="44"/>
    </row>
    <row r="259" spans="1:11" ht="60" customHeight="1" x14ac:dyDescent="0.25">
      <c r="A259" s="51" t="s">
        <v>564</v>
      </c>
      <c r="B259" s="51" t="s">
        <v>78</v>
      </c>
      <c r="C259" s="51" t="s">
        <v>3</v>
      </c>
      <c r="D259" s="51" t="s">
        <v>31</v>
      </c>
      <c r="E259" s="56">
        <v>24.99</v>
      </c>
      <c r="F259" s="51" t="s">
        <v>563</v>
      </c>
      <c r="G259" s="51" t="s">
        <v>78</v>
      </c>
      <c r="H259" s="51" t="s">
        <v>374</v>
      </c>
      <c r="I259" s="55">
        <f t="shared" si="6"/>
        <v>45717</v>
      </c>
      <c r="J259" s="61" t="str">
        <f t="shared" si="7"/>
        <v>Family</v>
      </c>
      <c r="K259" s="44"/>
    </row>
    <row r="260" spans="1:11" ht="60" customHeight="1" x14ac:dyDescent="0.25">
      <c r="A260" s="57" t="s">
        <v>562</v>
      </c>
      <c r="B260" s="57" t="s">
        <v>451</v>
      </c>
      <c r="C260" s="57" t="s">
        <v>22</v>
      </c>
      <c r="D260" s="57" t="s">
        <v>23</v>
      </c>
      <c r="E260" s="58">
        <v>182.23</v>
      </c>
      <c r="F260" s="57" t="s">
        <v>561</v>
      </c>
      <c r="G260" s="57" t="s">
        <v>451</v>
      </c>
      <c r="H260" s="57" t="s">
        <v>273</v>
      </c>
      <c r="I260" s="59">
        <f t="shared" si="6"/>
        <v>45717</v>
      </c>
      <c r="J260" s="61" t="str">
        <f t="shared" si="7"/>
        <v>AVA PEREZ</v>
      </c>
      <c r="K260" s="44"/>
    </row>
    <row r="261" spans="1:11" ht="60" customHeight="1" x14ac:dyDescent="0.25">
      <c r="A261" s="51" t="s">
        <v>560</v>
      </c>
      <c r="B261" s="51" t="s">
        <v>558</v>
      </c>
      <c r="C261" s="51" t="s">
        <v>22</v>
      </c>
      <c r="D261" s="51" t="s">
        <v>23</v>
      </c>
      <c r="E261" s="56">
        <v>99</v>
      </c>
      <c r="F261" s="51" t="s">
        <v>559</v>
      </c>
      <c r="G261" s="51" t="s">
        <v>558</v>
      </c>
      <c r="H261" s="51" t="s">
        <v>282</v>
      </c>
      <c r="I261" s="55">
        <f t="shared" si="6"/>
        <v>45717</v>
      </c>
      <c r="J261" s="61" t="str">
        <f t="shared" si="7"/>
        <v>AVA PEREZ</v>
      </c>
      <c r="K261" s="44"/>
    </row>
    <row r="262" spans="1:11" ht="60" customHeight="1" x14ac:dyDescent="0.25">
      <c r="A262" s="57" t="s">
        <v>557</v>
      </c>
      <c r="B262" s="57" t="s">
        <v>451</v>
      </c>
      <c r="C262" s="57" t="s">
        <v>22</v>
      </c>
      <c r="D262" s="57" t="s">
        <v>23</v>
      </c>
      <c r="E262" s="58">
        <v>53.15</v>
      </c>
      <c r="F262" s="57" t="s">
        <v>556</v>
      </c>
      <c r="G262" s="57" t="s">
        <v>451</v>
      </c>
      <c r="H262" s="57" t="s">
        <v>273</v>
      </c>
      <c r="I262" s="59">
        <f t="shared" si="6"/>
        <v>45717</v>
      </c>
      <c r="J262" s="61" t="str">
        <f t="shared" si="7"/>
        <v>AVA PEREZ</v>
      </c>
      <c r="K262" s="44"/>
    </row>
    <row r="263" spans="1:11" ht="60" customHeight="1" x14ac:dyDescent="0.25">
      <c r="A263" s="51" t="s">
        <v>555</v>
      </c>
      <c r="B263" s="51" t="s">
        <v>553</v>
      </c>
      <c r="C263" s="51" t="s">
        <v>22</v>
      </c>
      <c r="D263" s="51" t="s">
        <v>23</v>
      </c>
      <c r="E263" s="56">
        <v>19.71</v>
      </c>
      <c r="F263" s="51" t="s">
        <v>554</v>
      </c>
      <c r="G263" s="51" t="s">
        <v>553</v>
      </c>
      <c r="H263" s="51" t="s">
        <v>273</v>
      </c>
      <c r="I263" s="55">
        <f t="shared" si="6"/>
        <v>45717</v>
      </c>
      <c r="J263" s="61" t="str">
        <f t="shared" si="7"/>
        <v>AVA PEREZ</v>
      </c>
      <c r="K263" s="44"/>
    </row>
    <row r="264" spans="1:11" ht="60" customHeight="1" x14ac:dyDescent="0.25">
      <c r="A264" s="57" t="s">
        <v>551</v>
      </c>
      <c r="B264" s="57" t="s">
        <v>501</v>
      </c>
      <c r="C264" s="57" t="s">
        <v>22</v>
      </c>
      <c r="D264" s="57" t="s">
        <v>23</v>
      </c>
      <c r="E264" s="58">
        <v>91.18</v>
      </c>
      <c r="F264" s="57" t="s">
        <v>552</v>
      </c>
      <c r="G264" s="57" t="s">
        <v>501</v>
      </c>
      <c r="H264" s="57" t="s">
        <v>25</v>
      </c>
      <c r="I264" s="59">
        <f t="shared" si="6"/>
        <v>45717</v>
      </c>
      <c r="J264" s="61" t="str">
        <f t="shared" si="7"/>
        <v>AVA PEREZ</v>
      </c>
      <c r="K264" s="44"/>
    </row>
    <row r="265" spans="1:11" ht="60" customHeight="1" x14ac:dyDescent="0.25">
      <c r="A265" s="51" t="s">
        <v>551</v>
      </c>
      <c r="B265" s="51" t="s">
        <v>330</v>
      </c>
      <c r="C265" s="51" t="s">
        <v>22</v>
      </c>
      <c r="D265" s="51" t="s">
        <v>23</v>
      </c>
      <c r="E265" s="56">
        <v>24.4</v>
      </c>
      <c r="F265" s="51" t="s">
        <v>550</v>
      </c>
      <c r="G265" s="51" t="s">
        <v>330</v>
      </c>
      <c r="H265" s="51" t="s">
        <v>25</v>
      </c>
      <c r="I265" s="55">
        <f t="shared" ref="I265:I328" si="8">DATE(RIGHT(A265,4)+0,LEFT(A265,2)+0,1)</f>
        <v>45717</v>
      </c>
      <c r="J265" s="61" t="str">
        <f t="shared" ref="J265:J328" si="9">IF(C265="JOHN DUNNING",IF(TRIM(H265)="",IF(ISNUMBER(SEARCH("PAYMENT",B265)),"Online AMEX Payment","(Uncategorized)"),TRIM(H265)),C265)</f>
        <v>AVA PEREZ</v>
      </c>
      <c r="K265" s="44"/>
    </row>
    <row r="266" spans="1:11" ht="60" customHeight="1" x14ac:dyDescent="0.25">
      <c r="A266" s="57" t="s">
        <v>548</v>
      </c>
      <c r="B266" s="57" t="s">
        <v>108</v>
      </c>
      <c r="C266" s="57" t="s">
        <v>3</v>
      </c>
      <c r="D266" s="57" t="s">
        <v>31</v>
      </c>
      <c r="E266" s="58">
        <v>29.99</v>
      </c>
      <c r="F266" s="57" t="s">
        <v>549</v>
      </c>
      <c r="G266" s="57" t="s">
        <v>108</v>
      </c>
      <c r="H266" s="57" t="s">
        <v>371</v>
      </c>
      <c r="I266" s="59">
        <f t="shared" si="8"/>
        <v>45717</v>
      </c>
      <c r="J266" s="61" t="str">
        <f t="shared" si="9"/>
        <v>DWG-RE Platform (Redirected)</v>
      </c>
      <c r="K266" s="44"/>
    </row>
    <row r="267" spans="1:11" ht="60" customHeight="1" x14ac:dyDescent="0.25">
      <c r="A267" s="51" t="s">
        <v>548</v>
      </c>
      <c r="B267" s="51" t="s">
        <v>30</v>
      </c>
      <c r="C267" s="51" t="s">
        <v>3</v>
      </c>
      <c r="D267" s="51" t="s">
        <v>31</v>
      </c>
      <c r="E267" s="56">
        <v>208.95</v>
      </c>
      <c r="F267" s="51" t="s">
        <v>547</v>
      </c>
      <c r="G267" s="51" t="s">
        <v>30</v>
      </c>
      <c r="H267" s="51" t="s">
        <v>371</v>
      </c>
      <c r="I267" s="55">
        <f t="shared" si="8"/>
        <v>45717</v>
      </c>
      <c r="J267" s="61" t="str">
        <f t="shared" si="9"/>
        <v>DWG-RE Platform (Redirected)</v>
      </c>
      <c r="K267" s="44"/>
    </row>
    <row r="268" spans="1:11" ht="60" customHeight="1" x14ac:dyDescent="0.25">
      <c r="A268" s="57" t="s">
        <v>546</v>
      </c>
      <c r="B268" s="57" t="s">
        <v>544</v>
      </c>
      <c r="C268" s="57" t="s">
        <v>3</v>
      </c>
      <c r="D268" s="57" t="s">
        <v>31</v>
      </c>
      <c r="E268" s="58">
        <v>54</v>
      </c>
      <c r="F268" s="57" t="s">
        <v>545</v>
      </c>
      <c r="G268" s="57" t="s">
        <v>544</v>
      </c>
      <c r="H268" s="57" t="s">
        <v>371</v>
      </c>
      <c r="I268" s="59">
        <f t="shared" si="8"/>
        <v>45717</v>
      </c>
      <c r="J268" s="61" t="str">
        <f t="shared" si="9"/>
        <v>DWG-RE Platform (Redirected)</v>
      </c>
      <c r="K268" s="44"/>
    </row>
    <row r="269" spans="1:11" ht="60" customHeight="1" x14ac:dyDescent="0.25">
      <c r="A269" s="51" t="s">
        <v>543</v>
      </c>
      <c r="B269" s="51" t="s">
        <v>533</v>
      </c>
      <c r="C269" s="51" t="s">
        <v>22</v>
      </c>
      <c r="D269" s="51" t="s">
        <v>23</v>
      </c>
      <c r="E269" s="56">
        <v>99</v>
      </c>
      <c r="F269" s="51" t="s">
        <v>542</v>
      </c>
      <c r="G269" s="51" t="s">
        <v>533</v>
      </c>
      <c r="H269" s="51" t="s">
        <v>64</v>
      </c>
      <c r="I269" s="55">
        <f t="shared" si="8"/>
        <v>45717</v>
      </c>
      <c r="J269" s="61" t="str">
        <f t="shared" si="9"/>
        <v>AVA PEREZ</v>
      </c>
      <c r="K269" s="44"/>
    </row>
    <row r="270" spans="1:11" ht="60" customHeight="1" x14ac:dyDescent="0.25">
      <c r="A270" s="57" t="s">
        <v>541</v>
      </c>
      <c r="B270" s="57" t="s">
        <v>501</v>
      </c>
      <c r="C270" s="57" t="s">
        <v>22</v>
      </c>
      <c r="D270" s="57" t="s">
        <v>23</v>
      </c>
      <c r="E270" s="58">
        <v>186.15</v>
      </c>
      <c r="F270" s="57" t="s">
        <v>540</v>
      </c>
      <c r="G270" s="57" t="s">
        <v>501</v>
      </c>
      <c r="H270" s="57" t="s">
        <v>25</v>
      </c>
      <c r="I270" s="59">
        <f t="shared" si="8"/>
        <v>45717</v>
      </c>
      <c r="J270" s="61" t="str">
        <f t="shared" si="9"/>
        <v>AVA PEREZ</v>
      </c>
      <c r="K270" s="44"/>
    </row>
    <row r="271" spans="1:11" ht="60" customHeight="1" x14ac:dyDescent="0.25">
      <c r="A271" s="51" t="s">
        <v>539</v>
      </c>
      <c r="B271" s="51" t="s">
        <v>50</v>
      </c>
      <c r="C271" s="51" t="s">
        <v>3</v>
      </c>
      <c r="D271" s="51" t="s">
        <v>31</v>
      </c>
      <c r="E271" s="56">
        <v>2.94</v>
      </c>
      <c r="F271" s="51" t="s">
        <v>538</v>
      </c>
      <c r="G271" s="51" t="s">
        <v>50</v>
      </c>
      <c r="H271" s="51" t="s">
        <v>372</v>
      </c>
      <c r="I271" s="55">
        <f t="shared" si="8"/>
        <v>45689</v>
      </c>
      <c r="J271" s="61" t="str">
        <f t="shared" si="9"/>
        <v>Sponsor Cloud</v>
      </c>
      <c r="K271" s="44"/>
    </row>
    <row r="272" spans="1:11" ht="60" customHeight="1" x14ac:dyDescent="0.25">
      <c r="A272" s="57" t="s">
        <v>537</v>
      </c>
      <c r="B272" s="57" t="s">
        <v>535</v>
      </c>
      <c r="C272" s="57" t="s">
        <v>22</v>
      </c>
      <c r="D272" s="57" t="s">
        <v>23</v>
      </c>
      <c r="E272" s="58">
        <v>99.5</v>
      </c>
      <c r="F272" s="57" t="s">
        <v>536</v>
      </c>
      <c r="G272" s="57" t="s">
        <v>535</v>
      </c>
      <c r="H272" s="57" t="s">
        <v>28</v>
      </c>
      <c r="I272" s="59">
        <f t="shared" si="8"/>
        <v>45689</v>
      </c>
      <c r="J272" s="61" t="str">
        <f t="shared" si="9"/>
        <v>AVA PEREZ</v>
      </c>
      <c r="K272" s="44"/>
    </row>
    <row r="273" spans="1:11" ht="60" customHeight="1" x14ac:dyDescent="0.25">
      <c r="A273" s="51" t="s">
        <v>532</v>
      </c>
      <c r="B273" s="51" t="s">
        <v>533</v>
      </c>
      <c r="C273" s="51" t="s">
        <v>22</v>
      </c>
      <c r="D273" s="51" t="s">
        <v>23</v>
      </c>
      <c r="E273" s="56">
        <v>99</v>
      </c>
      <c r="F273" s="51" t="s">
        <v>534</v>
      </c>
      <c r="G273" s="51" t="s">
        <v>533</v>
      </c>
      <c r="H273" s="51" t="s">
        <v>64</v>
      </c>
      <c r="I273" s="55">
        <f t="shared" si="8"/>
        <v>45689</v>
      </c>
      <c r="J273" s="61" t="str">
        <f t="shared" si="9"/>
        <v>AVA PEREZ</v>
      </c>
      <c r="K273" s="44"/>
    </row>
    <row r="274" spans="1:11" ht="60" customHeight="1" x14ac:dyDescent="0.25">
      <c r="A274" s="57" t="s">
        <v>532</v>
      </c>
      <c r="B274" s="57" t="s">
        <v>530</v>
      </c>
      <c r="C274" s="57" t="s">
        <v>22</v>
      </c>
      <c r="D274" s="57" t="s">
        <v>23</v>
      </c>
      <c r="E274" s="58">
        <v>199</v>
      </c>
      <c r="F274" s="57" t="s">
        <v>531</v>
      </c>
      <c r="G274" s="57" t="s">
        <v>530</v>
      </c>
      <c r="H274" s="57" t="s">
        <v>529</v>
      </c>
      <c r="I274" s="59">
        <f t="shared" si="8"/>
        <v>45689</v>
      </c>
      <c r="J274" s="61" t="str">
        <f t="shared" si="9"/>
        <v>AVA PEREZ</v>
      </c>
      <c r="K274" s="44"/>
    </row>
    <row r="275" spans="1:11" ht="60" customHeight="1" x14ac:dyDescent="0.25">
      <c r="A275" s="51" t="s">
        <v>528</v>
      </c>
      <c r="B275" s="51" t="s">
        <v>56</v>
      </c>
      <c r="C275" s="51" t="s">
        <v>3</v>
      </c>
      <c r="D275" s="51" t="s">
        <v>31</v>
      </c>
      <c r="E275" s="56">
        <v>-1853.08</v>
      </c>
      <c r="F275" s="51" t="s">
        <v>57</v>
      </c>
      <c r="G275" s="51" t="s">
        <v>56</v>
      </c>
      <c r="H275" s="51" t="s">
        <v>373</v>
      </c>
      <c r="I275" s="55">
        <f t="shared" si="8"/>
        <v>45689</v>
      </c>
      <c r="J275" s="61" t="str">
        <f t="shared" si="9"/>
        <v>Online AMEX Payment</v>
      </c>
      <c r="K275" s="44"/>
    </row>
    <row r="276" spans="1:11" ht="60" customHeight="1" x14ac:dyDescent="0.25">
      <c r="A276" s="57" t="s">
        <v>527</v>
      </c>
      <c r="B276" s="57" t="s">
        <v>21</v>
      </c>
      <c r="C276" s="57" t="s">
        <v>22</v>
      </c>
      <c r="D276" s="57" t="s">
        <v>23</v>
      </c>
      <c r="E276" s="58">
        <v>116.25</v>
      </c>
      <c r="F276" s="57" t="s">
        <v>526</v>
      </c>
      <c r="G276" s="57" t="s">
        <v>21</v>
      </c>
      <c r="H276" s="57" t="s">
        <v>25</v>
      </c>
      <c r="I276" s="59">
        <f t="shared" si="8"/>
        <v>45689</v>
      </c>
      <c r="J276" s="61" t="str">
        <f t="shared" si="9"/>
        <v>AVA PEREZ</v>
      </c>
      <c r="K276" s="44"/>
    </row>
    <row r="277" spans="1:11" ht="60" customHeight="1" x14ac:dyDescent="0.25">
      <c r="A277" s="51" t="s">
        <v>522</v>
      </c>
      <c r="B277" s="51" t="s">
        <v>451</v>
      </c>
      <c r="C277" s="51" t="s">
        <v>22</v>
      </c>
      <c r="D277" s="51" t="s">
        <v>23</v>
      </c>
      <c r="E277" s="56">
        <v>31.71</v>
      </c>
      <c r="F277" s="51" t="s">
        <v>525</v>
      </c>
      <c r="G277" s="51" t="s">
        <v>451</v>
      </c>
      <c r="H277" s="51" t="s">
        <v>273</v>
      </c>
      <c r="I277" s="55">
        <f t="shared" si="8"/>
        <v>45689</v>
      </c>
      <c r="J277" s="61" t="str">
        <f t="shared" si="9"/>
        <v>AVA PEREZ</v>
      </c>
      <c r="K277" s="44"/>
    </row>
    <row r="278" spans="1:11" ht="60" customHeight="1" x14ac:dyDescent="0.25">
      <c r="A278" s="57" t="s">
        <v>522</v>
      </c>
      <c r="B278" s="57" t="s">
        <v>523</v>
      </c>
      <c r="C278" s="57" t="s">
        <v>3</v>
      </c>
      <c r="D278" s="57" t="s">
        <v>31</v>
      </c>
      <c r="E278" s="58">
        <v>-300</v>
      </c>
      <c r="F278" s="57" t="s">
        <v>524</v>
      </c>
      <c r="G278" s="57" t="s">
        <v>523</v>
      </c>
      <c r="H278" s="57" t="s">
        <v>375</v>
      </c>
      <c r="I278" s="59">
        <f t="shared" si="8"/>
        <v>45689</v>
      </c>
      <c r="J278" s="61" t="str">
        <f t="shared" si="9"/>
        <v>Personal - Health</v>
      </c>
      <c r="K278" s="44"/>
    </row>
    <row r="279" spans="1:11" ht="60" customHeight="1" x14ac:dyDescent="0.25">
      <c r="A279" s="51" t="s">
        <v>522</v>
      </c>
      <c r="B279" s="51" t="s">
        <v>43</v>
      </c>
      <c r="C279" s="51" t="s">
        <v>22</v>
      </c>
      <c r="D279" s="51" t="s">
        <v>23</v>
      </c>
      <c r="E279" s="56">
        <v>2.99</v>
      </c>
      <c r="F279" s="51" t="s">
        <v>521</v>
      </c>
      <c r="G279" s="51" t="s">
        <v>43</v>
      </c>
      <c r="H279" s="51" t="s">
        <v>45</v>
      </c>
      <c r="I279" s="55">
        <f t="shared" si="8"/>
        <v>45689</v>
      </c>
      <c r="J279" s="61" t="str">
        <f t="shared" si="9"/>
        <v>AVA PEREZ</v>
      </c>
      <c r="K279" s="44"/>
    </row>
    <row r="280" spans="1:11" ht="60" customHeight="1" x14ac:dyDescent="0.25">
      <c r="A280" s="57" t="s">
        <v>515</v>
      </c>
      <c r="B280" s="57" t="s">
        <v>73</v>
      </c>
      <c r="C280" s="57" t="s">
        <v>3</v>
      </c>
      <c r="D280" s="57" t="s">
        <v>31</v>
      </c>
      <c r="E280" s="58">
        <v>59.99</v>
      </c>
      <c r="F280" s="57" t="s">
        <v>520</v>
      </c>
      <c r="G280" s="57" t="s">
        <v>73</v>
      </c>
      <c r="H280" s="57" t="s">
        <v>371</v>
      </c>
      <c r="I280" s="59">
        <f t="shared" si="8"/>
        <v>45689</v>
      </c>
      <c r="J280" s="61" t="str">
        <f t="shared" si="9"/>
        <v>DWG-RE Platform (Redirected)</v>
      </c>
      <c r="K280" s="44"/>
    </row>
    <row r="281" spans="1:11" ht="60" customHeight="1" x14ac:dyDescent="0.25">
      <c r="A281" s="51" t="s">
        <v>515</v>
      </c>
      <c r="B281" s="51" t="s">
        <v>518</v>
      </c>
      <c r="C281" s="51" t="s">
        <v>3</v>
      </c>
      <c r="D281" s="51" t="s">
        <v>31</v>
      </c>
      <c r="E281" s="56">
        <v>300</v>
      </c>
      <c r="F281" s="51" t="s">
        <v>519</v>
      </c>
      <c r="G281" s="51" t="s">
        <v>518</v>
      </c>
      <c r="H281" s="51" t="s">
        <v>375</v>
      </c>
      <c r="I281" s="55">
        <f t="shared" si="8"/>
        <v>45689</v>
      </c>
      <c r="J281" s="61" t="str">
        <f t="shared" si="9"/>
        <v>Personal - Health</v>
      </c>
      <c r="K281" s="44"/>
    </row>
    <row r="282" spans="1:11" ht="60" customHeight="1" x14ac:dyDescent="0.25">
      <c r="A282" s="57" t="s">
        <v>515</v>
      </c>
      <c r="B282" s="57" t="s">
        <v>516</v>
      </c>
      <c r="C282" s="57" t="s">
        <v>3</v>
      </c>
      <c r="D282" s="57" t="s">
        <v>31</v>
      </c>
      <c r="E282" s="58">
        <v>12.99</v>
      </c>
      <c r="F282" s="57" t="s">
        <v>517</v>
      </c>
      <c r="G282" s="57" t="s">
        <v>516</v>
      </c>
      <c r="H282" s="57" t="s">
        <v>371</v>
      </c>
      <c r="I282" s="59">
        <f t="shared" si="8"/>
        <v>45689</v>
      </c>
      <c r="J282" s="61" t="str">
        <f t="shared" si="9"/>
        <v>DWG-RE Platform (Redirected)</v>
      </c>
      <c r="K282" s="44"/>
    </row>
    <row r="283" spans="1:11" ht="60" customHeight="1" x14ac:dyDescent="0.25">
      <c r="A283" s="51" t="s">
        <v>515</v>
      </c>
      <c r="B283" s="51" t="s">
        <v>21</v>
      </c>
      <c r="C283" s="51" t="s">
        <v>22</v>
      </c>
      <c r="D283" s="51" t="s">
        <v>23</v>
      </c>
      <c r="E283" s="56">
        <v>120.45</v>
      </c>
      <c r="F283" s="51" t="s">
        <v>514</v>
      </c>
      <c r="G283" s="51" t="s">
        <v>21</v>
      </c>
      <c r="H283" s="51" t="s">
        <v>25</v>
      </c>
      <c r="I283" s="55">
        <f t="shared" si="8"/>
        <v>45689</v>
      </c>
      <c r="J283" s="61" t="str">
        <f t="shared" si="9"/>
        <v>AVA PEREZ</v>
      </c>
      <c r="K283" s="44"/>
    </row>
    <row r="284" spans="1:11" ht="60" customHeight="1" x14ac:dyDescent="0.25">
      <c r="A284" s="57" t="s">
        <v>513</v>
      </c>
      <c r="B284" s="57" t="s">
        <v>26</v>
      </c>
      <c r="C284" s="57" t="s">
        <v>22</v>
      </c>
      <c r="D284" s="57" t="s">
        <v>23</v>
      </c>
      <c r="E284" s="58">
        <v>25.19</v>
      </c>
      <c r="F284" s="57" t="s">
        <v>512</v>
      </c>
      <c r="G284" s="57" t="s">
        <v>26</v>
      </c>
      <c r="H284" s="57" t="s">
        <v>28</v>
      </c>
      <c r="I284" s="59">
        <f t="shared" si="8"/>
        <v>45689</v>
      </c>
      <c r="J284" s="61" t="str">
        <f t="shared" si="9"/>
        <v>AVA PEREZ</v>
      </c>
      <c r="K284" s="44"/>
    </row>
    <row r="285" spans="1:11" ht="60" customHeight="1" x14ac:dyDescent="0.25">
      <c r="A285" s="51" t="s">
        <v>511</v>
      </c>
      <c r="B285" s="51" t="s">
        <v>78</v>
      </c>
      <c r="C285" s="51" t="s">
        <v>3</v>
      </c>
      <c r="D285" s="51" t="s">
        <v>31</v>
      </c>
      <c r="E285" s="56">
        <v>22.99</v>
      </c>
      <c r="F285" s="51" t="s">
        <v>510</v>
      </c>
      <c r="G285" s="51" t="s">
        <v>78</v>
      </c>
      <c r="H285" s="51" t="s">
        <v>374</v>
      </c>
      <c r="I285" s="55">
        <f t="shared" si="8"/>
        <v>45689</v>
      </c>
      <c r="J285" s="61" t="str">
        <f t="shared" si="9"/>
        <v>Family</v>
      </c>
      <c r="K285" s="44"/>
    </row>
    <row r="286" spans="1:11" ht="60" customHeight="1" x14ac:dyDescent="0.25">
      <c r="A286" s="57" t="s">
        <v>509</v>
      </c>
      <c r="B286" s="57" t="s">
        <v>21</v>
      </c>
      <c r="C286" s="57" t="s">
        <v>22</v>
      </c>
      <c r="D286" s="57" t="s">
        <v>23</v>
      </c>
      <c r="E286" s="58">
        <v>57.47</v>
      </c>
      <c r="F286" s="57" t="s">
        <v>508</v>
      </c>
      <c r="G286" s="57" t="s">
        <v>21</v>
      </c>
      <c r="H286" s="57" t="s">
        <v>25</v>
      </c>
      <c r="I286" s="59">
        <f t="shared" si="8"/>
        <v>45689</v>
      </c>
      <c r="J286" s="61" t="str">
        <f t="shared" si="9"/>
        <v>AVA PEREZ</v>
      </c>
      <c r="K286" s="44"/>
    </row>
    <row r="287" spans="1:11" ht="60" customHeight="1" x14ac:dyDescent="0.25">
      <c r="A287" s="51" t="s">
        <v>507</v>
      </c>
      <c r="B287" s="51" t="s">
        <v>280</v>
      </c>
      <c r="C287" s="51" t="s">
        <v>22</v>
      </c>
      <c r="D287" s="51" t="s">
        <v>23</v>
      </c>
      <c r="E287" s="56">
        <v>14.99</v>
      </c>
      <c r="F287" s="51" t="s">
        <v>506</v>
      </c>
      <c r="G287" s="51" t="s">
        <v>280</v>
      </c>
      <c r="H287" s="51" t="s">
        <v>282</v>
      </c>
      <c r="I287" s="55">
        <f t="shared" si="8"/>
        <v>45689</v>
      </c>
      <c r="J287" s="61" t="str">
        <f t="shared" si="9"/>
        <v>AVA PEREZ</v>
      </c>
      <c r="K287" s="44"/>
    </row>
    <row r="288" spans="1:11" ht="60" customHeight="1" x14ac:dyDescent="0.25">
      <c r="A288" s="57" t="s">
        <v>505</v>
      </c>
      <c r="B288" s="57" t="s">
        <v>501</v>
      </c>
      <c r="C288" s="57" t="s">
        <v>22</v>
      </c>
      <c r="D288" s="57" t="s">
        <v>23</v>
      </c>
      <c r="E288" s="58">
        <v>38.74</v>
      </c>
      <c r="F288" s="57" t="s">
        <v>504</v>
      </c>
      <c r="G288" s="57" t="s">
        <v>501</v>
      </c>
      <c r="H288" s="57" t="s">
        <v>25</v>
      </c>
      <c r="I288" s="59">
        <f t="shared" si="8"/>
        <v>45689</v>
      </c>
      <c r="J288" s="61" t="str">
        <f t="shared" si="9"/>
        <v>AVA PEREZ</v>
      </c>
      <c r="K288" s="44"/>
    </row>
    <row r="289" spans="1:11" ht="60" customHeight="1" x14ac:dyDescent="0.25">
      <c r="A289" s="51" t="s">
        <v>503</v>
      </c>
      <c r="B289" s="51" t="s">
        <v>501</v>
      </c>
      <c r="C289" s="51" t="s">
        <v>22</v>
      </c>
      <c r="D289" s="51" t="s">
        <v>23</v>
      </c>
      <c r="E289" s="56">
        <v>257.77999999999997</v>
      </c>
      <c r="F289" s="51" t="s">
        <v>502</v>
      </c>
      <c r="G289" s="51" t="s">
        <v>501</v>
      </c>
      <c r="H289" s="51" t="s">
        <v>25</v>
      </c>
      <c r="I289" s="55">
        <f t="shared" si="8"/>
        <v>45689</v>
      </c>
      <c r="J289" s="61" t="str">
        <f t="shared" si="9"/>
        <v>AVA PEREZ</v>
      </c>
      <c r="K289" s="44"/>
    </row>
    <row r="290" spans="1:11" ht="60" customHeight="1" x14ac:dyDescent="0.25">
      <c r="A290" s="57" t="s">
        <v>499</v>
      </c>
      <c r="B290" s="57" t="s">
        <v>108</v>
      </c>
      <c r="C290" s="57" t="s">
        <v>3</v>
      </c>
      <c r="D290" s="57" t="s">
        <v>31</v>
      </c>
      <c r="E290" s="58">
        <v>29.99</v>
      </c>
      <c r="F290" s="57" t="s">
        <v>500</v>
      </c>
      <c r="G290" s="57" t="s">
        <v>108</v>
      </c>
      <c r="H290" s="57" t="s">
        <v>371</v>
      </c>
      <c r="I290" s="59">
        <f t="shared" si="8"/>
        <v>45689</v>
      </c>
      <c r="J290" s="61" t="str">
        <f t="shared" si="9"/>
        <v>DWG-RE Platform (Redirected)</v>
      </c>
      <c r="K290" s="44"/>
    </row>
    <row r="291" spans="1:11" ht="60" customHeight="1" x14ac:dyDescent="0.25">
      <c r="A291" s="51" t="s">
        <v>499</v>
      </c>
      <c r="B291" s="51" t="s">
        <v>30</v>
      </c>
      <c r="C291" s="51" t="s">
        <v>3</v>
      </c>
      <c r="D291" s="51" t="s">
        <v>31</v>
      </c>
      <c r="E291" s="56">
        <v>208.95</v>
      </c>
      <c r="F291" s="51" t="s">
        <v>498</v>
      </c>
      <c r="G291" s="51" t="s">
        <v>30</v>
      </c>
      <c r="H291" s="51" t="s">
        <v>371</v>
      </c>
      <c r="I291" s="55">
        <f t="shared" si="8"/>
        <v>45689</v>
      </c>
      <c r="J291" s="61" t="str">
        <f t="shared" si="9"/>
        <v>DWG-RE Platform (Redirected)</v>
      </c>
      <c r="K291" s="44"/>
    </row>
    <row r="292" spans="1:11" ht="60" customHeight="1" x14ac:dyDescent="0.25">
      <c r="A292" s="57" t="s">
        <v>497</v>
      </c>
      <c r="B292" s="57" t="s">
        <v>495</v>
      </c>
      <c r="C292" s="57" t="s">
        <v>3</v>
      </c>
      <c r="D292" s="57" t="s">
        <v>31</v>
      </c>
      <c r="E292" s="58">
        <v>54</v>
      </c>
      <c r="F292" s="57" t="s">
        <v>496</v>
      </c>
      <c r="G292" s="57" t="s">
        <v>495</v>
      </c>
      <c r="H292" s="57" t="s">
        <v>371</v>
      </c>
      <c r="I292" s="59">
        <f t="shared" si="8"/>
        <v>45689</v>
      </c>
      <c r="J292" s="61" t="str">
        <f t="shared" si="9"/>
        <v>DWG-RE Platform (Redirected)</v>
      </c>
      <c r="K292" s="44"/>
    </row>
    <row r="293" spans="1:11" ht="60" customHeight="1" x14ac:dyDescent="0.25">
      <c r="A293" s="51" t="s">
        <v>491</v>
      </c>
      <c r="B293" s="51" t="s">
        <v>480</v>
      </c>
      <c r="C293" s="51" t="s">
        <v>3</v>
      </c>
      <c r="D293" s="51" t="s">
        <v>31</v>
      </c>
      <c r="E293" s="56">
        <v>705.48</v>
      </c>
      <c r="F293" s="51" t="s">
        <v>494</v>
      </c>
      <c r="G293" s="51" t="s">
        <v>480</v>
      </c>
      <c r="H293" s="51" t="s">
        <v>433</v>
      </c>
      <c r="I293" s="55">
        <f t="shared" si="8"/>
        <v>45689</v>
      </c>
      <c r="J293" s="61" t="str">
        <f t="shared" si="9"/>
        <v>Travel-Airline</v>
      </c>
      <c r="K293" s="44"/>
    </row>
    <row r="294" spans="1:11" ht="60" customHeight="1" x14ac:dyDescent="0.25">
      <c r="A294" s="57" t="s">
        <v>491</v>
      </c>
      <c r="B294" s="57" t="s">
        <v>492</v>
      </c>
      <c r="C294" s="57" t="s">
        <v>3</v>
      </c>
      <c r="D294" s="57" t="s">
        <v>31</v>
      </c>
      <c r="E294" s="58">
        <v>-705.48</v>
      </c>
      <c r="F294" s="57" t="s">
        <v>493</v>
      </c>
      <c r="G294" s="57" t="s">
        <v>492</v>
      </c>
      <c r="H294" s="57" t="s">
        <v>41</v>
      </c>
      <c r="I294" s="59">
        <f t="shared" si="8"/>
        <v>45689</v>
      </c>
      <c r="J294" s="61" t="str">
        <f t="shared" si="9"/>
        <v>Other-Miscellaneous</v>
      </c>
      <c r="K294" s="44"/>
    </row>
    <row r="295" spans="1:11" ht="60" customHeight="1" x14ac:dyDescent="0.25">
      <c r="A295" s="51" t="s">
        <v>491</v>
      </c>
      <c r="B295" s="51" t="s">
        <v>489</v>
      </c>
      <c r="C295" s="51" t="s">
        <v>3</v>
      </c>
      <c r="D295" s="51" t="s">
        <v>31</v>
      </c>
      <c r="E295" s="56">
        <v>-12.77</v>
      </c>
      <c r="F295" s="51" t="s">
        <v>490</v>
      </c>
      <c r="G295" s="51" t="s">
        <v>489</v>
      </c>
      <c r="H295" s="51" t="s">
        <v>366</v>
      </c>
      <c r="I295" s="55">
        <f t="shared" si="8"/>
        <v>45689</v>
      </c>
      <c r="J295" s="61" t="str">
        <f t="shared" si="9"/>
        <v>Fees &amp; Adjustments-Fees &amp; Adjustments</v>
      </c>
      <c r="K295" s="44"/>
    </row>
    <row r="296" spans="1:11" ht="60" customHeight="1" x14ac:dyDescent="0.25">
      <c r="A296" s="57" t="s">
        <v>484</v>
      </c>
      <c r="B296" s="57" t="s">
        <v>487</v>
      </c>
      <c r="C296" s="57" t="s">
        <v>3</v>
      </c>
      <c r="D296" s="57" t="s">
        <v>31</v>
      </c>
      <c r="E296" s="58">
        <v>-300</v>
      </c>
      <c r="F296" s="57" t="s">
        <v>488</v>
      </c>
      <c r="G296" s="57" t="s">
        <v>487</v>
      </c>
      <c r="H296" s="57" t="s">
        <v>366</v>
      </c>
      <c r="I296" s="59">
        <f t="shared" si="8"/>
        <v>45689</v>
      </c>
      <c r="J296" s="61" t="str">
        <f t="shared" si="9"/>
        <v>Fees &amp; Adjustments-Fees &amp; Adjustments</v>
      </c>
      <c r="K296" s="44"/>
    </row>
    <row r="297" spans="1:11" ht="60" customHeight="1" x14ac:dyDescent="0.25">
      <c r="A297" s="51" t="s">
        <v>484</v>
      </c>
      <c r="B297" s="51" t="s">
        <v>485</v>
      </c>
      <c r="C297" s="51" t="s">
        <v>3</v>
      </c>
      <c r="D297" s="51" t="s">
        <v>31</v>
      </c>
      <c r="E297" s="56">
        <v>300</v>
      </c>
      <c r="F297" s="51" t="s">
        <v>486</v>
      </c>
      <c r="G297" s="51" t="s">
        <v>485</v>
      </c>
      <c r="H297" s="51" t="s">
        <v>366</v>
      </c>
      <c r="I297" s="55">
        <f t="shared" si="8"/>
        <v>45689</v>
      </c>
      <c r="J297" s="61" t="str">
        <f t="shared" si="9"/>
        <v>Fees &amp; Adjustments-Fees &amp; Adjustments</v>
      </c>
      <c r="K297" s="44"/>
    </row>
    <row r="298" spans="1:11" ht="60" customHeight="1" x14ac:dyDescent="0.25">
      <c r="A298" s="57" t="s">
        <v>484</v>
      </c>
      <c r="B298" s="57" t="s">
        <v>417</v>
      </c>
      <c r="C298" s="57" t="s">
        <v>3</v>
      </c>
      <c r="D298" s="57" t="s">
        <v>31</v>
      </c>
      <c r="E298" s="58">
        <v>35.72</v>
      </c>
      <c r="F298" s="57" t="s">
        <v>418</v>
      </c>
      <c r="G298" s="57" t="s">
        <v>417</v>
      </c>
      <c r="H298" s="57" t="s">
        <v>366</v>
      </c>
      <c r="I298" s="59">
        <f t="shared" si="8"/>
        <v>45689</v>
      </c>
      <c r="J298" s="61" t="str">
        <f t="shared" si="9"/>
        <v>Fees &amp; Adjustments-Fees &amp; Adjustments</v>
      </c>
      <c r="K298" s="44"/>
    </row>
    <row r="299" spans="1:11" ht="60" customHeight="1" x14ac:dyDescent="0.25">
      <c r="A299" s="51" t="s">
        <v>483</v>
      </c>
      <c r="B299" s="51" t="s">
        <v>50</v>
      </c>
      <c r="C299" s="51" t="s">
        <v>3</v>
      </c>
      <c r="D299" s="51" t="s">
        <v>31</v>
      </c>
      <c r="E299" s="56">
        <v>337.17</v>
      </c>
      <c r="F299" s="51" t="s">
        <v>482</v>
      </c>
      <c r="G299" s="51" t="s">
        <v>50</v>
      </c>
      <c r="H299" s="51" t="s">
        <v>41</v>
      </c>
      <c r="I299" s="55">
        <f t="shared" si="8"/>
        <v>45658</v>
      </c>
      <c r="J299" s="61" t="str">
        <f t="shared" si="9"/>
        <v>Other-Miscellaneous</v>
      </c>
      <c r="K299" s="44"/>
    </row>
    <row r="300" spans="1:11" ht="60" customHeight="1" x14ac:dyDescent="0.25">
      <c r="A300" s="57" t="s">
        <v>479</v>
      </c>
      <c r="B300" s="57" t="s">
        <v>480</v>
      </c>
      <c r="C300" s="57" t="s">
        <v>3</v>
      </c>
      <c r="D300" s="57" t="s">
        <v>31</v>
      </c>
      <c r="E300" s="58">
        <v>438.48</v>
      </c>
      <c r="F300" s="57" t="s">
        <v>481</v>
      </c>
      <c r="G300" s="57" t="s">
        <v>480</v>
      </c>
      <c r="H300" s="57" t="s">
        <v>433</v>
      </c>
      <c r="I300" s="59">
        <f t="shared" si="8"/>
        <v>45658</v>
      </c>
      <c r="J300" s="61" t="str">
        <f t="shared" si="9"/>
        <v>Travel-Airline</v>
      </c>
      <c r="K300" s="44"/>
    </row>
    <row r="301" spans="1:11" ht="60" customHeight="1" x14ac:dyDescent="0.25">
      <c r="A301" s="51" t="s">
        <v>479</v>
      </c>
      <c r="B301" s="51" t="s">
        <v>477</v>
      </c>
      <c r="C301" s="51" t="s">
        <v>3</v>
      </c>
      <c r="D301" s="51" t="s">
        <v>31</v>
      </c>
      <c r="E301" s="56">
        <v>-2465.25</v>
      </c>
      <c r="F301" s="51" t="s">
        <v>478</v>
      </c>
      <c r="G301" s="51" t="s">
        <v>477</v>
      </c>
      <c r="H301" s="51" t="s">
        <v>0</v>
      </c>
      <c r="I301" s="55">
        <f t="shared" si="8"/>
        <v>45658</v>
      </c>
      <c r="J301" s="61" t="str">
        <f t="shared" si="9"/>
        <v>Online AMEX Payment</v>
      </c>
      <c r="K301" s="44"/>
    </row>
    <row r="302" spans="1:11" ht="60" customHeight="1" x14ac:dyDescent="0.25">
      <c r="A302" s="57" t="s">
        <v>476</v>
      </c>
      <c r="B302" s="57" t="s">
        <v>56</v>
      </c>
      <c r="C302" s="57" t="s">
        <v>3</v>
      </c>
      <c r="D302" s="57" t="s">
        <v>31</v>
      </c>
      <c r="E302" s="58">
        <v>-2465.25</v>
      </c>
      <c r="F302" s="57" t="s">
        <v>57</v>
      </c>
      <c r="G302" s="57" t="s">
        <v>56</v>
      </c>
      <c r="H302" s="57" t="s">
        <v>0</v>
      </c>
      <c r="I302" s="59">
        <f t="shared" si="8"/>
        <v>45658</v>
      </c>
      <c r="J302" s="61" t="str">
        <f t="shared" si="9"/>
        <v>Online AMEX Payment</v>
      </c>
      <c r="K302" s="44"/>
    </row>
    <row r="303" spans="1:11" ht="60" customHeight="1" x14ac:dyDescent="0.25">
      <c r="A303" s="51" t="s">
        <v>476</v>
      </c>
      <c r="B303" s="51" t="s">
        <v>474</v>
      </c>
      <c r="C303" s="51" t="s">
        <v>3</v>
      </c>
      <c r="D303" s="51" t="s">
        <v>31</v>
      </c>
      <c r="E303" s="56">
        <v>2465.25</v>
      </c>
      <c r="F303" s="51" t="s">
        <v>475</v>
      </c>
      <c r="G303" s="51" t="s">
        <v>474</v>
      </c>
      <c r="H303" s="51" t="s">
        <v>366</v>
      </c>
      <c r="I303" s="55">
        <f t="shared" si="8"/>
        <v>45658</v>
      </c>
      <c r="J303" s="61" t="str">
        <f t="shared" si="9"/>
        <v>Fees &amp; Adjustments-Fees &amp; Adjustments</v>
      </c>
      <c r="K303" s="44"/>
    </row>
    <row r="304" spans="1:11" ht="60" customHeight="1" x14ac:dyDescent="0.25">
      <c r="A304" s="57" t="s">
        <v>470</v>
      </c>
      <c r="B304" s="57" t="s">
        <v>472</v>
      </c>
      <c r="C304" s="57" t="s">
        <v>22</v>
      </c>
      <c r="D304" s="57" t="s">
        <v>23</v>
      </c>
      <c r="E304" s="58">
        <v>85.16</v>
      </c>
      <c r="F304" s="57" t="s">
        <v>473</v>
      </c>
      <c r="G304" s="57" t="s">
        <v>472</v>
      </c>
      <c r="H304" s="57" t="s">
        <v>64</v>
      </c>
      <c r="I304" s="59">
        <f t="shared" si="8"/>
        <v>45658</v>
      </c>
      <c r="J304" s="61" t="str">
        <f t="shared" si="9"/>
        <v>AVA PEREZ</v>
      </c>
      <c r="K304" s="44"/>
    </row>
    <row r="305" spans="1:11" ht="60" customHeight="1" x14ac:dyDescent="0.25">
      <c r="A305" s="51" t="s">
        <v>470</v>
      </c>
      <c r="B305" s="51" t="s">
        <v>43</v>
      </c>
      <c r="C305" s="51" t="s">
        <v>22</v>
      </c>
      <c r="D305" s="51" t="s">
        <v>23</v>
      </c>
      <c r="E305" s="56">
        <v>2.99</v>
      </c>
      <c r="F305" s="51" t="s">
        <v>471</v>
      </c>
      <c r="G305" s="51" t="s">
        <v>43</v>
      </c>
      <c r="H305" s="51" t="s">
        <v>45</v>
      </c>
      <c r="I305" s="55">
        <f t="shared" si="8"/>
        <v>45658</v>
      </c>
      <c r="J305" s="61" t="str">
        <f t="shared" si="9"/>
        <v>AVA PEREZ</v>
      </c>
      <c r="K305" s="44"/>
    </row>
    <row r="306" spans="1:11" ht="60" customHeight="1" x14ac:dyDescent="0.25">
      <c r="A306" s="57" t="s">
        <v>470</v>
      </c>
      <c r="B306" s="57" t="s">
        <v>468</v>
      </c>
      <c r="C306" s="57" t="s">
        <v>22</v>
      </c>
      <c r="D306" s="57" t="s">
        <v>23</v>
      </c>
      <c r="E306" s="58">
        <v>24.57</v>
      </c>
      <c r="F306" s="57" t="s">
        <v>469</v>
      </c>
      <c r="G306" s="57" t="s">
        <v>468</v>
      </c>
      <c r="H306" s="57" t="s">
        <v>28</v>
      </c>
      <c r="I306" s="59">
        <f t="shared" si="8"/>
        <v>45658</v>
      </c>
      <c r="J306" s="61" t="str">
        <f t="shared" si="9"/>
        <v>AVA PEREZ</v>
      </c>
      <c r="K306" s="44"/>
    </row>
    <row r="307" spans="1:11" ht="60" customHeight="1" x14ac:dyDescent="0.25">
      <c r="A307" s="51" t="s">
        <v>464</v>
      </c>
      <c r="B307" s="51" t="s">
        <v>73</v>
      </c>
      <c r="C307" s="51" t="s">
        <v>3</v>
      </c>
      <c r="D307" s="51" t="s">
        <v>31</v>
      </c>
      <c r="E307" s="56">
        <v>59.99</v>
      </c>
      <c r="F307" s="51" t="s">
        <v>467</v>
      </c>
      <c r="G307" s="51" t="s">
        <v>73</v>
      </c>
      <c r="H307" s="51" t="s">
        <v>371</v>
      </c>
      <c r="I307" s="55">
        <f t="shared" si="8"/>
        <v>45658</v>
      </c>
      <c r="J307" s="61" t="str">
        <f t="shared" si="9"/>
        <v>DWG-RE Platform (Redirected)</v>
      </c>
      <c r="K307" s="44"/>
    </row>
    <row r="308" spans="1:11" ht="60" customHeight="1" x14ac:dyDescent="0.25">
      <c r="A308" s="57" t="s">
        <v>464</v>
      </c>
      <c r="B308" s="57" t="s">
        <v>87</v>
      </c>
      <c r="C308" s="57" t="s">
        <v>22</v>
      </c>
      <c r="D308" s="57" t="s">
        <v>23</v>
      </c>
      <c r="E308" s="58">
        <v>17.47</v>
      </c>
      <c r="F308" s="57" t="s">
        <v>466</v>
      </c>
      <c r="G308" s="57" t="s">
        <v>89</v>
      </c>
      <c r="H308" s="57" t="s">
        <v>64</v>
      </c>
      <c r="I308" s="59">
        <f t="shared" si="8"/>
        <v>45658</v>
      </c>
      <c r="J308" s="61" t="str">
        <f t="shared" si="9"/>
        <v>AVA PEREZ</v>
      </c>
      <c r="K308" s="44"/>
    </row>
    <row r="309" spans="1:11" ht="60" customHeight="1" x14ac:dyDescent="0.25">
      <c r="A309" s="51" t="s">
        <v>464</v>
      </c>
      <c r="B309" s="51" t="s">
        <v>87</v>
      </c>
      <c r="C309" s="51" t="s">
        <v>22</v>
      </c>
      <c r="D309" s="51" t="s">
        <v>23</v>
      </c>
      <c r="E309" s="56">
        <v>18.2</v>
      </c>
      <c r="F309" s="51" t="s">
        <v>465</v>
      </c>
      <c r="G309" s="51" t="s">
        <v>89</v>
      </c>
      <c r="H309" s="51" t="s">
        <v>64</v>
      </c>
      <c r="I309" s="55">
        <f t="shared" si="8"/>
        <v>45658</v>
      </c>
      <c r="J309" s="61" t="str">
        <f t="shared" si="9"/>
        <v>AVA PEREZ</v>
      </c>
      <c r="K309" s="44"/>
    </row>
    <row r="310" spans="1:11" ht="60" customHeight="1" x14ac:dyDescent="0.25">
      <c r="A310" s="57" t="s">
        <v>464</v>
      </c>
      <c r="B310" s="57" t="s">
        <v>462</v>
      </c>
      <c r="C310" s="57" t="s">
        <v>3</v>
      </c>
      <c r="D310" s="57" t="s">
        <v>31</v>
      </c>
      <c r="E310" s="58">
        <v>9.99</v>
      </c>
      <c r="F310" s="57" t="s">
        <v>463</v>
      </c>
      <c r="G310" s="57" t="s">
        <v>462</v>
      </c>
      <c r="H310" s="57" t="s">
        <v>371</v>
      </c>
      <c r="I310" s="59">
        <f t="shared" si="8"/>
        <v>45658</v>
      </c>
      <c r="J310" s="61" t="str">
        <f t="shared" si="9"/>
        <v>DWG-RE Platform (Redirected)</v>
      </c>
      <c r="K310" s="44"/>
    </row>
    <row r="311" spans="1:11" ht="60" customHeight="1" x14ac:dyDescent="0.25">
      <c r="A311" s="51" t="s">
        <v>461</v>
      </c>
      <c r="B311" s="51" t="s">
        <v>459</v>
      </c>
      <c r="C311" s="51" t="s">
        <v>3</v>
      </c>
      <c r="D311" s="51" t="s">
        <v>31</v>
      </c>
      <c r="E311" s="56">
        <v>-300</v>
      </c>
      <c r="F311" s="51" t="s">
        <v>460</v>
      </c>
      <c r="G311" s="51" t="s">
        <v>459</v>
      </c>
      <c r="H311" s="51" t="s">
        <v>112</v>
      </c>
      <c r="I311" s="55">
        <f t="shared" si="8"/>
        <v>45658</v>
      </c>
      <c r="J311" s="61" t="str">
        <f t="shared" si="9"/>
        <v>Business Services-Other Services</v>
      </c>
      <c r="K311" s="44"/>
    </row>
    <row r="312" spans="1:11" ht="60" customHeight="1" x14ac:dyDescent="0.25">
      <c r="A312" s="57" t="s">
        <v>458</v>
      </c>
      <c r="B312" s="57" t="s">
        <v>78</v>
      </c>
      <c r="C312" s="57" t="s">
        <v>3</v>
      </c>
      <c r="D312" s="57" t="s">
        <v>31</v>
      </c>
      <c r="E312" s="58">
        <v>22.99</v>
      </c>
      <c r="F312" s="57" t="s">
        <v>457</v>
      </c>
      <c r="G312" s="57" t="s">
        <v>78</v>
      </c>
      <c r="H312" s="57" t="s">
        <v>374</v>
      </c>
      <c r="I312" s="59">
        <f t="shared" si="8"/>
        <v>45658</v>
      </c>
      <c r="J312" s="61" t="str">
        <f t="shared" si="9"/>
        <v>Family</v>
      </c>
      <c r="K312" s="44"/>
    </row>
    <row r="313" spans="1:11" ht="60" customHeight="1" x14ac:dyDescent="0.25">
      <c r="A313" s="51" t="s">
        <v>456</v>
      </c>
      <c r="B313" s="51" t="s">
        <v>454</v>
      </c>
      <c r="C313" s="51" t="s">
        <v>3</v>
      </c>
      <c r="D313" s="51" t="s">
        <v>31</v>
      </c>
      <c r="E313" s="56">
        <v>28.5</v>
      </c>
      <c r="F313" s="51" t="s">
        <v>455</v>
      </c>
      <c r="G313" s="51" t="s">
        <v>454</v>
      </c>
      <c r="H313" s="51" t="s">
        <v>375</v>
      </c>
      <c r="I313" s="55">
        <f t="shared" si="8"/>
        <v>45658</v>
      </c>
      <c r="J313" s="61" t="str">
        <f t="shared" si="9"/>
        <v>Personal - Health</v>
      </c>
      <c r="K313" s="44"/>
    </row>
    <row r="314" spans="1:11" ht="60" customHeight="1" x14ac:dyDescent="0.25">
      <c r="A314" s="57" t="s">
        <v>453</v>
      </c>
      <c r="B314" s="57" t="s">
        <v>451</v>
      </c>
      <c r="C314" s="57" t="s">
        <v>22</v>
      </c>
      <c r="D314" s="57" t="s">
        <v>23</v>
      </c>
      <c r="E314" s="58">
        <v>18.010000000000002</v>
      </c>
      <c r="F314" s="57" t="s">
        <v>452</v>
      </c>
      <c r="G314" s="57" t="s">
        <v>451</v>
      </c>
      <c r="H314" s="57" t="s">
        <v>273</v>
      </c>
      <c r="I314" s="59">
        <f t="shared" si="8"/>
        <v>45658</v>
      </c>
      <c r="J314" s="61" t="str">
        <f t="shared" si="9"/>
        <v>AVA PEREZ</v>
      </c>
      <c r="K314" s="44"/>
    </row>
    <row r="315" spans="1:11" ht="60" customHeight="1" x14ac:dyDescent="0.25">
      <c r="A315" s="51" t="s">
        <v>446</v>
      </c>
      <c r="B315" s="51" t="s">
        <v>449</v>
      </c>
      <c r="C315" s="51" t="s">
        <v>3</v>
      </c>
      <c r="D315" s="51" t="s">
        <v>31</v>
      </c>
      <c r="E315" s="56">
        <v>62.8</v>
      </c>
      <c r="F315" s="51" t="s">
        <v>450</v>
      </c>
      <c r="G315" s="51" t="s">
        <v>449</v>
      </c>
      <c r="H315" s="51" t="s">
        <v>448</v>
      </c>
      <c r="I315" s="55">
        <f t="shared" si="8"/>
        <v>45658</v>
      </c>
      <c r="J315" s="61" t="str">
        <f t="shared" si="9"/>
        <v>Personal - Car</v>
      </c>
      <c r="K315" s="44"/>
    </row>
    <row r="316" spans="1:11" ht="60" customHeight="1" x14ac:dyDescent="0.25">
      <c r="A316" s="57" t="s">
        <v>446</v>
      </c>
      <c r="B316" s="57" t="s">
        <v>164</v>
      </c>
      <c r="C316" s="57" t="s">
        <v>165</v>
      </c>
      <c r="D316" s="57" t="s">
        <v>166</v>
      </c>
      <c r="E316" s="58">
        <v>60</v>
      </c>
      <c r="F316" s="57" t="s">
        <v>447</v>
      </c>
      <c r="G316" s="57" t="s">
        <v>164</v>
      </c>
      <c r="H316" s="57" t="s">
        <v>64</v>
      </c>
      <c r="I316" s="59">
        <f t="shared" si="8"/>
        <v>45658</v>
      </c>
      <c r="J316" s="61" t="str">
        <f t="shared" si="9"/>
        <v>ANGELA L DUNNING</v>
      </c>
      <c r="K316" s="44"/>
    </row>
    <row r="317" spans="1:11" ht="60" customHeight="1" x14ac:dyDescent="0.25">
      <c r="A317" s="51" t="s">
        <v>446</v>
      </c>
      <c r="B317" s="51" t="s">
        <v>444</v>
      </c>
      <c r="C317" s="51" t="s">
        <v>3</v>
      </c>
      <c r="D317" s="51" t="s">
        <v>31</v>
      </c>
      <c r="E317" s="56">
        <v>365.72</v>
      </c>
      <c r="F317" s="51" t="s">
        <v>445</v>
      </c>
      <c r="G317" s="51" t="s">
        <v>444</v>
      </c>
      <c r="H317" s="51" t="s">
        <v>419</v>
      </c>
      <c r="I317" s="55">
        <f t="shared" si="8"/>
        <v>45658</v>
      </c>
      <c r="J317" s="61" t="str">
        <f t="shared" si="9"/>
        <v>Personal</v>
      </c>
      <c r="K317" s="44"/>
    </row>
    <row r="318" spans="1:11" ht="60" customHeight="1" x14ac:dyDescent="0.25">
      <c r="A318" s="57" t="s">
        <v>443</v>
      </c>
      <c r="B318" s="57" t="s">
        <v>280</v>
      </c>
      <c r="C318" s="57" t="s">
        <v>22</v>
      </c>
      <c r="D318" s="57" t="s">
        <v>23</v>
      </c>
      <c r="E318" s="58">
        <v>14.99</v>
      </c>
      <c r="F318" s="57" t="s">
        <v>442</v>
      </c>
      <c r="G318" s="57" t="s">
        <v>280</v>
      </c>
      <c r="H318" s="57" t="s">
        <v>282</v>
      </c>
      <c r="I318" s="59">
        <f t="shared" si="8"/>
        <v>45658</v>
      </c>
      <c r="J318" s="61" t="str">
        <f t="shared" si="9"/>
        <v>AVA PEREZ</v>
      </c>
      <c r="K318" s="44"/>
    </row>
    <row r="319" spans="1:11" ht="60" customHeight="1" x14ac:dyDescent="0.25">
      <c r="A319" s="51" t="s">
        <v>441</v>
      </c>
      <c r="B319" s="51" t="s">
        <v>21</v>
      </c>
      <c r="C319" s="51" t="s">
        <v>22</v>
      </c>
      <c r="D319" s="51" t="s">
        <v>23</v>
      </c>
      <c r="E319" s="56">
        <v>37.42</v>
      </c>
      <c r="F319" s="51" t="s">
        <v>440</v>
      </c>
      <c r="G319" s="51" t="s">
        <v>21</v>
      </c>
      <c r="H319" s="51" t="s">
        <v>25</v>
      </c>
      <c r="I319" s="55">
        <f t="shared" si="8"/>
        <v>45658</v>
      </c>
      <c r="J319" s="61" t="str">
        <f t="shared" si="9"/>
        <v>AVA PEREZ</v>
      </c>
      <c r="K319" s="44"/>
    </row>
    <row r="320" spans="1:11" ht="60" customHeight="1" x14ac:dyDescent="0.25">
      <c r="A320" s="57" t="s">
        <v>439</v>
      </c>
      <c r="B320" s="57" t="s">
        <v>43</v>
      </c>
      <c r="C320" s="57" t="s">
        <v>22</v>
      </c>
      <c r="D320" s="57" t="s">
        <v>23</v>
      </c>
      <c r="E320" s="58">
        <v>49.99</v>
      </c>
      <c r="F320" s="57" t="s">
        <v>438</v>
      </c>
      <c r="G320" s="57" t="s">
        <v>43</v>
      </c>
      <c r="H320" s="57" t="s">
        <v>45</v>
      </c>
      <c r="I320" s="59">
        <f t="shared" si="8"/>
        <v>45658</v>
      </c>
      <c r="J320" s="61" t="str">
        <f t="shared" si="9"/>
        <v>AVA PEREZ</v>
      </c>
      <c r="K320" s="44"/>
    </row>
    <row r="321" spans="1:11" ht="60" customHeight="1" x14ac:dyDescent="0.25">
      <c r="A321" s="51" t="s">
        <v>430</v>
      </c>
      <c r="B321" s="51" t="s">
        <v>108</v>
      </c>
      <c r="C321" s="51" t="s">
        <v>3</v>
      </c>
      <c r="D321" s="51" t="s">
        <v>31</v>
      </c>
      <c r="E321" s="56">
        <v>29.99</v>
      </c>
      <c r="F321" s="51" t="s">
        <v>437</v>
      </c>
      <c r="G321" s="51" t="s">
        <v>108</v>
      </c>
      <c r="H321" s="51" t="s">
        <v>371</v>
      </c>
      <c r="I321" s="55">
        <f t="shared" si="8"/>
        <v>45658</v>
      </c>
      <c r="J321" s="61" t="str">
        <f t="shared" si="9"/>
        <v>DWG-RE Platform (Redirected)</v>
      </c>
      <c r="K321" s="44"/>
    </row>
    <row r="322" spans="1:11" ht="60" customHeight="1" x14ac:dyDescent="0.25">
      <c r="A322" s="57" t="s">
        <v>430</v>
      </c>
      <c r="B322" s="57" t="s">
        <v>434</v>
      </c>
      <c r="C322" s="57" t="s">
        <v>22</v>
      </c>
      <c r="D322" s="57" t="s">
        <v>23</v>
      </c>
      <c r="E322" s="58">
        <v>35</v>
      </c>
      <c r="F322" s="57" t="s">
        <v>436</v>
      </c>
      <c r="G322" s="57" t="s">
        <v>434</v>
      </c>
      <c r="H322" s="57" t="s">
        <v>433</v>
      </c>
      <c r="I322" s="59">
        <f t="shared" si="8"/>
        <v>45658</v>
      </c>
      <c r="J322" s="61" t="str">
        <f t="shared" si="9"/>
        <v>AVA PEREZ</v>
      </c>
      <c r="K322" s="44"/>
    </row>
    <row r="323" spans="1:11" ht="60" customHeight="1" x14ac:dyDescent="0.25">
      <c r="A323" s="51" t="s">
        <v>430</v>
      </c>
      <c r="B323" s="51" t="s">
        <v>434</v>
      </c>
      <c r="C323" s="51" t="s">
        <v>22</v>
      </c>
      <c r="D323" s="51" t="s">
        <v>23</v>
      </c>
      <c r="E323" s="56">
        <v>35</v>
      </c>
      <c r="F323" s="51" t="s">
        <v>435</v>
      </c>
      <c r="G323" s="51" t="s">
        <v>434</v>
      </c>
      <c r="H323" s="51" t="s">
        <v>433</v>
      </c>
      <c r="I323" s="55">
        <f t="shared" si="8"/>
        <v>45658</v>
      </c>
      <c r="J323" s="61" t="str">
        <f t="shared" si="9"/>
        <v>AVA PEREZ</v>
      </c>
      <c r="K323" s="44"/>
    </row>
    <row r="324" spans="1:11" ht="60" customHeight="1" x14ac:dyDescent="0.25">
      <c r="A324" s="57" t="s">
        <v>430</v>
      </c>
      <c r="B324" s="57" t="s">
        <v>431</v>
      </c>
      <c r="C324" s="57" t="s">
        <v>3</v>
      </c>
      <c r="D324" s="57" t="s">
        <v>31</v>
      </c>
      <c r="E324" s="58">
        <v>-199</v>
      </c>
      <c r="F324" s="57" t="s">
        <v>432</v>
      </c>
      <c r="G324" s="57" t="s">
        <v>431</v>
      </c>
      <c r="H324" s="57" t="s">
        <v>176</v>
      </c>
      <c r="I324" s="59">
        <f t="shared" si="8"/>
        <v>45658</v>
      </c>
      <c r="J324" s="61" t="str">
        <f t="shared" si="9"/>
        <v>Business Services-Professional Services</v>
      </c>
      <c r="K324" s="44"/>
    </row>
    <row r="325" spans="1:11" ht="60" customHeight="1" x14ac:dyDescent="0.25">
      <c r="A325" s="51" t="s">
        <v>430</v>
      </c>
      <c r="B325" s="51" t="s">
        <v>30</v>
      </c>
      <c r="C325" s="51" t="s">
        <v>3</v>
      </c>
      <c r="D325" s="51" t="s">
        <v>31</v>
      </c>
      <c r="E325" s="56">
        <v>208.95</v>
      </c>
      <c r="F325" s="51" t="s">
        <v>429</v>
      </c>
      <c r="G325" s="51" t="s">
        <v>30</v>
      </c>
      <c r="H325" s="51" t="s">
        <v>371</v>
      </c>
      <c r="I325" s="55">
        <f t="shared" si="8"/>
        <v>45658</v>
      </c>
      <c r="J325" s="61" t="str">
        <f t="shared" si="9"/>
        <v>DWG-RE Platform (Redirected)</v>
      </c>
      <c r="K325" s="44"/>
    </row>
    <row r="326" spans="1:11" ht="60" customHeight="1" x14ac:dyDescent="0.25">
      <c r="A326" s="57" t="s">
        <v>426</v>
      </c>
      <c r="B326" s="57" t="s">
        <v>427</v>
      </c>
      <c r="C326" s="57" t="s">
        <v>3</v>
      </c>
      <c r="D326" s="57" t="s">
        <v>31</v>
      </c>
      <c r="E326" s="58">
        <v>318</v>
      </c>
      <c r="F326" s="57" t="s">
        <v>428</v>
      </c>
      <c r="G326" s="57" t="s">
        <v>427</v>
      </c>
      <c r="H326" s="57" t="s">
        <v>176</v>
      </c>
      <c r="I326" s="59">
        <f t="shared" si="8"/>
        <v>45658</v>
      </c>
      <c r="J326" s="61" t="str">
        <f t="shared" si="9"/>
        <v>Business Services-Professional Services</v>
      </c>
      <c r="K326" s="44"/>
    </row>
    <row r="327" spans="1:11" ht="60" customHeight="1" x14ac:dyDescent="0.25">
      <c r="A327" s="51" t="s">
        <v>426</v>
      </c>
      <c r="B327" s="51" t="s">
        <v>424</v>
      </c>
      <c r="C327" s="51" t="s">
        <v>3</v>
      </c>
      <c r="D327" s="51" t="s">
        <v>31</v>
      </c>
      <c r="E327" s="56">
        <v>54</v>
      </c>
      <c r="F327" s="51" t="s">
        <v>425</v>
      </c>
      <c r="G327" s="51" t="s">
        <v>424</v>
      </c>
      <c r="H327" s="51" t="s">
        <v>371</v>
      </c>
      <c r="I327" s="55">
        <f t="shared" si="8"/>
        <v>45658</v>
      </c>
      <c r="J327" s="61" t="str">
        <f t="shared" si="9"/>
        <v>DWG-RE Platform (Redirected)</v>
      </c>
      <c r="K327" s="44"/>
    </row>
    <row r="328" spans="1:11" ht="60" customHeight="1" x14ac:dyDescent="0.25">
      <c r="A328" s="57" t="s">
        <v>422</v>
      </c>
      <c r="B328" s="57" t="s">
        <v>420</v>
      </c>
      <c r="C328" s="57" t="s">
        <v>3</v>
      </c>
      <c r="D328" s="57" t="s">
        <v>31</v>
      </c>
      <c r="E328" s="58">
        <v>19.71</v>
      </c>
      <c r="F328" s="57" t="s">
        <v>423</v>
      </c>
      <c r="G328" s="57" t="s">
        <v>420</v>
      </c>
      <c r="H328" s="57" t="s">
        <v>419</v>
      </c>
      <c r="I328" s="59">
        <f t="shared" si="8"/>
        <v>45658</v>
      </c>
      <c r="J328" s="61" t="str">
        <f t="shared" si="9"/>
        <v>Personal</v>
      </c>
      <c r="K328" s="44"/>
    </row>
    <row r="329" spans="1:11" ht="60" customHeight="1" x14ac:dyDescent="0.25">
      <c r="A329" s="51" t="s">
        <v>422</v>
      </c>
      <c r="B329" s="51" t="s">
        <v>420</v>
      </c>
      <c r="C329" s="51" t="s">
        <v>3</v>
      </c>
      <c r="D329" s="51" t="s">
        <v>31</v>
      </c>
      <c r="E329" s="56">
        <v>205.83</v>
      </c>
      <c r="F329" s="51" t="s">
        <v>421</v>
      </c>
      <c r="G329" s="51" t="s">
        <v>420</v>
      </c>
      <c r="H329" s="51" t="s">
        <v>419</v>
      </c>
      <c r="I329" s="55">
        <f t="shared" ref="I329:I331" si="10">DATE(RIGHT(A329,4)+0,LEFT(A329,2)+0,1)</f>
        <v>45658</v>
      </c>
      <c r="J329" s="61" t="str">
        <f t="shared" ref="J329:J331" si="11">IF(C329="JOHN DUNNING",IF(TRIM(H329)="",IF(ISNUMBER(SEARCH("PAYMENT",B329)),"Online AMEX Payment","(Uncategorized)"),TRIM(H329)),C329)</f>
        <v>Personal</v>
      </c>
      <c r="K329" s="44"/>
    </row>
    <row r="330" spans="1:11" ht="60" customHeight="1" x14ac:dyDescent="0.25">
      <c r="A330" s="57" t="s">
        <v>416</v>
      </c>
      <c r="B330" s="57" t="s">
        <v>417</v>
      </c>
      <c r="C330" s="57" t="s">
        <v>3</v>
      </c>
      <c r="D330" s="57" t="s">
        <v>31</v>
      </c>
      <c r="E330" s="58">
        <v>21.58</v>
      </c>
      <c r="F330" s="57" t="s">
        <v>418</v>
      </c>
      <c r="G330" s="57" t="s">
        <v>417</v>
      </c>
      <c r="H330" s="57" t="s">
        <v>366</v>
      </c>
      <c r="I330" s="59">
        <f t="shared" si="10"/>
        <v>45658</v>
      </c>
      <c r="J330" s="61" t="str">
        <f t="shared" si="11"/>
        <v>Fees &amp; Adjustments-Fees &amp; Adjustments</v>
      </c>
      <c r="K330" s="44"/>
    </row>
    <row r="331" spans="1:11" ht="60" customHeight="1" x14ac:dyDescent="0.25">
      <c r="A331" s="51" t="s">
        <v>416</v>
      </c>
      <c r="B331" s="51" t="s">
        <v>364</v>
      </c>
      <c r="C331" s="51" t="s">
        <v>22</v>
      </c>
      <c r="D331" s="51" t="s">
        <v>23</v>
      </c>
      <c r="E331" s="56">
        <v>195</v>
      </c>
      <c r="F331" s="51" t="s">
        <v>365</v>
      </c>
      <c r="G331" s="51" t="s">
        <v>364</v>
      </c>
      <c r="H331" s="51" t="s">
        <v>366</v>
      </c>
      <c r="I331" s="55">
        <f t="shared" si="10"/>
        <v>45658</v>
      </c>
      <c r="J331" s="61" t="str">
        <f t="shared" si="11"/>
        <v>AVA PEREZ</v>
      </c>
      <c r="K331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tabSelected="1" topLeftCell="A11" workbookViewId="0">
      <selection activeCell="G37" sqref="G37"/>
    </sheetView>
  </sheetViews>
  <sheetFormatPr defaultColWidth="26.28515625" defaultRowHeight="15" x14ac:dyDescent="0.25"/>
  <cols>
    <col min="1" max="1" width="43.85546875" customWidth="1"/>
    <col min="2" max="2" width="28.5703125" customWidth="1"/>
    <col min="3" max="4" width="21" customWidth="1"/>
  </cols>
  <sheetData>
    <row r="1" spans="1:3" ht="37.5" customHeight="1" x14ac:dyDescent="0.35">
      <c r="A1" s="63" t="s">
        <v>378</v>
      </c>
      <c r="B1" s="63"/>
      <c r="C1" s="63"/>
    </row>
    <row r="2" spans="1:3" x14ac:dyDescent="0.25">
      <c r="A2" s="2" t="s">
        <v>379</v>
      </c>
    </row>
    <row r="4" spans="1:3" x14ac:dyDescent="0.25">
      <c r="A4" s="4" t="s">
        <v>380</v>
      </c>
      <c r="B4" s="3" t="s">
        <v>381</v>
      </c>
    </row>
    <row r="5" spans="1:3" x14ac:dyDescent="0.25">
      <c r="A5" s="4" t="s">
        <v>382</v>
      </c>
      <c r="B5" s="3" t="s">
        <v>5</v>
      </c>
    </row>
    <row r="6" spans="1:3" x14ac:dyDescent="0.25">
      <c r="A6" s="4" t="s">
        <v>383</v>
      </c>
      <c r="B6" s="3" t="s">
        <v>384</v>
      </c>
    </row>
    <row r="8" spans="1:3" x14ac:dyDescent="0.25">
      <c r="A8" s="5" t="s">
        <v>385</v>
      </c>
    </row>
    <row r="9" spans="1:3" x14ac:dyDescent="0.25">
      <c r="A9" s="6" t="s">
        <v>369</v>
      </c>
      <c r="B9" s="7">
        <f>SUMIF('Transaction Details 2026'!$E$8:$E$170,"&gt;0")</f>
        <v>10241.819999999991</v>
      </c>
    </row>
    <row r="10" spans="1:3" x14ac:dyDescent="0.25">
      <c r="A10" s="6" t="s">
        <v>386</v>
      </c>
      <c r="B10" s="7">
        <f>SUMIF('Transaction Details 2026'!$E$8:$E$170,"&lt;0")</f>
        <v>-7569.81</v>
      </c>
    </row>
    <row r="11" spans="1:3" x14ac:dyDescent="0.25">
      <c r="A11" s="8" t="s">
        <v>387</v>
      </c>
      <c r="B11" s="9">
        <f>B9+B10</f>
        <v>2672.0099999999902</v>
      </c>
    </row>
    <row r="13" spans="1:3" x14ac:dyDescent="0.25">
      <c r="A13" s="5" t="s">
        <v>388</v>
      </c>
    </row>
    <row r="14" spans="1:3" x14ac:dyDescent="0.25">
      <c r="A14" s="10" t="s">
        <v>13</v>
      </c>
      <c r="B14" s="10" t="s">
        <v>10</v>
      </c>
      <c r="C14" s="10" t="s">
        <v>389</v>
      </c>
    </row>
    <row r="15" spans="1:3" x14ac:dyDescent="0.25">
      <c r="A15" s="11" t="s">
        <v>390</v>
      </c>
    </row>
    <row r="16" spans="1:3" x14ac:dyDescent="0.25">
      <c r="A16" s="3" t="s">
        <v>371</v>
      </c>
      <c r="B16" s="12">
        <f>SUMIFS('Transaction Details 2026'!$E$8:$E$170,'Transaction Details 2026'!$J$8:$J$170,A16)</f>
        <v>2860.2899999999995</v>
      </c>
      <c r="C16" s="13">
        <f>IFERROR(B16/$B$9,0)</f>
        <v>0.27927555844566709</v>
      </c>
    </row>
    <row r="17" spans="1:3" x14ac:dyDescent="0.25">
      <c r="A17" s="3" t="s">
        <v>372</v>
      </c>
      <c r="B17" s="12">
        <f>SUMIFS('Transaction Details 2026'!$E$8:$E$170,'Transaction Details 2026'!$J$8:$J$170,A17)</f>
        <v>512.87</v>
      </c>
      <c r="C17" s="13">
        <f>IFERROR(B17/$B$9,0)</f>
        <v>5.0076060700149042E-2</v>
      </c>
    </row>
    <row r="18" spans="1:3" x14ac:dyDescent="0.25">
      <c r="A18" s="14" t="s">
        <v>391</v>
      </c>
      <c r="B18" s="15">
        <f>SUM(B16:B17)</f>
        <v>3373.1599999999994</v>
      </c>
      <c r="C18" s="16">
        <f>IFERROR(B18/$B$9,0)</f>
        <v>0.32935161914581612</v>
      </c>
    </row>
    <row r="19" spans="1:3" x14ac:dyDescent="0.25">
      <c r="A19" s="11" t="s">
        <v>392</v>
      </c>
    </row>
    <row r="20" spans="1:3" x14ac:dyDescent="0.25">
      <c r="A20" s="3" t="s">
        <v>374</v>
      </c>
      <c r="B20" s="12">
        <f>SUMIFS('Transaction Details 2026'!$E$8:$E$170,'Transaction Details 2026'!$J$8:$J$170,A20)</f>
        <v>126.94999999999999</v>
      </c>
      <c r="C20" s="13">
        <f>IFERROR(B20/$B$9,0)</f>
        <v>1.2395257874088796E-2</v>
      </c>
    </row>
    <row r="21" spans="1:3" x14ac:dyDescent="0.25">
      <c r="A21" s="3" t="s">
        <v>375</v>
      </c>
      <c r="B21" s="12">
        <f>SUMIFS('Transaction Details 2026'!$E$8:$E$170,'Transaction Details 2026'!$J$8:$J$170,A21)</f>
        <v>827</v>
      </c>
      <c r="C21" s="13">
        <f>IFERROR(B21/$B$9,0)</f>
        <v>8.0747367167163728E-2</v>
      </c>
    </row>
    <row r="22" spans="1:3" x14ac:dyDescent="0.25">
      <c r="A22" s="3" t="s">
        <v>393</v>
      </c>
      <c r="B22" s="12">
        <f>SUMIFS('Transaction Details 2026'!$E$8:$E$170,'Transaction Details 2026'!$J$8:$J$170,A22)</f>
        <v>54</v>
      </c>
      <c r="C22" s="13">
        <f>IFERROR(B22/$B$9,0)</f>
        <v>5.2725003954375346E-3</v>
      </c>
    </row>
    <row r="23" spans="1:3" x14ac:dyDescent="0.25">
      <c r="A23" s="14" t="s">
        <v>394</v>
      </c>
      <c r="B23" s="15">
        <f>SUM(B20:B22)</f>
        <v>1007.95</v>
      </c>
      <c r="C23" s="16">
        <f>IFERROR(B23/$B$9,0)</f>
        <v>9.8415125436690051E-2</v>
      </c>
    </row>
    <row r="24" spans="1:3" x14ac:dyDescent="0.25">
      <c r="A24" s="11" t="s">
        <v>395</v>
      </c>
    </row>
    <row r="25" spans="1:3" x14ac:dyDescent="0.25">
      <c r="A25" s="3" t="s">
        <v>396</v>
      </c>
      <c r="B25" s="12">
        <f>SUMIFS('Transaction Details 2026'!$E$8:$E$170,'Transaction Details 2026'!$J$8:$J$170,A25)</f>
        <v>3694.7999999999975</v>
      </c>
      <c r="C25" s="13">
        <f>IFERROR(B25/$B$9,0)</f>
        <v>0.3607561937233813</v>
      </c>
    </row>
    <row r="26" spans="1:3" x14ac:dyDescent="0.25">
      <c r="A26" s="3" t="s">
        <v>397</v>
      </c>
      <c r="B26" s="12">
        <f>SUMIFS('Transaction Details 2026'!$E$8:$E$170,'Transaction Details 2026'!$J$8:$J$170,A26)</f>
        <v>1976.4699999999998</v>
      </c>
      <c r="C26" s="13">
        <f>IFERROR(B26/$B$9,0)</f>
        <v>0.19298034919574858</v>
      </c>
    </row>
    <row r="27" spans="1:3" x14ac:dyDescent="0.25">
      <c r="A27" s="3" t="s">
        <v>398</v>
      </c>
      <c r="B27" s="12">
        <f>SUMIFS('Transaction Details 2026'!$E$8:$E$170,'Transaction Details 2026'!$J$8:$J$170,A27)</f>
        <v>120</v>
      </c>
      <c r="C27" s="13">
        <f>IFERROR(B27/$B$9,0)</f>
        <v>1.1716667545416743E-2</v>
      </c>
    </row>
    <row r="28" spans="1:3" x14ac:dyDescent="0.25">
      <c r="A28" s="14" t="s">
        <v>399</v>
      </c>
      <c r="B28" s="15">
        <f>SUM(B25:B27)</f>
        <v>5791.2699999999968</v>
      </c>
      <c r="C28" s="16">
        <f>IFERROR(B28/$B$9,0)</f>
        <v>0.56545321046454655</v>
      </c>
    </row>
    <row r="29" spans="1:3" x14ac:dyDescent="0.25">
      <c r="A29" s="11" t="s">
        <v>386</v>
      </c>
    </row>
    <row r="30" spans="1:3" x14ac:dyDescent="0.25">
      <c r="A30" s="3" t="s">
        <v>373</v>
      </c>
      <c r="B30" s="12">
        <f>SUMIFS('Transaction Details 2026'!$E$8:$E$170,'Transaction Details 2026'!$J$8:$J$170,A30)</f>
        <v>-7500.37</v>
      </c>
      <c r="C30" s="13">
        <f>IFERROR(B30/$B$9,0)</f>
        <v>-0.73232784798014483</v>
      </c>
    </row>
    <row r="31" spans="1:3" x14ac:dyDescent="0.25">
      <c r="A31" s="14" t="s">
        <v>400</v>
      </c>
      <c r="B31" s="15">
        <f>SUM(B30:B30)</f>
        <v>-7500.37</v>
      </c>
      <c r="C31" s="16">
        <f>IFERROR(B31/$B$9,0)</f>
        <v>-0.73232784798014483</v>
      </c>
    </row>
    <row r="32" spans="1:3" x14ac:dyDescent="0.25">
      <c r="A32" s="5" t="s">
        <v>401</v>
      </c>
      <c r="B32" s="17">
        <f>B18+B23+B28+B31</f>
        <v>2672.0099999999975</v>
      </c>
      <c r="C32" s="18">
        <f>IFERROR(B32/$B$9,0)</f>
        <v>0.26089210706690802</v>
      </c>
    </row>
    <row r="34" spans="1:6" x14ac:dyDescent="0.25">
      <c r="A34" s="5" t="s">
        <v>402</v>
      </c>
    </row>
    <row r="35" spans="1:6" x14ac:dyDescent="0.25">
      <c r="A35" s="10" t="s">
        <v>376</v>
      </c>
      <c r="B35" s="10" t="s">
        <v>369</v>
      </c>
      <c r="C35" s="10" t="s">
        <v>403</v>
      </c>
      <c r="D35" s="10" t="s">
        <v>404</v>
      </c>
    </row>
    <row r="36" spans="1:6" x14ac:dyDescent="0.25">
      <c r="A36" s="19">
        <f>DATE(2026,1,1)</f>
        <v>46023</v>
      </c>
      <c r="B36" s="20">
        <f>SUMIFS('Transaction Details 2026'!$E$8:$E$170,'Transaction Details 2026'!$I$8:$I$170,$A36,'Transaction Details 2026'!$E$8:$E$170,"&gt;0")</f>
        <v>1418.0700000000002</v>
      </c>
      <c r="C36" s="20">
        <f>SUMIFS('Transaction Details 2026'!$E$8:$E$170,'Transaction Details 2026'!$I$8:$I$170,$A36,'Transaction Details 2026'!$E$8:$E$170,"&lt;0")</f>
        <v>-321.79000000000002</v>
      </c>
      <c r="D36" s="20">
        <f>B36+C36</f>
        <v>1096.2800000000002</v>
      </c>
    </row>
    <row r="37" spans="1:6" x14ac:dyDescent="0.25">
      <c r="A37" s="19">
        <f>EDATE(A36,1)</f>
        <v>46054</v>
      </c>
      <c r="B37" s="20">
        <f>SUMIFS('Transaction Details 2026'!$E$8:$E$170,'Transaction Details 2026'!$I$8:$I$170,$A37,'Transaction Details 2026'!$E$8:$E$170,"&gt;0")</f>
        <v>898.94</v>
      </c>
      <c r="C37" s="20">
        <f>SUMIFS('Transaction Details 2026'!$E$8:$E$170,'Transaction Details 2026'!$I$8:$I$170,$A37,'Transaction Details 2026'!$E$8:$E$170,"&lt;0")</f>
        <v>-2012.65</v>
      </c>
      <c r="D37" s="20">
        <f t="shared" ref="D37:D41" si="0">B37+C37</f>
        <v>-1113.71</v>
      </c>
      <c r="E37" s="10" t="s">
        <v>404</v>
      </c>
    </row>
    <row r="38" spans="1:6" x14ac:dyDescent="0.25">
      <c r="A38" s="19">
        <f>EDATE(A37,1)</f>
        <v>46082</v>
      </c>
      <c r="B38" s="20">
        <f>SUMIFS('Transaction Details 2026'!$E$8:$E$170,'Transaction Details 2026'!$I$8:$I$170,$A38,'Transaction Details 2026'!$E$8:$E$170,"&gt;0")</f>
        <v>1940.3400000000004</v>
      </c>
      <c r="C38" s="20">
        <f>SUMIFS('Transaction Details 2026'!$E$8:$E$170,'Transaction Details 2026'!$I$8:$I$170,$A38,'Transaction Details 2026'!$E$8:$E$170,"&lt;0")</f>
        <v>-1775.69</v>
      </c>
      <c r="D38" s="20">
        <f t="shared" si="0"/>
        <v>164.65000000000032</v>
      </c>
      <c r="E38" s="20">
        <f>C38+D38</f>
        <v>-1611.0399999999997</v>
      </c>
    </row>
    <row r="39" spans="1:6" x14ac:dyDescent="0.25">
      <c r="A39" s="19">
        <f>EDATE(A38,1)</f>
        <v>46113</v>
      </c>
      <c r="B39" s="20">
        <f>SUMIFS('Transaction Details 2026'!$E$8:$E$170,'Transaction Details 2026'!$I$8:$I$170,$A39,'Transaction Details 2026'!$E$8:$E$170,"&gt;0")</f>
        <v>3142.5800000000004</v>
      </c>
      <c r="C39" s="20">
        <f>SUMIFS('Transaction Details 2026'!$E$8:$E$170,'Transaction Details 2026'!$I$8:$I$170,$A39,'Transaction Details 2026'!$E$8:$E$170,"&lt;0")</f>
        <v>-443.1</v>
      </c>
      <c r="D39" s="20">
        <f t="shared" si="0"/>
        <v>2699.4800000000005</v>
      </c>
    </row>
    <row r="40" spans="1:6" x14ac:dyDescent="0.25">
      <c r="A40" s="19">
        <f>EDATE(A39,1)</f>
        <v>46143</v>
      </c>
      <c r="B40" s="20">
        <f>SUMIFS('Transaction Details 2026'!$E$8:$E$170,'Transaction Details 2026'!$I$8:$I$170,$A40,'Transaction Details 2026'!$E$8:$E$170,"&gt;0")</f>
        <v>2248.19</v>
      </c>
      <c r="C40" s="20">
        <f>SUMIFS('Transaction Details 2026'!$E$8:$E$170,'Transaction Details 2026'!$I$8:$I$170,$A40,'Transaction Details 2026'!$E$8:$E$170,"&lt;0")</f>
        <v>-3016.58</v>
      </c>
      <c r="D40" s="20">
        <f t="shared" si="0"/>
        <v>-768.38999999999987</v>
      </c>
    </row>
    <row r="41" spans="1:6" x14ac:dyDescent="0.25">
      <c r="A41" s="19">
        <f>EDATE(A40,1)</f>
        <v>46174</v>
      </c>
      <c r="B41" s="20">
        <f>SUMIFS('Transaction Details 2026'!$E$8:$E$170,'Transaction Details 2026'!$I$8:$I$170,$A41,'Transaction Details 2026'!$E$8:$E$170,"&gt;0")</f>
        <v>593.70000000000005</v>
      </c>
      <c r="C41" s="20">
        <f>SUMIFS('Transaction Details 2026'!$E$8:$E$170,'Transaction Details 2026'!$I$8:$I$170,$A41,'Transaction Details 2026'!$E$8:$E$170,"&lt;0")</f>
        <v>0</v>
      </c>
      <c r="D41" s="20">
        <f t="shared" si="0"/>
        <v>593.70000000000005</v>
      </c>
    </row>
    <row r="42" spans="1:6" x14ac:dyDescent="0.25">
      <c r="A42" s="14" t="s">
        <v>370</v>
      </c>
      <c r="B42" s="21">
        <f>SUM(B36:B41)</f>
        <v>10241.820000000002</v>
      </c>
      <c r="C42" s="21">
        <f>SUM(C36:C41)</f>
        <v>-7569.81</v>
      </c>
      <c r="D42" s="21">
        <f>SUM(D36:D41)</f>
        <v>2672.0100000000011</v>
      </c>
      <c r="F42" s="64">
        <f>AVERAGE(B36:B41)</f>
        <v>1706.9700000000003</v>
      </c>
    </row>
    <row r="43" spans="1:6" x14ac:dyDescent="0.25">
      <c r="B43" s="19">
        <f>EDATE(B42,1)</f>
        <v>10272</v>
      </c>
    </row>
    <row r="44" spans="1:6" x14ac:dyDescent="0.25">
      <c r="A44" s="5" t="s">
        <v>405</v>
      </c>
      <c r="B44" s="14" t="s">
        <v>370</v>
      </c>
      <c r="C44" s="21">
        <f>SUM(C38:C43)</f>
        <v>-12805.18</v>
      </c>
      <c r="D44" s="21">
        <f>SUM(D38:D43)</f>
        <v>5361.4500000000025</v>
      </c>
      <c r="E44" s="21">
        <f>SUM(E38:E43)</f>
        <v>-1611.0399999999997</v>
      </c>
    </row>
    <row r="45" spans="1:6" x14ac:dyDescent="0.25">
      <c r="A45" s="10" t="s">
        <v>8</v>
      </c>
      <c r="B45" s="10" t="s">
        <v>369</v>
      </c>
      <c r="C45" s="10" t="s">
        <v>403</v>
      </c>
      <c r="D45" s="10" t="s">
        <v>404</v>
      </c>
    </row>
    <row r="46" spans="1:6" x14ac:dyDescent="0.25">
      <c r="A46" s="3" t="s">
        <v>381</v>
      </c>
      <c r="B46" s="21">
        <f>SUMIFS('Transaction Details 2026'!$E$8:$E$170,'Transaction Details 2026'!$C$8:$C$170,$A46,'Transaction Details 2026'!$E$8:$E$170,"&gt;0")</f>
        <v>4381.1099999999988</v>
      </c>
      <c r="C46" s="21">
        <f>SUMIFS('Transaction Details 2026'!$E$8:$E$170,'Transaction Details 2026'!$C$8:$C$170,$A46,'Transaction Details 2026'!$E$8:$E$170,"&lt;0")</f>
        <v>-7500.37</v>
      </c>
      <c r="D46" s="21">
        <f>B46+C46</f>
        <v>-3119.2600000000011</v>
      </c>
      <c r="E46" s="21">
        <f>SUM(E40:E45)</f>
        <v>-1611.0399999999997</v>
      </c>
    </row>
    <row r="47" spans="1:6" x14ac:dyDescent="0.25">
      <c r="A47" s="3" t="s">
        <v>396</v>
      </c>
      <c r="B47" s="21">
        <f>SUMIFS('Transaction Details 2026'!$E$8:$E$170,'Transaction Details 2026'!$C$8:$C$170,$A47,'Transaction Details 2026'!$E$8:$E$170,"&gt;0")</f>
        <v>3708.6799999999971</v>
      </c>
      <c r="C47" s="21">
        <f>SUMIFS('Transaction Details 2026'!$E$8:$E$170,'Transaction Details 2026'!$C$8:$C$170,$A47,'Transaction Details 2026'!$E$8:$E$170,"&lt;0")</f>
        <v>-13.88</v>
      </c>
      <c r="D47" s="21">
        <f t="shared" ref="D47:D49" si="1">B47+C47</f>
        <v>3694.799999999997</v>
      </c>
      <c r="E47" s="10" t="s">
        <v>404</v>
      </c>
    </row>
    <row r="48" spans="1:6" x14ac:dyDescent="0.25">
      <c r="A48" s="3" t="s">
        <v>397</v>
      </c>
      <c r="B48" s="21">
        <f>SUMIFS('Transaction Details 2026'!$E$8:$E$170,'Transaction Details 2026'!$C$8:$C$170,$A48,'Transaction Details 2026'!$E$8:$E$170,"&gt;0")</f>
        <v>2032.0299999999995</v>
      </c>
      <c r="C48" s="21">
        <f>SUMIFS('Transaction Details 2026'!$E$8:$E$170,'Transaction Details 2026'!$C$8:$C$170,$A48,'Transaction Details 2026'!$E$8:$E$170,"&lt;0")</f>
        <v>-55.56</v>
      </c>
      <c r="D48" s="21">
        <f t="shared" si="1"/>
        <v>1976.4699999999996</v>
      </c>
      <c r="E48" s="20">
        <f>C48+D48</f>
        <v>1920.9099999999996</v>
      </c>
    </row>
    <row r="49" spans="1:4" x14ac:dyDescent="0.25">
      <c r="A49" s="3" t="s">
        <v>398</v>
      </c>
      <c r="B49" s="21">
        <f>SUMIFS('Transaction Details 2026'!$E$8:$E$170,'Transaction Details 2026'!$C$8:$C$170,$A49,'Transaction Details 2026'!$E$8:$E$170,"&gt;0")</f>
        <v>120</v>
      </c>
      <c r="C49" s="21">
        <f>SUMIFS('Transaction Details 2026'!$E$8:$E$170,'Transaction Details 2026'!$C$8:$C$170,$A49,'Transaction Details 2026'!$E$8:$E$170,"&lt;0")</f>
        <v>0</v>
      </c>
      <c r="D49" s="21">
        <f t="shared" si="1"/>
        <v>120</v>
      </c>
    </row>
    <row r="50" spans="1:4" x14ac:dyDescent="0.25">
      <c r="A50" s="14" t="s">
        <v>370</v>
      </c>
      <c r="B50" s="21">
        <f>SUM(B46:B49)</f>
        <v>10241.819999999994</v>
      </c>
      <c r="C50" s="21">
        <f>SUM(C46:C49)</f>
        <v>-7569.81</v>
      </c>
      <c r="D50" s="21">
        <f>SUM(D46:D49)</f>
        <v>2672.0099999999957</v>
      </c>
    </row>
    <row r="52" spans="1:4" x14ac:dyDescent="0.25">
      <c r="A52" s="5" t="s">
        <v>406</v>
      </c>
    </row>
    <row r="53" spans="1:4" x14ac:dyDescent="0.25">
      <c r="A53" s="10" t="s">
        <v>6</v>
      </c>
      <c r="B53" s="10" t="s">
        <v>7</v>
      </c>
      <c r="C53" s="10" t="s">
        <v>407</v>
      </c>
      <c r="D53" s="10" t="s">
        <v>10</v>
      </c>
    </row>
    <row r="54" spans="1:4" x14ac:dyDescent="0.25">
      <c r="A54" s="23">
        <f>DATE(2026,5,27)</f>
        <v>46169</v>
      </c>
      <c r="B54" s="3" t="s">
        <v>408</v>
      </c>
      <c r="C54" s="3" t="s">
        <v>409</v>
      </c>
      <c r="D54" s="12">
        <v>-2961.02</v>
      </c>
    </row>
    <row r="55" spans="1:4" x14ac:dyDescent="0.25">
      <c r="A55" s="23">
        <f>DATE(2026,2,24)</f>
        <v>46077</v>
      </c>
      <c r="B55" s="3" t="s">
        <v>408</v>
      </c>
      <c r="C55" s="3" t="s">
        <v>409</v>
      </c>
      <c r="D55" s="12">
        <v>-2012.65</v>
      </c>
    </row>
    <row r="56" spans="1:4" x14ac:dyDescent="0.25">
      <c r="A56" s="23">
        <f>DATE(2026,3,28)</f>
        <v>46109</v>
      </c>
      <c r="B56" s="3" t="s">
        <v>408</v>
      </c>
      <c r="C56" s="3" t="s">
        <v>409</v>
      </c>
      <c r="D56" s="12">
        <v>-1775.69</v>
      </c>
    </row>
    <row r="57" spans="1:4" x14ac:dyDescent="0.25">
      <c r="A57" s="23">
        <f>DATE(2026,4,27)</f>
        <v>46139</v>
      </c>
      <c r="B57" s="3" t="s">
        <v>408</v>
      </c>
      <c r="C57" s="3" t="s">
        <v>409</v>
      </c>
      <c r="D57" s="12">
        <v>-429.22</v>
      </c>
    </row>
    <row r="58" spans="1:4" x14ac:dyDescent="0.25">
      <c r="A58" s="23">
        <f>DATE(2026,1,27)</f>
        <v>46049</v>
      </c>
      <c r="B58" s="3" t="s">
        <v>408</v>
      </c>
      <c r="C58" s="3" t="s">
        <v>409</v>
      </c>
      <c r="D58" s="12">
        <v>-321.79000000000002</v>
      </c>
    </row>
    <row r="59" spans="1:4" x14ac:dyDescent="0.25">
      <c r="A59" s="23">
        <f>DATE(2026,5,12)</f>
        <v>46154</v>
      </c>
      <c r="B59" s="3" t="s">
        <v>410</v>
      </c>
      <c r="C59" s="3" t="s">
        <v>411</v>
      </c>
      <c r="D59" s="12">
        <v>-55.56</v>
      </c>
    </row>
    <row r="60" spans="1:4" x14ac:dyDescent="0.25">
      <c r="A60" s="23">
        <f>DATE(2026,4,28)</f>
        <v>46140</v>
      </c>
      <c r="B60" s="3" t="s">
        <v>412</v>
      </c>
      <c r="C60" s="3" t="s">
        <v>411</v>
      </c>
      <c r="D60" s="12">
        <v>-13.88</v>
      </c>
    </row>
    <row r="61" spans="1:4" x14ac:dyDescent="0.25">
      <c r="A61" s="14" t="s">
        <v>413</v>
      </c>
      <c r="D61" s="15">
        <f>SUM(D54:D60)</f>
        <v>-7569.8100000000013</v>
      </c>
    </row>
    <row r="62" spans="1:4" x14ac:dyDescent="0.25">
      <c r="B62" s="3" t="str">
        <f>IF(ROUND(D61-B10,2)=0,"✓ ties to Credits &amp; Payments total","⚠ mismatch")</f>
        <v>✓ ties to Credits &amp; Payments total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B78F-D924-4083-8E68-15BF010B9961}">
  <dimension ref="A1:H19"/>
  <sheetViews>
    <sheetView workbookViewId="0">
      <selection activeCell="D24" sqref="D24"/>
    </sheetView>
  </sheetViews>
  <sheetFormatPr defaultRowHeight="15" x14ac:dyDescent="0.25"/>
  <cols>
    <col min="1" max="1" width="41" customWidth="1"/>
    <col min="2" max="8" width="17.140625" customWidth="1"/>
  </cols>
  <sheetData>
    <row r="1" spans="1:8" ht="21" x14ac:dyDescent="0.35">
      <c r="A1" s="1" t="s">
        <v>378</v>
      </c>
    </row>
    <row r="2" spans="1:8" x14ac:dyDescent="0.25">
      <c r="A2" s="2" t="s">
        <v>414</v>
      </c>
    </row>
    <row r="4" spans="1:8" x14ac:dyDescent="0.25">
      <c r="A4" s="10" t="s">
        <v>13</v>
      </c>
      <c r="B4" s="24">
        <f>DATE(2026,1,1)</f>
        <v>46023</v>
      </c>
      <c r="C4" s="24">
        <f>EDATE(B4,1)</f>
        <v>46054</v>
      </c>
      <c r="D4" s="24">
        <f>EDATE(C4,1)</f>
        <v>46082</v>
      </c>
      <c r="E4" s="24">
        <f>EDATE(D4,1)</f>
        <v>46113</v>
      </c>
      <c r="F4" s="24">
        <f>EDATE(E4,1)</f>
        <v>46143</v>
      </c>
      <c r="G4" s="24">
        <f>EDATE(F4,1)</f>
        <v>46174</v>
      </c>
      <c r="H4" s="10" t="s">
        <v>370</v>
      </c>
    </row>
    <row r="5" spans="1:8" x14ac:dyDescent="0.25">
      <c r="A5" s="3" t="s">
        <v>371</v>
      </c>
      <c r="B5" s="20">
        <f>SUMIFS('Transaction Details 2026'!$E$8:$E$170,'Transaction Details 2026'!$J$8:$J$170,$A5,'Transaction Details 2026'!$I$8:$I$170,B$4)</f>
        <v>373.38</v>
      </c>
      <c r="C5" s="20">
        <f>SUMIFS('Transaction Details 2026'!$E$8:$E$170,'Transaction Details 2026'!$J$8:$J$170,$A5,'Transaction Details 2026'!$I$8:$I$170,C$4)</f>
        <v>373.38</v>
      </c>
      <c r="D5" s="20">
        <f>SUMIFS('Transaction Details 2026'!$E$8:$E$170,'Transaction Details 2026'!$J$8:$J$170,$A5,'Transaction Details 2026'!$I$8:$I$170,D$4)</f>
        <v>373.38</v>
      </c>
      <c r="E5" s="20">
        <f>SUMIFS('Transaction Details 2026'!$E$8:$E$170,'Transaction Details 2026'!$J$8:$J$170,$A5,'Transaction Details 2026'!$I$8:$I$170,E$4)</f>
        <v>1147.3699999999999</v>
      </c>
      <c r="F5" s="20">
        <f>SUMIFS('Transaction Details 2026'!$E$8:$E$170,'Transaction Details 2026'!$J$8:$J$170,$A5,'Transaction Details 2026'!$I$8:$I$170,F$4)</f>
        <v>373.38</v>
      </c>
      <c r="G5" s="20">
        <f>SUMIFS('Transaction Details 2026'!$E$8:$E$170,'Transaction Details 2026'!$J$8:$J$170,$A5,'Transaction Details 2026'!$I$8:$I$170,G$4)</f>
        <v>219.4</v>
      </c>
      <c r="H5" s="22">
        <f>SUM(B5:G5)</f>
        <v>2860.29</v>
      </c>
    </row>
    <row r="6" spans="1:8" x14ac:dyDescent="0.25">
      <c r="A6" s="3" t="s">
        <v>372</v>
      </c>
      <c r="B6" s="20">
        <f>SUMIFS('Transaction Details 2026'!$E$8:$E$170,'Transaction Details 2026'!$J$8:$J$170,$A6,'Transaction Details 2026'!$I$8:$I$170,B$4)</f>
        <v>0</v>
      </c>
      <c r="C6" s="20">
        <f>SUMIFS('Transaction Details 2026'!$E$8:$E$170,'Transaction Details 2026'!$J$8:$J$170,$A6,'Transaction Details 2026'!$I$8:$I$170,C$4)</f>
        <v>0</v>
      </c>
      <c r="D6" s="20">
        <f>SUMIFS('Transaction Details 2026'!$E$8:$E$170,'Transaction Details 2026'!$J$8:$J$170,$A6,'Transaction Details 2026'!$I$8:$I$170,D$4)</f>
        <v>0</v>
      </c>
      <c r="E6" s="20">
        <f>SUMIFS('Transaction Details 2026'!$E$8:$E$170,'Transaction Details 2026'!$J$8:$J$170,$A6,'Transaction Details 2026'!$I$8:$I$170,E$4)</f>
        <v>423.49</v>
      </c>
      <c r="F6" s="20">
        <f>SUMIFS('Transaction Details 2026'!$E$8:$E$170,'Transaction Details 2026'!$J$8:$J$170,$A6,'Transaction Details 2026'!$I$8:$I$170,F$4)</f>
        <v>89.38</v>
      </c>
      <c r="G6" s="20">
        <f>SUMIFS('Transaction Details 2026'!$E$8:$E$170,'Transaction Details 2026'!$J$8:$J$170,$A6,'Transaction Details 2026'!$I$8:$I$170,G$4)</f>
        <v>0</v>
      </c>
      <c r="H6" s="22">
        <f t="shared" ref="H6:H13" si="0">SUM(B6:G6)</f>
        <v>512.87</v>
      </c>
    </row>
    <row r="7" spans="1:8" x14ac:dyDescent="0.25">
      <c r="A7" s="3" t="s">
        <v>374</v>
      </c>
      <c r="B7" s="20">
        <f>SUMIFS('Transaction Details 2026'!$E$8:$E$170,'Transaction Details 2026'!$J$8:$J$170,$A7,'Transaction Details 2026'!$I$8:$I$170,B$4)</f>
        <v>24.99</v>
      </c>
      <c r="C7" s="20">
        <f>SUMIFS('Transaction Details 2026'!$E$8:$E$170,'Transaction Details 2026'!$J$8:$J$170,$A7,'Transaction Details 2026'!$I$8:$I$170,C$4)</f>
        <v>24.99</v>
      </c>
      <c r="D7" s="20">
        <f>SUMIFS('Transaction Details 2026'!$E$8:$E$170,'Transaction Details 2026'!$J$8:$J$170,$A7,'Transaction Details 2026'!$I$8:$I$170,D$4)</f>
        <v>24.99</v>
      </c>
      <c r="E7" s="20">
        <f>SUMIFS('Transaction Details 2026'!$E$8:$E$170,'Transaction Details 2026'!$J$8:$J$170,$A7,'Transaction Details 2026'!$I$8:$I$170,E$4)</f>
        <v>24.99</v>
      </c>
      <c r="F7" s="20">
        <f>SUMIFS('Transaction Details 2026'!$E$8:$E$170,'Transaction Details 2026'!$J$8:$J$170,$A7,'Transaction Details 2026'!$I$8:$I$170,F$4)</f>
        <v>26.99</v>
      </c>
      <c r="G7" s="20">
        <f>SUMIFS('Transaction Details 2026'!$E$8:$E$170,'Transaction Details 2026'!$J$8:$J$170,$A7,'Transaction Details 2026'!$I$8:$I$170,G$4)</f>
        <v>0</v>
      </c>
      <c r="H7" s="22">
        <f t="shared" si="0"/>
        <v>126.94999999999999</v>
      </c>
    </row>
    <row r="8" spans="1:8" x14ac:dyDescent="0.25">
      <c r="A8" s="3" t="s">
        <v>375</v>
      </c>
      <c r="B8" s="20">
        <f>SUMIFS('Transaction Details 2026'!$E$8:$E$170,'Transaction Details 2026'!$J$8:$J$170,$A8,'Transaction Details 2026'!$I$8:$I$170,B$4)</f>
        <v>0</v>
      </c>
      <c r="C8" s="20">
        <f>SUMIFS('Transaction Details 2026'!$E$8:$E$170,'Transaction Details 2026'!$J$8:$J$170,$A8,'Transaction Details 2026'!$I$8:$I$170,C$4)</f>
        <v>0</v>
      </c>
      <c r="D8" s="20">
        <f>SUMIFS('Transaction Details 2026'!$E$8:$E$170,'Transaction Details 2026'!$J$8:$J$170,$A8,'Transaction Details 2026'!$I$8:$I$170,D$4)</f>
        <v>230</v>
      </c>
      <c r="E8" s="20">
        <f>SUMIFS('Transaction Details 2026'!$E$8:$E$170,'Transaction Details 2026'!$J$8:$J$170,$A8,'Transaction Details 2026'!$I$8:$I$170,E$4)</f>
        <v>199</v>
      </c>
      <c r="F8" s="20">
        <f>SUMIFS('Transaction Details 2026'!$E$8:$E$170,'Transaction Details 2026'!$J$8:$J$170,$A8,'Transaction Details 2026'!$I$8:$I$170,F$4)</f>
        <v>398</v>
      </c>
      <c r="G8" s="20">
        <f>SUMIFS('Transaction Details 2026'!$E$8:$E$170,'Transaction Details 2026'!$J$8:$J$170,$A8,'Transaction Details 2026'!$I$8:$I$170,G$4)</f>
        <v>0</v>
      </c>
      <c r="H8" s="22">
        <f t="shared" si="0"/>
        <v>827</v>
      </c>
    </row>
    <row r="9" spans="1:8" x14ac:dyDescent="0.25">
      <c r="A9" s="3" t="s">
        <v>393</v>
      </c>
      <c r="B9" s="20">
        <f>SUMIFS('Transaction Details 2026'!$E$8:$E$170,'Transaction Details 2026'!$J$8:$J$170,$A9,'Transaction Details 2026'!$I$8:$I$170,B$4)</f>
        <v>0</v>
      </c>
      <c r="C9" s="20">
        <f>SUMIFS('Transaction Details 2026'!$E$8:$E$170,'Transaction Details 2026'!$J$8:$J$170,$A9,'Transaction Details 2026'!$I$8:$I$170,C$4)</f>
        <v>0</v>
      </c>
      <c r="D9" s="20">
        <f>SUMIFS('Transaction Details 2026'!$E$8:$E$170,'Transaction Details 2026'!$J$8:$J$170,$A9,'Transaction Details 2026'!$I$8:$I$170,D$4)</f>
        <v>0</v>
      </c>
      <c r="E9" s="20">
        <f>SUMIFS('Transaction Details 2026'!$E$8:$E$170,'Transaction Details 2026'!$J$8:$J$170,$A9,'Transaction Details 2026'!$I$8:$I$170,E$4)</f>
        <v>0</v>
      </c>
      <c r="F9" s="20">
        <f>SUMIFS('Transaction Details 2026'!$E$8:$E$170,'Transaction Details 2026'!$J$8:$J$170,$A9,'Transaction Details 2026'!$I$8:$I$170,F$4)</f>
        <v>0</v>
      </c>
      <c r="G9" s="20">
        <f>SUMIFS('Transaction Details 2026'!$E$8:$E$170,'Transaction Details 2026'!$J$8:$J$170,$A9,'Transaction Details 2026'!$I$8:$I$170,G$4)</f>
        <v>54</v>
      </c>
      <c r="H9" s="22">
        <f t="shared" si="0"/>
        <v>54</v>
      </c>
    </row>
    <row r="10" spans="1:8" x14ac:dyDescent="0.25">
      <c r="A10" s="3" t="s">
        <v>396</v>
      </c>
      <c r="B10" s="20">
        <f>SUMIFS('Transaction Details 2026'!$E$8:$E$170,'Transaction Details 2026'!$J$8:$J$170,$A10,'Transaction Details 2026'!$I$8:$I$170,B$4)</f>
        <v>959.7</v>
      </c>
      <c r="C10" s="20">
        <f>SUMIFS('Transaction Details 2026'!$E$8:$E$170,'Transaction Details 2026'!$J$8:$J$170,$A10,'Transaction Details 2026'!$I$8:$I$170,C$4)</f>
        <v>500.57</v>
      </c>
      <c r="D10" s="20">
        <f>SUMIFS('Transaction Details 2026'!$E$8:$E$170,'Transaction Details 2026'!$J$8:$J$170,$A10,'Transaction Details 2026'!$I$8:$I$170,D$4)</f>
        <v>1067.3</v>
      </c>
      <c r="E10" s="20">
        <f>SUMIFS('Transaction Details 2026'!$E$8:$E$170,'Transaction Details 2026'!$J$8:$J$170,$A10,'Transaction Details 2026'!$I$8:$I$170,E$4)</f>
        <v>564.46</v>
      </c>
      <c r="F10" s="20">
        <f>SUMIFS('Transaction Details 2026'!$E$8:$E$170,'Transaction Details 2026'!$J$8:$J$170,$A10,'Transaction Details 2026'!$I$8:$I$170,F$4)</f>
        <v>482.64000000000004</v>
      </c>
      <c r="G10" s="20">
        <f>SUMIFS('Transaction Details 2026'!$E$8:$E$170,'Transaction Details 2026'!$J$8:$J$170,$A10,'Transaction Details 2026'!$I$8:$I$170,G$4)</f>
        <v>120.13</v>
      </c>
      <c r="H10" s="22">
        <f t="shared" si="0"/>
        <v>3694.7999999999997</v>
      </c>
    </row>
    <row r="11" spans="1:8" x14ac:dyDescent="0.25">
      <c r="A11" s="3" t="s">
        <v>397</v>
      </c>
      <c r="B11" s="20">
        <f>SUMIFS('Transaction Details 2026'!$E$8:$E$170,'Transaction Details 2026'!$J$8:$J$170,$A11,'Transaction Details 2026'!$I$8:$I$170,B$4)</f>
        <v>0</v>
      </c>
      <c r="C11" s="20">
        <f>SUMIFS('Transaction Details 2026'!$E$8:$E$170,'Transaction Details 2026'!$J$8:$J$170,$A11,'Transaction Details 2026'!$I$8:$I$170,C$4)</f>
        <v>0</v>
      </c>
      <c r="D11" s="20">
        <f>SUMIFS('Transaction Details 2026'!$E$8:$E$170,'Transaction Details 2026'!$J$8:$J$170,$A11,'Transaction Details 2026'!$I$8:$I$170,D$4)</f>
        <v>244.67000000000002</v>
      </c>
      <c r="E11" s="20">
        <f>SUMIFS('Transaction Details 2026'!$E$8:$E$170,'Transaction Details 2026'!$J$8:$J$170,$A11,'Transaction Details 2026'!$I$8:$I$170,E$4)</f>
        <v>709.3900000000001</v>
      </c>
      <c r="F11" s="20">
        <f>SUMIFS('Transaction Details 2026'!$E$8:$E$170,'Transaction Details 2026'!$J$8:$J$170,$A11,'Transaction Details 2026'!$I$8:$I$170,F$4)</f>
        <v>822.24000000000012</v>
      </c>
      <c r="G11" s="20">
        <f>SUMIFS('Transaction Details 2026'!$E$8:$E$170,'Transaction Details 2026'!$J$8:$J$170,$A11,'Transaction Details 2026'!$I$8:$I$170,G$4)</f>
        <v>200.17</v>
      </c>
      <c r="H11" s="22">
        <f t="shared" si="0"/>
        <v>1976.4700000000003</v>
      </c>
    </row>
    <row r="12" spans="1:8" x14ac:dyDescent="0.25">
      <c r="A12" s="3" t="s">
        <v>398</v>
      </c>
      <c r="B12" s="20">
        <f>SUMIFS('Transaction Details 2026'!$E$8:$E$170,'Transaction Details 2026'!$J$8:$J$170,$A12,'Transaction Details 2026'!$I$8:$I$170,B$4)</f>
        <v>60</v>
      </c>
      <c r="C12" s="20">
        <f>SUMIFS('Transaction Details 2026'!$E$8:$E$170,'Transaction Details 2026'!$J$8:$J$170,$A12,'Transaction Details 2026'!$I$8:$I$170,C$4)</f>
        <v>0</v>
      </c>
      <c r="D12" s="20">
        <f>SUMIFS('Transaction Details 2026'!$E$8:$E$170,'Transaction Details 2026'!$J$8:$J$170,$A12,'Transaction Details 2026'!$I$8:$I$170,D$4)</f>
        <v>0</v>
      </c>
      <c r="E12" s="20">
        <f>SUMIFS('Transaction Details 2026'!$E$8:$E$170,'Transaction Details 2026'!$J$8:$J$170,$A12,'Transaction Details 2026'!$I$8:$I$170,E$4)</f>
        <v>60</v>
      </c>
      <c r="F12" s="20">
        <f>SUMIFS('Transaction Details 2026'!$E$8:$E$170,'Transaction Details 2026'!$J$8:$J$170,$A12,'Transaction Details 2026'!$I$8:$I$170,F$4)</f>
        <v>0</v>
      </c>
      <c r="G12" s="20">
        <f>SUMIFS('Transaction Details 2026'!$E$8:$E$170,'Transaction Details 2026'!$J$8:$J$170,$A12,'Transaction Details 2026'!$I$8:$I$170,G$4)</f>
        <v>0</v>
      </c>
      <c r="H12" s="22">
        <f t="shared" si="0"/>
        <v>120</v>
      </c>
    </row>
    <row r="13" spans="1:8" x14ac:dyDescent="0.25">
      <c r="A13" s="3" t="s">
        <v>373</v>
      </c>
      <c r="B13" s="20">
        <f>SUMIFS('Transaction Details 2026'!$E$8:$E$170,'Transaction Details 2026'!$J$8:$J$170,$A13,'Transaction Details 2026'!$I$8:$I$170,B$4)</f>
        <v>-321.79000000000002</v>
      </c>
      <c r="C13" s="20">
        <f>SUMIFS('Transaction Details 2026'!$E$8:$E$170,'Transaction Details 2026'!$J$8:$J$170,$A13,'Transaction Details 2026'!$I$8:$I$170,C$4)</f>
        <v>-2012.65</v>
      </c>
      <c r="D13" s="20">
        <f>SUMIFS('Transaction Details 2026'!$E$8:$E$170,'Transaction Details 2026'!$J$8:$J$170,$A13,'Transaction Details 2026'!$I$8:$I$170,D$4)</f>
        <v>-1775.69</v>
      </c>
      <c r="E13" s="20">
        <f>SUMIFS('Transaction Details 2026'!$E$8:$E$170,'Transaction Details 2026'!$J$8:$J$170,$A13,'Transaction Details 2026'!$I$8:$I$170,E$4)</f>
        <v>-429.22</v>
      </c>
      <c r="F13" s="20">
        <f>SUMIFS('Transaction Details 2026'!$E$8:$E$170,'Transaction Details 2026'!$J$8:$J$170,$A13,'Transaction Details 2026'!$I$8:$I$170,F$4)</f>
        <v>-2961.02</v>
      </c>
      <c r="G13" s="20">
        <f>SUMIFS('Transaction Details 2026'!$E$8:$E$170,'Transaction Details 2026'!$J$8:$J$170,$A13,'Transaction Details 2026'!$I$8:$I$170,G$4)</f>
        <v>0</v>
      </c>
      <c r="H13" s="22">
        <f t="shared" si="0"/>
        <v>-7500.3700000000008</v>
      </c>
    </row>
    <row r="15" spans="1:8" x14ac:dyDescent="0.25">
      <c r="A15" s="14" t="s">
        <v>415</v>
      </c>
      <c r="B15" s="21">
        <f>SUMIFS('Transaction Details 2026'!$E$8:$E$170,'Transaction Details 2026'!$I$8:$I$170,B$4,'Transaction Details 2026'!$E$8:$E$170,"&gt;0")</f>
        <v>1418.0700000000002</v>
      </c>
      <c r="C15" s="21">
        <f>SUMIFS('Transaction Details 2026'!$E$8:$E$170,'Transaction Details 2026'!$I$8:$I$170,C$4,'Transaction Details 2026'!$E$8:$E$170,"&gt;0")</f>
        <v>898.94</v>
      </c>
      <c r="D15" s="21">
        <f>SUMIFS('Transaction Details 2026'!$E$8:$E$170,'Transaction Details 2026'!$I$8:$I$170,D$4,'Transaction Details 2026'!$E$8:$E$170,"&gt;0")</f>
        <v>1940.3400000000004</v>
      </c>
      <c r="E15" s="21">
        <f>SUMIFS('Transaction Details 2026'!$E$8:$E$170,'Transaction Details 2026'!$I$8:$I$170,E$4,'Transaction Details 2026'!$E$8:$E$170,"&gt;0")</f>
        <v>3142.5800000000004</v>
      </c>
      <c r="F15" s="21">
        <f>SUMIFS('Transaction Details 2026'!$E$8:$E$170,'Transaction Details 2026'!$I$8:$I$170,F$4,'Transaction Details 2026'!$E$8:$E$170,"&gt;0")</f>
        <v>2248.19</v>
      </c>
      <c r="G15" s="21">
        <f>SUMIFS('Transaction Details 2026'!$E$8:$E$170,'Transaction Details 2026'!$I$8:$I$170,G$4,'Transaction Details 2026'!$E$8:$E$170,"&gt;0")</f>
        <v>593.70000000000005</v>
      </c>
      <c r="H15" s="21">
        <f>SUM(B15:G15)</f>
        <v>10241.820000000002</v>
      </c>
    </row>
    <row r="16" spans="1:8" x14ac:dyDescent="0.25">
      <c r="A16" s="14" t="s">
        <v>413</v>
      </c>
      <c r="B16" s="21">
        <f>SUMIFS('Transaction Details 2026'!$E$8:$E$170,'Transaction Details 2026'!$I$8:$I$170,B$4,'Transaction Details 2026'!$E$8:$E$170,"&lt;0")</f>
        <v>-321.79000000000002</v>
      </c>
      <c r="C16" s="21">
        <f>SUMIFS('Transaction Details 2026'!$E$8:$E$170,'Transaction Details 2026'!$I$8:$I$170,C$4,'Transaction Details 2026'!$E$8:$E$170,"&lt;0")</f>
        <v>-2012.65</v>
      </c>
      <c r="D16" s="21">
        <f>SUMIFS('Transaction Details 2026'!$E$8:$E$170,'Transaction Details 2026'!$I$8:$I$170,D$4,'Transaction Details 2026'!$E$8:$E$170,"&lt;0")</f>
        <v>-1775.69</v>
      </c>
      <c r="E16" s="21">
        <f>SUMIFS('Transaction Details 2026'!$E$8:$E$170,'Transaction Details 2026'!$I$8:$I$170,E$4,'Transaction Details 2026'!$E$8:$E$170,"&lt;0")</f>
        <v>-443.1</v>
      </c>
      <c r="F16" s="21">
        <f>SUMIFS('Transaction Details 2026'!$E$8:$E$170,'Transaction Details 2026'!$I$8:$I$170,F$4,'Transaction Details 2026'!$E$8:$E$170,"&lt;0")</f>
        <v>-3016.58</v>
      </c>
      <c r="G16" s="21">
        <f>SUMIFS('Transaction Details 2026'!$E$8:$E$170,'Transaction Details 2026'!$I$8:$I$170,G$4,'Transaction Details 2026'!$E$8:$E$170,"&lt;0")</f>
        <v>0</v>
      </c>
      <c r="H16" s="21">
        <f>SUM(B16:G16)</f>
        <v>-7569.81</v>
      </c>
    </row>
    <row r="17" spans="1:8" x14ac:dyDescent="0.25">
      <c r="A17" s="5" t="s">
        <v>404</v>
      </c>
      <c r="B17" s="25">
        <f t="shared" ref="B17:G17" si="1">B15+B16</f>
        <v>1096.2800000000002</v>
      </c>
      <c r="C17" s="25">
        <f t="shared" si="1"/>
        <v>-1113.71</v>
      </c>
      <c r="D17" s="25">
        <f t="shared" si="1"/>
        <v>164.65000000000032</v>
      </c>
      <c r="E17" s="25">
        <f t="shared" si="1"/>
        <v>2699.4800000000005</v>
      </c>
      <c r="F17" s="25">
        <f t="shared" si="1"/>
        <v>-768.38999999999987</v>
      </c>
      <c r="G17" s="25">
        <f t="shared" si="1"/>
        <v>593.70000000000005</v>
      </c>
      <c r="H17" s="25">
        <f>SUM(B17:G17)</f>
        <v>2672.0100000000011</v>
      </c>
    </row>
    <row r="19" spans="1:8" x14ac:dyDescent="0.25">
      <c r="A19" s="26" t="str">
        <f>IF(ROUND(H17-'Transaction Summary 2026'!B11,2)=0,"✓ Net ties to Transaction Summary","⚠ mismatch")</f>
        <v>✓ Net ties to Transaction Summary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0"/>
  <sheetViews>
    <sheetView workbookViewId="0">
      <selection activeCell="D10" sqref="D10"/>
    </sheetView>
  </sheetViews>
  <sheetFormatPr defaultColWidth="26.28515625" defaultRowHeight="15" x14ac:dyDescent="0.25"/>
  <cols>
    <col min="6" max="6" width="38.5703125" customWidth="1"/>
  </cols>
  <sheetData>
    <row r="1" spans="1:11" ht="51.75" customHeight="1" x14ac:dyDescent="0.25">
      <c r="A1" s="29" t="s">
        <v>378</v>
      </c>
      <c r="B1" s="30" t="s">
        <v>1</v>
      </c>
      <c r="C1" s="28"/>
      <c r="D1" s="28"/>
      <c r="E1" s="28"/>
      <c r="F1" s="28"/>
      <c r="G1" s="28"/>
      <c r="H1" s="28"/>
      <c r="I1" s="28"/>
      <c r="J1" s="28"/>
      <c r="K1" s="27"/>
    </row>
    <row r="2" spans="1:11" x14ac:dyDescent="0.25">
      <c r="A2" s="31" t="s">
        <v>2</v>
      </c>
      <c r="B2" s="32" t="s">
        <v>0</v>
      </c>
      <c r="C2" s="33"/>
      <c r="D2" s="33"/>
      <c r="E2" s="33"/>
      <c r="F2" s="33"/>
      <c r="G2" s="33"/>
      <c r="H2" s="33"/>
      <c r="I2" s="33"/>
      <c r="J2" s="33"/>
      <c r="K2" s="27"/>
    </row>
    <row r="3" spans="1:11" x14ac:dyDescent="0.25">
      <c r="A3" s="34" t="s">
        <v>3</v>
      </c>
      <c r="B3" s="35" t="s">
        <v>0</v>
      </c>
      <c r="C3" s="33"/>
      <c r="D3" s="33"/>
      <c r="E3" s="33"/>
      <c r="F3" s="33"/>
      <c r="G3" s="33"/>
      <c r="H3" s="33"/>
      <c r="I3" s="33"/>
      <c r="J3" s="33"/>
      <c r="K3" s="27"/>
    </row>
    <row r="4" spans="1:11" x14ac:dyDescent="0.25">
      <c r="A4" s="31" t="s">
        <v>4</v>
      </c>
      <c r="B4" s="32" t="s">
        <v>0</v>
      </c>
      <c r="C4" s="33"/>
      <c r="D4" s="33"/>
      <c r="E4" s="33"/>
      <c r="F4" s="33"/>
      <c r="G4" s="33"/>
      <c r="H4" s="33"/>
      <c r="I4" s="33"/>
      <c r="J4" s="33"/>
      <c r="K4" s="27"/>
    </row>
    <row r="5" spans="1:11" x14ac:dyDescent="0.25">
      <c r="A5" s="34" t="s">
        <v>5</v>
      </c>
      <c r="B5" s="35" t="s">
        <v>0</v>
      </c>
      <c r="C5" s="33"/>
      <c r="D5" s="33"/>
      <c r="E5" s="33"/>
      <c r="F5" s="33"/>
      <c r="G5" s="33"/>
      <c r="H5" s="33"/>
      <c r="I5" s="33"/>
      <c r="J5" s="33"/>
      <c r="K5" s="27"/>
    </row>
    <row r="6" spans="1:11" x14ac:dyDescent="0.25">
      <c r="A6" s="32" t="s">
        <v>0</v>
      </c>
      <c r="B6" s="32" t="s">
        <v>0</v>
      </c>
      <c r="C6" s="33"/>
      <c r="D6" s="33"/>
      <c r="E6" s="33"/>
      <c r="F6" s="33"/>
      <c r="G6" s="33"/>
      <c r="H6" s="33"/>
      <c r="I6" s="33"/>
      <c r="J6" s="33"/>
      <c r="K6" s="27"/>
    </row>
    <row r="7" spans="1:11" x14ac:dyDescent="0.25">
      <c r="A7" s="36" t="s">
        <v>6</v>
      </c>
      <c r="B7" s="36" t="s">
        <v>7</v>
      </c>
      <c r="C7" s="36" t="s">
        <v>8</v>
      </c>
      <c r="D7" s="36" t="s">
        <v>9</v>
      </c>
      <c r="E7" s="36" t="s">
        <v>10</v>
      </c>
      <c r="F7" s="36" t="s">
        <v>11</v>
      </c>
      <c r="G7" s="36" t="s">
        <v>12</v>
      </c>
      <c r="H7" s="36" t="s">
        <v>13</v>
      </c>
      <c r="I7" s="36" t="s">
        <v>376</v>
      </c>
      <c r="J7" s="36" t="s">
        <v>377</v>
      </c>
      <c r="K7" s="27"/>
    </row>
    <row r="8" spans="1:11" ht="60" customHeight="1" x14ac:dyDescent="0.25">
      <c r="A8" s="40" t="s">
        <v>14</v>
      </c>
      <c r="B8" s="40" t="s">
        <v>15</v>
      </c>
      <c r="C8" s="40" t="s">
        <v>16</v>
      </c>
      <c r="D8" s="40" t="s">
        <v>17</v>
      </c>
      <c r="E8" s="41">
        <v>68.75</v>
      </c>
      <c r="F8" s="40" t="s">
        <v>18</v>
      </c>
      <c r="G8" s="40" t="s">
        <v>15</v>
      </c>
      <c r="H8" s="40" t="s">
        <v>19</v>
      </c>
      <c r="I8" s="42">
        <f>DATE(RIGHT(A8,4)+0,LEFT(A8,2)+0,1)</f>
        <v>46174</v>
      </c>
      <c r="J8" s="62" t="str">
        <f>IF(C8="JOHN DUNNING",IF(TRIM(H8)="",IF(ISNUMBER(SEARCH("PAYMENT",B8)),"Online AMEX Payment","(Uncategorized)"),TRIM(H8)),C8)</f>
        <v>JOE SAUNDERS</v>
      </c>
      <c r="K8" s="27"/>
    </row>
    <row r="9" spans="1:11" ht="60" customHeight="1" x14ac:dyDescent="0.25">
      <c r="A9" s="34" t="s">
        <v>20</v>
      </c>
      <c r="B9" s="34" t="s">
        <v>21</v>
      </c>
      <c r="C9" s="34" t="s">
        <v>22</v>
      </c>
      <c r="D9" s="34" t="s">
        <v>23</v>
      </c>
      <c r="E9" s="39">
        <v>60.46</v>
      </c>
      <c r="F9" s="34" t="s">
        <v>24</v>
      </c>
      <c r="G9" s="34" t="s">
        <v>21</v>
      </c>
      <c r="H9" s="34" t="s">
        <v>25</v>
      </c>
      <c r="I9" s="37">
        <f t="shared" ref="I9:I72" si="0">DATE(RIGHT(A9,4)+0,LEFT(A9,2)+0,1)</f>
        <v>46174</v>
      </c>
      <c r="J9" s="62" t="str">
        <f t="shared" ref="J9:J72" si="1">IF(C9="JOHN DUNNING",IF(TRIM(H9)="",IF(ISNUMBER(SEARCH("PAYMENT",B9)),"Online AMEX Payment","(Uncategorized)"),TRIM(H9)),C9)</f>
        <v>AVA PEREZ</v>
      </c>
      <c r="K9" s="27"/>
    </row>
    <row r="10" spans="1:11" ht="60" customHeight="1" x14ac:dyDescent="0.25">
      <c r="A10" s="40" t="s">
        <v>20</v>
      </c>
      <c r="B10" s="40" t="s">
        <v>26</v>
      </c>
      <c r="C10" s="40" t="s">
        <v>22</v>
      </c>
      <c r="D10" s="40" t="s">
        <v>23</v>
      </c>
      <c r="E10" s="41">
        <v>26.68</v>
      </c>
      <c r="F10" s="40" t="s">
        <v>27</v>
      </c>
      <c r="G10" s="40" t="s">
        <v>26</v>
      </c>
      <c r="H10" s="40" t="s">
        <v>28</v>
      </c>
      <c r="I10" s="42">
        <f t="shared" si="0"/>
        <v>46174</v>
      </c>
      <c r="J10" s="62" t="str">
        <f t="shared" si="1"/>
        <v>AVA PEREZ</v>
      </c>
      <c r="K10" s="27"/>
    </row>
    <row r="11" spans="1:11" ht="60" customHeight="1" x14ac:dyDescent="0.25">
      <c r="A11" s="34" t="s">
        <v>29</v>
      </c>
      <c r="B11" s="34" t="s">
        <v>30</v>
      </c>
      <c r="C11" s="34" t="s">
        <v>3</v>
      </c>
      <c r="D11" s="34" t="s">
        <v>31</v>
      </c>
      <c r="E11" s="39">
        <v>219.4</v>
      </c>
      <c r="F11" s="34" t="s">
        <v>32</v>
      </c>
      <c r="G11" s="34" t="s">
        <v>30</v>
      </c>
      <c r="H11" s="34" t="s">
        <v>371</v>
      </c>
      <c r="I11" s="37">
        <f t="shared" si="0"/>
        <v>46174</v>
      </c>
      <c r="J11" s="62" t="str">
        <f t="shared" si="1"/>
        <v>DWG-RE Platform (Redirected)</v>
      </c>
      <c r="K11" s="27"/>
    </row>
    <row r="12" spans="1:11" ht="60" customHeight="1" x14ac:dyDescent="0.25">
      <c r="A12" s="40" t="s">
        <v>29</v>
      </c>
      <c r="B12" s="40" t="s">
        <v>34</v>
      </c>
      <c r="C12" s="40" t="s">
        <v>16</v>
      </c>
      <c r="D12" s="40" t="s">
        <v>17</v>
      </c>
      <c r="E12" s="41">
        <v>131.41999999999999</v>
      </c>
      <c r="F12" s="40" t="s">
        <v>35</v>
      </c>
      <c r="G12" s="40" t="s">
        <v>36</v>
      </c>
      <c r="H12" s="40" t="s">
        <v>37</v>
      </c>
      <c r="I12" s="42">
        <f t="shared" si="0"/>
        <v>46174</v>
      </c>
      <c r="J12" s="62" t="str">
        <f t="shared" si="1"/>
        <v>JOE SAUNDERS</v>
      </c>
      <c r="K12" s="27"/>
    </row>
    <row r="13" spans="1:11" ht="60" customHeight="1" x14ac:dyDescent="0.25">
      <c r="A13" s="34" t="s">
        <v>38</v>
      </c>
      <c r="B13" s="34" t="s">
        <v>39</v>
      </c>
      <c r="C13" s="34" t="s">
        <v>3</v>
      </c>
      <c r="D13" s="34" t="s">
        <v>31</v>
      </c>
      <c r="E13" s="39">
        <v>54</v>
      </c>
      <c r="F13" s="34" t="s">
        <v>40</v>
      </c>
      <c r="G13" s="34" t="s">
        <v>39</v>
      </c>
      <c r="H13" s="38"/>
      <c r="I13" s="37">
        <f t="shared" si="0"/>
        <v>46174</v>
      </c>
      <c r="J13" s="62" t="str">
        <f t="shared" si="1"/>
        <v>(Uncategorized)</v>
      </c>
      <c r="K13" s="27"/>
    </row>
    <row r="14" spans="1:11" ht="60" customHeight="1" x14ac:dyDescent="0.25">
      <c r="A14" s="40" t="s">
        <v>42</v>
      </c>
      <c r="B14" s="40" t="s">
        <v>43</v>
      </c>
      <c r="C14" s="40" t="s">
        <v>22</v>
      </c>
      <c r="D14" s="40" t="s">
        <v>23</v>
      </c>
      <c r="E14" s="41">
        <v>2.99</v>
      </c>
      <c r="F14" s="40" t="s">
        <v>44</v>
      </c>
      <c r="G14" s="40" t="s">
        <v>43</v>
      </c>
      <c r="H14" s="40" t="s">
        <v>45</v>
      </c>
      <c r="I14" s="42">
        <f t="shared" si="0"/>
        <v>46174</v>
      </c>
      <c r="J14" s="62" t="str">
        <f t="shared" si="1"/>
        <v>AVA PEREZ</v>
      </c>
      <c r="K14" s="27"/>
    </row>
    <row r="15" spans="1:11" ht="60" customHeight="1" x14ac:dyDescent="0.25">
      <c r="A15" s="34" t="s">
        <v>46</v>
      </c>
      <c r="B15" s="34" t="s">
        <v>47</v>
      </c>
      <c r="C15" s="34" t="s">
        <v>22</v>
      </c>
      <c r="D15" s="34" t="s">
        <v>23</v>
      </c>
      <c r="E15" s="39">
        <v>30</v>
      </c>
      <c r="F15" s="34" t="s">
        <v>48</v>
      </c>
      <c r="G15" s="34" t="s">
        <v>47</v>
      </c>
      <c r="H15" s="34" t="s">
        <v>25</v>
      </c>
      <c r="I15" s="37">
        <f t="shared" si="0"/>
        <v>46174</v>
      </c>
      <c r="J15" s="62" t="str">
        <f t="shared" si="1"/>
        <v>AVA PEREZ</v>
      </c>
      <c r="K15" s="27"/>
    </row>
    <row r="16" spans="1:11" ht="60" customHeight="1" x14ac:dyDescent="0.25">
      <c r="A16" s="40" t="s">
        <v>49</v>
      </c>
      <c r="B16" s="40" t="s">
        <v>50</v>
      </c>
      <c r="C16" s="40" t="s">
        <v>3</v>
      </c>
      <c r="D16" s="40" t="s">
        <v>31</v>
      </c>
      <c r="E16" s="41">
        <v>89.38</v>
      </c>
      <c r="F16" s="40" t="s">
        <v>51</v>
      </c>
      <c r="G16" s="40" t="s">
        <v>50</v>
      </c>
      <c r="H16" s="40" t="s">
        <v>372</v>
      </c>
      <c r="I16" s="42">
        <f t="shared" si="0"/>
        <v>46143</v>
      </c>
      <c r="J16" s="62" t="str">
        <f t="shared" si="1"/>
        <v>Sponsor Cloud</v>
      </c>
      <c r="K16" s="27"/>
    </row>
    <row r="17" spans="1:11" ht="60" customHeight="1" x14ac:dyDescent="0.25">
      <c r="A17" s="34" t="s">
        <v>52</v>
      </c>
      <c r="B17" s="34" t="s">
        <v>53</v>
      </c>
      <c r="C17" s="34" t="s">
        <v>22</v>
      </c>
      <c r="D17" s="34" t="s">
        <v>23</v>
      </c>
      <c r="E17" s="39">
        <v>15</v>
      </c>
      <c r="F17" s="34" t="s">
        <v>54</v>
      </c>
      <c r="G17" s="34" t="s">
        <v>53</v>
      </c>
      <c r="H17" s="34" t="s">
        <v>33</v>
      </c>
      <c r="I17" s="37">
        <f t="shared" si="0"/>
        <v>46143</v>
      </c>
      <c r="J17" s="62" t="str">
        <f t="shared" si="1"/>
        <v>AVA PEREZ</v>
      </c>
      <c r="K17" s="27"/>
    </row>
    <row r="18" spans="1:11" ht="60" customHeight="1" x14ac:dyDescent="0.25">
      <c r="A18" s="40" t="s">
        <v>55</v>
      </c>
      <c r="B18" s="40" t="s">
        <v>56</v>
      </c>
      <c r="C18" s="40" t="s">
        <v>3</v>
      </c>
      <c r="D18" s="40" t="s">
        <v>31</v>
      </c>
      <c r="E18" s="41">
        <v>-2961.02</v>
      </c>
      <c r="F18" s="40" t="s">
        <v>57</v>
      </c>
      <c r="G18" s="40" t="s">
        <v>56</v>
      </c>
      <c r="H18" s="40" t="s">
        <v>373</v>
      </c>
      <c r="I18" s="42">
        <f t="shared" si="0"/>
        <v>46143</v>
      </c>
      <c r="J18" s="62" t="str">
        <f t="shared" si="1"/>
        <v>Online AMEX Payment</v>
      </c>
      <c r="K18" s="27"/>
    </row>
    <row r="19" spans="1:11" ht="60" customHeight="1" x14ac:dyDescent="0.25">
      <c r="A19" s="34" t="s">
        <v>55</v>
      </c>
      <c r="B19" s="34" t="s">
        <v>58</v>
      </c>
      <c r="C19" s="34" t="s">
        <v>22</v>
      </c>
      <c r="D19" s="34" t="s">
        <v>23</v>
      </c>
      <c r="E19" s="39">
        <v>35</v>
      </c>
      <c r="F19" s="34" t="s">
        <v>59</v>
      </c>
      <c r="G19" s="34" t="s">
        <v>58</v>
      </c>
      <c r="H19" s="34" t="s">
        <v>60</v>
      </c>
      <c r="I19" s="37">
        <f t="shared" si="0"/>
        <v>46143</v>
      </c>
      <c r="J19" s="62" t="str">
        <f t="shared" si="1"/>
        <v>AVA PEREZ</v>
      </c>
      <c r="K19" s="27"/>
    </row>
    <row r="20" spans="1:11" ht="60" customHeight="1" x14ac:dyDescent="0.25">
      <c r="A20" s="40" t="s">
        <v>61</v>
      </c>
      <c r="B20" s="40" t="s">
        <v>62</v>
      </c>
      <c r="C20" s="40" t="s">
        <v>22</v>
      </c>
      <c r="D20" s="40" t="s">
        <v>23</v>
      </c>
      <c r="E20" s="41">
        <v>15</v>
      </c>
      <c r="F20" s="40" t="s">
        <v>63</v>
      </c>
      <c r="G20" s="40" t="s">
        <v>62</v>
      </c>
      <c r="H20" s="40" t="s">
        <v>64</v>
      </c>
      <c r="I20" s="42">
        <f t="shared" si="0"/>
        <v>46143</v>
      </c>
      <c r="J20" s="62" t="str">
        <f t="shared" si="1"/>
        <v>AVA PEREZ</v>
      </c>
      <c r="K20" s="27"/>
    </row>
    <row r="21" spans="1:11" ht="60" customHeight="1" x14ac:dyDescent="0.25">
      <c r="A21" s="34" t="s">
        <v>65</v>
      </c>
      <c r="B21" s="34" t="s">
        <v>21</v>
      </c>
      <c r="C21" s="34" t="s">
        <v>22</v>
      </c>
      <c r="D21" s="34" t="s">
        <v>23</v>
      </c>
      <c r="E21" s="39">
        <v>43.98</v>
      </c>
      <c r="F21" s="34" t="s">
        <v>66</v>
      </c>
      <c r="G21" s="34" t="s">
        <v>21</v>
      </c>
      <c r="H21" s="34" t="s">
        <v>25</v>
      </c>
      <c r="I21" s="37">
        <f t="shared" si="0"/>
        <v>46143</v>
      </c>
      <c r="J21" s="62" t="str">
        <f t="shared" si="1"/>
        <v>AVA PEREZ</v>
      </c>
      <c r="K21" s="27"/>
    </row>
    <row r="22" spans="1:11" ht="60" customHeight="1" x14ac:dyDescent="0.25">
      <c r="A22" s="40" t="s">
        <v>65</v>
      </c>
      <c r="B22" s="40" t="s">
        <v>67</v>
      </c>
      <c r="C22" s="40" t="s">
        <v>22</v>
      </c>
      <c r="D22" s="40" t="s">
        <v>23</v>
      </c>
      <c r="E22" s="41">
        <v>20</v>
      </c>
      <c r="F22" s="40" t="s">
        <v>68</v>
      </c>
      <c r="G22" s="40" t="s">
        <v>67</v>
      </c>
      <c r="H22" s="40" t="s">
        <v>37</v>
      </c>
      <c r="I22" s="42">
        <f t="shared" si="0"/>
        <v>46143</v>
      </c>
      <c r="J22" s="62" t="str">
        <f t="shared" si="1"/>
        <v>AVA PEREZ</v>
      </c>
      <c r="K22" s="27"/>
    </row>
    <row r="23" spans="1:11" ht="60" customHeight="1" x14ac:dyDescent="0.25">
      <c r="A23" s="34" t="s">
        <v>65</v>
      </c>
      <c r="B23" s="34" t="s">
        <v>67</v>
      </c>
      <c r="C23" s="34" t="s">
        <v>22</v>
      </c>
      <c r="D23" s="34" t="s">
        <v>23</v>
      </c>
      <c r="E23" s="39">
        <v>54.28</v>
      </c>
      <c r="F23" s="34" t="s">
        <v>69</v>
      </c>
      <c r="G23" s="34" t="s">
        <v>67</v>
      </c>
      <c r="H23" s="34" t="s">
        <v>37</v>
      </c>
      <c r="I23" s="37">
        <f t="shared" si="0"/>
        <v>46143</v>
      </c>
      <c r="J23" s="62" t="str">
        <f t="shared" si="1"/>
        <v>AVA PEREZ</v>
      </c>
      <c r="K23" s="27"/>
    </row>
    <row r="24" spans="1:11" ht="60" customHeight="1" x14ac:dyDescent="0.25">
      <c r="A24" s="40" t="s">
        <v>65</v>
      </c>
      <c r="B24" s="40" t="s">
        <v>34</v>
      </c>
      <c r="C24" s="40" t="s">
        <v>16</v>
      </c>
      <c r="D24" s="40" t="s">
        <v>17</v>
      </c>
      <c r="E24" s="41">
        <v>11.69</v>
      </c>
      <c r="F24" s="40" t="s">
        <v>70</v>
      </c>
      <c r="G24" s="40" t="s">
        <v>36</v>
      </c>
      <c r="H24" s="40" t="s">
        <v>37</v>
      </c>
      <c r="I24" s="42">
        <f t="shared" si="0"/>
        <v>46143</v>
      </c>
      <c r="J24" s="62" t="str">
        <f t="shared" si="1"/>
        <v>JOE SAUNDERS</v>
      </c>
      <c r="K24" s="27"/>
    </row>
    <row r="25" spans="1:11" ht="60" customHeight="1" x14ac:dyDescent="0.25">
      <c r="A25" s="34" t="s">
        <v>65</v>
      </c>
      <c r="B25" s="34" t="s">
        <v>34</v>
      </c>
      <c r="C25" s="34" t="s">
        <v>16</v>
      </c>
      <c r="D25" s="34" t="s">
        <v>17</v>
      </c>
      <c r="E25" s="39">
        <v>77.95</v>
      </c>
      <c r="F25" s="34" t="s">
        <v>71</v>
      </c>
      <c r="G25" s="34" t="s">
        <v>36</v>
      </c>
      <c r="H25" s="34" t="s">
        <v>37</v>
      </c>
      <c r="I25" s="37">
        <f t="shared" si="0"/>
        <v>46143</v>
      </c>
      <c r="J25" s="62" t="str">
        <f t="shared" si="1"/>
        <v>JOE SAUNDERS</v>
      </c>
      <c r="K25" s="27"/>
    </row>
    <row r="26" spans="1:11" ht="60" customHeight="1" x14ac:dyDescent="0.25">
      <c r="A26" s="40" t="s">
        <v>72</v>
      </c>
      <c r="B26" s="40" t="s">
        <v>73</v>
      </c>
      <c r="C26" s="40" t="s">
        <v>3</v>
      </c>
      <c r="D26" s="40" t="s">
        <v>31</v>
      </c>
      <c r="E26" s="41">
        <v>69.989999999999995</v>
      </c>
      <c r="F26" s="40" t="s">
        <v>74</v>
      </c>
      <c r="G26" s="40" t="s">
        <v>73</v>
      </c>
      <c r="H26" s="40" t="s">
        <v>371</v>
      </c>
      <c r="I26" s="42">
        <f t="shared" si="0"/>
        <v>46143</v>
      </c>
      <c r="J26" s="62" t="str">
        <f t="shared" si="1"/>
        <v>DWG-RE Platform (Redirected)</v>
      </c>
      <c r="K26" s="27"/>
    </row>
    <row r="27" spans="1:11" ht="60" customHeight="1" x14ac:dyDescent="0.25">
      <c r="A27" s="34" t="s">
        <v>72</v>
      </c>
      <c r="B27" s="34" t="s">
        <v>75</v>
      </c>
      <c r="C27" s="34" t="s">
        <v>16</v>
      </c>
      <c r="D27" s="34" t="s">
        <v>17</v>
      </c>
      <c r="E27" s="39">
        <v>38.049999999999997</v>
      </c>
      <c r="F27" s="34" t="s">
        <v>76</v>
      </c>
      <c r="G27" s="34" t="s">
        <v>75</v>
      </c>
      <c r="H27" s="34" t="s">
        <v>19</v>
      </c>
      <c r="I27" s="37">
        <f t="shared" si="0"/>
        <v>46143</v>
      </c>
      <c r="J27" s="62" t="str">
        <f t="shared" si="1"/>
        <v>JOE SAUNDERS</v>
      </c>
      <c r="K27" s="27"/>
    </row>
    <row r="28" spans="1:11" ht="60" customHeight="1" x14ac:dyDescent="0.25">
      <c r="A28" s="40" t="s">
        <v>77</v>
      </c>
      <c r="B28" s="40" t="s">
        <v>78</v>
      </c>
      <c r="C28" s="40" t="s">
        <v>3</v>
      </c>
      <c r="D28" s="40" t="s">
        <v>31</v>
      </c>
      <c r="E28" s="41">
        <v>26.99</v>
      </c>
      <c r="F28" s="40" t="s">
        <v>79</v>
      </c>
      <c r="G28" s="40" t="s">
        <v>78</v>
      </c>
      <c r="H28" s="40" t="s">
        <v>374</v>
      </c>
      <c r="I28" s="42">
        <f t="shared" si="0"/>
        <v>46143</v>
      </c>
      <c r="J28" s="62" t="str">
        <f t="shared" si="1"/>
        <v>Family</v>
      </c>
      <c r="K28" s="27"/>
    </row>
    <row r="29" spans="1:11" ht="60" customHeight="1" x14ac:dyDescent="0.25">
      <c r="A29" s="34" t="s">
        <v>80</v>
      </c>
      <c r="B29" s="34" t="s">
        <v>81</v>
      </c>
      <c r="C29" s="34" t="s">
        <v>3</v>
      </c>
      <c r="D29" s="34" t="s">
        <v>31</v>
      </c>
      <c r="E29" s="39">
        <v>199</v>
      </c>
      <c r="F29" s="34" t="s">
        <v>82</v>
      </c>
      <c r="G29" s="34" t="s">
        <v>81</v>
      </c>
      <c r="H29" s="34" t="s">
        <v>375</v>
      </c>
      <c r="I29" s="37">
        <f t="shared" si="0"/>
        <v>46143</v>
      </c>
      <c r="J29" s="62" t="str">
        <f t="shared" si="1"/>
        <v>Personal - Health</v>
      </c>
      <c r="K29" s="27"/>
    </row>
    <row r="30" spans="1:11" ht="60" customHeight="1" x14ac:dyDescent="0.25">
      <c r="A30" s="40" t="s">
        <v>80</v>
      </c>
      <c r="B30" s="40" t="s">
        <v>83</v>
      </c>
      <c r="C30" s="40" t="s">
        <v>16</v>
      </c>
      <c r="D30" s="40" t="s">
        <v>17</v>
      </c>
      <c r="E30" s="41">
        <v>27.48</v>
      </c>
      <c r="F30" s="40" t="s">
        <v>84</v>
      </c>
      <c r="G30" s="40" t="s">
        <v>83</v>
      </c>
      <c r="H30" s="40" t="s">
        <v>85</v>
      </c>
      <c r="I30" s="42">
        <f t="shared" si="0"/>
        <v>46143</v>
      </c>
      <c r="J30" s="62" t="str">
        <f t="shared" si="1"/>
        <v>JOE SAUNDERS</v>
      </c>
      <c r="K30" s="27"/>
    </row>
    <row r="31" spans="1:11" ht="60" customHeight="1" x14ac:dyDescent="0.25">
      <c r="A31" s="34" t="s">
        <v>86</v>
      </c>
      <c r="B31" s="34" t="s">
        <v>87</v>
      </c>
      <c r="C31" s="34" t="s">
        <v>22</v>
      </c>
      <c r="D31" s="34" t="s">
        <v>23</v>
      </c>
      <c r="E31" s="39">
        <v>10.53</v>
      </c>
      <c r="F31" s="34" t="s">
        <v>88</v>
      </c>
      <c r="G31" s="34" t="s">
        <v>89</v>
      </c>
      <c r="H31" s="34" t="s">
        <v>64</v>
      </c>
      <c r="I31" s="37">
        <f t="shared" si="0"/>
        <v>46143</v>
      </c>
      <c r="J31" s="62" t="str">
        <f t="shared" si="1"/>
        <v>AVA PEREZ</v>
      </c>
      <c r="K31" s="27"/>
    </row>
    <row r="32" spans="1:11" ht="60" customHeight="1" x14ac:dyDescent="0.25">
      <c r="A32" s="40" t="s">
        <v>86</v>
      </c>
      <c r="B32" s="40" t="s">
        <v>90</v>
      </c>
      <c r="C32" s="40" t="s">
        <v>16</v>
      </c>
      <c r="D32" s="40" t="s">
        <v>17</v>
      </c>
      <c r="E32" s="41">
        <v>-55.56</v>
      </c>
      <c r="F32" s="40" t="s">
        <v>91</v>
      </c>
      <c r="G32" s="40" t="s">
        <v>90</v>
      </c>
      <c r="H32" s="40" t="s">
        <v>19</v>
      </c>
      <c r="I32" s="42">
        <f t="shared" si="0"/>
        <v>46143</v>
      </c>
      <c r="J32" s="62" t="str">
        <f t="shared" si="1"/>
        <v>JOE SAUNDERS</v>
      </c>
      <c r="K32" s="27"/>
    </row>
    <row r="33" spans="1:11" ht="60" customHeight="1" x14ac:dyDescent="0.25">
      <c r="A33" s="34" t="s">
        <v>86</v>
      </c>
      <c r="B33" s="34" t="s">
        <v>90</v>
      </c>
      <c r="C33" s="34" t="s">
        <v>16</v>
      </c>
      <c r="D33" s="34" t="s">
        <v>17</v>
      </c>
      <c r="E33" s="39">
        <v>55.56</v>
      </c>
      <c r="F33" s="34" t="s">
        <v>92</v>
      </c>
      <c r="G33" s="34" t="s">
        <v>90</v>
      </c>
      <c r="H33" s="34" t="s">
        <v>19</v>
      </c>
      <c r="I33" s="37">
        <f t="shared" si="0"/>
        <v>46143</v>
      </c>
      <c r="J33" s="62" t="str">
        <f t="shared" si="1"/>
        <v>JOE SAUNDERS</v>
      </c>
      <c r="K33" s="27"/>
    </row>
    <row r="34" spans="1:11" ht="60" customHeight="1" x14ac:dyDescent="0.25">
      <c r="A34" s="40" t="s">
        <v>86</v>
      </c>
      <c r="B34" s="40" t="s">
        <v>90</v>
      </c>
      <c r="C34" s="40" t="s">
        <v>16</v>
      </c>
      <c r="D34" s="40" t="s">
        <v>17</v>
      </c>
      <c r="E34" s="41">
        <v>55.56</v>
      </c>
      <c r="F34" s="40" t="s">
        <v>92</v>
      </c>
      <c r="G34" s="40" t="s">
        <v>90</v>
      </c>
      <c r="H34" s="40" t="s">
        <v>19</v>
      </c>
      <c r="I34" s="42">
        <f t="shared" si="0"/>
        <v>46143</v>
      </c>
      <c r="J34" s="62" t="str">
        <f t="shared" si="1"/>
        <v>JOE SAUNDERS</v>
      </c>
      <c r="K34" s="27"/>
    </row>
    <row r="35" spans="1:11" ht="60" customHeight="1" x14ac:dyDescent="0.25">
      <c r="A35" s="34" t="s">
        <v>93</v>
      </c>
      <c r="B35" s="34" t="s">
        <v>43</v>
      </c>
      <c r="C35" s="34" t="s">
        <v>22</v>
      </c>
      <c r="D35" s="34" t="s">
        <v>23</v>
      </c>
      <c r="E35" s="39">
        <v>19.989999999999998</v>
      </c>
      <c r="F35" s="34" t="s">
        <v>94</v>
      </c>
      <c r="G35" s="34" t="s">
        <v>43</v>
      </c>
      <c r="H35" s="34" t="s">
        <v>45</v>
      </c>
      <c r="I35" s="37">
        <f t="shared" si="0"/>
        <v>46143</v>
      </c>
      <c r="J35" s="62" t="str">
        <f t="shared" si="1"/>
        <v>AVA PEREZ</v>
      </c>
      <c r="K35" s="27"/>
    </row>
    <row r="36" spans="1:11" ht="60" customHeight="1" x14ac:dyDescent="0.25">
      <c r="A36" s="40" t="s">
        <v>93</v>
      </c>
      <c r="B36" s="40" t="s">
        <v>21</v>
      </c>
      <c r="C36" s="40" t="s">
        <v>22</v>
      </c>
      <c r="D36" s="40" t="s">
        <v>23</v>
      </c>
      <c r="E36" s="41">
        <v>62.98</v>
      </c>
      <c r="F36" s="40" t="s">
        <v>95</v>
      </c>
      <c r="G36" s="40" t="s">
        <v>21</v>
      </c>
      <c r="H36" s="40" t="s">
        <v>25</v>
      </c>
      <c r="I36" s="42">
        <f t="shared" si="0"/>
        <v>46143</v>
      </c>
      <c r="J36" s="62" t="str">
        <f t="shared" si="1"/>
        <v>AVA PEREZ</v>
      </c>
      <c r="K36" s="27"/>
    </row>
    <row r="37" spans="1:11" ht="60" customHeight="1" x14ac:dyDescent="0.25">
      <c r="A37" s="34" t="s">
        <v>93</v>
      </c>
      <c r="B37" s="34" t="s">
        <v>26</v>
      </c>
      <c r="C37" s="34" t="s">
        <v>22</v>
      </c>
      <c r="D37" s="34" t="s">
        <v>23</v>
      </c>
      <c r="E37" s="39">
        <v>27.04</v>
      </c>
      <c r="F37" s="34" t="s">
        <v>96</v>
      </c>
      <c r="G37" s="34" t="s">
        <v>26</v>
      </c>
      <c r="H37" s="34" t="s">
        <v>28</v>
      </c>
      <c r="I37" s="37">
        <f t="shared" si="0"/>
        <v>46143</v>
      </c>
      <c r="J37" s="62" t="str">
        <f t="shared" si="1"/>
        <v>AVA PEREZ</v>
      </c>
      <c r="K37" s="27"/>
    </row>
    <row r="38" spans="1:11" ht="60" customHeight="1" x14ac:dyDescent="0.25">
      <c r="A38" s="40" t="s">
        <v>93</v>
      </c>
      <c r="B38" s="40" t="s">
        <v>97</v>
      </c>
      <c r="C38" s="40" t="s">
        <v>16</v>
      </c>
      <c r="D38" s="40" t="s">
        <v>17</v>
      </c>
      <c r="E38" s="41">
        <v>300</v>
      </c>
      <c r="F38" s="40" t="s">
        <v>98</v>
      </c>
      <c r="G38" s="40" t="s">
        <v>97</v>
      </c>
      <c r="H38" s="40" t="s">
        <v>25</v>
      </c>
      <c r="I38" s="42">
        <f t="shared" si="0"/>
        <v>46143</v>
      </c>
      <c r="J38" s="62" t="str">
        <f t="shared" si="1"/>
        <v>JOE SAUNDERS</v>
      </c>
      <c r="K38" s="27"/>
    </row>
    <row r="39" spans="1:11" ht="60" customHeight="1" x14ac:dyDescent="0.25">
      <c r="A39" s="34" t="s">
        <v>99</v>
      </c>
      <c r="B39" s="34" t="s">
        <v>100</v>
      </c>
      <c r="C39" s="34" t="s">
        <v>22</v>
      </c>
      <c r="D39" s="34" t="s">
        <v>23</v>
      </c>
      <c r="E39" s="39">
        <v>12.99</v>
      </c>
      <c r="F39" s="34" t="s">
        <v>101</v>
      </c>
      <c r="G39" s="34" t="s">
        <v>100</v>
      </c>
      <c r="H39" s="34" t="s">
        <v>102</v>
      </c>
      <c r="I39" s="37">
        <f t="shared" si="0"/>
        <v>46143</v>
      </c>
      <c r="J39" s="62" t="str">
        <f t="shared" si="1"/>
        <v>AVA PEREZ</v>
      </c>
      <c r="K39" s="27"/>
    </row>
    <row r="40" spans="1:11" ht="60" customHeight="1" x14ac:dyDescent="0.25">
      <c r="A40" s="40" t="s">
        <v>103</v>
      </c>
      <c r="B40" s="40" t="s">
        <v>104</v>
      </c>
      <c r="C40" s="40" t="s">
        <v>16</v>
      </c>
      <c r="D40" s="40" t="s">
        <v>17</v>
      </c>
      <c r="E40" s="41">
        <v>41.34</v>
      </c>
      <c r="F40" s="40" t="s">
        <v>105</v>
      </c>
      <c r="G40" s="40" t="s">
        <v>104</v>
      </c>
      <c r="H40" s="40" t="s">
        <v>106</v>
      </c>
      <c r="I40" s="42">
        <f t="shared" si="0"/>
        <v>46143</v>
      </c>
      <c r="J40" s="62" t="str">
        <f t="shared" si="1"/>
        <v>JOE SAUNDERS</v>
      </c>
      <c r="K40" s="27"/>
    </row>
    <row r="41" spans="1:11" ht="60" customHeight="1" x14ac:dyDescent="0.25">
      <c r="A41" s="34" t="s">
        <v>107</v>
      </c>
      <c r="B41" s="34" t="s">
        <v>108</v>
      </c>
      <c r="C41" s="34" t="s">
        <v>3</v>
      </c>
      <c r="D41" s="34" t="s">
        <v>31</v>
      </c>
      <c r="E41" s="39">
        <v>29.99</v>
      </c>
      <c r="F41" s="34" t="s">
        <v>109</v>
      </c>
      <c r="G41" s="34" t="s">
        <v>108</v>
      </c>
      <c r="H41" s="34" t="s">
        <v>371</v>
      </c>
      <c r="I41" s="37">
        <f t="shared" si="0"/>
        <v>46143</v>
      </c>
      <c r="J41" s="62" t="str">
        <f t="shared" si="1"/>
        <v>DWG-RE Platform (Redirected)</v>
      </c>
      <c r="K41" s="27"/>
    </row>
    <row r="42" spans="1:11" ht="60" customHeight="1" x14ac:dyDescent="0.25">
      <c r="A42" s="40" t="s">
        <v>107</v>
      </c>
      <c r="B42" s="40" t="s">
        <v>110</v>
      </c>
      <c r="C42" s="40" t="s">
        <v>16</v>
      </c>
      <c r="D42" s="40" t="s">
        <v>17</v>
      </c>
      <c r="E42" s="41">
        <v>227.08</v>
      </c>
      <c r="F42" s="40" t="s">
        <v>111</v>
      </c>
      <c r="G42" s="40" t="s">
        <v>110</v>
      </c>
      <c r="H42" s="40" t="s">
        <v>112</v>
      </c>
      <c r="I42" s="42">
        <f t="shared" si="0"/>
        <v>46143</v>
      </c>
      <c r="J42" s="62" t="str">
        <f t="shared" si="1"/>
        <v>JOE SAUNDERS</v>
      </c>
      <c r="K42" s="27"/>
    </row>
    <row r="43" spans="1:11" ht="60" customHeight="1" x14ac:dyDescent="0.25">
      <c r="A43" s="34" t="s">
        <v>107</v>
      </c>
      <c r="B43" s="34" t="s">
        <v>21</v>
      </c>
      <c r="C43" s="34" t="s">
        <v>22</v>
      </c>
      <c r="D43" s="34" t="s">
        <v>23</v>
      </c>
      <c r="E43" s="39">
        <v>70.83</v>
      </c>
      <c r="F43" s="34" t="s">
        <v>113</v>
      </c>
      <c r="G43" s="34" t="s">
        <v>21</v>
      </c>
      <c r="H43" s="34" t="s">
        <v>25</v>
      </c>
      <c r="I43" s="37">
        <f t="shared" si="0"/>
        <v>46143</v>
      </c>
      <c r="J43" s="62" t="str">
        <f t="shared" si="1"/>
        <v>AVA PEREZ</v>
      </c>
      <c r="K43" s="27"/>
    </row>
    <row r="44" spans="1:11" ht="60" customHeight="1" x14ac:dyDescent="0.25">
      <c r="A44" s="40" t="s">
        <v>107</v>
      </c>
      <c r="B44" s="40" t="s">
        <v>30</v>
      </c>
      <c r="C44" s="40" t="s">
        <v>3</v>
      </c>
      <c r="D44" s="40" t="s">
        <v>31</v>
      </c>
      <c r="E44" s="41">
        <v>219.4</v>
      </c>
      <c r="F44" s="40" t="s">
        <v>114</v>
      </c>
      <c r="G44" s="40" t="s">
        <v>30</v>
      </c>
      <c r="H44" s="40" t="s">
        <v>371</v>
      </c>
      <c r="I44" s="42">
        <f t="shared" si="0"/>
        <v>46143</v>
      </c>
      <c r="J44" s="62" t="str">
        <f t="shared" si="1"/>
        <v>DWG-RE Platform (Redirected)</v>
      </c>
      <c r="K44" s="27"/>
    </row>
    <row r="45" spans="1:11" ht="60" customHeight="1" x14ac:dyDescent="0.25">
      <c r="A45" s="34" t="s">
        <v>115</v>
      </c>
      <c r="B45" s="34" t="s">
        <v>21</v>
      </c>
      <c r="C45" s="34" t="s">
        <v>22</v>
      </c>
      <c r="D45" s="34" t="s">
        <v>23</v>
      </c>
      <c r="E45" s="39">
        <v>65.12</v>
      </c>
      <c r="F45" s="34" t="s">
        <v>116</v>
      </c>
      <c r="G45" s="34" t="s">
        <v>21</v>
      </c>
      <c r="H45" s="34" t="s">
        <v>25</v>
      </c>
      <c r="I45" s="37">
        <f t="shared" si="0"/>
        <v>46143</v>
      </c>
      <c r="J45" s="62" t="str">
        <f t="shared" si="1"/>
        <v>AVA PEREZ</v>
      </c>
      <c r="K45" s="27"/>
    </row>
    <row r="46" spans="1:11" ht="60" customHeight="1" x14ac:dyDescent="0.25">
      <c r="A46" s="40" t="s">
        <v>117</v>
      </c>
      <c r="B46" s="40" t="s">
        <v>87</v>
      </c>
      <c r="C46" s="40" t="s">
        <v>22</v>
      </c>
      <c r="D46" s="40" t="s">
        <v>23</v>
      </c>
      <c r="E46" s="41">
        <v>26.91</v>
      </c>
      <c r="F46" s="40" t="s">
        <v>118</v>
      </c>
      <c r="G46" s="40" t="s">
        <v>89</v>
      </c>
      <c r="H46" s="40" t="s">
        <v>64</v>
      </c>
      <c r="I46" s="42">
        <f t="shared" si="0"/>
        <v>46143</v>
      </c>
      <c r="J46" s="62" t="str">
        <f t="shared" si="1"/>
        <v>AVA PEREZ</v>
      </c>
      <c r="K46" s="27"/>
    </row>
    <row r="47" spans="1:11" ht="60" customHeight="1" x14ac:dyDescent="0.25">
      <c r="A47" s="34" t="s">
        <v>117</v>
      </c>
      <c r="B47" s="34" t="s">
        <v>119</v>
      </c>
      <c r="C47" s="34" t="s">
        <v>3</v>
      </c>
      <c r="D47" s="34" t="s">
        <v>31</v>
      </c>
      <c r="E47" s="39">
        <v>54</v>
      </c>
      <c r="F47" s="34" t="s">
        <v>120</v>
      </c>
      <c r="G47" s="34" t="s">
        <v>119</v>
      </c>
      <c r="H47" s="34" t="s">
        <v>371</v>
      </c>
      <c r="I47" s="37">
        <f t="shared" si="0"/>
        <v>46143</v>
      </c>
      <c r="J47" s="62" t="str">
        <f t="shared" si="1"/>
        <v>DWG-RE Platform (Redirected)</v>
      </c>
      <c r="K47" s="27"/>
    </row>
    <row r="48" spans="1:11" ht="60" customHeight="1" x14ac:dyDescent="0.25">
      <c r="A48" s="40" t="s">
        <v>121</v>
      </c>
      <c r="B48" s="40" t="s">
        <v>43</v>
      </c>
      <c r="C48" s="40" t="s">
        <v>22</v>
      </c>
      <c r="D48" s="40" t="s">
        <v>23</v>
      </c>
      <c r="E48" s="41">
        <v>2.99</v>
      </c>
      <c r="F48" s="40" t="s">
        <v>122</v>
      </c>
      <c r="G48" s="40" t="s">
        <v>43</v>
      </c>
      <c r="H48" s="40" t="s">
        <v>45</v>
      </c>
      <c r="I48" s="42">
        <f t="shared" si="0"/>
        <v>46143</v>
      </c>
      <c r="J48" s="62" t="str">
        <f t="shared" si="1"/>
        <v>AVA PEREZ</v>
      </c>
      <c r="K48" s="27"/>
    </row>
    <row r="49" spans="1:11" ht="60" customHeight="1" x14ac:dyDescent="0.25">
      <c r="A49" s="34" t="s">
        <v>121</v>
      </c>
      <c r="B49" s="34" t="s">
        <v>81</v>
      </c>
      <c r="C49" s="34" t="s">
        <v>3</v>
      </c>
      <c r="D49" s="34" t="s">
        <v>31</v>
      </c>
      <c r="E49" s="39">
        <v>199</v>
      </c>
      <c r="F49" s="34" t="s">
        <v>123</v>
      </c>
      <c r="G49" s="34" t="s">
        <v>81</v>
      </c>
      <c r="H49" s="34" t="s">
        <v>375</v>
      </c>
      <c r="I49" s="37">
        <f t="shared" si="0"/>
        <v>46143</v>
      </c>
      <c r="J49" s="62" t="str">
        <f t="shared" si="1"/>
        <v>Personal - Health</v>
      </c>
      <c r="K49" s="27"/>
    </row>
    <row r="50" spans="1:11" ht="60" customHeight="1" x14ac:dyDescent="0.25">
      <c r="A50" s="40" t="s">
        <v>124</v>
      </c>
      <c r="B50" s="40" t="s">
        <v>125</v>
      </c>
      <c r="C50" s="40" t="s">
        <v>16</v>
      </c>
      <c r="D50" s="40" t="s">
        <v>17</v>
      </c>
      <c r="E50" s="41">
        <v>43.09</v>
      </c>
      <c r="F50" s="40" t="s">
        <v>126</v>
      </c>
      <c r="G50" s="40" t="s">
        <v>125</v>
      </c>
      <c r="H50" s="40" t="s">
        <v>85</v>
      </c>
      <c r="I50" s="42">
        <f t="shared" si="0"/>
        <v>46143</v>
      </c>
      <c r="J50" s="62" t="str">
        <f t="shared" si="1"/>
        <v>JOE SAUNDERS</v>
      </c>
      <c r="K50" s="27"/>
    </row>
    <row r="51" spans="1:11" ht="60" customHeight="1" x14ac:dyDescent="0.25">
      <c r="A51" s="34" t="s">
        <v>127</v>
      </c>
      <c r="B51" s="34" t="s">
        <v>21</v>
      </c>
      <c r="C51" s="34" t="s">
        <v>22</v>
      </c>
      <c r="D51" s="34" t="s">
        <v>23</v>
      </c>
      <c r="E51" s="39">
        <v>64.39</v>
      </c>
      <c r="F51" s="34" t="s">
        <v>128</v>
      </c>
      <c r="G51" s="34" t="s">
        <v>21</v>
      </c>
      <c r="H51" s="34" t="s">
        <v>25</v>
      </c>
      <c r="I51" s="37">
        <f t="shared" si="0"/>
        <v>46113</v>
      </c>
      <c r="J51" s="62" t="str">
        <f t="shared" si="1"/>
        <v>AVA PEREZ</v>
      </c>
      <c r="K51" s="27"/>
    </row>
    <row r="52" spans="1:11" ht="60" customHeight="1" x14ac:dyDescent="0.25">
      <c r="A52" s="40" t="s">
        <v>127</v>
      </c>
      <c r="B52" s="40" t="s">
        <v>50</v>
      </c>
      <c r="C52" s="40" t="s">
        <v>3</v>
      </c>
      <c r="D52" s="40" t="s">
        <v>31</v>
      </c>
      <c r="E52" s="41">
        <v>256.19</v>
      </c>
      <c r="F52" s="40" t="s">
        <v>129</v>
      </c>
      <c r="G52" s="40" t="s">
        <v>50</v>
      </c>
      <c r="H52" s="40" t="s">
        <v>372</v>
      </c>
      <c r="I52" s="42">
        <f t="shared" si="0"/>
        <v>46113</v>
      </c>
      <c r="J52" s="62" t="str">
        <f t="shared" si="1"/>
        <v>Sponsor Cloud</v>
      </c>
      <c r="K52" s="27"/>
    </row>
    <row r="53" spans="1:11" ht="60" customHeight="1" x14ac:dyDescent="0.25">
      <c r="A53" s="34" t="s">
        <v>130</v>
      </c>
      <c r="B53" s="34" t="s">
        <v>131</v>
      </c>
      <c r="C53" s="34" t="s">
        <v>22</v>
      </c>
      <c r="D53" s="34" t="s">
        <v>23</v>
      </c>
      <c r="E53" s="39">
        <v>29.99</v>
      </c>
      <c r="F53" s="34" t="s">
        <v>132</v>
      </c>
      <c r="G53" s="34" t="s">
        <v>131</v>
      </c>
      <c r="H53" s="34" t="s">
        <v>112</v>
      </c>
      <c r="I53" s="37">
        <f t="shared" si="0"/>
        <v>46113</v>
      </c>
      <c r="J53" s="62" t="str">
        <f t="shared" si="1"/>
        <v>AVA PEREZ</v>
      </c>
      <c r="K53" s="27"/>
    </row>
    <row r="54" spans="1:11" ht="60" customHeight="1" x14ac:dyDescent="0.25">
      <c r="A54" s="40" t="s">
        <v>130</v>
      </c>
      <c r="B54" s="40" t="s">
        <v>43</v>
      </c>
      <c r="C54" s="40" t="s">
        <v>22</v>
      </c>
      <c r="D54" s="40" t="s">
        <v>23</v>
      </c>
      <c r="E54" s="41">
        <v>2.97</v>
      </c>
      <c r="F54" s="40" t="s">
        <v>133</v>
      </c>
      <c r="G54" s="40" t="s">
        <v>43</v>
      </c>
      <c r="H54" s="40" t="s">
        <v>45</v>
      </c>
      <c r="I54" s="42">
        <f t="shared" si="0"/>
        <v>46113</v>
      </c>
      <c r="J54" s="62" t="str">
        <f t="shared" si="1"/>
        <v>AVA PEREZ</v>
      </c>
      <c r="K54" s="27"/>
    </row>
    <row r="55" spans="1:11" ht="60" customHeight="1" x14ac:dyDescent="0.25">
      <c r="A55" s="34" t="s">
        <v>130</v>
      </c>
      <c r="B55" s="34" t="s">
        <v>53</v>
      </c>
      <c r="C55" s="34" t="s">
        <v>22</v>
      </c>
      <c r="D55" s="34" t="s">
        <v>23</v>
      </c>
      <c r="E55" s="39">
        <v>15</v>
      </c>
      <c r="F55" s="34" t="s">
        <v>134</v>
      </c>
      <c r="G55" s="34" t="s">
        <v>53</v>
      </c>
      <c r="H55" s="34" t="s">
        <v>33</v>
      </c>
      <c r="I55" s="37">
        <f t="shared" si="0"/>
        <v>46113</v>
      </c>
      <c r="J55" s="62" t="str">
        <f t="shared" si="1"/>
        <v>AVA PEREZ</v>
      </c>
      <c r="K55" s="27"/>
    </row>
    <row r="56" spans="1:11" ht="60" customHeight="1" x14ac:dyDescent="0.25">
      <c r="A56" s="40" t="s">
        <v>130</v>
      </c>
      <c r="B56" s="40" t="s">
        <v>21</v>
      </c>
      <c r="C56" s="40" t="s">
        <v>22</v>
      </c>
      <c r="D56" s="40" t="s">
        <v>23</v>
      </c>
      <c r="E56" s="41">
        <v>-13.88</v>
      </c>
      <c r="F56" s="40" t="s">
        <v>135</v>
      </c>
      <c r="G56" s="40" t="s">
        <v>21</v>
      </c>
      <c r="H56" s="40" t="s">
        <v>25</v>
      </c>
      <c r="I56" s="42">
        <f t="shared" si="0"/>
        <v>46113</v>
      </c>
      <c r="J56" s="62" t="str">
        <f t="shared" si="1"/>
        <v>AVA PEREZ</v>
      </c>
      <c r="K56" s="27"/>
    </row>
    <row r="57" spans="1:11" ht="60" customHeight="1" x14ac:dyDescent="0.25">
      <c r="A57" s="34" t="s">
        <v>136</v>
      </c>
      <c r="B57" s="34" t="s">
        <v>56</v>
      </c>
      <c r="C57" s="34" t="s">
        <v>3</v>
      </c>
      <c r="D57" s="34" t="s">
        <v>31</v>
      </c>
      <c r="E57" s="39">
        <v>-429.22</v>
      </c>
      <c r="F57" s="34" t="s">
        <v>57</v>
      </c>
      <c r="G57" s="34" t="s">
        <v>56</v>
      </c>
      <c r="H57" s="34" t="s">
        <v>373</v>
      </c>
      <c r="I57" s="37">
        <f t="shared" si="0"/>
        <v>46113</v>
      </c>
      <c r="J57" s="62" t="str">
        <f t="shared" si="1"/>
        <v>Online AMEX Payment</v>
      </c>
      <c r="K57" s="27"/>
    </row>
    <row r="58" spans="1:11" ht="60" customHeight="1" x14ac:dyDescent="0.25">
      <c r="A58" s="40" t="s">
        <v>137</v>
      </c>
      <c r="B58" s="40" t="s">
        <v>138</v>
      </c>
      <c r="C58" s="40" t="s">
        <v>22</v>
      </c>
      <c r="D58" s="40" t="s">
        <v>23</v>
      </c>
      <c r="E58" s="41">
        <v>148.16</v>
      </c>
      <c r="F58" s="40" t="s">
        <v>139</v>
      </c>
      <c r="G58" s="40" t="s">
        <v>138</v>
      </c>
      <c r="H58" s="40" t="s">
        <v>25</v>
      </c>
      <c r="I58" s="42">
        <f t="shared" si="0"/>
        <v>46113</v>
      </c>
      <c r="J58" s="62" t="str">
        <f t="shared" si="1"/>
        <v>AVA PEREZ</v>
      </c>
      <c r="K58" s="27"/>
    </row>
    <row r="59" spans="1:11" ht="60" customHeight="1" x14ac:dyDescent="0.25">
      <c r="A59" s="34" t="s">
        <v>140</v>
      </c>
      <c r="B59" s="34" t="s">
        <v>141</v>
      </c>
      <c r="C59" s="34" t="s">
        <v>16</v>
      </c>
      <c r="D59" s="34" t="s">
        <v>17</v>
      </c>
      <c r="E59" s="39">
        <v>54.84</v>
      </c>
      <c r="F59" s="34" t="s">
        <v>142</v>
      </c>
      <c r="G59" s="34" t="s">
        <v>141</v>
      </c>
      <c r="H59" s="34" t="s">
        <v>85</v>
      </c>
      <c r="I59" s="37">
        <f t="shared" si="0"/>
        <v>46113</v>
      </c>
      <c r="J59" s="62" t="str">
        <f t="shared" si="1"/>
        <v>JOE SAUNDERS</v>
      </c>
      <c r="K59" s="27"/>
    </row>
    <row r="60" spans="1:11" ht="60" customHeight="1" x14ac:dyDescent="0.25">
      <c r="A60" s="40" t="s">
        <v>143</v>
      </c>
      <c r="B60" s="40" t="s">
        <v>21</v>
      </c>
      <c r="C60" s="40" t="s">
        <v>22</v>
      </c>
      <c r="D60" s="40" t="s">
        <v>23</v>
      </c>
      <c r="E60" s="41">
        <v>61.9</v>
      </c>
      <c r="F60" s="40" t="s">
        <v>144</v>
      </c>
      <c r="G60" s="40" t="s">
        <v>21</v>
      </c>
      <c r="H60" s="40" t="s">
        <v>25</v>
      </c>
      <c r="I60" s="42">
        <f t="shared" si="0"/>
        <v>46113</v>
      </c>
      <c r="J60" s="62" t="str">
        <f t="shared" si="1"/>
        <v>AVA PEREZ</v>
      </c>
      <c r="K60" s="27"/>
    </row>
    <row r="61" spans="1:11" ht="60" customHeight="1" x14ac:dyDescent="0.25">
      <c r="A61" s="34" t="s">
        <v>143</v>
      </c>
      <c r="B61" s="34" t="s">
        <v>62</v>
      </c>
      <c r="C61" s="34" t="s">
        <v>22</v>
      </c>
      <c r="D61" s="34" t="s">
        <v>23</v>
      </c>
      <c r="E61" s="39">
        <v>15</v>
      </c>
      <c r="F61" s="34" t="s">
        <v>145</v>
      </c>
      <c r="G61" s="34" t="s">
        <v>62</v>
      </c>
      <c r="H61" s="34" t="s">
        <v>64</v>
      </c>
      <c r="I61" s="37">
        <f t="shared" si="0"/>
        <v>46113</v>
      </c>
      <c r="J61" s="62" t="str">
        <f t="shared" si="1"/>
        <v>AVA PEREZ</v>
      </c>
      <c r="K61" s="27"/>
    </row>
    <row r="62" spans="1:11" ht="60" customHeight="1" x14ac:dyDescent="0.25">
      <c r="A62" s="40" t="s">
        <v>143</v>
      </c>
      <c r="B62" s="40" t="s">
        <v>146</v>
      </c>
      <c r="C62" s="40" t="s">
        <v>16</v>
      </c>
      <c r="D62" s="40" t="s">
        <v>17</v>
      </c>
      <c r="E62" s="41">
        <v>209</v>
      </c>
      <c r="F62" s="40" t="s">
        <v>147</v>
      </c>
      <c r="G62" s="40" t="s">
        <v>146</v>
      </c>
      <c r="H62" s="40" t="s">
        <v>85</v>
      </c>
      <c r="I62" s="42">
        <f t="shared" si="0"/>
        <v>46113</v>
      </c>
      <c r="J62" s="62" t="str">
        <f t="shared" si="1"/>
        <v>JOE SAUNDERS</v>
      </c>
      <c r="K62" s="27"/>
    </row>
    <row r="63" spans="1:11" ht="60" customHeight="1" x14ac:dyDescent="0.25">
      <c r="A63" s="34" t="s">
        <v>148</v>
      </c>
      <c r="B63" s="34" t="s">
        <v>149</v>
      </c>
      <c r="C63" s="34" t="s">
        <v>22</v>
      </c>
      <c r="D63" s="34" t="s">
        <v>23</v>
      </c>
      <c r="E63" s="39">
        <v>86.33</v>
      </c>
      <c r="F63" s="34" t="s">
        <v>150</v>
      </c>
      <c r="G63" s="34" t="s">
        <v>149</v>
      </c>
      <c r="H63" s="34" t="s">
        <v>37</v>
      </c>
      <c r="I63" s="37">
        <f t="shared" si="0"/>
        <v>46113</v>
      </c>
      <c r="J63" s="62" t="str">
        <f t="shared" si="1"/>
        <v>AVA PEREZ</v>
      </c>
      <c r="K63" s="27"/>
    </row>
    <row r="64" spans="1:11" ht="60" customHeight="1" x14ac:dyDescent="0.25">
      <c r="A64" s="40" t="s">
        <v>151</v>
      </c>
      <c r="B64" s="40" t="s">
        <v>73</v>
      </c>
      <c r="C64" s="40" t="s">
        <v>3</v>
      </c>
      <c r="D64" s="40" t="s">
        <v>31</v>
      </c>
      <c r="E64" s="41">
        <v>69.989999999999995</v>
      </c>
      <c r="F64" s="40" t="s">
        <v>152</v>
      </c>
      <c r="G64" s="40" t="s">
        <v>73</v>
      </c>
      <c r="H64" s="40" t="s">
        <v>371</v>
      </c>
      <c r="I64" s="42">
        <f t="shared" si="0"/>
        <v>46113</v>
      </c>
      <c r="J64" s="62" t="str">
        <f t="shared" si="1"/>
        <v>DWG-RE Platform (Redirected)</v>
      </c>
      <c r="K64" s="27"/>
    </row>
    <row r="65" spans="1:11" ht="60" customHeight="1" x14ac:dyDescent="0.25">
      <c r="A65" s="34" t="s">
        <v>153</v>
      </c>
      <c r="B65" s="34" t="s">
        <v>154</v>
      </c>
      <c r="C65" s="34" t="s">
        <v>3</v>
      </c>
      <c r="D65" s="34" t="s">
        <v>31</v>
      </c>
      <c r="E65" s="39">
        <v>375</v>
      </c>
      <c r="F65" s="34" t="s">
        <v>155</v>
      </c>
      <c r="G65" s="34" t="s">
        <v>154</v>
      </c>
      <c r="H65" s="34" t="s">
        <v>371</v>
      </c>
      <c r="I65" s="37">
        <f t="shared" si="0"/>
        <v>46113</v>
      </c>
      <c r="J65" s="62" t="str">
        <f t="shared" si="1"/>
        <v>DWG-RE Platform (Redirected)</v>
      </c>
      <c r="K65" s="27"/>
    </row>
    <row r="66" spans="1:11" ht="60" customHeight="1" x14ac:dyDescent="0.25">
      <c r="A66" s="40" t="s">
        <v>153</v>
      </c>
      <c r="B66" s="40" t="s">
        <v>78</v>
      </c>
      <c r="C66" s="40" t="s">
        <v>3</v>
      </c>
      <c r="D66" s="40" t="s">
        <v>31</v>
      </c>
      <c r="E66" s="41">
        <v>24.99</v>
      </c>
      <c r="F66" s="40" t="s">
        <v>156</v>
      </c>
      <c r="G66" s="40" t="s">
        <v>78</v>
      </c>
      <c r="H66" s="40" t="s">
        <v>374</v>
      </c>
      <c r="I66" s="42">
        <f t="shared" si="0"/>
        <v>46113</v>
      </c>
      <c r="J66" s="62" t="str">
        <f t="shared" si="1"/>
        <v>Family</v>
      </c>
      <c r="K66" s="27"/>
    </row>
    <row r="67" spans="1:11" ht="60" customHeight="1" x14ac:dyDescent="0.25">
      <c r="A67" s="34" t="s">
        <v>157</v>
      </c>
      <c r="B67" s="34" t="s">
        <v>81</v>
      </c>
      <c r="C67" s="34" t="s">
        <v>3</v>
      </c>
      <c r="D67" s="34" t="s">
        <v>31</v>
      </c>
      <c r="E67" s="39">
        <v>199</v>
      </c>
      <c r="F67" s="34" t="s">
        <v>158</v>
      </c>
      <c r="G67" s="34" t="s">
        <v>81</v>
      </c>
      <c r="H67" s="34" t="s">
        <v>375</v>
      </c>
      <c r="I67" s="37">
        <f t="shared" si="0"/>
        <v>46113</v>
      </c>
      <c r="J67" s="62" t="str">
        <f t="shared" si="1"/>
        <v>Personal - Health</v>
      </c>
      <c r="K67" s="27"/>
    </row>
    <row r="68" spans="1:11" ht="60" customHeight="1" x14ac:dyDescent="0.25">
      <c r="A68" s="40" t="s">
        <v>159</v>
      </c>
      <c r="B68" s="40" t="s">
        <v>50</v>
      </c>
      <c r="C68" s="40" t="s">
        <v>3</v>
      </c>
      <c r="D68" s="40" t="s">
        <v>31</v>
      </c>
      <c r="E68" s="41">
        <v>167.3</v>
      </c>
      <c r="F68" s="40" t="s">
        <v>160</v>
      </c>
      <c r="G68" s="40" t="s">
        <v>50</v>
      </c>
      <c r="H68" s="40" t="s">
        <v>372</v>
      </c>
      <c r="I68" s="42">
        <f t="shared" si="0"/>
        <v>46113</v>
      </c>
      <c r="J68" s="62" t="str">
        <f t="shared" si="1"/>
        <v>Sponsor Cloud</v>
      </c>
      <c r="K68" s="27"/>
    </row>
    <row r="69" spans="1:11" ht="60" customHeight="1" x14ac:dyDescent="0.25">
      <c r="A69" s="34" t="s">
        <v>161</v>
      </c>
      <c r="B69" s="34" t="s">
        <v>26</v>
      </c>
      <c r="C69" s="34" t="s">
        <v>22</v>
      </c>
      <c r="D69" s="34" t="s">
        <v>23</v>
      </c>
      <c r="E69" s="39">
        <v>26.87</v>
      </c>
      <c r="F69" s="34" t="s">
        <v>162</v>
      </c>
      <c r="G69" s="34" t="s">
        <v>26</v>
      </c>
      <c r="H69" s="34" t="s">
        <v>28</v>
      </c>
      <c r="I69" s="37">
        <f t="shared" si="0"/>
        <v>46113</v>
      </c>
      <c r="J69" s="62" t="str">
        <f t="shared" si="1"/>
        <v>AVA PEREZ</v>
      </c>
      <c r="K69" s="27"/>
    </row>
    <row r="70" spans="1:11" ht="60" customHeight="1" x14ac:dyDescent="0.25">
      <c r="A70" s="40" t="s">
        <v>163</v>
      </c>
      <c r="B70" s="40" t="s">
        <v>164</v>
      </c>
      <c r="C70" s="40" t="s">
        <v>165</v>
      </c>
      <c r="D70" s="40" t="s">
        <v>166</v>
      </c>
      <c r="E70" s="41">
        <v>60</v>
      </c>
      <c r="F70" s="40" t="s">
        <v>167</v>
      </c>
      <c r="G70" s="40" t="s">
        <v>164</v>
      </c>
      <c r="H70" s="40" t="s">
        <v>64</v>
      </c>
      <c r="I70" s="42">
        <f t="shared" si="0"/>
        <v>46113</v>
      </c>
      <c r="J70" s="62" t="str">
        <f t="shared" si="1"/>
        <v>ANGELA L DUNNING</v>
      </c>
      <c r="K70" s="27"/>
    </row>
    <row r="71" spans="1:11" ht="60" customHeight="1" x14ac:dyDescent="0.25">
      <c r="A71" s="34" t="s">
        <v>168</v>
      </c>
      <c r="B71" s="34" t="s">
        <v>43</v>
      </c>
      <c r="C71" s="34" t="s">
        <v>22</v>
      </c>
      <c r="D71" s="34" t="s">
        <v>23</v>
      </c>
      <c r="E71" s="39">
        <v>19.989999999999998</v>
      </c>
      <c r="F71" s="34" t="s">
        <v>169</v>
      </c>
      <c r="G71" s="34" t="s">
        <v>43</v>
      </c>
      <c r="H71" s="34" t="s">
        <v>45</v>
      </c>
      <c r="I71" s="37">
        <f t="shared" si="0"/>
        <v>46113</v>
      </c>
      <c r="J71" s="62" t="str">
        <f t="shared" si="1"/>
        <v>AVA PEREZ</v>
      </c>
      <c r="K71" s="27"/>
    </row>
    <row r="72" spans="1:11" ht="60" customHeight="1" x14ac:dyDescent="0.25">
      <c r="A72" s="40" t="s">
        <v>170</v>
      </c>
      <c r="B72" s="40" t="s">
        <v>171</v>
      </c>
      <c r="C72" s="40" t="s">
        <v>22</v>
      </c>
      <c r="D72" s="40" t="s">
        <v>23</v>
      </c>
      <c r="E72" s="41">
        <v>12.99</v>
      </c>
      <c r="F72" s="40" t="s">
        <v>172</v>
      </c>
      <c r="G72" s="40" t="s">
        <v>171</v>
      </c>
      <c r="H72" s="40" t="s">
        <v>102</v>
      </c>
      <c r="I72" s="42">
        <f t="shared" si="0"/>
        <v>46113</v>
      </c>
      <c r="J72" s="62" t="str">
        <f t="shared" si="1"/>
        <v>AVA PEREZ</v>
      </c>
      <c r="K72" s="27"/>
    </row>
    <row r="73" spans="1:11" ht="60" customHeight="1" x14ac:dyDescent="0.25">
      <c r="A73" s="34" t="s">
        <v>173</v>
      </c>
      <c r="B73" s="34" t="s">
        <v>174</v>
      </c>
      <c r="C73" s="34" t="s">
        <v>3</v>
      </c>
      <c r="D73" s="34" t="s">
        <v>31</v>
      </c>
      <c r="E73" s="39">
        <v>149.99</v>
      </c>
      <c r="F73" s="34" t="s">
        <v>175</v>
      </c>
      <c r="G73" s="34" t="s">
        <v>174</v>
      </c>
      <c r="H73" s="34" t="s">
        <v>371</v>
      </c>
      <c r="I73" s="37">
        <f t="shared" ref="I73:I136" si="2">DATE(RIGHT(A73,4)+0,LEFT(A73,2)+0,1)</f>
        <v>46113</v>
      </c>
      <c r="J73" s="62" t="str">
        <f t="shared" ref="J73:J136" si="3">IF(C73="JOHN DUNNING",IF(TRIM(H73)="",IF(ISNUMBER(SEARCH("PAYMENT",B73)),"Online AMEX Payment","(Uncategorized)"),TRIM(H73)),C73)</f>
        <v>DWG-RE Platform (Redirected)</v>
      </c>
      <c r="K73" s="27"/>
    </row>
    <row r="74" spans="1:11" ht="60" customHeight="1" x14ac:dyDescent="0.25">
      <c r="A74" s="40" t="s">
        <v>177</v>
      </c>
      <c r="B74" s="40" t="s">
        <v>108</v>
      </c>
      <c r="C74" s="40" t="s">
        <v>3</v>
      </c>
      <c r="D74" s="40" t="s">
        <v>31</v>
      </c>
      <c r="E74" s="41">
        <v>29.99</v>
      </c>
      <c r="F74" s="40" t="s">
        <v>178</v>
      </c>
      <c r="G74" s="40" t="s">
        <v>108</v>
      </c>
      <c r="H74" s="40" t="s">
        <v>371</v>
      </c>
      <c r="I74" s="42">
        <f t="shared" si="2"/>
        <v>46113</v>
      </c>
      <c r="J74" s="62" t="str">
        <f t="shared" si="3"/>
        <v>DWG-RE Platform (Redirected)</v>
      </c>
      <c r="K74" s="27"/>
    </row>
    <row r="75" spans="1:11" ht="60" customHeight="1" x14ac:dyDescent="0.25">
      <c r="A75" s="34" t="s">
        <v>177</v>
      </c>
      <c r="B75" s="34" t="s">
        <v>21</v>
      </c>
      <c r="C75" s="34" t="s">
        <v>22</v>
      </c>
      <c r="D75" s="34" t="s">
        <v>23</v>
      </c>
      <c r="E75" s="39">
        <v>11.56</v>
      </c>
      <c r="F75" s="34" t="s">
        <v>179</v>
      </c>
      <c r="G75" s="34" t="s">
        <v>21</v>
      </c>
      <c r="H75" s="34" t="s">
        <v>25</v>
      </c>
      <c r="I75" s="37">
        <f t="shared" si="2"/>
        <v>46113</v>
      </c>
      <c r="J75" s="62" t="str">
        <f t="shared" si="3"/>
        <v>AVA PEREZ</v>
      </c>
      <c r="K75" s="27"/>
    </row>
    <row r="76" spans="1:11" ht="60" customHeight="1" x14ac:dyDescent="0.25">
      <c r="A76" s="40" t="s">
        <v>177</v>
      </c>
      <c r="B76" s="40" t="s">
        <v>21</v>
      </c>
      <c r="C76" s="40" t="s">
        <v>22</v>
      </c>
      <c r="D76" s="40" t="s">
        <v>23</v>
      </c>
      <c r="E76" s="41">
        <v>13.88</v>
      </c>
      <c r="F76" s="40" t="s">
        <v>180</v>
      </c>
      <c r="G76" s="40" t="s">
        <v>21</v>
      </c>
      <c r="H76" s="40" t="s">
        <v>25</v>
      </c>
      <c r="I76" s="42">
        <f t="shared" si="2"/>
        <v>46113</v>
      </c>
      <c r="J76" s="62" t="str">
        <f t="shared" si="3"/>
        <v>AVA PEREZ</v>
      </c>
      <c r="K76" s="27"/>
    </row>
    <row r="77" spans="1:11" ht="60" customHeight="1" x14ac:dyDescent="0.25">
      <c r="A77" s="34" t="s">
        <v>177</v>
      </c>
      <c r="B77" s="34" t="s">
        <v>138</v>
      </c>
      <c r="C77" s="34" t="s">
        <v>22</v>
      </c>
      <c r="D77" s="34" t="s">
        <v>23</v>
      </c>
      <c r="E77" s="39">
        <v>34.619999999999997</v>
      </c>
      <c r="F77" s="34" t="s">
        <v>181</v>
      </c>
      <c r="G77" s="34" t="s">
        <v>138</v>
      </c>
      <c r="H77" s="34" t="s">
        <v>25</v>
      </c>
      <c r="I77" s="37">
        <f t="shared" si="2"/>
        <v>46113</v>
      </c>
      <c r="J77" s="62" t="str">
        <f t="shared" si="3"/>
        <v>AVA PEREZ</v>
      </c>
      <c r="K77" s="27"/>
    </row>
    <row r="78" spans="1:11" ht="60" customHeight="1" x14ac:dyDescent="0.25">
      <c r="A78" s="40" t="s">
        <v>177</v>
      </c>
      <c r="B78" s="40" t="s">
        <v>30</v>
      </c>
      <c r="C78" s="40" t="s">
        <v>3</v>
      </c>
      <c r="D78" s="40" t="s">
        <v>31</v>
      </c>
      <c r="E78" s="41">
        <v>219.4</v>
      </c>
      <c r="F78" s="40" t="s">
        <v>182</v>
      </c>
      <c r="G78" s="40" t="s">
        <v>30</v>
      </c>
      <c r="H78" s="40" t="s">
        <v>371</v>
      </c>
      <c r="I78" s="42">
        <f t="shared" si="2"/>
        <v>46113</v>
      </c>
      <c r="J78" s="62" t="str">
        <f t="shared" si="3"/>
        <v>DWG-RE Platform (Redirected)</v>
      </c>
      <c r="K78" s="27"/>
    </row>
    <row r="79" spans="1:11" ht="60" customHeight="1" x14ac:dyDescent="0.25">
      <c r="A79" s="34" t="s">
        <v>183</v>
      </c>
      <c r="B79" s="34" t="s">
        <v>184</v>
      </c>
      <c r="C79" s="34" t="s">
        <v>16</v>
      </c>
      <c r="D79" s="34" t="s">
        <v>17</v>
      </c>
      <c r="E79" s="39">
        <v>290.33999999999997</v>
      </c>
      <c r="F79" s="34" t="s">
        <v>185</v>
      </c>
      <c r="G79" s="34" t="s">
        <v>184</v>
      </c>
      <c r="H79" s="34" t="s">
        <v>186</v>
      </c>
      <c r="I79" s="37">
        <f t="shared" si="2"/>
        <v>46113</v>
      </c>
      <c r="J79" s="62" t="str">
        <f t="shared" si="3"/>
        <v>JOE SAUNDERS</v>
      </c>
      <c r="K79" s="27"/>
    </row>
    <row r="80" spans="1:11" ht="60" customHeight="1" x14ac:dyDescent="0.25">
      <c r="A80" s="40" t="s">
        <v>187</v>
      </c>
      <c r="B80" s="40" t="s">
        <v>188</v>
      </c>
      <c r="C80" s="40" t="s">
        <v>3</v>
      </c>
      <c r="D80" s="40" t="s">
        <v>31</v>
      </c>
      <c r="E80" s="41">
        <v>54</v>
      </c>
      <c r="F80" s="40" t="s">
        <v>189</v>
      </c>
      <c r="G80" s="40" t="s">
        <v>188</v>
      </c>
      <c r="H80" s="40" t="s">
        <v>371</v>
      </c>
      <c r="I80" s="42">
        <f t="shared" si="2"/>
        <v>46113</v>
      </c>
      <c r="J80" s="62" t="str">
        <f t="shared" si="3"/>
        <v>DWG-RE Platform (Redirected)</v>
      </c>
      <c r="K80" s="27"/>
    </row>
    <row r="81" spans="1:11" ht="60" customHeight="1" x14ac:dyDescent="0.25">
      <c r="A81" s="34" t="s">
        <v>187</v>
      </c>
      <c r="B81" s="34" t="s">
        <v>190</v>
      </c>
      <c r="C81" s="34" t="s">
        <v>3</v>
      </c>
      <c r="D81" s="34" t="s">
        <v>31</v>
      </c>
      <c r="E81" s="39">
        <v>249</v>
      </c>
      <c r="F81" s="34" t="s">
        <v>191</v>
      </c>
      <c r="G81" s="34" t="s">
        <v>190</v>
      </c>
      <c r="H81" s="34" t="s">
        <v>371</v>
      </c>
      <c r="I81" s="37">
        <f t="shared" si="2"/>
        <v>46113</v>
      </c>
      <c r="J81" s="62" t="str">
        <f t="shared" si="3"/>
        <v>DWG-RE Platform (Redirected)</v>
      </c>
      <c r="K81" s="27"/>
    </row>
    <row r="82" spans="1:11" ht="60" customHeight="1" x14ac:dyDescent="0.25">
      <c r="A82" s="40" t="s">
        <v>192</v>
      </c>
      <c r="B82" s="40" t="s">
        <v>43</v>
      </c>
      <c r="C82" s="40" t="s">
        <v>22</v>
      </c>
      <c r="D82" s="40" t="s">
        <v>23</v>
      </c>
      <c r="E82" s="41">
        <v>2.99</v>
      </c>
      <c r="F82" s="40" t="s">
        <v>193</v>
      </c>
      <c r="G82" s="40" t="s">
        <v>43</v>
      </c>
      <c r="H82" s="40" t="s">
        <v>45</v>
      </c>
      <c r="I82" s="42">
        <f t="shared" si="2"/>
        <v>46113</v>
      </c>
      <c r="J82" s="62" t="str">
        <f t="shared" si="3"/>
        <v>AVA PEREZ</v>
      </c>
      <c r="K82" s="27"/>
    </row>
    <row r="83" spans="1:11" ht="60" customHeight="1" x14ac:dyDescent="0.25">
      <c r="A83" s="34" t="s">
        <v>192</v>
      </c>
      <c r="B83" s="34" t="s">
        <v>43</v>
      </c>
      <c r="C83" s="34" t="s">
        <v>22</v>
      </c>
      <c r="D83" s="34" t="s">
        <v>23</v>
      </c>
      <c r="E83" s="39">
        <v>6.99</v>
      </c>
      <c r="F83" s="34" t="s">
        <v>194</v>
      </c>
      <c r="G83" s="34" t="s">
        <v>43</v>
      </c>
      <c r="H83" s="34" t="s">
        <v>45</v>
      </c>
      <c r="I83" s="37">
        <f t="shared" si="2"/>
        <v>46113</v>
      </c>
      <c r="J83" s="62" t="str">
        <f t="shared" si="3"/>
        <v>AVA PEREZ</v>
      </c>
      <c r="K83" s="27"/>
    </row>
    <row r="84" spans="1:11" ht="60" customHeight="1" x14ac:dyDescent="0.25">
      <c r="A84" s="40" t="s">
        <v>192</v>
      </c>
      <c r="B84" s="40" t="s">
        <v>138</v>
      </c>
      <c r="C84" s="40" t="s">
        <v>22</v>
      </c>
      <c r="D84" s="40" t="s">
        <v>23</v>
      </c>
      <c r="E84" s="41">
        <v>24.71</v>
      </c>
      <c r="F84" s="40" t="s">
        <v>195</v>
      </c>
      <c r="G84" s="40" t="s">
        <v>138</v>
      </c>
      <c r="H84" s="40" t="s">
        <v>25</v>
      </c>
      <c r="I84" s="42">
        <f t="shared" si="2"/>
        <v>46113</v>
      </c>
      <c r="J84" s="62" t="str">
        <f t="shared" si="3"/>
        <v>AVA PEREZ</v>
      </c>
      <c r="K84" s="27"/>
    </row>
    <row r="85" spans="1:11" ht="60" customHeight="1" x14ac:dyDescent="0.25">
      <c r="A85" s="34" t="s">
        <v>196</v>
      </c>
      <c r="B85" s="34" t="s">
        <v>197</v>
      </c>
      <c r="C85" s="34" t="s">
        <v>16</v>
      </c>
      <c r="D85" s="34" t="s">
        <v>17</v>
      </c>
      <c r="E85" s="39">
        <v>9.32</v>
      </c>
      <c r="F85" s="34" t="s">
        <v>198</v>
      </c>
      <c r="G85" s="34" t="s">
        <v>197</v>
      </c>
      <c r="H85" s="34" t="s">
        <v>199</v>
      </c>
      <c r="I85" s="37">
        <f t="shared" si="2"/>
        <v>46113</v>
      </c>
      <c r="J85" s="62" t="str">
        <f t="shared" si="3"/>
        <v>JOE SAUNDERS</v>
      </c>
      <c r="K85" s="27"/>
    </row>
    <row r="86" spans="1:11" ht="60" customHeight="1" x14ac:dyDescent="0.25">
      <c r="A86" s="40" t="s">
        <v>196</v>
      </c>
      <c r="B86" s="40" t="s">
        <v>200</v>
      </c>
      <c r="C86" s="40" t="s">
        <v>16</v>
      </c>
      <c r="D86" s="40" t="s">
        <v>17</v>
      </c>
      <c r="E86" s="41">
        <v>15.34</v>
      </c>
      <c r="F86" s="40" t="s">
        <v>201</v>
      </c>
      <c r="G86" s="40" t="s">
        <v>200</v>
      </c>
      <c r="H86" s="40" t="s">
        <v>202</v>
      </c>
      <c r="I86" s="42">
        <f t="shared" si="2"/>
        <v>46113</v>
      </c>
      <c r="J86" s="62" t="str">
        <f t="shared" si="3"/>
        <v>JOE SAUNDERS</v>
      </c>
      <c r="K86" s="27"/>
    </row>
    <row r="87" spans="1:11" ht="60" customHeight="1" x14ac:dyDescent="0.25">
      <c r="A87" s="34" t="s">
        <v>196</v>
      </c>
      <c r="B87" s="34" t="s">
        <v>203</v>
      </c>
      <c r="C87" s="34" t="s">
        <v>16</v>
      </c>
      <c r="D87" s="34" t="s">
        <v>17</v>
      </c>
      <c r="E87" s="39">
        <v>8.2799999999999994</v>
      </c>
      <c r="F87" s="34" t="s">
        <v>204</v>
      </c>
      <c r="G87" s="34" t="s">
        <v>203</v>
      </c>
      <c r="H87" s="34" t="s">
        <v>106</v>
      </c>
      <c r="I87" s="37">
        <f t="shared" si="2"/>
        <v>46113</v>
      </c>
      <c r="J87" s="62" t="str">
        <f t="shared" si="3"/>
        <v>JOE SAUNDERS</v>
      </c>
      <c r="K87" s="27"/>
    </row>
    <row r="88" spans="1:11" ht="60" customHeight="1" x14ac:dyDescent="0.25">
      <c r="A88" s="40" t="s">
        <v>196</v>
      </c>
      <c r="B88" s="40" t="s">
        <v>205</v>
      </c>
      <c r="C88" s="40" t="s">
        <v>16</v>
      </c>
      <c r="D88" s="40" t="s">
        <v>17</v>
      </c>
      <c r="E88" s="41">
        <v>2.65</v>
      </c>
      <c r="F88" s="40" t="s">
        <v>206</v>
      </c>
      <c r="G88" s="40" t="s">
        <v>205</v>
      </c>
      <c r="H88" s="40" t="s">
        <v>207</v>
      </c>
      <c r="I88" s="42">
        <f t="shared" si="2"/>
        <v>46113</v>
      </c>
      <c r="J88" s="62" t="str">
        <f t="shared" si="3"/>
        <v>JOE SAUNDERS</v>
      </c>
      <c r="K88" s="27"/>
    </row>
    <row r="89" spans="1:11" ht="60" customHeight="1" x14ac:dyDescent="0.25">
      <c r="A89" s="34" t="s">
        <v>196</v>
      </c>
      <c r="B89" s="34" t="s">
        <v>208</v>
      </c>
      <c r="C89" s="34" t="s">
        <v>16</v>
      </c>
      <c r="D89" s="34" t="s">
        <v>17</v>
      </c>
      <c r="E89" s="39">
        <v>11.79</v>
      </c>
      <c r="F89" s="34" t="s">
        <v>209</v>
      </c>
      <c r="G89" s="34" t="s">
        <v>208</v>
      </c>
      <c r="H89" s="34" t="s">
        <v>210</v>
      </c>
      <c r="I89" s="37">
        <f t="shared" si="2"/>
        <v>46113</v>
      </c>
      <c r="J89" s="62" t="str">
        <f t="shared" si="3"/>
        <v>JOE SAUNDERS</v>
      </c>
      <c r="K89" s="27"/>
    </row>
    <row r="90" spans="1:11" ht="60" customHeight="1" x14ac:dyDescent="0.25">
      <c r="A90" s="40" t="s">
        <v>211</v>
      </c>
      <c r="B90" s="40" t="s">
        <v>212</v>
      </c>
      <c r="C90" s="40" t="s">
        <v>16</v>
      </c>
      <c r="D90" s="40" t="s">
        <v>17</v>
      </c>
      <c r="E90" s="41">
        <v>58.74</v>
      </c>
      <c r="F90" s="40" t="s">
        <v>213</v>
      </c>
      <c r="G90" s="40" t="s">
        <v>212</v>
      </c>
      <c r="H90" s="40" t="s">
        <v>214</v>
      </c>
      <c r="I90" s="42">
        <f t="shared" si="2"/>
        <v>46113</v>
      </c>
      <c r="J90" s="62" t="str">
        <f t="shared" si="3"/>
        <v>JOE SAUNDERS</v>
      </c>
      <c r="K90" s="27"/>
    </row>
    <row r="91" spans="1:11" ht="60" customHeight="1" x14ac:dyDescent="0.25">
      <c r="A91" s="34" t="s">
        <v>211</v>
      </c>
      <c r="B91" s="34" t="s">
        <v>215</v>
      </c>
      <c r="C91" s="34" t="s">
        <v>16</v>
      </c>
      <c r="D91" s="34" t="s">
        <v>17</v>
      </c>
      <c r="E91" s="39">
        <v>49.09</v>
      </c>
      <c r="F91" s="34" t="s">
        <v>216</v>
      </c>
      <c r="G91" s="34" t="s">
        <v>215</v>
      </c>
      <c r="H91" s="34" t="s">
        <v>106</v>
      </c>
      <c r="I91" s="37">
        <f t="shared" si="2"/>
        <v>46113</v>
      </c>
      <c r="J91" s="62" t="str">
        <f t="shared" si="3"/>
        <v>JOE SAUNDERS</v>
      </c>
      <c r="K91" s="27"/>
    </row>
    <row r="92" spans="1:11" ht="60" customHeight="1" x14ac:dyDescent="0.25">
      <c r="A92" s="40" t="s">
        <v>217</v>
      </c>
      <c r="B92" s="40" t="s">
        <v>218</v>
      </c>
      <c r="C92" s="40" t="s">
        <v>16</v>
      </c>
      <c r="D92" s="40" t="s">
        <v>17</v>
      </c>
      <c r="E92" s="41">
        <v>9.82</v>
      </c>
      <c r="F92" s="40" t="s">
        <v>219</v>
      </c>
      <c r="G92" s="40" t="s">
        <v>218</v>
      </c>
      <c r="H92" s="40" t="s">
        <v>202</v>
      </c>
      <c r="I92" s="42">
        <f t="shared" si="2"/>
        <v>46082</v>
      </c>
      <c r="J92" s="62" t="str">
        <f t="shared" si="3"/>
        <v>JOE SAUNDERS</v>
      </c>
      <c r="K92" s="27"/>
    </row>
    <row r="93" spans="1:11" ht="60" customHeight="1" x14ac:dyDescent="0.25">
      <c r="A93" s="34" t="s">
        <v>217</v>
      </c>
      <c r="B93" s="34" t="s">
        <v>21</v>
      </c>
      <c r="C93" s="34" t="s">
        <v>22</v>
      </c>
      <c r="D93" s="34" t="s">
        <v>23</v>
      </c>
      <c r="E93" s="39">
        <v>11.06</v>
      </c>
      <c r="F93" s="34" t="s">
        <v>220</v>
      </c>
      <c r="G93" s="34" t="s">
        <v>21</v>
      </c>
      <c r="H93" s="34" t="s">
        <v>25</v>
      </c>
      <c r="I93" s="37">
        <f t="shared" si="2"/>
        <v>46082</v>
      </c>
      <c r="J93" s="62" t="str">
        <f t="shared" si="3"/>
        <v>AVA PEREZ</v>
      </c>
      <c r="K93" s="27"/>
    </row>
    <row r="94" spans="1:11" ht="60" customHeight="1" x14ac:dyDescent="0.25">
      <c r="A94" s="40" t="s">
        <v>217</v>
      </c>
      <c r="B94" s="40" t="s">
        <v>21</v>
      </c>
      <c r="C94" s="40" t="s">
        <v>22</v>
      </c>
      <c r="D94" s="40" t="s">
        <v>23</v>
      </c>
      <c r="E94" s="41">
        <v>21.95</v>
      </c>
      <c r="F94" s="40" t="s">
        <v>221</v>
      </c>
      <c r="G94" s="40" t="s">
        <v>21</v>
      </c>
      <c r="H94" s="40" t="s">
        <v>25</v>
      </c>
      <c r="I94" s="42">
        <f t="shared" si="2"/>
        <v>46082</v>
      </c>
      <c r="J94" s="62" t="str">
        <f t="shared" si="3"/>
        <v>AVA PEREZ</v>
      </c>
      <c r="K94" s="27"/>
    </row>
    <row r="95" spans="1:11" ht="60" customHeight="1" x14ac:dyDescent="0.25">
      <c r="A95" s="34" t="s">
        <v>222</v>
      </c>
      <c r="B95" s="34" t="s">
        <v>223</v>
      </c>
      <c r="C95" s="34" t="s">
        <v>16</v>
      </c>
      <c r="D95" s="34" t="s">
        <v>17</v>
      </c>
      <c r="E95" s="39">
        <v>7</v>
      </c>
      <c r="F95" s="34" t="s">
        <v>224</v>
      </c>
      <c r="G95" s="34" t="s">
        <v>223</v>
      </c>
      <c r="H95" s="34" t="s">
        <v>225</v>
      </c>
      <c r="I95" s="37">
        <f t="shared" si="2"/>
        <v>46082</v>
      </c>
      <c r="J95" s="62" t="str">
        <f t="shared" si="3"/>
        <v>JOE SAUNDERS</v>
      </c>
      <c r="K95" s="27"/>
    </row>
    <row r="96" spans="1:11" ht="60" customHeight="1" x14ac:dyDescent="0.25">
      <c r="A96" s="40" t="s">
        <v>222</v>
      </c>
      <c r="B96" s="40" t="s">
        <v>226</v>
      </c>
      <c r="C96" s="40" t="s">
        <v>16</v>
      </c>
      <c r="D96" s="40" t="s">
        <v>17</v>
      </c>
      <c r="E96" s="41">
        <v>5.31</v>
      </c>
      <c r="F96" s="40" t="s">
        <v>227</v>
      </c>
      <c r="G96" s="40" t="s">
        <v>226</v>
      </c>
      <c r="H96" s="40" t="s">
        <v>228</v>
      </c>
      <c r="I96" s="42">
        <f t="shared" si="2"/>
        <v>46082</v>
      </c>
      <c r="J96" s="62" t="str">
        <f t="shared" si="3"/>
        <v>JOE SAUNDERS</v>
      </c>
      <c r="K96" s="27"/>
    </row>
    <row r="97" spans="1:11" ht="60" customHeight="1" x14ac:dyDescent="0.25">
      <c r="A97" s="34" t="s">
        <v>222</v>
      </c>
      <c r="B97" s="34" t="s">
        <v>226</v>
      </c>
      <c r="C97" s="34" t="s">
        <v>16</v>
      </c>
      <c r="D97" s="34" t="s">
        <v>17</v>
      </c>
      <c r="E97" s="39">
        <v>5.31</v>
      </c>
      <c r="F97" s="34" t="s">
        <v>229</v>
      </c>
      <c r="G97" s="34" t="s">
        <v>226</v>
      </c>
      <c r="H97" s="34" t="s">
        <v>228</v>
      </c>
      <c r="I97" s="37">
        <f t="shared" si="2"/>
        <v>46082</v>
      </c>
      <c r="J97" s="62" t="str">
        <f t="shared" si="3"/>
        <v>JOE SAUNDERS</v>
      </c>
      <c r="K97" s="27"/>
    </row>
    <row r="98" spans="1:11" ht="60" customHeight="1" x14ac:dyDescent="0.25">
      <c r="A98" s="40" t="s">
        <v>222</v>
      </c>
      <c r="B98" s="40" t="s">
        <v>230</v>
      </c>
      <c r="C98" s="40" t="s">
        <v>16</v>
      </c>
      <c r="D98" s="40" t="s">
        <v>17</v>
      </c>
      <c r="E98" s="41">
        <v>3.67</v>
      </c>
      <c r="F98" s="40" t="s">
        <v>231</v>
      </c>
      <c r="G98" s="40" t="s">
        <v>230</v>
      </c>
      <c r="H98" s="40" t="s">
        <v>232</v>
      </c>
      <c r="I98" s="42">
        <f t="shared" si="2"/>
        <v>46082</v>
      </c>
      <c r="J98" s="62" t="str">
        <f t="shared" si="3"/>
        <v>JOE SAUNDERS</v>
      </c>
      <c r="K98" s="27"/>
    </row>
    <row r="99" spans="1:11" ht="60" customHeight="1" x14ac:dyDescent="0.25">
      <c r="A99" s="34" t="s">
        <v>222</v>
      </c>
      <c r="B99" s="34" t="s">
        <v>208</v>
      </c>
      <c r="C99" s="34" t="s">
        <v>16</v>
      </c>
      <c r="D99" s="34" t="s">
        <v>17</v>
      </c>
      <c r="E99" s="39">
        <v>11.87</v>
      </c>
      <c r="F99" s="34" t="s">
        <v>233</v>
      </c>
      <c r="G99" s="34" t="s">
        <v>208</v>
      </c>
      <c r="H99" s="34" t="s">
        <v>210</v>
      </c>
      <c r="I99" s="37">
        <f t="shared" si="2"/>
        <v>46082</v>
      </c>
      <c r="J99" s="62" t="str">
        <f t="shared" si="3"/>
        <v>JOE SAUNDERS</v>
      </c>
      <c r="K99" s="27"/>
    </row>
    <row r="100" spans="1:11" ht="60" customHeight="1" x14ac:dyDescent="0.25">
      <c r="A100" s="40" t="s">
        <v>234</v>
      </c>
      <c r="B100" s="40" t="s">
        <v>235</v>
      </c>
      <c r="C100" s="40" t="s">
        <v>16</v>
      </c>
      <c r="D100" s="40" t="s">
        <v>17</v>
      </c>
      <c r="E100" s="41">
        <v>18.920000000000002</v>
      </c>
      <c r="F100" s="40" t="s">
        <v>236</v>
      </c>
      <c r="G100" s="40" t="s">
        <v>235</v>
      </c>
      <c r="H100" s="40" t="s">
        <v>232</v>
      </c>
      <c r="I100" s="42">
        <f t="shared" si="2"/>
        <v>46082</v>
      </c>
      <c r="J100" s="62" t="str">
        <f t="shared" si="3"/>
        <v>JOE SAUNDERS</v>
      </c>
      <c r="K100" s="27"/>
    </row>
    <row r="101" spans="1:11" ht="60" customHeight="1" x14ac:dyDescent="0.25">
      <c r="A101" s="34" t="s">
        <v>234</v>
      </c>
      <c r="B101" s="34" t="s">
        <v>237</v>
      </c>
      <c r="C101" s="34" t="s">
        <v>16</v>
      </c>
      <c r="D101" s="34" t="s">
        <v>17</v>
      </c>
      <c r="E101" s="39">
        <v>10</v>
      </c>
      <c r="F101" s="34" t="s">
        <v>238</v>
      </c>
      <c r="G101" s="34" t="s">
        <v>237</v>
      </c>
      <c r="H101" s="34" t="s">
        <v>232</v>
      </c>
      <c r="I101" s="37">
        <f t="shared" si="2"/>
        <v>46082</v>
      </c>
      <c r="J101" s="62" t="str">
        <f t="shared" si="3"/>
        <v>JOE SAUNDERS</v>
      </c>
      <c r="K101" s="27"/>
    </row>
    <row r="102" spans="1:11" ht="60" customHeight="1" x14ac:dyDescent="0.25">
      <c r="A102" s="40" t="s">
        <v>234</v>
      </c>
      <c r="B102" s="40" t="s">
        <v>239</v>
      </c>
      <c r="C102" s="40" t="s">
        <v>16</v>
      </c>
      <c r="D102" s="40" t="s">
        <v>17</v>
      </c>
      <c r="E102" s="41">
        <v>1.07</v>
      </c>
      <c r="F102" s="40" t="s">
        <v>240</v>
      </c>
      <c r="G102" s="40" t="s">
        <v>239</v>
      </c>
      <c r="H102" s="40" t="s">
        <v>232</v>
      </c>
      <c r="I102" s="42">
        <f t="shared" si="2"/>
        <v>46082</v>
      </c>
      <c r="J102" s="62" t="str">
        <f t="shared" si="3"/>
        <v>JOE SAUNDERS</v>
      </c>
      <c r="K102" s="27"/>
    </row>
    <row r="103" spans="1:11" ht="60" customHeight="1" x14ac:dyDescent="0.25">
      <c r="A103" s="34" t="s">
        <v>241</v>
      </c>
      <c r="B103" s="34" t="s">
        <v>56</v>
      </c>
      <c r="C103" s="34" t="s">
        <v>3</v>
      </c>
      <c r="D103" s="34" t="s">
        <v>31</v>
      </c>
      <c r="E103" s="39">
        <v>-1775.69</v>
      </c>
      <c r="F103" s="34" t="s">
        <v>57</v>
      </c>
      <c r="G103" s="34" t="s">
        <v>56</v>
      </c>
      <c r="H103" s="34" t="s">
        <v>373</v>
      </c>
      <c r="I103" s="37">
        <f t="shared" si="2"/>
        <v>46082</v>
      </c>
      <c r="J103" s="62" t="str">
        <f t="shared" si="3"/>
        <v>Online AMEX Payment</v>
      </c>
      <c r="K103" s="27"/>
    </row>
    <row r="104" spans="1:11" ht="60" customHeight="1" x14ac:dyDescent="0.25">
      <c r="A104" s="40" t="s">
        <v>241</v>
      </c>
      <c r="B104" s="40" t="s">
        <v>53</v>
      </c>
      <c r="C104" s="40" t="s">
        <v>22</v>
      </c>
      <c r="D104" s="40" t="s">
        <v>23</v>
      </c>
      <c r="E104" s="41">
        <v>15</v>
      </c>
      <c r="F104" s="40" t="s">
        <v>242</v>
      </c>
      <c r="G104" s="40" t="s">
        <v>53</v>
      </c>
      <c r="H104" s="40" t="s">
        <v>33</v>
      </c>
      <c r="I104" s="42">
        <f t="shared" si="2"/>
        <v>46082</v>
      </c>
      <c r="J104" s="62" t="str">
        <f t="shared" si="3"/>
        <v>AVA PEREZ</v>
      </c>
      <c r="K104" s="27"/>
    </row>
    <row r="105" spans="1:11" ht="60" customHeight="1" x14ac:dyDescent="0.25">
      <c r="A105" s="34" t="s">
        <v>241</v>
      </c>
      <c r="B105" s="34" t="s">
        <v>243</v>
      </c>
      <c r="C105" s="34" t="s">
        <v>22</v>
      </c>
      <c r="D105" s="34" t="s">
        <v>23</v>
      </c>
      <c r="E105" s="39">
        <v>24.9</v>
      </c>
      <c r="F105" s="34" t="s">
        <v>244</v>
      </c>
      <c r="G105" s="34" t="s">
        <v>243</v>
      </c>
      <c r="H105" s="34" t="s">
        <v>245</v>
      </c>
      <c r="I105" s="37">
        <f t="shared" si="2"/>
        <v>46082</v>
      </c>
      <c r="J105" s="62" t="str">
        <f t="shared" si="3"/>
        <v>AVA PEREZ</v>
      </c>
      <c r="K105" s="27"/>
    </row>
    <row r="106" spans="1:11" ht="60" customHeight="1" x14ac:dyDescent="0.25">
      <c r="A106" s="40" t="s">
        <v>241</v>
      </c>
      <c r="B106" s="40" t="s">
        <v>243</v>
      </c>
      <c r="C106" s="40" t="s">
        <v>22</v>
      </c>
      <c r="D106" s="40" t="s">
        <v>23</v>
      </c>
      <c r="E106" s="41">
        <v>34.79</v>
      </c>
      <c r="F106" s="40" t="s">
        <v>246</v>
      </c>
      <c r="G106" s="40" t="s">
        <v>243</v>
      </c>
      <c r="H106" s="40" t="s">
        <v>245</v>
      </c>
      <c r="I106" s="42">
        <f t="shared" si="2"/>
        <v>46082</v>
      </c>
      <c r="J106" s="62" t="str">
        <f t="shared" si="3"/>
        <v>AVA PEREZ</v>
      </c>
      <c r="K106" s="27"/>
    </row>
    <row r="107" spans="1:11" ht="60" customHeight="1" x14ac:dyDescent="0.25">
      <c r="A107" s="34" t="s">
        <v>241</v>
      </c>
      <c r="B107" s="34" t="s">
        <v>247</v>
      </c>
      <c r="C107" s="34" t="s">
        <v>16</v>
      </c>
      <c r="D107" s="34" t="s">
        <v>17</v>
      </c>
      <c r="E107" s="39">
        <v>93.34</v>
      </c>
      <c r="F107" s="34" t="s">
        <v>248</v>
      </c>
      <c r="G107" s="34" t="s">
        <v>247</v>
      </c>
      <c r="H107" s="34" t="s">
        <v>249</v>
      </c>
      <c r="I107" s="37">
        <f t="shared" si="2"/>
        <v>46082</v>
      </c>
      <c r="J107" s="62" t="str">
        <f t="shared" si="3"/>
        <v>JOE SAUNDERS</v>
      </c>
      <c r="K107" s="27"/>
    </row>
    <row r="108" spans="1:11" ht="60" customHeight="1" x14ac:dyDescent="0.25">
      <c r="A108" s="40" t="s">
        <v>250</v>
      </c>
      <c r="B108" s="40" t="s">
        <v>21</v>
      </c>
      <c r="C108" s="40" t="s">
        <v>22</v>
      </c>
      <c r="D108" s="40" t="s">
        <v>23</v>
      </c>
      <c r="E108" s="41">
        <v>92.31</v>
      </c>
      <c r="F108" s="40" t="s">
        <v>251</v>
      </c>
      <c r="G108" s="40" t="s">
        <v>21</v>
      </c>
      <c r="H108" s="40" t="s">
        <v>25</v>
      </c>
      <c r="I108" s="42">
        <f t="shared" si="2"/>
        <v>46082</v>
      </c>
      <c r="J108" s="62" t="str">
        <f t="shared" si="3"/>
        <v>AVA PEREZ</v>
      </c>
      <c r="K108" s="27"/>
    </row>
    <row r="109" spans="1:11" ht="60" customHeight="1" x14ac:dyDescent="0.25">
      <c r="A109" s="34" t="s">
        <v>250</v>
      </c>
      <c r="B109" s="34" t="s">
        <v>243</v>
      </c>
      <c r="C109" s="34" t="s">
        <v>22</v>
      </c>
      <c r="D109" s="34" t="s">
        <v>23</v>
      </c>
      <c r="E109" s="39">
        <v>47.35</v>
      </c>
      <c r="F109" s="34" t="s">
        <v>252</v>
      </c>
      <c r="G109" s="34" t="s">
        <v>243</v>
      </c>
      <c r="H109" s="34" t="s">
        <v>245</v>
      </c>
      <c r="I109" s="37">
        <f t="shared" si="2"/>
        <v>46082</v>
      </c>
      <c r="J109" s="62" t="str">
        <f t="shared" si="3"/>
        <v>AVA PEREZ</v>
      </c>
      <c r="K109" s="27"/>
    </row>
    <row r="110" spans="1:11" ht="60" customHeight="1" x14ac:dyDescent="0.25">
      <c r="A110" s="40" t="s">
        <v>250</v>
      </c>
      <c r="B110" s="40" t="s">
        <v>81</v>
      </c>
      <c r="C110" s="40" t="s">
        <v>3</v>
      </c>
      <c r="D110" s="40" t="s">
        <v>31</v>
      </c>
      <c r="E110" s="41">
        <v>230</v>
      </c>
      <c r="F110" s="40" t="s">
        <v>253</v>
      </c>
      <c r="G110" s="40" t="s">
        <v>81</v>
      </c>
      <c r="H110" s="40" t="s">
        <v>375</v>
      </c>
      <c r="I110" s="42">
        <f t="shared" si="2"/>
        <v>46082</v>
      </c>
      <c r="J110" s="62" t="str">
        <f t="shared" si="3"/>
        <v>Personal - Health</v>
      </c>
      <c r="K110" s="27"/>
    </row>
    <row r="111" spans="1:11" ht="60" customHeight="1" x14ac:dyDescent="0.25">
      <c r="A111" s="34" t="s">
        <v>254</v>
      </c>
      <c r="B111" s="34" t="s">
        <v>255</v>
      </c>
      <c r="C111" s="34" t="s">
        <v>16</v>
      </c>
      <c r="D111" s="34" t="s">
        <v>17</v>
      </c>
      <c r="E111" s="39">
        <v>13.47</v>
      </c>
      <c r="F111" s="34" t="s">
        <v>256</v>
      </c>
      <c r="G111" s="34" t="s">
        <v>255</v>
      </c>
      <c r="H111" s="34" t="s">
        <v>202</v>
      </c>
      <c r="I111" s="37">
        <f t="shared" si="2"/>
        <v>46082</v>
      </c>
      <c r="J111" s="62" t="str">
        <f t="shared" si="3"/>
        <v>JOE SAUNDERS</v>
      </c>
      <c r="K111" s="27"/>
    </row>
    <row r="112" spans="1:11" ht="60" customHeight="1" x14ac:dyDescent="0.25">
      <c r="A112" s="40" t="s">
        <v>257</v>
      </c>
      <c r="B112" s="40" t="s">
        <v>258</v>
      </c>
      <c r="C112" s="40" t="s">
        <v>16</v>
      </c>
      <c r="D112" s="40" t="s">
        <v>17</v>
      </c>
      <c r="E112" s="41">
        <v>31.25</v>
      </c>
      <c r="F112" s="40" t="s">
        <v>259</v>
      </c>
      <c r="G112" s="40" t="s">
        <v>258</v>
      </c>
      <c r="H112" s="40" t="s">
        <v>225</v>
      </c>
      <c r="I112" s="42">
        <f t="shared" si="2"/>
        <v>46082</v>
      </c>
      <c r="J112" s="62" t="str">
        <f t="shared" si="3"/>
        <v>JOE SAUNDERS</v>
      </c>
      <c r="K112" s="27"/>
    </row>
    <row r="113" spans="1:11" ht="60" customHeight="1" x14ac:dyDescent="0.25">
      <c r="A113" s="34" t="s">
        <v>257</v>
      </c>
      <c r="B113" s="34" t="s">
        <v>243</v>
      </c>
      <c r="C113" s="34" t="s">
        <v>22</v>
      </c>
      <c r="D113" s="34" t="s">
        <v>23</v>
      </c>
      <c r="E113" s="39">
        <v>25.12</v>
      </c>
      <c r="F113" s="34" t="s">
        <v>260</v>
      </c>
      <c r="G113" s="34" t="s">
        <v>243</v>
      </c>
      <c r="H113" s="34" t="s">
        <v>245</v>
      </c>
      <c r="I113" s="37">
        <f t="shared" si="2"/>
        <v>46082</v>
      </c>
      <c r="J113" s="62" t="str">
        <f t="shared" si="3"/>
        <v>AVA PEREZ</v>
      </c>
      <c r="K113" s="27"/>
    </row>
    <row r="114" spans="1:11" ht="60" customHeight="1" x14ac:dyDescent="0.25">
      <c r="A114" s="40" t="s">
        <v>261</v>
      </c>
      <c r="B114" s="40" t="s">
        <v>62</v>
      </c>
      <c r="C114" s="40" t="s">
        <v>22</v>
      </c>
      <c r="D114" s="40" t="s">
        <v>23</v>
      </c>
      <c r="E114" s="41">
        <v>15</v>
      </c>
      <c r="F114" s="40" t="s">
        <v>262</v>
      </c>
      <c r="G114" s="40" t="s">
        <v>62</v>
      </c>
      <c r="H114" s="40" t="s">
        <v>64</v>
      </c>
      <c r="I114" s="42">
        <f t="shared" si="2"/>
        <v>46082</v>
      </c>
      <c r="J114" s="62" t="str">
        <f t="shared" si="3"/>
        <v>AVA PEREZ</v>
      </c>
      <c r="K114" s="27"/>
    </row>
    <row r="115" spans="1:11" ht="60" customHeight="1" x14ac:dyDescent="0.25">
      <c r="A115" s="34" t="s">
        <v>261</v>
      </c>
      <c r="B115" s="34" t="s">
        <v>243</v>
      </c>
      <c r="C115" s="34" t="s">
        <v>22</v>
      </c>
      <c r="D115" s="34" t="s">
        <v>23</v>
      </c>
      <c r="E115" s="39">
        <v>11.57</v>
      </c>
      <c r="F115" s="34" t="s">
        <v>263</v>
      </c>
      <c r="G115" s="34" t="s">
        <v>243</v>
      </c>
      <c r="H115" s="34" t="s">
        <v>245</v>
      </c>
      <c r="I115" s="37">
        <f t="shared" si="2"/>
        <v>46082</v>
      </c>
      <c r="J115" s="62" t="str">
        <f t="shared" si="3"/>
        <v>AVA PEREZ</v>
      </c>
      <c r="K115" s="27"/>
    </row>
    <row r="116" spans="1:11" ht="60" customHeight="1" x14ac:dyDescent="0.25">
      <c r="A116" s="40" t="s">
        <v>261</v>
      </c>
      <c r="B116" s="40" t="s">
        <v>264</v>
      </c>
      <c r="C116" s="40" t="s">
        <v>16</v>
      </c>
      <c r="D116" s="40" t="s">
        <v>17</v>
      </c>
      <c r="E116" s="41">
        <v>33.64</v>
      </c>
      <c r="F116" s="40" t="s">
        <v>265</v>
      </c>
      <c r="G116" s="40" t="s">
        <v>264</v>
      </c>
      <c r="H116" s="40" t="s">
        <v>106</v>
      </c>
      <c r="I116" s="42">
        <f t="shared" si="2"/>
        <v>46082</v>
      </c>
      <c r="J116" s="62" t="str">
        <f t="shared" si="3"/>
        <v>JOE SAUNDERS</v>
      </c>
      <c r="K116" s="27"/>
    </row>
    <row r="117" spans="1:11" ht="60" customHeight="1" x14ac:dyDescent="0.25">
      <c r="A117" s="34" t="s">
        <v>266</v>
      </c>
      <c r="B117" s="34" t="s">
        <v>73</v>
      </c>
      <c r="C117" s="34" t="s">
        <v>3</v>
      </c>
      <c r="D117" s="34" t="s">
        <v>31</v>
      </c>
      <c r="E117" s="39">
        <v>69.989999999999995</v>
      </c>
      <c r="F117" s="34" t="s">
        <v>267</v>
      </c>
      <c r="G117" s="34" t="s">
        <v>73</v>
      </c>
      <c r="H117" s="34" t="s">
        <v>371</v>
      </c>
      <c r="I117" s="37">
        <f t="shared" si="2"/>
        <v>46082</v>
      </c>
      <c r="J117" s="62" t="str">
        <f t="shared" si="3"/>
        <v>DWG-RE Platform (Redirected)</v>
      </c>
      <c r="K117" s="27"/>
    </row>
    <row r="118" spans="1:11" ht="60" customHeight="1" x14ac:dyDescent="0.25">
      <c r="A118" s="40" t="s">
        <v>268</v>
      </c>
      <c r="B118" s="40" t="s">
        <v>78</v>
      </c>
      <c r="C118" s="40" t="s">
        <v>3</v>
      </c>
      <c r="D118" s="40" t="s">
        <v>31</v>
      </c>
      <c r="E118" s="41">
        <v>24.99</v>
      </c>
      <c r="F118" s="40" t="s">
        <v>269</v>
      </c>
      <c r="G118" s="40" t="s">
        <v>78</v>
      </c>
      <c r="H118" s="40" t="s">
        <v>374</v>
      </c>
      <c r="I118" s="42">
        <f t="shared" si="2"/>
        <v>46082</v>
      </c>
      <c r="J118" s="62" t="str">
        <f t="shared" si="3"/>
        <v>Family</v>
      </c>
      <c r="K118" s="27"/>
    </row>
    <row r="119" spans="1:11" ht="60" customHeight="1" x14ac:dyDescent="0.25">
      <c r="A119" s="34" t="s">
        <v>268</v>
      </c>
      <c r="B119" s="34" t="s">
        <v>26</v>
      </c>
      <c r="C119" s="34" t="s">
        <v>22</v>
      </c>
      <c r="D119" s="34" t="s">
        <v>23</v>
      </c>
      <c r="E119" s="39">
        <v>26.58</v>
      </c>
      <c r="F119" s="34" t="s">
        <v>270</v>
      </c>
      <c r="G119" s="34" t="s">
        <v>26</v>
      </c>
      <c r="H119" s="34" t="s">
        <v>28</v>
      </c>
      <c r="I119" s="37">
        <f t="shared" si="2"/>
        <v>46082</v>
      </c>
      <c r="J119" s="62" t="str">
        <f t="shared" si="3"/>
        <v>AVA PEREZ</v>
      </c>
      <c r="K119" s="27"/>
    </row>
    <row r="120" spans="1:11" ht="60" customHeight="1" x14ac:dyDescent="0.25">
      <c r="A120" s="40" t="s">
        <v>268</v>
      </c>
      <c r="B120" s="40" t="s">
        <v>271</v>
      </c>
      <c r="C120" s="40" t="s">
        <v>22</v>
      </c>
      <c r="D120" s="40" t="s">
        <v>23</v>
      </c>
      <c r="E120" s="41">
        <v>32.32</v>
      </c>
      <c r="F120" s="40" t="s">
        <v>272</v>
      </c>
      <c r="G120" s="40" t="s">
        <v>271</v>
      </c>
      <c r="H120" s="40" t="s">
        <v>273</v>
      </c>
      <c r="I120" s="42">
        <f t="shared" si="2"/>
        <v>46082</v>
      </c>
      <c r="J120" s="62" t="str">
        <f t="shared" si="3"/>
        <v>AVA PEREZ</v>
      </c>
      <c r="K120" s="27"/>
    </row>
    <row r="121" spans="1:11" ht="60" customHeight="1" x14ac:dyDescent="0.25">
      <c r="A121" s="34" t="s">
        <v>274</v>
      </c>
      <c r="B121" s="34" t="s">
        <v>138</v>
      </c>
      <c r="C121" s="34" t="s">
        <v>22</v>
      </c>
      <c r="D121" s="34" t="s">
        <v>23</v>
      </c>
      <c r="E121" s="39">
        <v>24.56</v>
      </c>
      <c r="F121" s="34" t="s">
        <v>275</v>
      </c>
      <c r="G121" s="34" t="s">
        <v>138</v>
      </c>
      <c r="H121" s="34" t="s">
        <v>25</v>
      </c>
      <c r="I121" s="37">
        <f t="shared" si="2"/>
        <v>46082</v>
      </c>
      <c r="J121" s="62" t="str">
        <f t="shared" si="3"/>
        <v>AVA PEREZ</v>
      </c>
      <c r="K121" s="27"/>
    </row>
    <row r="122" spans="1:11" ht="60" customHeight="1" x14ac:dyDescent="0.25">
      <c r="A122" s="40" t="s">
        <v>276</v>
      </c>
      <c r="B122" s="40" t="s">
        <v>43</v>
      </c>
      <c r="C122" s="40" t="s">
        <v>22</v>
      </c>
      <c r="D122" s="40" t="s">
        <v>23</v>
      </c>
      <c r="E122" s="41">
        <v>19.989999999999998</v>
      </c>
      <c r="F122" s="40" t="s">
        <v>277</v>
      </c>
      <c r="G122" s="40" t="s">
        <v>43</v>
      </c>
      <c r="H122" s="40" t="s">
        <v>45</v>
      </c>
      <c r="I122" s="42">
        <f t="shared" si="2"/>
        <v>46082</v>
      </c>
      <c r="J122" s="62" t="str">
        <f t="shared" si="3"/>
        <v>AVA PEREZ</v>
      </c>
      <c r="K122" s="27"/>
    </row>
    <row r="123" spans="1:11" ht="60" customHeight="1" x14ac:dyDescent="0.25">
      <c r="A123" s="34" t="s">
        <v>276</v>
      </c>
      <c r="B123" s="34" t="s">
        <v>21</v>
      </c>
      <c r="C123" s="34" t="s">
        <v>22</v>
      </c>
      <c r="D123" s="34" t="s">
        <v>23</v>
      </c>
      <c r="E123" s="39">
        <v>13.04</v>
      </c>
      <c r="F123" s="34" t="s">
        <v>278</v>
      </c>
      <c r="G123" s="34" t="s">
        <v>21</v>
      </c>
      <c r="H123" s="34" t="s">
        <v>25</v>
      </c>
      <c r="I123" s="37">
        <f t="shared" si="2"/>
        <v>46082</v>
      </c>
      <c r="J123" s="62" t="str">
        <f t="shared" si="3"/>
        <v>AVA PEREZ</v>
      </c>
      <c r="K123" s="27"/>
    </row>
    <row r="124" spans="1:11" ht="60" customHeight="1" x14ac:dyDescent="0.25">
      <c r="A124" s="40" t="s">
        <v>276</v>
      </c>
      <c r="B124" s="40" t="s">
        <v>21</v>
      </c>
      <c r="C124" s="40" t="s">
        <v>22</v>
      </c>
      <c r="D124" s="40" t="s">
        <v>23</v>
      </c>
      <c r="E124" s="41">
        <v>32.82</v>
      </c>
      <c r="F124" s="40" t="s">
        <v>279</v>
      </c>
      <c r="G124" s="40" t="s">
        <v>21</v>
      </c>
      <c r="H124" s="40" t="s">
        <v>25</v>
      </c>
      <c r="I124" s="42">
        <f t="shared" si="2"/>
        <v>46082</v>
      </c>
      <c r="J124" s="62" t="str">
        <f t="shared" si="3"/>
        <v>AVA PEREZ</v>
      </c>
      <c r="K124" s="27"/>
    </row>
    <row r="125" spans="1:11" ht="60" customHeight="1" x14ac:dyDescent="0.25">
      <c r="A125" s="34" t="s">
        <v>276</v>
      </c>
      <c r="B125" s="34" t="s">
        <v>280</v>
      </c>
      <c r="C125" s="34" t="s">
        <v>22</v>
      </c>
      <c r="D125" s="34" t="s">
        <v>23</v>
      </c>
      <c r="E125" s="39">
        <v>19.989999999999998</v>
      </c>
      <c r="F125" s="34" t="s">
        <v>281</v>
      </c>
      <c r="G125" s="34" t="s">
        <v>280</v>
      </c>
      <c r="H125" s="34" t="s">
        <v>282</v>
      </c>
      <c r="I125" s="37">
        <f t="shared" si="2"/>
        <v>46082</v>
      </c>
      <c r="J125" s="62" t="str">
        <f t="shared" si="3"/>
        <v>AVA PEREZ</v>
      </c>
      <c r="K125" s="27"/>
    </row>
    <row r="126" spans="1:11" ht="60" customHeight="1" x14ac:dyDescent="0.25">
      <c r="A126" s="40" t="s">
        <v>283</v>
      </c>
      <c r="B126" s="40" t="s">
        <v>284</v>
      </c>
      <c r="C126" s="40" t="s">
        <v>22</v>
      </c>
      <c r="D126" s="40" t="s">
        <v>23</v>
      </c>
      <c r="E126" s="41">
        <v>243.08</v>
      </c>
      <c r="F126" s="40" t="s">
        <v>285</v>
      </c>
      <c r="G126" s="40" t="s">
        <v>284</v>
      </c>
      <c r="H126" s="40" t="s">
        <v>102</v>
      </c>
      <c r="I126" s="42">
        <f t="shared" si="2"/>
        <v>46082</v>
      </c>
      <c r="J126" s="62" t="str">
        <f t="shared" si="3"/>
        <v>AVA PEREZ</v>
      </c>
      <c r="K126" s="27"/>
    </row>
    <row r="127" spans="1:11" ht="60" customHeight="1" x14ac:dyDescent="0.25">
      <c r="A127" s="34" t="s">
        <v>283</v>
      </c>
      <c r="B127" s="34" t="s">
        <v>286</v>
      </c>
      <c r="C127" s="34" t="s">
        <v>22</v>
      </c>
      <c r="D127" s="34" t="s">
        <v>23</v>
      </c>
      <c r="E127" s="39">
        <v>12.99</v>
      </c>
      <c r="F127" s="34" t="s">
        <v>287</v>
      </c>
      <c r="G127" s="34" t="s">
        <v>286</v>
      </c>
      <c r="H127" s="34" t="s">
        <v>102</v>
      </c>
      <c r="I127" s="37">
        <f t="shared" si="2"/>
        <v>46082</v>
      </c>
      <c r="J127" s="62" t="str">
        <f t="shared" si="3"/>
        <v>AVA PEREZ</v>
      </c>
      <c r="K127" s="27"/>
    </row>
    <row r="128" spans="1:11" ht="60" customHeight="1" x14ac:dyDescent="0.25">
      <c r="A128" s="40" t="s">
        <v>288</v>
      </c>
      <c r="B128" s="40" t="s">
        <v>108</v>
      </c>
      <c r="C128" s="40" t="s">
        <v>3</v>
      </c>
      <c r="D128" s="40" t="s">
        <v>31</v>
      </c>
      <c r="E128" s="41">
        <v>29.99</v>
      </c>
      <c r="F128" s="40" t="s">
        <v>289</v>
      </c>
      <c r="G128" s="40" t="s">
        <v>108</v>
      </c>
      <c r="H128" s="40" t="s">
        <v>371</v>
      </c>
      <c r="I128" s="42">
        <f t="shared" si="2"/>
        <v>46082</v>
      </c>
      <c r="J128" s="62" t="str">
        <f t="shared" si="3"/>
        <v>DWG-RE Platform (Redirected)</v>
      </c>
      <c r="K128" s="27"/>
    </row>
    <row r="129" spans="1:11" ht="60" customHeight="1" x14ac:dyDescent="0.25">
      <c r="A129" s="34" t="s">
        <v>288</v>
      </c>
      <c r="B129" s="34" t="s">
        <v>30</v>
      </c>
      <c r="C129" s="34" t="s">
        <v>3</v>
      </c>
      <c r="D129" s="34" t="s">
        <v>31</v>
      </c>
      <c r="E129" s="39">
        <v>219.4</v>
      </c>
      <c r="F129" s="34" t="s">
        <v>290</v>
      </c>
      <c r="G129" s="34" t="s">
        <v>30</v>
      </c>
      <c r="H129" s="34" t="s">
        <v>371</v>
      </c>
      <c r="I129" s="37">
        <f t="shared" si="2"/>
        <v>46082</v>
      </c>
      <c r="J129" s="62" t="str">
        <f t="shared" si="3"/>
        <v>DWG-RE Platform (Redirected)</v>
      </c>
      <c r="K129" s="27"/>
    </row>
    <row r="130" spans="1:11" ht="60" customHeight="1" x14ac:dyDescent="0.25">
      <c r="A130" s="40" t="s">
        <v>291</v>
      </c>
      <c r="B130" s="40" t="s">
        <v>292</v>
      </c>
      <c r="C130" s="40" t="s">
        <v>3</v>
      </c>
      <c r="D130" s="40" t="s">
        <v>31</v>
      </c>
      <c r="E130" s="41">
        <v>54</v>
      </c>
      <c r="F130" s="40" t="s">
        <v>293</v>
      </c>
      <c r="G130" s="40" t="s">
        <v>292</v>
      </c>
      <c r="H130" s="40" t="s">
        <v>371</v>
      </c>
      <c r="I130" s="42">
        <f t="shared" si="2"/>
        <v>46082</v>
      </c>
      <c r="J130" s="62" t="str">
        <f t="shared" si="3"/>
        <v>DWG-RE Platform (Redirected)</v>
      </c>
      <c r="K130" s="27"/>
    </row>
    <row r="131" spans="1:11" ht="60" customHeight="1" x14ac:dyDescent="0.25">
      <c r="A131" s="34" t="s">
        <v>291</v>
      </c>
      <c r="B131" s="34" t="s">
        <v>21</v>
      </c>
      <c r="C131" s="34" t="s">
        <v>22</v>
      </c>
      <c r="D131" s="34" t="s">
        <v>23</v>
      </c>
      <c r="E131" s="39">
        <v>339.89</v>
      </c>
      <c r="F131" s="34" t="s">
        <v>294</v>
      </c>
      <c r="G131" s="34" t="s">
        <v>21</v>
      </c>
      <c r="H131" s="34" t="s">
        <v>25</v>
      </c>
      <c r="I131" s="37">
        <f t="shared" si="2"/>
        <v>46082</v>
      </c>
      <c r="J131" s="62" t="str">
        <f t="shared" si="3"/>
        <v>AVA PEREZ</v>
      </c>
      <c r="K131" s="27"/>
    </row>
    <row r="132" spans="1:11" ht="60" customHeight="1" x14ac:dyDescent="0.25">
      <c r="A132" s="40" t="s">
        <v>295</v>
      </c>
      <c r="B132" s="40" t="s">
        <v>43</v>
      </c>
      <c r="C132" s="40" t="s">
        <v>22</v>
      </c>
      <c r="D132" s="40" t="s">
        <v>23</v>
      </c>
      <c r="E132" s="41">
        <v>2.99</v>
      </c>
      <c r="F132" s="40" t="s">
        <v>296</v>
      </c>
      <c r="G132" s="40" t="s">
        <v>43</v>
      </c>
      <c r="H132" s="40" t="s">
        <v>45</v>
      </c>
      <c r="I132" s="42">
        <f t="shared" si="2"/>
        <v>46082</v>
      </c>
      <c r="J132" s="62" t="str">
        <f t="shared" si="3"/>
        <v>AVA PEREZ</v>
      </c>
      <c r="K132" s="27"/>
    </row>
    <row r="133" spans="1:11" ht="60" customHeight="1" x14ac:dyDescent="0.25">
      <c r="A133" s="34" t="s">
        <v>297</v>
      </c>
      <c r="B133" s="34" t="s">
        <v>53</v>
      </c>
      <c r="C133" s="34" t="s">
        <v>22</v>
      </c>
      <c r="D133" s="34" t="s">
        <v>23</v>
      </c>
      <c r="E133" s="39">
        <v>15</v>
      </c>
      <c r="F133" s="34" t="s">
        <v>298</v>
      </c>
      <c r="G133" s="34" t="s">
        <v>53</v>
      </c>
      <c r="H133" s="34" t="s">
        <v>33</v>
      </c>
      <c r="I133" s="37">
        <f t="shared" si="2"/>
        <v>46054</v>
      </c>
      <c r="J133" s="62" t="str">
        <f t="shared" si="3"/>
        <v>AVA PEREZ</v>
      </c>
      <c r="K133" s="27"/>
    </row>
    <row r="134" spans="1:11" ht="60" customHeight="1" x14ac:dyDescent="0.25">
      <c r="A134" s="40" t="s">
        <v>299</v>
      </c>
      <c r="B134" s="40" t="s">
        <v>21</v>
      </c>
      <c r="C134" s="40" t="s">
        <v>22</v>
      </c>
      <c r="D134" s="40" t="s">
        <v>23</v>
      </c>
      <c r="E134" s="41">
        <v>63.14</v>
      </c>
      <c r="F134" s="40" t="s">
        <v>300</v>
      </c>
      <c r="G134" s="40" t="s">
        <v>21</v>
      </c>
      <c r="H134" s="40" t="s">
        <v>25</v>
      </c>
      <c r="I134" s="42">
        <f t="shared" si="2"/>
        <v>46054</v>
      </c>
      <c r="J134" s="62" t="str">
        <f t="shared" si="3"/>
        <v>AVA PEREZ</v>
      </c>
      <c r="K134" s="27"/>
    </row>
    <row r="135" spans="1:11" ht="60" customHeight="1" x14ac:dyDescent="0.25">
      <c r="A135" s="34" t="s">
        <v>301</v>
      </c>
      <c r="B135" s="34" t="s">
        <v>56</v>
      </c>
      <c r="C135" s="34" t="s">
        <v>3</v>
      </c>
      <c r="D135" s="34" t="s">
        <v>31</v>
      </c>
      <c r="E135" s="39">
        <v>-2012.65</v>
      </c>
      <c r="F135" s="34" t="s">
        <v>57</v>
      </c>
      <c r="G135" s="34" t="s">
        <v>56</v>
      </c>
      <c r="H135" s="34" t="s">
        <v>373</v>
      </c>
      <c r="I135" s="37">
        <f t="shared" si="2"/>
        <v>46054</v>
      </c>
      <c r="J135" s="62" t="str">
        <f t="shared" si="3"/>
        <v>Online AMEX Payment</v>
      </c>
      <c r="K135" s="27"/>
    </row>
    <row r="136" spans="1:11" ht="60" customHeight="1" x14ac:dyDescent="0.25">
      <c r="A136" s="40" t="s">
        <v>302</v>
      </c>
      <c r="B136" s="40" t="s">
        <v>138</v>
      </c>
      <c r="C136" s="40" t="s">
        <v>22</v>
      </c>
      <c r="D136" s="40" t="s">
        <v>23</v>
      </c>
      <c r="E136" s="41">
        <v>31.22</v>
      </c>
      <c r="F136" s="40" t="s">
        <v>303</v>
      </c>
      <c r="G136" s="40" t="s">
        <v>138</v>
      </c>
      <c r="H136" s="40" t="s">
        <v>25</v>
      </c>
      <c r="I136" s="42">
        <f t="shared" si="2"/>
        <v>46054</v>
      </c>
      <c r="J136" s="62" t="str">
        <f t="shared" si="3"/>
        <v>AVA PEREZ</v>
      </c>
      <c r="K136" s="27"/>
    </row>
    <row r="137" spans="1:11" ht="60" customHeight="1" x14ac:dyDescent="0.25">
      <c r="A137" s="34" t="s">
        <v>304</v>
      </c>
      <c r="B137" s="34" t="s">
        <v>21</v>
      </c>
      <c r="C137" s="34" t="s">
        <v>22</v>
      </c>
      <c r="D137" s="34" t="s">
        <v>23</v>
      </c>
      <c r="E137" s="39">
        <v>79.61</v>
      </c>
      <c r="F137" s="34" t="s">
        <v>305</v>
      </c>
      <c r="G137" s="34" t="s">
        <v>21</v>
      </c>
      <c r="H137" s="34" t="s">
        <v>25</v>
      </c>
      <c r="I137" s="37">
        <f t="shared" ref="I137:I170" si="4">DATE(RIGHT(A137,4)+0,LEFT(A137,2)+0,1)</f>
        <v>46054</v>
      </c>
      <c r="J137" s="62" t="str">
        <f t="shared" ref="J137:J170" si="5">IF(C137="JOHN DUNNING",IF(TRIM(H137)="",IF(ISNUMBER(SEARCH("PAYMENT",B137)),"Online AMEX Payment","(Uncategorized)"),TRIM(H137)),C137)</f>
        <v>AVA PEREZ</v>
      </c>
      <c r="K137" s="27"/>
    </row>
    <row r="138" spans="1:11" ht="60" customHeight="1" x14ac:dyDescent="0.25">
      <c r="A138" s="40" t="s">
        <v>306</v>
      </c>
      <c r="B138" s="40" t="s">
        <v>73</v>
      </c>
      <c r="C138" s="40" t="s">
        <v>3</v>
      </c>
      <c r="D138" s="40" t="s">
        <v>31</v>
      </c>
      <c r="E138" s="41">
        <v>69.989999999999995</v>
      </c>
      <c r="F138" s="40" t="s">
        <v>307</v>
      </c>
      <c r="G138" s="40" t="s">
        <v>73</v>
      </c>
      <c r="H138" s="40" t="s">
        <v>371</v>
      </c>
      <c r="I138" s="42">
        <f t="shared" si="4"/>
        <v>46054</v>
      </c>
      <c r="J138" s="62" t="str">
        <f t="shared" si="5"/>
        <v>DWG-RE Platform (Redirected)</v>
      </c>
      <c r="K138" s="27"/>
    </row>
    <row r="139" spans="1:11" ht="60" customHeight="1" x14ac:dyDescent="0.25">
      <c r="A139" s="34" t="s">
        <v>306</v>
      </c>
      <c r="B139" s="34" t="s">
        <v>138</v>
      </c>
      <c r="C139" s="34" t="s">
        <v>22</v>
      </c>
      <c r="D139" s="34" t="s">
        <v>23</v>
      </c>
      <c r="E139" s="39">
        <v>67.31</v>
      </c>
      <c r="F139" s="34" t="s">
        <v>308</v>
      </c>
      <c r="G139" s="34" t="s">
        <v>138</v>
      </c>
      <c r="H139" s="34" t="s">
        <v>25</v>
      </c>
      <c r="I139" s="37">
        <f t="shared" si="4"/>
        <v>46054</v>
      </c>
      <c r="J139" s="62" t="str">
        <f t="shared" si="5"/>
        <v>AVA PEREZ</v>
      </c>
      <c r="K139" s="27"/>
    </row>
    <row r="140" spans="1:11" ht="60" customHeight="1" x14ac:dyDescent="0.25">
      <c r="A140" s="40" t="s">
        <v>309</v>
      </c>
      <c r="B140" s="40" t="s">
        <v>78</v>
      </c>
      <c r="C140" s="40" t="s">
        <v>3</v>
      </c>
      <c r="D140" s="40" t="s">
        <v>31</v>
      </c>
      <c r="E140" s="41">
        <v>24.99</v>
      </c>
      <c r="F140" s="40" t="s">
        <v>310</v>
      </c>
      <c r="G140" s="40" t="s">
        <v>78</v>
      </c>
      <c r="H140" s="40" t="s">
        <v>374</v>
      </c>
      <c r="I140" s="42">
        <f t="shared" si="4"/>
        <v>46054</v>
      </c>
      <c r="J140" s="62" t="str">
        <f t="shared" si="5"/>
        <v>Family</v>
      </c>
      <c r="K140" s="27"/>
    </row>
    <row r="141" spans="1:11" ht="60" customHeight="1" x14ac:dyDescent="0.25">
      <c r="A141" s="34" t="s">
        <v>309</v>
      </c>
      <c r="B141" s="34" t="s">
        <v>26</v>
      </c>
      <c r="C141" s="34" t="s">
        <v>22</v>
      </c>
      <c r="D141" s="34" t="s">
        <v>23</v>
      </c>
      <c r="E141" s="39">
        <v>27.26</v>
      </c>
      <c r="F141" s="34" t="s">
        <v>311</v>
      </c>
      <c r="G141" s="34" t="s">
        <v>26</v>
      </c>
      <c r="H141" s="34" t="s">
        <v>28</v>
      </c>
      <c r="I141" s="37">
        <f t="shared" si="4"/>
        <v>46054</v>
      </c>
      <c r="J141" s="62" t="str">
        <f t="shared" si="5"/>
        <v>AVA PEREZ</v>
      </c>
      <c r="K141" s="27"/>
    </row>
    <row r="142" spans="1:11" ht="60" customHeight="1" x14ac:dyDescent="0.25">
      <c r="A142" s="40" t="s">
        <v>312</v>
      </c>
      <c r="B142" s="40" t="s">
        <v>21</v>
      </c>
      <c r="C142" s="40" t="s">
        <v>22</v>
      </c>
      <c r="D142" s="40" t="s">
        <v>23</v>
      </c>
      <c r="E142" s="41">
        <v>87.25</v>
      </c>
      <c r="F142" s="40" t="s">
        <v>313</v>
      </c>
      <c r="G142" s="40" t="s">
        <v>21</v>
      </c>
      <c r="H142" s="40" t="s">
        <v>25</v>
      </c>
      <c r="I142" s="42">
        <f t="shared" si="4"/>
        <v>46054</v>
      </c>
      <c r="J142" s="62" t="str">
        <f t="shared" si="5"/>
        <v>AVA PEREZ</v>
      </c>
      <c r="K142" s="27"/>
    </row>
    <row r="143" spans="1:11" ht="60" customHeight="1" x14ac:dyDescent="0.25">
      <c r="A143" s="34" t="s">
        <v>314</v>
      </c>
      <c r="B143" s="34" t="s">
        <v>43</v>
      </c>
      <c r="C143" s="34" t="s">
        <v>22</v>
      </c>
      <c r="D143" s="34" t="s">
        <v>23</v>
      </c>
      <c r="E143" s="39">
        <v>19.989999999999998</v>
      </c>
      <c r="F143" s="34" t="s">
        <v>315</v>
      </c>
      <c r="G143" s="34" t="s">
        <v>43</v>
      </c>
      <c r="H143" s="34" t="s">
        <v>45</v>
      </c>
      <c r="I143" s="37">
        <f t="shared" si="4"/>
        <v>46054</v>
      </c>
      <c r="J143" s="62" t="str">
        <f t="shared" si="5"/>
        <v>AVA PEREZ</v>
      </c>
      <c r="K143" s="27"/>
    </row>
    <row r="144" spans="1:11" ht="60" customHeight="1" x14ac:dyDescent="0.25">
      <c r="A144" s="40" t="s">
        <v>314</v>
      </c>
      <c r="B144" s="40" t="s">
        <v>280</v>
      </c>
      <c r="C144" s="40" t="s">
        <v>22</v>
      </c>
      <c r="D144" s="40" t="s">
        <v>23</v>
      </c>
      <c r="E144" s="41">
        <v>14.99</v>
      </c>
      <c r="F144" s="40" t="s">
        <v>316</v>
      </c>
      <c r="G144" s="40" t="s">
        <v>280</v>
      </c>
      <c r="H144" s="40" t="s">
        <v>282</v>
      </c>
      <c r="I144" s="42">
        <f t="shared" si="4"/>
        <v>46054</v>
      </c>
      <c r="J144" s="62" t="str">
        <f t="shared" si="5"/>
        <v>AVA PEREZ</v>
      </c>
      <c r="K144" s="27"/>
    </row>
    <row r="145" spans="1:11" ht="60" customHeight="1" x14ac:dyDescent="0.25">
      <c r="A145" s="34" t="s">
        <v>317</v>
      </c>
      <c r="B145" s="34" t="s">
        <v>318</v>
      </c>
      <c r="C145" s="34" t="s">
        <v>22</v>
      </c>
      <c r="D145" s="34" t="s">
        <v>23</v>
      </c>
      <c r="E145" s="39">
        <v>11.99</v>
      </c>
      <c r="F145" s="34" t="s">
        <v>319</v>
      </c>
      <c r="G145" s="34" t="s">
        <v>318</v>
      </c>
      <c r="H145" s="34" t="s">
        <v>102</v>
      </c>
      <c r="I145" s="37">
        <f t="shared" si="4"/>
        <v>46054</v>
      </c>
      <c r="J145" s="62" t="str">
        <f t="shared" si="5"/>
        <v>AVA PEREZ</v>
      </c>
      <c r="K145" s="27"/>
    </row>
    <row r="146" spans="1:11" ht="60" customHeight="1" x14ac:dyDescent="0.25">
      <c r="A146" s="40" t="s">
        <v>320</v>
      </c>
      <c r="B146" s="40" t="s">
        <v>43</v>
      </c>
      <c r="C146" s="40" t="s">
        <v>22</v>
      </c>
      <c r="D146" s="40" t="s">
        <v>23</v>
      </c>
      <c r="E146" s="41">
        <v>1.99</v>
      </c>
      <c r="F146" s="40" t="s">
        <v>321</v>
      </c>
      <c r="G146" s="40" t="s">
        <v>43</v>
      </c>
      <c r="H146" s="40" t="s">
        <v>45</v>
      </c>
      <c r="I146" s="42">
        <f t="shared" si="4"/>
        <v>46054</v>
      </c>
      <c r="J146" s="62" t="str">
        <f t="shared" si="5"/>
        <v>AVA PEREZ</v>
      </c>
      <c r="K146" s="27"/>
    </row>
    <row r="147" spans="1:11" ht="60" customHeight="1" x14ac:dyDescent="0.25">
      <c r="A147" s="34" t="s">
        <v>322</v>
      </c>
      <c r="B147" s="34" t="s">
        <v>108</v>
      </c>
      <c r="C147" s="34" t="s">
        <v>3</v>
      </c>
      <c r="D147" s="34" t="s">
        <v>31</v>
      </c>
      <c r="E147" s="39">
        <v>29.99</v>
      </c>
      <c r="F147" s="34" t="s">
        <v>323</v>
      </c>
      <c r="G147" s="34" t="s">
        <v>108</v>
      </c>
      <c r="H147" s="34" t="s">
        <v>371</v>
      </c>
      <c r="I147" s="37">
        <f t="shared" si="4"/>
        <v>46054</v>
      </c>
      <c r="J147" s="62" t="str">
        <f t="shared" si="5"/>
        <v>DWG-RE Platform (Redirected)</v>
      </c>
      <c r="K147" s="27"/>
    </row>
    <row r="148" spans="1:11" ht="60" customHeight="1" x14ac:dyDescent="0.25">
      <c r="A148" s="40" t="s">
        <v>322</v>
      </c>
      <c r="B148" s="40" t="s">
        <v>30</v>
      </c>
      <c r="C148" s="40" t="s">
        <v>3</v>
      </c>
      <c r="D148" s="40" t="s">
        <v>31</v>
      </c>
      <c r="E148" s="41">
        <v>219.4</v>
      </c>
      <c r="F148" s="40" t="s">
        <v>324</v>
      </c>
      <c r="G148" s="40" t="s">
        <v>30</v>
      </c>
      <c r="H148" s="40" t="s">
        <v>371</v>
      </c>
      <c r="I148" s="42">
        <f t="shared" si="4"/>
        <v>46054</v>
      </c>
      <c r="J148" s="62" t="str">
        <f t="shared" si="5"/>
        <v>DWG-RE Platform (Redirected)</v>
      </c>
      <c r="K148" s="27"/>
    </row>
    <row r="149" spans="1:11" ht="60" customHeight="1" x14ac:dyDescent="0.25">
      <c r="A149" s="34" t="s">
        <v>325</v>
      </c>
      <c r="B149" s="34" t="s">
        <v>326</v>
      </c>
      <c r="C149" s="34" t="s">
        <v>3</v>
      </c>
      <c r="D149" s="34" t="s">
        <v>31</v>
      </c>
      <c r="E149" s="39">
        <v>54</v>
      </c>
      <c r="F149" s="34" t="s">
        <v>327</v>
      </c>
      <c r="G149" s="34" t="s">
        <v>326</v>
      </c>
      <c r="H149" s="34" t="s">
        <v>371</v>
      </c>
      <c r="I149" s="37">
        <f t="shared" si="4"/>
        <v>46054</v>
      </c>
      <c r="J149" s="62" t="str">
        <f t="shared" si="5"/>
        <v>DWG-RE Platform (Redirected)</v>
      </c>
      <c r="K149" s="27"/>
    </row>
    <row r="150" spans="1:11" ht="60" customHeight="1" x14ac:dyDescent="0.25">
      <c r="A150" s="40" t="s">
        <v>328</v>
      </c>
      <c r="B150" s="40" t="s">
        <v>43</v>
      </c>
      <c r="C150" s="40" t="s">
        <v>22</v>
      </c>
      <c r="D150" s="40" t="s">
        <v>23</v>
      </c>
      <c r="E150" s="41">
        <v>2.99</v>
      </c>
      <c r="F150" s="40" t="s">
        <v>329</v>
      </c>
      <c r="G150" s="40" t="s">
        <v>43</v>
      </c>
      <c r="H150" s="40" t="s">
        <v>45</v>
      </c>
      <c r="I150" s="42">
        <f t="shared" si="4"/>
        <v>46054</v>
      </c>
      <c r="J150" s="62" t="str">
        <f t="shared" si="5"/>
        <v>AVA PEREZ</v>
      </c>
      <c r="K150" s="27"/>
    </row>
    <row r="151" spans="1:11" ht="60" customHeight="1" x14ac:dyDescent="0.25">
      <c r="A151" s="34" t="s">
        <v>328</v>
      </c>
      <c r="B151" s="34" t="s">
        <v>330</v>
      </c>
      <c r="C151" s="34" t="s">
        <v>22</v>
      </c>
      <c r="D151" s="34" t="s">
        <v>23</v>
      </c>
      <c r="E151" s="39">
        <v>77.83</v>
      </c>
      <c r="F151" s="34" t="s">
        <v>331</v>
      </c>
      <c r="G151" s="34" t="s">
        <v>330</v>
      </c>
      <c r="H151" s="34" t="s">
        <v>25</v>
      </c>
      <c r="I151" s="37">
        <f t="shared" si="4"/>
        <v>46054</v>
      </c>
      <c r="J151" s="62" t="str">
        <f t="shared" si="5"/>
        <v>AVA PEREZ</v>
      </c>
      <c r="K151" s="27"/>
    </row>
    <row r="152" spans="1:11" ht="60" customHeight="1" x14ac:dyDescent="0.25">
      <c r="A152" s="40" t="s">
        <v>332</v>
      </c>
      <c r="B152" s="40" t="s">
        <v>53</v>
      </c>
      <c r="C152" s="40" t="s">
        <v>22</v>
      </c>
      <c r="D152" s="40" t="s">
        <v>23</v>
      </c>
      <c r="E152" s="41">
        <v>15</v>
      </c>
      <c r="F152" s="40" t="s">
        <v>333</v>
      </c>
      <c r="G152" s="40" t="s">
        <v>53</v>
      </c>
      <c r="H152" s="40" t="s">
        <v>33</v>
      </c>
      <c r="I152" s="42">
        <f t="shared" si="4"/>
        <v>46023</v>
      </c>
      <c r="J152" s="62" t="str">
        <f t="shared" si="5"/>
        <v>AVA PEREZ</v>
      </c>
      <c r="K152" s="27"/>
    </row>
    <row r="153" spans="1:11" ht="60" customHeight="1" x14ac:dyDescent="0.25">
      <c r="A153" s="34" t="s">
        <v>334</v>
      </c>
      <c r="B153" s="34" t="s">
        <v>21</v>
      </c>
      <c r="C153" s="34" t="s">
        <v>22</v>
      </c>
      <c r="D153" s="34" t="s">
        <v>23</v>
      </c>
      <c r="E153" s="39">
        <v>54.88</v>
      </c>
      <c r="F153" s="34" t="s">
        <v>335</v>
      </c>
      <c r="G153" s="34" t="s">
        <v>21</v>
      </c>
      <c r="H153" s="34" t="s">
        <v>25</v>
      </c>
      <c r="I153" s="37">
        <f t="shared" si="4"/>
        <v>46023</v>
      </c>
      <c r="J153" s="62" t="str">
        <f t="shared" si="5"/>
        <v>AVA PEREZ</v>
      </c>
      <c r="K153" s="27"/>
    </row>
    <row r="154" spans="1:11" ht="60" customHeight="1" x14ac:dyDescent="0.25">
      <c r="A154" s="40" t="s">
        <v>336</v>
      </c>
      <c r="B154" s="40" t="s">
        <v>56</v>
      </c>
      <c r="C154" s="40" t="s">
        <v>3</v>
      </c>
      <c r="D154" s="40" t="s">
        <v>31</v>
      </c>
      <c r="E154" s="41">
        <v>-321.79000000000002</v>
      </c>
      <c r="F154" s="40" t="s">
        <v>57</v>
      </c>
      <c r="G154" s="40" t="s">
        <v>56</v>
      </c>
      <c r="H154" s="40" t="s">
        <v>373</v>
      </c>
      <c r="I154" s="42">
        <f t="shared" si="4"/>
        <v>46023</v>
      </c>
      <c r="J154" s="62" t="str">
        <f t="shared" si="5"/>
        <v>Online AMEX Payment</v>
      </c>
      <c r="K154" s="27"/>
    </row>
    <row r="155" spans="1:11" ht="60" customHeight="1" x14ac:dyDescent="0.25">
      <c r="A155" s="34" t="s">
        <v>336</v>
      </c>
      <c r="B155" s="34" t="s">
        <v>21</v>
      </c>
      <c r="C155" s="34" t="s">
        <v>22</v>
      </c>
      <c r="D155" s="34" t="s">
        <v>23</v>
      </c>
      <c r="E155" s="39">
        <v>93.42</v>
      </c>
      <c r="F155" s="34" t="s">
        <v>337</v>
      </c>
      <c r="G155" s="34" t="s">
        <v>21</v>
      </c>
      <c r="H155" s="34" t="s">
        <v>371</v>
      </c>
      <c r="I155" s="37">
        <f t="shared" si="4"/>
        <v>46023</v>
      </c>
      <c r="J155" s="62" t="str">
        <f t="shared" si="5"/>
        <v>AVA PEREZ</v>
      </c>
      <c r="K155" s="27"/>
    </row>
    <row r="156" spans="1:11" ht="60" customHeight="1" x14ac:dyDescent="0.25">
      <c r="A156" s="40" t="s">
        <v>338</v>
      </c>
      <c r="B156" s="40" t="s">
        <v>339</v>
      </c>
      <c r="C156" s="40" t="s">
        <v>22</v>
      </c>
      <c r="D156" s="40" t="s">
        <v>23</v>
      </c>
      <c r="E156" s="41">
        <v>49.88</v>
      </c>
      <c r="F156" s="40" t="s">
        <v>340</v>
      </c>
      <c r="G156" s="40" t="s">
        <v>339</v>
      </c>
      <c r="H156" s="40" t="s">
        <v>64</v>
      </c>
      <c r="I156" s="42">
        <f t="shared" si="4"/>
        <v>46023</v>
      </c>
      <c r="J156" s="62" t="str">
        <f t="shared" si="5"/>
        <v>AVA PEREZ</v>
      </c>
      <c r="K156" s="27"/>
    </row>
    <row r="157" spans="1:11" ht="60" customHeight="1" x14ac:dyDescent="0.25">
      <c r="A157" s="34" t="s">
        <v>341</v>
      </c>
      <c r="B157" s="34" t="s">
        <v>73</v>
      </c>
      <c r="C157" s="34" t="s">
        <v>3</v>
      </c>
      <c r="D157" s="34" t="s">
        <v>31</v>
      </c>
      <c r="E157" s="39">
        <v>69.989999999999995</v>
      </c>
      <c r="F157" s="34" t="s">
        <v>342</v>
      </c>
      <c r="G157" s="34" t="s">
        <v>73</v>
      </c>
      <c r="H157" s="34" t="s">
        <v>371</v>
      </c>
      <c r="I157" s="37">
        <f t="shared" si="4"/>
        <v>46023</v>
      </c>
      <c r="J157" s="62" t="str">
        <f t="shared" si="5"/>
        <v>DWG-RE Platform (Redirected)</v>
      </c>
      <c r="K157" s="27"/>
    </row>
    <row r="158" spans="1:11" ht="60" customHeight="1" x14ac:dyDescent="0.25">
      <c r="A158" s="40" t="s">
        <v>341</v>
      </c>
      <c r="B158" s="40" t="s">
        <v>26</v>
      </c>
      <c r="C158" s="40" t="s">
        <v>22</v>
      </c>
      <c r="D158" s="40" t="s">
        <v>23</v>
      </c>
      <c r="E158" s="41">
        <v>26.8</v>
      </c>
      <c r="F158" s="40" t="s">
        <v>343</v>
      </c>
      <c r="G158" s="40" t="s">
        <v>26</v>
      </c>
      <c r="H158" s="40" t="s">
        <v>28</v>
      </c>
      <c r="I158" s="42">
        <f t="shared" si="4"/>
        <v>46023</v>
      </c>
      <c r="J158" s="62" t="str">
        <f t="shared" si="5"/>
        <v>AVA PEREZ</v>
      </c>
      <c r="K158" s="27"/>
    </row>
    <row r="159" spans="1:11" ht="60" customHeight="1" x14ac:dyDescent="0.25">
      <c r="A159" s="34" t="s">
        <v>344</v>
      </c>
      <c r="B159" s="34" t="s">
        <v>78</v>
      </c>
      <c r="C159" s="34" t="s">
        <v>3</v>
      </c>
      <c r="D159" s="34" t="s">
        <v>31</v>
      </c>
      <c r="E159" s="39">
        <v>24.99</v>
      </c>
      <c r="F159" s="34" t="s">
        <v>345</v>
      </c>
      <c r="G159" s="34" t="s">
        <v>78</v>
      </c>
      <c r="H159" s="34" t="s">
        <v>374</v>
      </c>
      <c r="I159" s="37">
        <f t="shared" si="4"/>
        <v>46023</v>
      </c>
      <c r="J159" s="62" t="str">
        <f t="shared" si="5"/>
        <v>Family</v>
      </c>
      <c r="K159" s="27"/>
    </row>
    <row r="160" spans="1:11" ht="60" customHeight="1" x14ac:dyDescent="0.25">
      <c r="A160" s="40" t="s">
        <v>346</v>
      </c>
      <c r="B160" s="40" t="s">
        <v>164</v>
      </c>
      <c r="C160" s="40" t="s">
        <v>165</v>
      </c>
      <c r="D160" s="40" t="s">
        <v>166</v>
      </c>
      <c r="E160" s="41">
        <v>60</v>
      </c>
      <c r="F160" s="40" t="s">
        <v>347</v>
      </c>
      <c r="G160" s="40" t="s">
        <v>164</v>
      </c>
      <c r="H160" s="40" t="s">
        <v>64</v>
      </c>
      <c r="I160" s="42">
        <f t="shared" si="4"/>
        <v>46023</v>
      </c>
      <c r="J160" s="62" t="str">
        <f t="shared" si="5"/>
        <v>ANGELA L DUNNING</v>
      </c>
      <c r="K160" s="27"/>
    </row>
    <row r="161" spans="1:11" ht="60" customHeight="1" x14ac:dyDescent="0.25">
      <c r="A161" s="34" t="s">
        <v>348</v>
      </c>
      <c r="B161" s="34" t="s">
        <v>43</v>
      </c>
      <c r="C161" s="34" t="s">
        <v>22</v>
      </c>
      <c r="D161" s="34" t="s">
        <v>23</v>
      </c>
      <c r="E161" s="39">
        <v>19.989999999999998</v>
      </c>
      <c r="F161" s="34" t="s">
        <v>349</v>
      </c>
      <c r="G161" s="34" t="s">
        <v>43</v>
      </c>
      <c r="H161" s="34" t="s">
        <v>45</v>
      </c>
      <c r="I161" s="37">
        <f t="shared" si="4"/>
        <v>46023</v>
      </c>
      <c r="J161" s="62" t="str">
        <f t="shared" si="5"/>
        <v>AVA PEREZ</v>
      </c>
      <c r="K161" s="27"/>
    </row>
    <row r="162" spans="1:11" ht="60" customHeight="1" x14ac:dyDescent="0.25">
      <c r="A162" s="40" t="s">
        <v>348</v>
      </c>
      <c r="B162" s="40" t="s">
        <v>280</v>
      </c>
      <c r="C162" s="40" t="s">
        <v>22</v>
      </c>
      <c r="D162" s="40" t="s">
        <v>23</v>
      </c>
      <c r="E162" s="41">
        <v>14.99</v>
      </c>
      <c r="F162" s="40" t="s">
        <v>350</v>
      </c>
      <c r="G162" s="40" t="s">
        <v>280</v>
      </c>
      <c r="H162" s="40" t="s">
        <v>282</v>
      </c>
      <c r="I162" s="42">
        <f t="shared" si="4"/>
        <v>46023</v>
      </c>
      <c r="J162" s="62" t="str">
        <f t="shared" si="5"/>
        <v>AVA PEREZ</v>
      </c>
      <c r="K162" s="27"/>
    </row>
    <row r="163" spans="1:11" ht="60" customHeight="1" x14ac:dyDescent="0.25">
      <c r="A163" s="34" t="s">
        <v>351</v>
      </c>
      <c r="B163" s="34" t="s">
        <v>21</v>
      </c>
      <c r="C163" s="34" t="s">
        <v>22</v>
      </c>
      <c r="D163" s="34" t="s">
        <v>23</v>
      </c>
      <c r="E163" s="39">
        <v>198.2</v>
      </c>
      <c r="F163" s="34" t="s">
        <v>352</v>
      </c>
      <c r="G163" s="34" t="s">
        <v>21</v>
      </c>
      <c r="H163" s="34" t="s">
        <v>25</v>
      </c>
      <c r="I163" s="37">
        <f t="shared" si="4"/>
        <v>46023</v>
      </c>
      <c r="J163" s="62" t="str">
        <f t="shared" si="5"/>
        <v>AVA PEREZ</v>
      </c>
      <c r="K163" s="27"/>
    </row>
    <row r="164" spans="1:11" ht="60" customHeight="1" x14ac:dyDescent="0.25">
      <c r="A164" s="40" t="s">
        <v>351</v>
      </c>
      <c r="B164" s="40" t="s">
        <v>353</v>
      </c>
      <c r="C164" s="40" t="s">
        <v>22</v>
      </c>
      <c r="D164" s="40" t="s">
        <v>23</v>
      </c>
      <c r="E164" s="41">
        <v>11.99</v>
      </c>
      <c r="F164" s="40" t="s">
        <v>354</v>
      </c>
      <c r="G164" s="40" t="s">
        <v>353</v>
      </c>
      <c r="H164" s="40" t="s">
        <v>102</v>
      </c>
      <c r="I164" s="42">
        <f t="shared" si="4"/>
        <v>46023</v>
      </c>
      <c r="J164" s="62" t="str">
        <f t="shared" si="5"/>
        <v>AVA PEREZ</v>
      </c>
      <c r="K164" s="27"/>
    </row>
    <row r="165" spans="1:11" ht="60" customHeight="1" x14ac:dyDescent="0.25">
      <c r="A165" s="34" t="s">
        <v>355</v>
      </c>
      <c r="B165" s="34" t="s">
        <v>108</v>
      </c>
      <c r="C165" s="34" t="s">
        <v>3</v>
      </c>
      <c r="D165" s="34" t="s">
        <v>31</v>
      </c>
      <c r="E165" s="39">
        <v>29.99</v>
      </c>
      <c r="F165" s="34" t="s">
        <v>356</v>
      </c>
      <c r="G165" s="34" t="s">
        <v>108</v>
      </c>
      <c r="H165" s="34" t="s">
        <v>371</v>
      </c>
      <c r="I165" s="37">
        <f t="shared" si="4"/>
        <v>46023</v>
      </c>
      <c r="J165" s="62" t="str">
        <f t="shared" si="5"/>
        <v>DWG-RE Platform (Redirected)</v>
      </c>
      <c r="K165" s="27"/>
    </row>
    <row r="166" spans="1:11" ht="60" customHeight="1" x14ac:dyDescent="0.25">
      <c r="A166" s="40" t="s">
        <v>355</v>
      </c>
      <c r="B166" s="40" t="s">
        <v>30</v>
      </c>
      <c r="C166" s="40" t="s">
        <v>3</v>
      </c>
      <c r="D166" s="40" t="s">
        <v>31</v>
      </c>
      <c r="E166" s="41">
        <v>219.4</v>
      </c>
      <c r="F166" s="40" t="s">
        <v>357</v>
      </c>
      <c r="G166" s="40" t="s">
        <v>30</v>
      </c>
      <c r="H166" s="40" t="s">
        <v>371</v>
      </c>
      <c r="I166" s="42">
        <f t="shared" si="4"/>
        <v>46023</v>
      </c>
      <c r="J166" s="62" t="str">
        <f t="shared" si="5"/>
        <v>DWG-RE Platform (Redirected)</v>
      </c>
      <c r="K166" s="27"/>
    </row>
    <row r="167" spans="1:11" ht="60" customHeight="1" x14ac:dyDescent="0.25">
      <c r="A167" s="34" t="s">
        <v>358</v>
      </c>
      <c r="B167" s="34" t="s">
        <v>359</v>
      </c>
      <c r="C167" s="34" t="s">
        <v>3</v>
      </c>
      <c r="D167" s="34" t="s">
        <v>31</v>
      </c>
      <c r="E167" s="39">
        <v>54</v>
      </c>
      <c r="F167" s="34" t="s">
        <v>360</v>
      </c>
      <c r="G167" s="34" t="s">
        <v>359</v>
      </c>
      <c r="H167" s="34" t="s">
        <v>371</v>
      </c>
      <c r="I167" s="37">
        <f t="shared" si="4"/>
        <v>46023</v>
      </c>
      <c r="J167" s="62" t="str">
        <f t="shared" si="5"/>
        <v>DWG-RE Platform (Redirected)</v>
      </c>
      <c r="K167" s="27"/>
    </row>
    <row r="168" spans="1:11" ht="60" customHeight="1" x14ac:dyDescent="0.25">
      <c r="A168" s="40" t="s">
        <v>361</v>
      </c>
      <c r="B168" s="40" t="s">
        <v>43</v>
      </c>
      <c r="C168" s="40" t="s">
        <v>22</v>
      </c>
      <c r="D168" s="40" t="s">
        <v>23</v>
      </c>
      <c r="E168" s="41">
        <v>2.99</v>
      </c>
      <c r="F168" s="40" t="s">
        <v>362</v>
      </c>
      <c r="G168" s="40" t="s">
        <v>43</v>
      </c>
      <c r="H168" s="40" t="s">
        <v>45</v>
      </c>
      <c r="I168" s="42">
        <f t="shared" si="4"/>
        <v>46023</v>
      </c>
      <c r="J168" s="62" t="str">
        <f t="shared" si="5"/>
        <v>AVA PEREZ</v>
      </c>
      <c r="K168" s="27"/>
    </row>
    <row r="169" spans="1:11" ht="60" customHeight="1" x14ac:dyDescent="0.25">
      <c r="A169" s="34" t="s">
        <v>363</v>
      </c>
      <c r="B169" s="34" t="s">
        <v>364</v>
      </c>
      <c r="C169" s="34" t="s">
        <v>22</v>
      </c>
      <c r="D169" s="34" t="s">
        <v>23</v>
      </c>
      <c r="E169" s="39">
        <v>195</v>
      </c>
      <c r="F169" s="34" t="s">
        <v>365</v>
      </c>
      <c r="G169" s="34" t="s">
        <v>364</v>
      </c>
      <c r="H169" s="34" t="s">
        <v>366</v>
      </c>
      <c r="I169" s="37">
        <f t="shared" si="4"/>
        <v>46023</v>
      </c>
      <c r="J169" s="62" t="str">
        <f t="shared" si="5"/>
        <v>AVA PEREZ</v>
      </c>
      <c r="K169" s="27"/>
    </row>
    <row r="170" spans="1:11" ht="60" customHeight="1" x14ac:dyDescent="0.25">
      <c r="A170" s="40" t="s">
        <v>367</v>
      </c>
      <c r="B170" s="40" t="s">
        <v>87</v>
      </c>
      <c r="C170" s="40" t="s">
        <v>22</v>
      </c>
      <c r="D170" s="40" t="s">
        <v>23</v>
      </c>
      <c r="E170" s="41">
        <v>276.56</v>
      </c>
      <c r="F170" s="40" t="s">
        <v>368</v>
      </c>
      <c r="G170" s="40" t="s">
        <v>89</v>
      </c>
      <c r="H170" s="40" t="s">
        <v>64</v>
      </c>
      <c r="I170" s="42">
        <f t="shared" si="4"/>
        <v>46023</v>
      </c>
      <c r="J170" s="62" t="str">
        <f t="shared" si="5"/>
        <v>AVA PEREZ</v>
      </c>
      <c r="K170" s="27"/>
    </row>
  </sheetData>
  <conditionalFormatting sqref="A8:J170">
    <cfRule type="expression" priority="1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 Summary 2025</vt:lpstr>
      <vt:lpstr>Monthly Breakdown 2025</vt:lpstr>
      <vt:lpstr>Transaction Details 2025</vt:lpstr>
      <vt:lpstr>Transaction Summary 2026</vt:lpstr>
      <vt:lpstr>Monthly Breakdown 2026</vt:lpstr>
      <vt:lpstr>Transaction Details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Judd Dunning</cp:lastModifiedBy>
  <dcterms:created xsi:type="dcterms:W3CDTF">2026-06-11T23:53:17Z</dcterms:created>
  <dcterms:modified xsi:type="dcterms:W3CDTF">2026-06-29T21:29:17Z</dcterms:modified>
</cp:coreProperties>
</file>