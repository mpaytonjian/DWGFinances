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Z:\Shared\00. Staff Desktops\00. Mike Desktop\10. Full Banking Analysis\American Express_Buckets\3. Poseidon Partners\"/>
    </mc:Choice>
  </mc:AlternateContent>
  <xr:revisionPtr revIDLastSave="0" documentId="13_ncr:1_{B8FA234D-1641-4F17-8C98-CA86DE10FF64}" xr6:coauthVersionLast="47" xr6:coauthVersionMax="47" xr10:uidLastSave="{00000000-0000-0000-0000-000000000000}"/>
  <bookViews>
    <workbookView xWindow="-120" yWindow="-120" windowWidth="29040" windowHeight="15720" xr2:uid="{00000000-000D-0000-FFFF-FFFF00000000}"/>
  </bookViews>
  <sheets>
    <sheet name="Transaction Summary" sheetId="2" r:id="rId1"/>
    <sheet name="Monthly Breakdown" sheetId="3" r:id="rId2"/>
    <sheet name="Transaction Details" sheetId="4" r:id="rId3"/>
    <sheet name="Raw Data" sheetId="1" r:id="rId4"/>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80" i="4" l="1"/>
  <c r="B1880" i="4"/>
  <c r="C1880" i="4"/>
  <c r="D1880" i="4"/>
  <c r="A1881" i="4"/>
  <c r="B1881" i="4"/>
  <c r="C1881" i="4"/>
  <c r="D1881" i="4"/>
  <c r="A1882" i="4"/>
  <c r="B1882" i="4"/>
  <c r="C1882" i="4"/>
  <c r="D1882" i="4"/>
  <c r="A1883" i="4"/>
  <c r="B1883" i="4"/>
  <c r="C1883" i="4"/>
  <c r="D1883" i="4"/>
  <c r="A1884" i="4"/>
  <c r="B1884" i="4"/>
  <c r="C1884" i="4"/>
  <c r="D1884" i="4"/>
  <c r="A1885" i="4"/>
  <c r="B1885" i="4"/>
  <c r="C1885" i="4"/>
  <c r="D1885" i="4"/>
  <c r="A1886" i="4"/>
  <c r="B1886" i="4"/>
  <c r="C1886" i="4"/>
  <c r="D1886" i="4"/>
  <c r="A1887" i="4"/>
  <c r="B1887" i="4"/>
  <c r="C1887" i="4"/>
  <c r="D1887" i="4"/>
  <c r="A1888" i="4"/>
  <c r="B1888" i="4"/>
  <c r="C1888" i="4"/>
  <c r="D1888" i="4"/>
  <c r="A1889" i="4"/>
  <c r="B1889" i="4"/>
  <c r="C1889" i="4"/>
  <c r="D1889" i="4"/>
  <c r="A1890" i="4"/>
  <c r="B1890" i="4"/>
  <c r="C1890" i="4"/>
  <c r="D1890" i="4"/>
  <c r="A1891" i="4"/>
  <c r="B1891" i="4"/>
  <c r="C1891" i="4"/>
  <c r="D1891" i="4"/>
  <c r="A1892" i="4"/>
  <c r="B1892" i="4"/>
  <c r="C1892" i="4"/>
  <c r="D1892" i="4"/>
  <c r="A1893" i="4"/>
  <c r="B1893" i="4"/>
  <c r="C1893" i="4"/>
  <c r="D1893" i="4"/>
  <c r="A1894" i="4"/>
  <c r="B1894" i="4"/>
  <c r="C1894" i="4"/>
  <c r="D1894" i="4"/>
  <c r="A1895" i="4"/>
  <c r="B1895" i="4"/>
  <c r="C1895" i="4"/>
  <c r="D1895" i="4"/>
  <c r="A1896" i="4"/>
  <c r="B1896" i="4"/>
  <c r="C1896" i="4"/>
  <c r="D1896" i="4"/>
  <c r="A1897" i="4"/>
  <c r="B1897" i="4"/>
  <c r="C1897" i="4"/>
  <c r="D1897" i="4"/>
  <c r="A1898" i="4"/>
  <c r="B1898" i="4"/>
  <c r="C1898" i="4"/>
  <c r="D1898" i="4"/>
  <c r="A1899" i="4"/>
  <c r="B1899" i="4"/>
  <c r="C1899" i="4"/>
  <c r="D1899" i="4"/>
  <c r="A1900" i="4"/>
  <c r="B1900" i="4"/>
  <c r="C1900" i="4"/>
  <c r="D1900" i="4"/>
  <c r="A1901" i="4"/>
  <c r="B1901" i="4"/>
  <c r="C1901" i="4"/>
  <c r="D1901" i="4"/>
  <c r="A1902" i="4"/>
  <c r="B1902" i="4"/>
  <c r="C1902" i="4"/>
  <c r="D1902" i="4"/>
  <c r="A1903" i="4"/>
  <c r="B1903" i="4"/>
  <c r="C1903" i="4"/>
  <c r="D1903" i="4"/>
  <c r="A1904" i="4"/>
  <c r="B1904" i="4"/>
  <c r="C1904" i="4"/>
  <c r="D1904" i="4"/>
  <c r="A1905" i="4"/>
  <c r="B1905" i="4"/>
  <c r="C1905" i="4"/>
  <c r="D1905" i="4"/>
  <c r="A1906" i="4"/>
  <c r="B1906" i="4"/>
  <c r="C1906" i="4"/>
  <c r="D1906" i="4"/>
  <c r="A1907" i="4"/>
  <c r="B1907" i="4"/>
  <c r="C1907" i="4"/>
  <c r="D1907" i="4"/>
  <c r="A1908" i="4"/>
  <c r="B1908" i="4"/>
  <c r="C1908" i="4"/>
  <c r="D1908" i="4"/>
  <c r="A1909" i="4"/>
  <c r="B1909" i="4"/>
  <c r="C1909" i="4"/>
  <c r="D1909" i="4"/>
  <c r="A1910" i="4"/>
  <c r="B1910" i="4"/>
  <c r="C1910" i="4"/>
  <c r="D1910" i="4"/>
  <c r="A1911" i="4"/>
  <c r="B1911" i="4"/>
  <c r="C1911" i="4"/>
  <c r="D1911" i="4"/>
  <c r="A1912" i="4"/>
  <c r="B1912" i="4"/>
  <c r="C1912" i="4"/>
  <c r="D1912" i="4"/>
  <c r="A1913" i="4"/>
  <c r="B1913" i="4"/>
  <c r="C1913" i="4"/>
  <c r="D1913" i="4"/>
  <c r="A1914" i="4"/>
  <c r="B1914" i="4"/>
  <c r="C1914" i="4"/>
  <c r="D1914" i="4"/>
  <c r="A1915" i="4"/>
  <c r="B1915" i="4"/>
  <c r="C1915" i="4"/>
  <c r="D1915" i="4"/>
  <c r="A1916" i="4"/>
  <c r="B1916" i="4"/>
  <c r="C1916" i="4"/>
  <c r="D1916" i="4"/>
  <c r="A1917" i="4"/>
  <c r="B1917" i="4"/>
  <c r="C1917" i="4"/>
  <c r="D1917" i="4"/>
  <c r="A1918" i="4"/>
  <c r="B1918" i="4"/>
  <c r="C1918" i="4"/>
  <c r="D1918" i="4"/>
  <c r="A1919" i="4"/>
  <c r="B1919" i="4"/>
  <c r="C1919" i="4"/>
  <c r="D1919" i="4"/>
  <c r="A1920" i="4"/>
  <c r="B1920" i="4"/>
  <c r="C1920" i="4"/>
  <c r="D1920" i="4"/>
  <c r="A1921" i="4"/>
  <c r="B1921" i="4"/>
  <c r="C1921" i="4"/>
  <c r="D1921" i="4"/>
  <c r="A1922" i="4"/>
  <c r="B1922" i="4"/>
  <c r="C1922" i="4"/>
  <c r="D1922" i="4"/>
  <c r="A1923" i="4"/>
  <c r="B1923" i="4"/>
  <c r="C1923" i="4"/>
  <c r="D1923" i="4"/>
  <c r="A1924" i="4"/>
  <c r="B1924" i="4"/>
  <c r="C1924" i="4"/>
  <c r="D1924" i="4"/>
  <c r="A1925" i="4"/>
  <c r="B1925" i="4"/>
  <c r="C1925" i="4"/>
  <c r="D1925" i="4"/>
  <c r="A1926" i="4"/>
  <c r="B1926" i="4"/>
  <c r="C1926" i="4"/>
  <c r="D1926" i="4"/>
  <c r="A1927" i="4"/>
  <c r="B1927" i="4"/>
  <c r="C1927" i="4"/>
  <c r="D1927" i="4"/>
  <c r="A1928" i="4"/>
  <c r="B1928" i="4"/>
  <c r="C1928" i="4"/>
  <c r="D1928" i="4"/>
  <c r="A1929" i="4"/>
  <c r="B1929" i="4"/>
  <c r="C1929" i="4"/>
  <c r="D1929" i="4"/>
  <c r="A1930" i="4"/>
  <c r="B1930" i="4"/>
  <c r="C1930" i="4"/>
  <c r="D1930" i="4"/>
  <c r="A1931" i="4"/>
  <c r="B1931" i="4"/>
  <c r="C1931" i="4"/>
  <c r="D1931" i="4"/>
  <c r="A1932" i="4"/>
  <c r="B1932" i="4"/>
  <c r="C1932" i="4"/>
  <c r="D1932" i="4"/>
  <c r="A1933" i="4"/>
  <c r="B1933" i="4"/>
  <c r="C1933" i="4"/>
  <c r="D1933" i="4"/>
  <c r="A1934" i="4"/>
  <c r="B1934" i="4"/>
  <c r="C1934" i="4"/>
  <c r="D1934" i="4"/>
  <c r="A1935" i="4"/>
  <c r="B1935" i="4"/>
  <c r="C1935" i="4"/>
  <c r="D1935" i="4"/>
  <c r="A1936" i="4"/>
  <c r="B1936" i="4"/>
  <c r="C1936" i="4"/>
  <c r="D1936" i="4"/>
  <c r="A1937" i="4"/>
  <c r="B1937" i="4"/>
  <c r="C1937" i="4"/>
  <c r="D1937" i="4"/>
  <c r="A1938" i="4"/>
  <c r="B1938" i="4"/>
  <c r="C1938" i="4"/>
  <c r="D1938" i="4"/>
  <c r="A1939" i="4"/>
  <c r="B1939" i="4"/>
  <c r="C1939" i="4"/>
  <c r="D1939" i="4"/>
  <c r="A1940" i="4"/>
  <c r="B1940" i="4"/>
  <c r="C1940" i="4"/>
  <c r="D1940" i="4"/>
  <c r="A1941" i="4"/>
  <c r="B1941" i="4"/>
  <c r="C1941" i="4"/>
  <c r="D1941" i="4"/>
  <c r="A1942" i="4"/>
  <c r="B1942" i="4"/>
  <c r="C1942" i="4"/>
  <c r="D1942" i="4"/>
  <c r="A1943" i="4"/>
  <c r="B1943" i="4"/>
  <c r="C1943" i="4"/>
  <c r="D1943" i="4"/>
  <c r="A1944" i="4"/>
  <c r="B1944" i="4"/>
  <c r="C1944" i="4"/>
  <c r="D1944" i="4"/>
  <c r="A1945" i="4"/>
  <c r="B1945" i="4"/>
  <c r="C1945" i="4"/>
  <c r="D1945" i="4"/>
  <c r="A1946" i="4"/>
  <c r="B1946" i="4"/>
  <c r="C1946" i="4"/>
  <c r="D1946" i="4"/>
  <c r="A1947" i="4"/>
  <c r="B1947" i="4"/>
  <c r="C1947" i="4"/>
  <c r="D1947" i="4"/>
  <c r="A1948" i="4"/>
  <c r="B1948" i="4"/>
  <c r="C1948" i="4"/>
  <c r="D1948" i="4"/>
  <c r="A1949" i="4"/>
  <c r="B1949" i="4"/>
  <c r="C1949" i="4"/>
  <c r="D1949" i="4"/>
  <c r="A1950" i="4"/>
  <c r="B1950" i="4"/>
  <c r="C1950" i="4"/>
  <c r="D1950" i="4"/>
  <c r="A1951" i="4"/>
  <c r="B1951" i="4"/>
  <c r="C1951" i="4"/>
  <c r="D1951" i="4"/>
  <c r="A1952" i="4"/>
  <c r="B1952" i="4"/>
  <c r="C1952" i="4"/>
  <c r="D1952" i="4"/>
  <c r="A1953" i="4"/>
  <c r="B1953" i="4"/>
  <c r="C1953" i="4"/>
  <c r="D1953" i="4"/>
  <c r="A1954" i="4"/>
  <c r="B1954" i="4"/>
  <c r="C1954" i="4"/>
  <c r="D1954" i="4"/>
  <c r="A1955" i="4"/>
  <c r="B1955" i="4"/>
  <c r="C1955" i="4"/>
  <c r="D1955" i="4"/>
  <c r="A1956" i="4"/>
  <c r="B1956" i="4"/>
  <c r="C1956" i="4"/>
  <c r="D1956" i="4"/>
  <c r="A1957" i="4"/>
  <c r="B1957" i="4"/>
  <c r="C1957" i="4"/>
  <c r="D1957" i="4"/>
  <c r="A1958" i="4"/>
  <c r="B1958" i="4"/>
  <c r="C1958" i="4"/>
  <c r="D1958" i="4"/>
  <c r="A1959" i="4"/>
  <c r="B1959" i="4"/>
  <c r="C1959" i="4"/>
  <c r="D1959" i="4"/>
  <c r="A1960" i="4"/>
  <c r="B1960" i="4"/>
  <c r="C1960" i="4"/>
  <c r="D1960" i="4"/>
  <c r="A1961" i="4"/>
  <c r="B1961" i="4"/>
  <c r="C1961" i="4"/>
  <c r="D1961" i="4"/>
  <c r="A1962" i="4"/>
  <c r="B1962" i="4"/>
  <c r="C1962" i="4"/>
  <c r="D1962" i="4"/>
  <c r="A1963" i="4"/>
  <c r="B1963" i="4"/>
  <c r="C1963" i="4"/>
  <c r="D1963" i="4"/>
  <c r="A1964" i="4"/>
  <c r="B1964" i="4"/>
  <c r="C1964" i="4"/>
  <c r="D1964" i="4"/>
  <c r="A1965" i="4"/>
  <c r="B1965" i="4"/>
  <c r="C1965" i="4"/>
  <c r="D1965" i="4"/>
  <c r="A1966" i="4"/>
  <c r="B1966" i="4"/>
  <c r="C1966" i="4"/>
  <c r="D1966" i="4"/>
  <c r="A1967" i="4"/>
  <c r="B1967" i="4"/>
  <c r="C1967" i="4"/>
  <c r="D1967" i="4"/>
  <c r="A1968" i="4"/>
  <c r="B1968" i="4"/>
  <c r="C1968" i="4"/>
  <c r="D1968" i="4"/>
  <c r="A1969" i="4"/>
  <c r="B1969" i="4"/>
  <c r="C1969" i="4"/>
  <c r="D1969" i="4"/>
  <c r="A1970" i="4"/>
  <c r="B1970" i="4"/>
  <c r="C1970" i="4"/>
  <c r="D1970" i="4"/>
  <c r="A1971" i="4"/>
  <c r="B1971" i="4"/>
  <c r="C1971" i="4"/>
  <c r="D1971" i="4"/>
  <c r="A1972" i="4"/>
  <c r="B1972" i="4"/>
  <c r="C1972" i="4"/>
  <c r="D1972" i="4"/>
  <c r="A1973" i="4"/>
  <c r="B1973" i="4"/>
  <c r="C1973" i="4"/>
  <c r="D1973" i="4"/>
  <c r="A1974" i="4"/>
  <c r="B1974" i="4"/>
  <c r="C1974" i="4"/>
  <c r="D1974" i="4"/>
  <c r="A1975" i="4"/>
  <c r="B1975" i="4"/>
  <c r="C1975" i="4"/>
  <c r="D1975" i="4"/>
  <c r="A1976" i="4"/>
  <c r="B1976" i="4"/>
  <c r="C1976" i="4"/>
  <c r="D1976" i="4"/>
  <c r="A1977" i="4"/>
  <c r="B1977" i="4"/>
  <c r="C1977" i="4"/>
  <c r="D1977" i="4"/>
  <c r="A1978" i="4"/>
  <c r="B1978" i="4"/>
  <c r="C1978" i="4"/>
  <c r="D1978" i="4"/>
  <c r="A1979" i="4"/>
  <c r="B1979" i="4"/>
  <c r="C1979" i="4"/>
  <c r="D1979" i="4"/>
  <c r="A1980" i="4"/>
  <c r="B1980" i="4"/>
  <c r="C1980" i="4"/>
  <c r="D1980" i="4"/>
  <c r="A1981" i="4"/>
  <c r="B1981" i="4"/>
  <c r="C1981" i="4"/>
  <c r="D1981" i="4"/>
  <c r="A1982" i="4"/>
  <c r="B1982" i="4"/>
  <c r="C1982" i="4"/>
  <c r="D1982" i="4"/>
  <c r="A1983" i="4"/>
  <c r="B1983" i="4"/>
  <c r="C1983" i="4"/>
  <c r="D1983" i="4"/>
  <c r="A1984" i="4"/>
  <c r="B1984" i="4"/>
  <c r="C1984" i="4"/>
  <c r="D1984" i="4"/>
  <c r="A1985" i="4"/>
  <c r="B1985" i="4"/>
  <c r="C1985" i="4"/>
  <c r="D1985" i="4"/>
  <c r="A1986" i="4"/>
  <c r="B1986" i="4"/>
  <c r="C1986" i="4"/>
  <c r="D1986" i="4"/>
  <c r="A1987" i="4"/>
  <c r="B1987" i="4"/>
  <c r="C1987" i="4"/>
  <c r="D1987" i="4"/>
  <c r="A1988" i="4"/>
  <c r="B1988" i="4"/>
  <c r="C1988" i="4"/>
  <c r="D1988" i="4"/>
  <c r="A1989" i="4"/>
  <c r="B1989" i="4"/>
  <c r="C1989" i="4"/>
  <c r="D1989" i="4"/>
  <c r="A1990" i="4"/>
  <c r="B1990" i="4"/>
  <c r="C1990" i="4"/>
  <c r="D1990" i="4"/>
  <c r="A1991" i="4"/>
  <c r="B1991" i="4"/>
  <c r="C1991" i="4"/>
  <c r="D1991" i="4"/>
  <c r="A1992" i="4"/>
  <c r="B1992" i="4"/>
  <c r="C1992" i="4"/>
  <c r="D1992" i="4"/>
  <c r="A1993" i="4"/>
  <c r="B1993" i="4"/>
  <c r="C1993" i="4"/>
  <c r="D1993" i="4"/>
  <c r="A1994" i="4"/>
  <c r="B1994" i="4"/>
  <c r="C1994" i="4"/>
  <c r="D1994" i="4"/>
  <c r="A1995" i="4"/>
  <c r="B1995" i="4"/>
  <c r="C1995" i="4"/>
  <c r="D1995" i="4"/>
  <c r="A1996" i="4"/>
  <c r="B1996" i="4"/>
  <c r="C1996" i="4"/>
  <c r="D1996" i="4"/>
  <c r="A1997" i="4"/>
  <c r="B1997" i="4"/>
  <c r="C1997" i="4"/>
  <c r="D1997" i="4"/>
  <c r="A1998" i="4"/>
  <c r="B1998" i="4"/>
  <c r="C1998" i="4"/>
  <c r="D1998" i="4"/>
  <c r="A1999" i="4"/>
  <c r="B1999" i="4"/>
  <c r="C1999" i="4"/>
  <c r="D1999" i="4"/>
  <c r="A2000" i="4"/>
  <c r="B2000" i="4"/>
  <c r="C2000" i="4"/>
  <c r="D2000" i="4"/>
  <c r="A2001" i="4"/>
  <c r="B2001" i="4"/>
  <c r="C2001" i="4"/>
  <c r="D2001" i="4"/>
  <c r="A2002" i="4"/>
  <c r="B2002" i="4"/>
  <c r="C2002" i="4"/>
  <c r="D2002" i="4"/>
  <c r="A2003" i="4"/>
  <c r="B2003" i="4"/>
  <c r="C2003" i="4"/>
  <c r="D2003" i="4"/>
  <c r="A2004" i="4"/>
  <c r="B2004" i="4"/>
  <c r="C2004" i="4"/>
  <c r="D2004" i="4"/>
  <c r="A2005" i="4"/>
  <c r="B2005" i="4"/>
  <c r="C2005" i="4"/>
  <c r="D2005" i="4"/>
  <c r="A2006" i="4"/>
  <c r="B2006" i="4"/>
  <c r="C2006" i="4"/>
  <c r="D2006" i="4"/>
  <c r="A2007" i="4"/>
  <c r="B2007" i="4"/>
  <c r="C2007" i="4"/>
  <c r="D2007" i="4"/>
  <c r="A2008" i="4"/>
  <c r="B2008" i="4"/>
  <c r="C2008" i="4"/>
  <c r="D2008" i="4"/>
  <c r="A2009" i="4"/>
  <c r="B2009" i="4"/>
  <c r="C2009" i="4"/>
  <c r="D2009" i="4"/>
  <c r="A2010" i="4"/>
  <c r="B2010" i="4"/>
  <c r="C2010" i="4"/>
  <c r="D2010" i="4"/>
  <c r="A2011" i="4"/>
  <c r="B2011" i="4"/>
  <c r="C2011" i="4"/>
  <c r="D2011" i="4"/>
  <c r="A2012" i="4"/>
  <c r="B2012" i="4"/>
  <c r="C2012" i="4"/>
  <c r="D2012" i="4"/>
  <c r="A2013" i="4"/>
  <c r="B2013" i="4"/>
  <c r="C2013" i="4"/>
  <c r="D2013" i="4"/>
  <c r="A2014" i="4"/>
  <c r="B2014" i="4"/>
  <c r="C2014" i="4"/>
  <c r="D2014" i="4"/>
  <c r="A2015" i="4"/>
  <c r="B2015" i="4"/>
  <c r="C2015" i="4"/>
  <c r="D2015" i="4"/>
  <c r="A2016" i="4"/>
  <c r="B2016" i="4"/>
  <c r="C2016" i="4"/>
  <c r="D2016" i="4"/>
  <c r="A2017" i="4"/>
  <c r="B2017" i="4"/>
  <c r="C2017" i="4"/>
  <c r="D2017" i="4"/>
  <c r="A2018" i="4"/>
  <c r="B2018" i="4"/>
  <c r="C2018" i="4"/>
  <c r="D2018" i="4"/>
  <c r="A2019" i="4"/>
  <c r="B2019" i="4"/>
  <c r="C2019" i="4"/>
  <c r="D2019" i="4"/>
  <c r="A2020" i="4"/>
  <c r="B2020" i="4"/>
  <c r="C2020" i="4"/>
  <c r="D2020" i="4"/>
  <c r="A2021" i="4"/>
  <c r="B2021" i="4"/>
  <c r="C2021" i="4"/>
  <c r="D2021" i="4"/>
  <c r="A2022" i="4"/>
  <c r="B2022" i="4"/>
  <c r="C2022" i="4"/>
  <c r="D2022" i="4"/>
  <c r="A2023" i="4"/>
  <c r="B2023" i="4"/>
  <c r="C2023" i="4"/>
  <c r="D2023" i="4"/>
  <c r="A2024" i="4"/>
  <c r="B2024" i="4"/>
  <c r="C2024" i="4"/>
  <c r="D2024" i="4"/>
  <c r="A2025" i="4"/>
  <c r="B2025" i="4"/>
  <c r="C2025" i="4"/>
  <c r="D2025" i="4"/>
  <c r="A2026" i="4"/>
  <c r="B2026" i="4"/>
  <c r="C2026" i="4"/>
  <c r="D2026" i="4"/>
  <c r="A2027" i="4"/>
  <c r="B2027" i="4"/>
  <c r="C2027" i="4"/>
  <c r="D2027" i="4"/>
  <c r="A2028" i="4"/>
  <c r="B2028" i="4"/>
  <c r="C2028" i="4"/>
  <c r="D2028" i="4"/>
  <c r="A2029" i="4"/>
  <c r="B2029" i="4"/>
  <c r="C2029" i="4"/>
  <c r="D2029" i="4"/>
  <c r="A2030" i="4"/>
  <c r="B2030" i="4"/>
  <c r="C2030" i="4"/>
  <c r="D2030" i="4"/>
  <c r="A2031" i="4"/>
  <c r="B2031" i="4"/>
  <c r="C2031" i="4"/>
  <c r="D2031" i="4"/>
  <c r="A2032" i="4"/>
  <c r="B2032" i="4"/>
  <c r="C2032" i="4"/>
  <c r="D2032" i="4"/>
  <c r="A2033" i="4"/>
  <c r="B2033" i="4"/>
  <c r="C2033" i="4"/>
  <c r="D2033" i="4"/>
  <c r="A2034" i="4"/>
  <c r="B2034" i="4"/>
  <c r="C2034" i="4"/>
  <c r="D2034" i="4"/>
  <c r="A2035" i="4"/>
  <c r="B2035" i="4"/>
  <c r="C2035" i="4"/>
  <c r="D2035" i="4"/>
  <c r="A2036" i="4"/>
  <c r="B2036" i="4"/>
  <c r="C2036" i="4"/>
  <c r="D2036" i="4"/>
  <c r="A2037" i="4"/>
  <c r="B2037" i="4"/>
  <c r="C2037" i="4"/>
  <c r="D2037" i="4"/>
  <c r="A2038" i="4"/>
  <c r="B2038" i="4"/>
  <c r="C2038" i="4"/>
  <c r="D2038" i="4"/>
  <c r="A2039" i="4"/>
  <c r="B2039" i="4"/>
  <c r="C2039" i="4"/>
  <c r="D2039" i="4"/>
  <c r="A2040" i="4"/>
  <c r="B2040" i="4"/>
  <c r="C2040" i="4"/>
  <c r="D2040" i="4"/>
  <c r="A2041" i="4"/>
  <c r="B2041" i="4"/>
  <c r="C2041" i="4"/>
  <c r="D2041" i="4"/>
  <c r="A2042" i="4"/>
  <c r="B2042" i="4"/>
  <c r="C2042" i="4"/>
  <c r="D2042" i="4"/>
  <c r="A2043" i="4"/>
  <c r="B2043" i="4"/>
  <c r="C2043" i="4"/>
  <c r="D2043" i="4"/>
  <c r="A2044" i="4"/>
  <c r="B2044" i="4"/>
  <c r="C2044" i="4"/>
  <c r="D2044" i="4"/>
  <c r="A2045" i="4"/>
  <c r="B2045" i="4"/>
  <c r="C2045" i="4"/>
  <c r="D2045" i="4"/>
  <c r="A2046" i="4"/>
  <c r="B2046" i="4"/>
  <c r="C2046" i="4"/>
  <c r="D2046" i="4"/>
  <c r="A2047" i="4"/>
  <c r="B2047" i="4"/>
  <c r="C2047" i="4"/>
  <c r="D2047" i="4"/>
  <c r="A2048" i="4"/>
  <c r="B2048" i="4"/>
  <c r="C2048" i="4"/>
  <c r="D2048" i="4"/>
  <c r="A2049" i="4"/>
  <c r="B2049" i="4"/>
  <c r="C2049" i="4"/>
  <c r="D2049" i="4"/>
  <c r="A1505" i="4"/>
  <c r="B1505" i="4"/>
  <c r="C1505" i="4"/>
  <c r="D1505" i="4"/>
  <c r="A1506" i="4"/>
  <c r="B1506" i="4"/>
  <c r="C1506" i="4"/>
  <c r="D1506" i="4"/>
  <c r="A1507" i="4"/>
  <c r="B1507" i="4"/>
  <c r="C1507" i="4"/>
  <c r="D1507" i="4"/>
  <c r="A1508" i="4"/>
  <c r="B1508" i="4"/>
  <c r="C1508" i="4"/>
  <c r="D1508" i="4"/>
  <c r="A1509" i="4"/>
  <c r="B1509" i="4"/>
  <c r="C1509" i="4"/>
  <c r="D1509" i="4"/>
  <c r="A1510" i="4"/>
  <c r="B1510" i="4"/>
  <c r="C1510" i="4"/>
  <c r="D1510" i="4"/>
  <c r="A1511" i="4"/>
  <c r="B1511" i="4"/>
  <c r="C1511" i="4"/>
  <c r="D1511" i="4"/>
  <c r="A1512" i="4"/>
  <c r="B1512" i="4"/>
  <c r="C1512" i="4"/>
  <c r="D1512" i="4"/>
  <c r="A1513" i="4"/>
  <c r="B1513" i="4"/>
  <c r="C1513" i="4"/>
  <c r="D1513" i="4"/>
  <c r="A1514" i="4"/>
  <c r="B1514" i="4"/>
  <c r="C1514" i="4"/>
  <c r="D1514" i="4"/>
  <c r="A1515" i="4"/>
  <c r="B1515" i="4"/>
  <c r="C1515" i="4"/>
  <c r="D1515" i="4"/>
  <c r="A1516" i="4"/>
  <c r="B1516" i="4"/>
  <c r="C1516" i="4"/>
  <c r="D1516" i="4"/>
  <c r="A1517" i="4"/>
  <c r="B1517" i="4"/>
  <c r="C1517" i="4"/>
  <c r="D1517" i="4"/>
  <c r="A1518" i="4"/>
  <c r="B1518" i="4"/>
  <c r="C1518" i="4"/>
  <c r="D1518" i="4"/>
  <c r="A1519" i="4"/>
  <c r="B1519" i="4"/>
  <c r="C1519" i="4"/>
  <c r="D1519" i="4"/>
  <c r="A1520" i="4"/>
  <c r="B1520" i="4"/>
  <c r="C1520" i="4"/>
  <c r="D1520" i="4"/>
  <c r="A1521" i="4"/>
  <c r="B1521" i="4"/>
  <c r="C1521" i="4"/>
  <c r="D1521" i="4"/>
  <c r="A1522" i="4"/>
  <c r="B1522" i="4"/>
  <c r="C1522" i="4"/>
  <c r="D1522" i="4"/>
  <c r="A1523" i="4"/>
  <c r="B1523" i="4"/>
  <c r="C1523" i="4"/>
  <c r="D1523" i="4"/>
  <c r="A1524" i="4"/>
  <c r="B1524" i="4"/>
  <c r="C1524" i="4"/>
  <c r="D1524" i="4"/>
  <c r="A1525" i="4"/>
  <c r="B1525" i="4"/>
  <c r="C1525" i="4"/>
  <c r="D1525" i="4"/>
  <c r="A1526" i="4"/>
  <c r="B1526" i="4"/>
  <c r="C1526" i="4"/>
  <c r="D1526" i="4"/>
  <c r="A1527" i="4"/>
  <c r="B1527" i="4"/>
  <c r="C1527" i="4"/>
  <c r="D1527" i="4"/>
  <c r="A1528" i="4"/>
  <c r="B1528" i="4"/>
  <c r="C1528" i="4"/>
  <c r="D1528" i="4"/>
  <c r="A1529" i="4"/>
  <c r="B1529" i="4"/>
  <c r="C1529" i="4"/>
  <c r="D1529" i="4"/>
  <c r="A1530" i="4"/>
  <c r="B1530" i="4"/>
  <c r="C1530" i="4"/>
  <c r="D1530" i="4"/>
  <c r="A1531" i="4"/>
  <c r="B1531" i="4"/>
  <c r="C1531" i="4"/>
  <c r="D1531" i="4"/>
  <c r="A1532" i="4"/>
  <c r="B1532" i="4"/>
  <c r="C1532" i="4"/>
  <c r="D1532" i="4"/>
  <c r="A1533" i="4"/>
  <c r="B1533" i="4"/>
  <c r="C1533" i="4"/>
  <c r="D1533" i="4"/>
  <c r="A1534" i="4"/>
  <c r="B1534" i="4"/>
  <c r="C1534" i="4"/>
  <c r="D1534" i="4"/>
  <c r="A1535" i="4"/>
  <c r="B1535" i="4"/>
  <c r="C1535" i="4"/>
  <c r="D1535" i="4"/>
  <c r="A1536" i="4"/>
  <c r="B1536" i="4"/>
  <c r="C1536" i="4"/>
  <c r="D1536" i="4"/>
  <c r="A1537" i="4"/>
  <c r="B1537" i="4"/>
  <c r="C1537" i="4"/>
  <c r="D1537" i="4"/>
  <c r="A1538" i="4"/>
  <c r="B1538" i="4"/>
  <c r="C1538" i="4"/>
  <c r="D1538" i="4"/>
  <c r="A1539" i="4"/>
  <c r="B1539" i="4"/>
  <c r="C1539" i="4"/>
  <c r="D1539" i="4"/>
  <c r="A1540" i="4"/>
  <c r="B1540" i="4"/>
  <c r="C1540" i="4"/>
  <c r="D1540" i="4"/>
  <c r="A1541" i="4"/>
  <c r="B1541" i="4"/>
  <c r="C1541" i="4"/>
  <c r="D1541" i="4"/>
  <c r="A1542" i="4"/>
  <c r="B1542" i="4"/>
  <c r="C1542" i="4"/>
  <c r="D1542" i="4"/>
  <c r="A1543" i="4"/>
  <c r="B1543" i="4"/>
  <c r="C1543" i="4"/>
  <c r="D1543" i="4"/>
  <c r="A1544" i="4"/>
  <c r="B1544" i="4"/>
  <c r="C1544" i="4"/>
  <c r="D1544" i="4"/>
  <c r="A1545" i="4"/>
  <c r="B1545" i="4"/>
  <c r="C1545" i="4"/>
  <c r="D1545" i="4"/>
  <c r="A1546" i="4"/>
  <c r="B1546" i="4"/>
  <c r="C1546" i="4"/>
  <c r="D1546" i="4"/>
  <c r="A1547" i="4"/>
  <c r="B1547" i="4"/>
  <c r="C1547" i="4"/>
  <c r="D1547" i="4"/>
  <c r="A1548" i="4"/>
  <c r="B1548" i="4"/>
  <c r="C1548" i="4"/>
  <c r="D1548" i="4"/>
  <c r="A1549" i="4"/>
  <c r="B1549" i="4"/>
  <c r="C1549" i="4"/>
  <c r="D1549" i="4"/>
  <c r="A1550" i="4"/>
  <c r="B1550" i="4"/>
  <c r="C1550" i="4"/>
  <c r="D1550" i="4"/>
  <c r="A1551" i="4"/>
  <c r="B1551" i="4"/>
  <c r="C1551" i="4"/>
  <c r="D1551" i="4"/>
  <c r="A1552" i="4"/>
  <c r="B1552" i="4"/>
  <c r="C1552" i="4"/>
  <c r="D1552" i="4"/>
  <c r="A1553" i="4"/>
  <c r="B1553" i="4"/>
  <c r="C1553" i="4"/>
  <c r="D1553" i="4"/>
  <c r="A1554" i="4"/>
  <c r="B1554" i="4"/>
  <c r="C1554" i="4"/>
  <c r="D1554" i="4"/>
  <c r="A1555" i="4"/>
  <c r="B1555" i="4"/>
  <c r="C1555" i="4"/>
  <c r="D1555" i="4"/>
  <c r="A1556" i="4"/>
  <c r="B1556" i="4"/>
  <c r="C1556" i="4"/>
  <c r="D1556" i="4"/>
  <c r="A1557" i="4"/>
  <c r="B1557" i="4"/>
  <c r="C1557" i="4"/>
  <c r="D1557" i="4"/>
  <c r="A1558" i="4"/>
  <c r="B1558" i="4"/>
  <c r="C1558" i="4"/>
  <c r="D1558" i="4"/>
  <c r="A1559" i="4"/>
  <c r="B1559" i="4"/>
  <c r="C1559" i="4"/>
  <c r="D1559" i="4"/>
  <c r="A1560" i="4"/>
  <c r="B1560" i="4"/>
  <c r="C1560" i="4"/>
  <c r="D1560" i="4"/>
  <c r="A1561" i="4"/>
  <c r="B1561" i="4"/>
  <c r="C1561" i="4"/>
  <c r="D1561" i="4"/>
  <c r="A1562" i="4"/>
  <c r="B1562" i="4"/>
  <c r="C1562" i="4"/>
  <c r="D1562" i="4"/>
  <c r="A1563" i="4"/>
  <c r="B1563" i="4"/>
  <c r="C1563" i="4"/>
  <c r="D1563" i="4"/>
  <c r="A1564" i="4"/>
  <c r="B1564" i="4"/>
  <c r="C1564" i="4"/>
  <c r="D1564" i="4"/>
  <c r="A1565" i="4"/>
  <c r="B1565" i="4"/>
  <c r="C1565" i="4"/>
  <c r="D1565" i="4"/>
  <c r="A1566" i="4"/>
  <c r="B1566" i="4"/>
  <c r="C1566" i="4"/>
  <c r="D1566" i="4"/>
  <c r="A1567" i="4"/>
  <c r="B1567" i="4"/>
  <c r="C1567" i="4"/>
  <c r="D1567" i="4"/>
  <c r="A1568" i="4"/>
  <c r="B1568" i="4"/>
  <c r="C1568" i="4"/>
  <c r="D1568" i="4"/>
  <c r="A1569" i="4"/>
  <c r="B1569" i="4"/>
  <c r="C1569" i="4"/>
  <c r="D1569" i="4"/>
  <c r="A1570" i="4"/>
  <c r="B1570" i="4"/>
  <c r="C1570" i="4"/>
  <c r="D1570" i="4"/>
  <c r="A1571" i="4"/>
  <c r="B1571" i="4"/>
  <c r="C1571" i="4"/>
  <c r="D1571" i="4"/>
  <c r="A1572" i="4"/>
  <c r="B1572" i="4"/>
  <c r="C1572" i="4"/>
  <c r="D1572" i="4"/>
  <c r="A1573" i="4"/>
  <c r="B1573" i="4"/>
  <c r="C1573" i="4"/>
  <c r="D1573" i="4"/>
  <c r="A1574" i="4"/>
  <c r="B1574" i="4"/>
  <c r="C1574" i="4"/>
  <c r="D1574" i="4"/>
  <c r="A1575" i="4"/>
  <c r="B1575" i="4"/>
  <c r="C1575" i="4"/>
  <c r="D1575" i="4"/>
  <c r="A1576" i="4"/>
  <c r="B1576" i="4"/>
  <c r="C1576" i="4"/>
  <c r="D1576" i="4"/>
  <c r="A1577" i="4"/>
  <c r="B1577" i="4"/>
  <c r="C1577" i="4"/>
  <c r="D1577" i="4"/>
  <c r="A1578" i="4"/>
  <c r="B1578" i="4"/>
  <c r="C1578" i="4"/>
  <c r="D1578" i="4"/>
  <c r="A1579" i="4"/>
  <c r="B1579" i="4"/>
  <c r="C1579" i="4"/>
  <c r="D1579" i="4"/>
  <c r="A1580" i="4"/>
  <c r="B1580" i="4"/>
  <c r="C1580" i="4"/>
  <c r="D1580" i="4"/>
  <c r="A1581" i="4"/>
  <c r="B1581" i="4"/>
  <c r="C1581" i="4"/>
  <c r="D1581" i="4"/>
  <c r="A1582" i="4"/>
  <c r="B1582" i="4"/>
  <c r="C1582" i="4"/>
  <c r="D1582" i="4"/>
  <c r="A1583" i="4"/>
  <c r="B1583" i="4"/>
  <c r="C1583" i="4"/>
  <c r="D1583" i="4"/>
  <c r="A1584" i="4"/>
  <c r="B1584" i="4"/>
  <c r="C1584" i="4"/>
  <c r="D1584" i="4"/>
  <c r="A1585" i="4"/>
  <c r="B1585" i="4"/>
  <c r="C1585" i="4"/>
  <c r="D1585" i="4"/>
  <c r="A1586" i="4"/>
  <c r="B1586" i="4"/>
  <c r="C1586" i="4"/>
  <c r="D1586" i="4"/>
  <c r="A1587" i="4"/>
  <c r="B1587" i="4"/>
  <c r="C1587" i="4"/>
  <c r="D1587" i="4"/>
  <c r="A1588" i="4"/>
  <c r="B1588" i="4"/>
  <c r="C1588" i="4"/>
  <c r="D1588" i="4"/>
  <c r="A1589" i="4"/>
  <c r="B1589" i="4"/>
  <c r="C1589" i="4"/>
  <c r="D1589" i="4"/>
  <c r="A1590" i="4"/>
  <c r="B1590" i="4"/>
  <c r="C1590" i="4"/>
  <c r="D1590" i="4"/>
  <c r="A1591" i="4"/>
  <c r="B1591" i="4"/>
  <c r="C1591" i="4"/>
  <c r="D1591" i="4"/>
  <c r="A1592" i="4"/>
  <c r="B1592" i="4"/>
  <c r="C1592" i="4"/>
  <c r="D1592" i="4"/>
  <c r="A1593" i="4"/>
  <c r="B1593" i="4"/>
  <c r="C1593" i="4"/>
  <c r="D1593" i="4"/>
  <c r="A1594" i="4"/>
  <c r="B1594" i="4"/>
  <c r="C1594" i="4"/>
  <c r="D1594" i="4"/>
  <c r="A1595" i="4"/>
  <c r="B1595" i="4"/>
  <c r="C1595" i="4"/>
  <c r="D1595" i="4"/>
  <c r="A1596" i="4"/>
  <c r="B1596" i="4"/>
  <c r="C1596" i="4"/>
  <c r="D1596" i="4"/>
  <c r="A1597" i="4"/>
  <c r="B1597" i="4"/>
  <c r="C1597" i="4"/>
  <c r="D1597" i="4"/>
  <c r="A1598" i="4"/>
  <c r="B1598" i="4"/>
  <c r="C1598" i="4"/>
  <c r="D1598" i="4"/>
  <c r="A1599" i="4"/>
  <c r="B1599" i="4"/>
  <c r="C1599" i="4"/>
  <c r="D1599" i="4"/>
  <c r="A1600" i="4"/>
  <c r="B1600" i="4"/>
  <c r="C1600" i="4"/>
  <c r="D1600" i="4"/>
  <c r="A1601" i="4"/>
  <c r="B1601" i="4"/>
  <c r="C1601" i="4"/>
  <c r="D1601" i="4"/>
  <c r="A1602" i="4"/>
  <c r="B1602" i="4"/>
  <c r="C1602" i="4"/>
  <c r="D1602" i="4"/>
  <c r="A1603" i="4"/>
  <c r="B1603" i="4"/>
  <c r="C1603" i="4"/>
  <c r="D1603" i="4"/>
  <c r="A1604" i="4"/>
  <c r="B1604" i="4"/>
  <c r="C1604" i="4"/>
  <c r="D1604" i="4"/>
  <c r="A1605" i="4"/>
  <c r="B1605" i="4"/>
  <c r="C1605" i="4"/>
  <c r="D1605" i="4"/>
  <c r="A1606" i="4"/>
  <c r="B1606" i="4"/>
  <c r="C1606" i="4"/>
  <c r="D1606" i="4"/>
  <c r="A1607" i="4"/>
  <c r="B1607" i="4"/>
  <c r="C1607" i="4"/>
  <c r="D1607" i="4"/>
  <c r="A1608" i="4"/>
  <c r="B1608" i="4"/>
  <c r="C1608" i="4"/>
  <c r="D1608" i="4"/>
  <c r="A1609" i="4"/>
  <c r="B1609" i="4"/>
  <c r="C1609" i="4"/>
  <c r="D1609" i="4"/>
  <c r="A1610" i="4"/>
  <c r="B1610" i="4"/>
  <c r="C1610" i="4"/>
  <c r="D1610" i="4"/>
  <c r="A1611" i="4"/>
  <c r="B1611" i="4"/>
  <c r="C1611" i="4"/>
  <c r="D1611" i="4"/>
  <c r="A1612" i="4"/>
  <c r="B1612" i="4"/>
  <c r="C1612" i="4"/>
  <c r="D1612" i="4"/>
  <c r="A1613" i="4"/>
  <c r="B1613" i="4"/>
  <c r="C1613" i="4"/>
  <c r="D1613" i="4"/>
  <c r="A1614" i="4"/>
  <c r="B1614" i="4"/>
  <c r="C1614" i="4"/>
  <c r="D1614" i="4"/>
  <c r="A1615" i="4"/>
  <c r="B1615" i="4"/>
  <c r="C1615" i="4"/>
  <c r="D1615" i="4"/>
  <c r="A1616" i="4"/>
  <c r="B1616" i="4"/>
  <c r="C1616" i="4"/>
  <c r="D1616" i="4"/>
  <c r="A1617" i="4"/>
  <c r="B1617" i="4"/>
  <c r="C1617" i="4"/>
  <c r="D1617" i="4"/>
  <c r="A1618" i="4"/>
  <c r="B1618" i="4"/>
  <c r="C1618" i="4"/>
  <c r="D1618" i="4"/>
  <c r="A1619" i="4"/>
  <c r="B1619" i="4"/>
  <c r="C1619" i="4"/>
  <c r="D1619" i="4"/>
  <c r="A1620" i="4"/>
  <c r="B1620" i="4"/>
  <c r="C1620" i="4"/>
  <c r="D1620" i="4"/>
  <c r="A1621" i="4"/>
  <c r="B1621" i="4"/>
  <c r="C1621" i="4"/>
  <c r="D1621" i="4"/>
  <c r="A1622" i="4"/>
  <c r="B1622" i="4"/>
  <c r="C1622" i="4"/>
  <c r="D1622" i="4"/>
  <c r="A1623" i="4"/>
  <c r="B1623" i="4"/>
  <c r="C1623" i="4"/>
  <c r="D1623" i="4"/>
  <c r="A1624" i="4"/>
  <c r="B1624" i="4"/>
  <c r="C1624" i="4"/>
  <c r="D1624" i="4"/>
  <c r="A1625" i="4"/>
  <c r="B1625" i="4"/>
  <c r="C1625" i="4"/>
  <c r="D1625" i="4"/>
  <c r="A1626" i="4"/>
  <c r="B1626" i="4"/>
  <c r="C1626" i="4"/>
  <c r="D1626" i="4"/>
  <c r="A1627" i="4"/>
  <c r="B1627" i="4"/>
  <c r="C1627" i="4"/>
  <c r="D1627" i="4"/>
  <c r="A1628" i="4"/>
  <c r="B1628" i="4"/>
  <c r="C1628" i="4"/>
  <c r="D1628" i="4"/>
  <c r="A1629" i="4"/>
  <c r="B1629" i="4"/>
  <c r="C1629" i="4"/>
  <c r="D1629" i="4"/>
  <c r="A1630" i="4"/>
  <c r="B1630" i="4"/>
  <c r="C1630" i="4"/>
  <c r="D1630" i="4"/>
  <c r="A1631" i="4"/>
  <c r="B1631" i="4"/>
  <c r="C1631" i="4"/>
  <c r="D1631" i="4"/>
  <c r="A1632" i="4"/>
  <c r="B1632" i="4"/>
  <c r="C1632" i="4"/>
  <c r="D1632" i="4"/>
  <c r="A1633" i="4"/>
  <c r="B1633" i="4"/>
  <c r="C1633" i="4"/>
  <c r="D1633" i="4"/>
  <c r="A1634" i="4"/>
  <c r="B1634" i="4"/>
  <c r="C1634" i="4"/>
  <c r="D1634" i="4"/>
  <c r="A1635" i="4"/>
  <c r="B1635" i="4"/>
  <c r="C1635" i="4"/>
  <c r="D1635" i="4"/>
  <c r="A1636" i="4"/>
  <c r="B1636" i="4"/>
  <c r="C1636" i="4"/>
  <c r="D1636" i="4"/>
  <c r="A1637" i="4"/>
  <c r="B1637" i="4"/>
  <c r="C1637" i="4"/>
  <c r="D1637" i="4"/>
  <c r="A1638" i="4"/>
  <c r="B1638" i="4"/>
  <c r="C1638" i="4"/>
  <c r="D1638" i="4"/>
  <c r="A1639" i="4"/>
  <c r="B1639" i="4"/>
  <c r="C1639" i="4"/>
  <c r="D1639" i="4"/>
  <c r="A1640" i="4"/>
  <c r="B1640" i="4"/>
  <c r="C1640" i="4"/>
  <c r="D1640" i="4"/>
  <c r="A1641" i="4"/>
  <c r="B1641" i="4"/>
  <c r="C1641" i="4"/>
  <c r="D1641" i="4"/>
  <c r="A1642" i="4"/>
  <c r="B1642" i="4"/>
  <c r="C1642" i="4"/>
  <c r="D1642" i="4"/>
  <c r="A1643" i="4"/>
  <c r="B1643" i="4"/>
  <c r="C1643" i="4"/>
  <c r="D1643" i="4"/>
  <c r="A1644" i="4"/>
  <c r="B1644" i="4"/>
  <c r="C1644" i="4"/>
  <c r="D1644" i="4"/>
  <c r="A1645" i="4"/>
  <c r="B1645" i="4"/>
  <c r="C1645" i="4"/>
  <c r="D1645" i="4"/>
  <c r="A1646" i="4"/>
  <c r="B1646" i="4"/>
  <c r="C1646" i="4"/>
  <c r="D1646" i="4"/>
  <c r="A1647" i="4"/>
  <c r="B1647" i="4"/>
  <c r="C1647" i="4"/>
  <c r="D1647" i="4"/>
  <c r="A1648" i="4"/>
  <c r="B1648" i="4"/>
  <c r="C1648" i="4"/>
  <c r="D1648" i="4"/>
  <c r="A1649" i="4"/>
  <c r="B1649" i="4"/>
  <c r="C1649" i="4"/>
  <c r="D1649" i="4"/>
  <c r="A1650" i="4"/>
  <c r="B1650" i="4"/>
  <c r="C1650" i="4"/>
  <c r="D1650" i="4"/>
  <c r="A1651" i="4"/>
  <c r="B1651" i="4"/>
  <c r="C1651" i="4"/>
  <c r="D1651" i="4"/>
  <c r="A1652" i="4"/>
  <c r="B1652" i="4"/>
  <c r="C1652" i="4"/>
  <c r="D1652" i="4"/>
  <c r="A1653" i="4"/>
  <c r="B1653" i="4"/>
  <c r="C1653" i="4"/>
  <c r="D1653" i="4"/>
  <c r="A1654" i="4"/>
  <c r="B1654" i="4"/>
  <c r="C1654" i="4"/>
  <c r="D1654" i="4"/>
  <c r="A1655" i="4"/>
  <c r="B1655" i="4"/>
  <c r="C1655" i="4"/>
  <c r="D1655" i="4"/>
  <c r="A1656" i="4"/>
  <c r="B1656" i="4"/>
  <c r="C1656" i="4"/>
  <c r="D1656" i="4"/>
  <c r="A1657" i="4"/>
  <c r="B1657" i="4"/>
  <c r="C1657" i="4"/>
  <c r="D1657" i="4"/>
  <c r="A1658" i="4"/>
  <c r="B1658" i="4"/>
  <c r="C1658" i="4"/>
  <c r="D1658" i="4"/>
  <c r="A1659" i="4"/>
  <c r="B1659" i="4"/>
  <c r="C1659" i="4"/>
  <c r="D1659" i="4"/>
  <c r="A1660" i="4"/>
  <c r="B1660" i="4"/>
  <c r="C1660" i="4"/>
  <c r="D1660" i="4"/>
  <c r="A1661" i="4"/>
  <c r="B1661" i="4"/>
  <c r="C1661" i="4"/>
  <c r="D1661" i="4"/>
  <c r="A1662" i="4"/>
  <c r="B1662" i="4"/>
  <c r="C1662" i="4"/>
  <c r="D1662" i="4"/>
  <c r="A1663" i="4"/>
  <c r="B1663" i="4"/>
  <c r="C1663" i="4"/>
  <c r="D1663" i="4"/>
  <c r="A1664" i="4"/>
  <c r="B1664" i="4"/>
  <c r="C1664" i="4"/>
  <c r="D1664" i="4"/>
  <c r="A1665" i="4"/>
  <c r="B1665" i="4"/>
  <c r="C1665" i="4"/>
  <c r="D1665" i="4"/>
  <c r="A1666" i="4"/>
  <c r="B1666" i="4"/>
  <c r="C1666" i="4"/>
  <c r="D1666" i="4"/>
  <c r="A1667" i="4"/>
  <c r="B1667" i="4"/>
  <c r="C1667" i="4"/>
  <c r="D1667" i="4"/>
  <c r="A1668" i="4"/>
  <c r="B1668" i="4"/>
  <c r="C1668" i="4"/>
  <c r="D1668" i="4"/>
  <c r="A1669" i="4"/>
  <c r="B1669" i="4"/>
  <c r="C1669" i="4"/>
  <c r="D1669" i="4"/>
  <c r="A1670" i="4"/>
  <c r="B1670" i="4"/>
  <c r="C1670" i="4"/>
  <c r="D1670" i="4"/>
  <c r="A1671" i="4"/>
  <c r="B1671" i="4"/>
  <c r="C1671" i="4"/>
  <c r="D1671" i="4"/>
  <c r="A1672" i="4"/>
  <c r="B1672" i="4"/>
  <c r="C1672" i="4"/>
  <c r="D1672" i="4"/>
  <c r="A1673" i="4"/>
  <c r="B1673" i="4"/>
  <c r="C1673" i="4"/>
  <c r="D1673" i="4"/>
  <c r="A1674" i="4"/>
  <c r="B1674" i="4"/>
  <c r="C1674" i="4"/>
  <c r="D1674" i="4"/>
  <c r="A1675" i="4"/>
  <c r="B1675" i="4"/>
  <c r="C1675" i="4"/>
  <c r="D1675" i="4"/>
  <c r="A1676" i="4"/>
  <c r="B1676" i="4"/>
  <c r="C1676" i="4"/>
  <c r="D1676" i="4"/>
  <c r="A1677" i="4"/>
  <c r="B1677" i="4"/>
  <c r="C1677" i="4"/>
  <c r="D1677" i="4"/>
  <c r="A1678" i="4"/>
  <c r="B1678" i="4"/>
  <c r="C1678" i="4"/>
  <c r="D1678" i="4"/>
  <c r="A1679" i="4"/>
  <c r="B1679" i="4"/>
  <c r="C1679" i="4"/>
  <c r="D1679" i="4"/>
  <c r="A1680" i="4"/>
  <c r="B1680" i="4"/>
  <c r="C1680" i="4"/>
  <c r="D1680" i="4"/>
  <c r="A1681" i="4"/>
  <c r="B1681" i="4"/>
  <c r="C1681" i="4"/>
  <c r="D1681" i="4"/>
  <c r="A1682" i="4"/>
  <c r="B1682" i="4"/>
  <c r="C1682" i="4"/>
  <c r="D1682" i="4"/>
  <c r="A1683" i="4"/>
  <c r="B1683" i="4"/>
  <c r="C1683" i="4"/>
  <c r="D1683" i="4"/>
  <c r="A1684" i="4"/>
  <c r="B1684" i="4"/>
  <c r="C1684" i="4"/>
  <c r="D1684" i="4"/>
  <c r="A1685" i="4"/>
  <c r="B1685" i="4"/>
  <c r="C1685" i="4"/>
  <c r="D1685" i="4"/>
  <c r="A1686" i="4"/>
  <c r="B1686" i="4"/>
  <c r="C1686" i="4"/>
  <c r="D1686" i="4"/>
  <c r="A1687" i="4"/>
  <c r="B1687" i="4"/>
  <c r="C1687" i="4"/>
  <c r="D1687" i="4"/>
  <c r="A1688" i="4"/>
  <c r="B1688" i="4"/>
  <c r="C1688" i="4"/>
  <c r="D1688" i="4"/>
  <c r="A1689" i="4"/>
  <c r="B1689" i="4"/>
  <c r="C1689" i="4"/>
  <c r="D1689" i="4"/>
  <c r="A1690" i="4"/>
  <c r="B1690" i="4"/>
  <c r="C1690" i="4"/>
  <c r="D1690" i="4"/>
  <c r="A1691" i="4"/>
  <c r="B1691" i="4"/>
  <c r="C1691" i="4"/>
  <c r="D1691" i="4"/>
  <c r="A1692" i="4"/>
  <c r="B1692" i="4"/>
  <c r="C1692" i="4"/>
  <c r="D1692" i="4"/>
  <c r="A1693" i="4"/>
  <c r="B1693" i="4"/>
  <c r="C1693" i="4"/>
  <c r="D1693" i="4"/>
  <c r="A1694" i="4"/>
  <c r="B1694" i="4"/>
  <c r="C1694" i="4"/>
  <c r="D1694" i="4"/>
  <c r="A1695" i="4"/>
  <c r="B1695" i="4"/>
  <c r="C1695" i="4"/>
  <c r="D1695" i="4"/>
  <c r="A1696" i="4"/>
  <c r="B1696" i="4"/>
  <c r="C1696" i="4"/>
  <c r="D1696" i="4"/>
  <c r="A1697" i="4"/>
  <c r="B1697" i="4"/>
  <c r="C1697" i="4"/>
  <c r="D1697" i="4"/>
  <c r="A1698" i="4"/>
  <c r="B1698" i="4"/>
  <c r="C1698" i="4"/>
  <c r="D1698" i="4"/>
  <c r="A1699" i="4"/>
  <c r="B1699" i="4"/>
  <c r="C1699" i="4"/>
  <c r="D1699" i="4"/>
  <c r="A1700" i="4"/>
  <c r="B1700" i="4"/>
  <c r="C1700" i="4"/>
  <c r="D1700" i="4"/>
  <c r="A1701" i="4"/>
  <c r="B1701" i="4"/>
  <c r="C1701" i="4"/>
  <c r="D1701" i="4"/>
  <c r="A1702" i="4"/>
  <c r="B1702" i="4"/>
  <c r="C1702" i="4"/>
  <c r="D1702" i="4"/>
  <c r="A1703" i="4"/>
  <c r="B1703" i="4"/>
  <c r="C1703" i="4"/>
  <c r="D1703" i="4"/>
  <c r="A1704" i="4"/>
  <c r="B1704" i="4"/>
  <c r="C1704" i="4"/>
  <c r="D1704" i="4"/>
  <c r="A1705" i="4"/>
  <c r="B1705" i="4"/>
  <c r="C1705" i="4"/>
  <c r="D1705" i="4"/>
  <c r="A1706" i="4"/>
  <c r="B1706" i="4"/>
  <c r="C1706" i="4"/>
  <c r="D1706" i="4"/>
  <c r="A1707" i="4"/>
  <c r="B1707" i="4"/>
  <c r="C1707" i="4"/>
  <c r="D1707" i="4"/>
  <c r="A1708" i="4"/>
  <c r="B1708" i="4"/>
  <c r="C1708" i="4"/>
  <c r="D1708" i="4"/>
  <c r="A1709" i="4"/>
  <c r="B1709" i="4"/>
  <c r="C1709" i="4"/>
  <c r="D1709" i="4"/>
  <c r="A1710" i="4"/>
  <c r="B1710" i="4"/>
  <c r="C1710" i="4"/>
  <c r="D1710" i="4"/>
  <c r="A1711" i="4"/>
  <c r="B1711" i="4"/>
  <c r="C1711" i="4"/>
  <c r="D1711" i="4"/>
  <c r="A1712" i="4"/>
  <c r="B1712" i="4"/>
  <c r="C1712" i="4"/>
  <c r="D1712" i="4"/>
  <c r="A1713" i="4"/>
  <c r="B1713" i="4"/>
  <c r="C1713" i="4"/>
  <c r="D1713" i="4"/>
  <c r="A1714" i="4"/>
  <c r="B1714" i="4"/>
  <c r="C1714" i="4"/>
  <c r="D1714" i="4"/>
  <c r="A1715" i="4"/>
  <c r="B1715" i="4"/>
  <c r="C1715" i="4"/>
  <c r="D1715" i="4"/>
  <c r="A1716" i="4"/>
  <c r="B1716" i="4"/>
  <c r="C1716" i="4"/>
  <c r="D1716" i="4"/>
  <c r="A1717" i="4"/>
  <c r="B1717" i="4"/>
  <c r="C1717" i="4"/>
  <c r="D1717" i="4"/>
  <c r="A1718" i="4"/>
  <c r="B1718" i="4"/>
  <c r="C1718" i="4"/>
  <c r="D1718" i="4"/>
  <c r="A1719" i="4"/>
  <c r="B1719" i="4"/>
  <c r="C1719" i="4"/>
  <c r="D1719" i="4"/>
  <c r="A1720" i="4"/>
  <c r="B1720" i="4"/>
  <c r="C1720" i="4"/>
  <c r="D1720" i="4"/>
  <c r="A1721" i="4"/>
  <c r="B1721" i="4"/>
  <c r="C1721" i="4"/>
  <c r="D1721" i="4"/>
  <c r="A1722" i="4"/>
  <c r="B1722" i="4"/>
  <c r="C1722" i="4"/>
  <c r="D1722" i="4"/>
  <c r="A1723" i="4"/>
  <c r="B1723" i="4"/>
  <c r="C1723" i="4"/>
  <c r="D1723" i="4"/>
  <c r="A1724" i="4"/>
  <c r="B1724" i="4"/>
  <c r="C1724" i="4"/>
  <c r="D1724" i="4"/>
  <c r="A1725" i="4"/>
  <c r="B1725" i="4"/>
  <c r="C1725" i="4"/>
  <c r="D1725" i="4"/>
  <c r="A1726" i="4"/>
  <c r="B1726" i="4"/>
  <c r="C1726" i="4"/>
  <c r="D1726" i="4"/>
  <c r="A1727" i="4"/>
  <c r="B1727" i="4"/>
  <c r="C1727" i="4"/>
  <c r="D1727" i="4"/>
  <c r="A1728" i="4"/>
  <c r="B1728" i="4"/>
  <c r="C1728" i="4"/>
  <c r="D1728" i="4"/>
  <c r="A1729" i="4"/>
  <c r="B1729" i="4"/>
  <c r="C1729" i="4"/>
  <c r="D1729" i="4"/>
  <c r="A1730" i="4"/>
  <c r="B1730" i="4"/>
  <c r="C1730" i="4"/>
  <c r="D1730" i="4"/>
  <c r="A1731" i="4"/>
  <c r="B1731" i="4"/>
  <c r="C1731" i="4"/>
  <c r="D1731" i="4"/>
  <c r="A1732" i="4"/>
  <c r="B1732" i="4"/>
  <c r="C1732" i="4"/>
  <c r="D1732" i="4"/>
  <c r="A1733" i="4"/>
  <c r="B1733" i="4"/>
  <c r="C1733" i="4"/>
  <c r="D1733" i="4"/>
  <c r="A1734" i="4"/>
  <c r="B1734" i="4"/>
  <c r="C1734" i="4"/>
  <c r="D1734" i="4"/>
  <c r="A1735" i="4"/>
  <c r="B1735" i="4"/>
  <c r="C1735" i="4"/>
  <c r="D1735" i="4"/>
  <c r="A1736" i="4"/>
  <c r="B1736" i="4"/>
  <c r="C1736" i="4"/>
  <c r="D1736" i="4"/>
  <c r="A1737" i="4"/>
  <c r="B1737" i="4"/>
  <c r="C1737" i="4"/>
  <c r="D1737" i="4"/>
  <c r="A1738" i="4"/>
  <c r="B1738" i="4"/>
  <c r="C1738" i="4"/>
  <c r="D1738" i="4"/>
  <c r="A1739" i="4"/>
  <c r="B1739" i="4"/>
  <c r="C1739" i="4"/>
  <c r="D1739" i="4"/>
  <c r="A1740" i="4"/>
  <c r="B1740" i="4"/>
  <c r="C1740" i="4"/>
  <c r="D1740" i="4"/>
  <c r="A1741" i="4"/>
  <c r="B1741" i="4"/>
  <c r="C1741" i="4"/>
  <c r="D1741" i="4"/>
  <c r="A1742" i="4"/>
  <c r="B1742" i="4"/>
  <c r="C1742" i="4"/>
  <c r="D1742" i="4"/>
  <c r="A1743" i="4"/>
  <c r="B1743" i="4"/>
  <c r="C1743" i="4"/>
  <c r="D1743" i="4"/>
  <c r="A1744" i="4"/>
  <c r="B1744" i="4"/>
  <c r="C1744" i="4"/>
  <c r="D1744" i="4"/>
  <c r="A1745" i="4"/>
  <c r="B1745" i="4"/>
  <c r="C1745" i="4"/>
  <c r="D1745" i="4"/>
  <c r="A1746" i="4"/>
  <c r="B1746" i="4"/>
  <c r="C1746" i="4"/>
  <c r="D1746" i="4"/>
  <c r="A1747" i="4"/>
  <c r="B1747" i="4"/>
  <c r="C1747" i="4"/>
  <c r="D1747" i="4"/>
  <c r="A1748" i="4"/>
  <c r="B1748" i="4"/>
  <c r="C1748" i="4"/>
  <c r="D1748" i="4"/>
  <c r="A1749" i="4"/>
  <c r="B1749" i="4"/>
  <c r="C1749" i="4"/>
  <c r="D1749" i="4"/>
  <c r="A1750" i="4"/>
  <c r="B1750" i="4"/>
  <c r="C1750" i="4"/>
  <c r="D1750" i="4"/>
  <c r="A1751" i="4"/>
  <c r="B1751" i="4"/>
  <c r="C1751" i="4"/>
  <c r="D1751" i="4"/>
  <c r="A1752" i="4"/>
  <c r="B1752" i="4"/>
  <c r="C1752" i="4"/>
  <c r="D1752" i="4"/>
  <c r="A1753" i="4"/>
  <c r="B1753" i="4"/>
  <c r="C1753" i="4"/>
  <c r="D1753" i="4"/>
  <c r="A1754" i="4"/>
  <c r="B1754" i="4"/>
  <c r="C1754" i="4"/>
  <c r="D1754" i="4"/>
  <c r="A1755" i="4"/>
  <c r="B1755" i="4"/>
  <c r="C1755" i="4"/>
  <c r="D1755" i="4"/>
  <c r="A1756" i="4"/>
  <c r="B1756" i="4"/>
  <c r="C1756" i="4"/>
  <c r="D1756" i="4"/>
  <c r="A1757" i="4"/>
  <c r="B1757" i="4"/>
  <c r="C1757" i="4"/>
  <c r="D1757" i="4"/>
  <c r="A1758" i="4"/>
  <c r="B1758" i="4"/>
  <c r="C1758" i="4"/>
  <c r="D1758" i="4"/>
  <c r="A1759" i="4"/>
  <c r="B1759" i="4"/>
  <c r="C1759" i="4"/>
  <c r="D1759" i="4"/>
  <c r="A1760" i="4"/>
  <c r="B1760" i="4"/>
  <c r="C1760" i="4"/>
  <c r="D1760" i="4"/>
  <c r="A1761" i="4"/>
  <c r="B1761" i="4"/>
  <c r="C1761" i="4"/>
  <c r="D1761" i="4"/>
  <c r="A1762" i="4"/>
  <c r="B1762" i="4"/>
  <c r="C1762" i="4"/>
  <c r="D1762" i="4"/>
  <c r="A1763" i="4"/>
  <c r="B1763" i="4"/>
  <c r="C1763" i="4"/>
  <c r="D1763" i="4"/>
  <c r="A1764" i="4"/>
  <c r="B1764" i="4"/>
  <c r="C1764" i="4"/>
  <c r="D1764" i="4"/>
  <c r="A1765" i="4"/>
  <c r="B1765" i="4"/>
  <c r="C1765" i="4"/>
  <c r="D1765" i="4"/>
  <c r="A1766" i="4"/>
  <c r="B1766" i="4"/>
  <c r="C1766" i="4"/>
  <c r="D1766" i="4"/>
  <c r="A1767" i="4"/>
  <c r="B1767" i="4"/>
  <c r="C1767" i="4"/>
  <c r="D1767" i="4"/>
  <c r="A1768" i="4"/>
  <c r="B1768" i="4"/>
  <c r="C1768" i="4"/>
  <c r="D1768" i="4"/>
  <c r="A1769" i="4"/>
  <c r="B1769" i="4"/>
  <c r="C1769" i="4"/>
  <c r="D1769" i="4"/>
  <c r="A1770" i="4"/>
  <c r="B1770" i="4"/>
  <c r="C1770" i="4"/>
  <c r="D1770" i="4"/>
  <c r="A1771" i="4"/>
  <c r="B1771" i="4"/>
  <c r="C1771" i="4"/>
  <c r="D1771" i="4"/>
  <c r="A1772" i="4"/>
  <c r="B1772" i="4"/>
  <c r="C1772" i="4"/>
  <c r="D1772" i="4"/>
  <c r="A1773" i="4"/>
  <c r="B1773" i="4"/>
  <c r="C1773" i="4"/>
  <c r="D1773" i="4"/>
  <c r="A1774" i="4"/>
  <c r="B1774" i="4"/>
  <c r="C1774" i="4"/>
  <c r="D1774" i="4"/>
  <c r="A1775" i="4"/>
  <c r="B1775" i="4"/>
  <c r="C1775" i="4"/>
  <c r="D1775" i="4"/>
  <c r="A1776" i="4"/>
  <c r="B1776" i="4"/>
  <c r="C1776" i="4"/>
  <c r="D1776" i="4"/>
  <c r="A1777" i="4"/>
  <c r="B1777" i="4"/>
  <c r="C1777" i="4"/>
  <c r="D1777" i="4"/>
  <c r="A1778" i="4"/>
  <c r="B1778" i="4"/>
  <c r="C1778" i="4"/>
  <c r="D1778" i="4"/>
  <c r="A1779" i="4"/>
  <c r="B1779" i="4"/>
  <c r="C1779" i="4"/>
  <c r="D1779" i="4"/>
  <c r="A1780" i="4"/>
  <c r="B1780" i="4"/>
  <c r="C1780" i="4"/>
  <c r="D1780" i="4"/>
  <c r="A1781" i="4"/>
  <c r="B1781" i="4"/>
  <c r="C1781" i="4"/>
  <c r="D1781" i="4"/>
  <c r="A1782" i="4"/>
  <c r="B1782" i="4"/>
  <c r="C1782" i="4"/>
  <c r="D1782" i="4"/>
  <c r="A1783" i="4"/>
  <c r="B1783" i="4"/>
  <c r="C1783" i="4"/>
  <c r="D1783" i="4"/>
  <c r="A1784" i="4"/>
  <c r="B1784" i="4"/>
  <c r="C1784" i="4"/>
  <c r="D1784" i="4"/>
  <c r="A1785" i="4"/>
  <c r="B1785" i="4"/>
  <c r="C1785" i="4"/>
  <c r="D1785" i="4"/>
  <c r="A1786" i="4"/>
  <c r="B1786" i="4"/>
  <c r="C1786" i="4"/>
  <c r="D1786" i="4"/>
  <c r="A1787" i="4"/>
  <c r="B1787" i="4"/>
  <c r="C1787" i="4"/>
  <c r="D1787" i="4"/>
  <c r="A1788" i="4"/>
  <c r="B1788" i="4"/>
  <c r="C1788" i="4"/>
  <c r="D1788" i="4"/>
  <c r="A1789" i="4"/>
  <c r="B1789" i="4"/>
  <c r="C1789" i="4"/>
  <c r="D1789" i="4"/>
  <c r="A1790" i="4"/>
  <c r="B1790" i="4"/>
  <c r="C1790" i="4"/>
  <c r="D1790" i="4"/>
  <c r="A1791" i="4"/>
  <c r="B1791" i="4"/>
  <c r="C1791" i="4"/>
  <c r="D1791" i="4"/>
  <c r="A1792" i="4"/>
  <c r="B1792" i="4"/>
  <c r="C1792" i="4"/>
  <c r="D1792" i="4"/>
  <c r="A1793" i="4"/>
  <c r="B1793" i="4"/>
  <c r="C1793" i="4"/>
  <c r="D1793" i="4"/>
  <c r="A1794" i="4"/>
  <c r="B1794" i="4"/>
  <c r="C1794" i="4"/>
  <c r="D1794" i="4"/>
  <c r="A1795" i="4"/>
  <c r="B1795" i="4"/>
  <c r="C1795" i="4"/>
  <c r="D1795" i="4"/>
  <c r="A1796" i="4"/>
  <c r="B1796" i="4"/>
  <c r="C1796" i="4"/>
  <c r="D1796" i="4"/>
  <c r="A1797" i="4"/>
  <c r="B1797" i="4"/>
  <c r="C1797" i="4"/>
  <c r="D1797" i="4"/>
  <c r="A1798" i="4"/>
  <c r="B1798" i="4"/>
  <c r="C1798" i="4"/>
  <c r="D1798" i="4"/>
  <c r="A1799" i="4"/>
  <c r="B1799" i="4"/>
  <c r="C1799" i="4"/>
  <c r="D1799" i="4"/>
  <c r="A1800" i="4"/>
  <c r="B1800" i="4"/>
  <c r="C1800" i="4"/>
  <c r="D1800" i="4"/>
  <c r="A1801" i="4"/>
  <c r="B1801" i="4"/>
  <c r="C1801" i="4"/>
  <c r="D1801" i="4"/>
  <c r="A1802" i="4"/>
  <c r="B1802" i="4"/>
  <c r="C1802" i="4"/>
  <c r="D1802" i="4"/>
  <c r="A1803" i="4"/>
  <c r="B1803" i="4"/>
  <c r="C1803" i="4"/>
  <c r="D1803" i="4"/>
  <c r="A1804" i="4"/>
  <c r="B1804" i="4"/>
  <c r="C1804" i="4"/>
  <c r="D1804" i="4"/>
  <c r="A1805" i="4"/>
  <c r="B1805" i="4"/>
  <c r="C1805" i="4"/>
  <c r="D1805" i="4"/>
  <c r="A1806" i="4"/>
  <c r="B1806" i="4"/>
  <c r="C1806" i="4"/>
  <c r="D1806" i="4"/>
  <c r="A1807" i="4"/>
  <c r="B1807" i="4"/>
  <c r="C1807" i="4"/>
  <c r="D1807" i="4"/>
  <c r="A1808" i="4"/>
  <c r="B1808" i="4"/>
  <c r="C1808" i="4"/>
  <c r="D1808" i="4"/>
  <c r="A1809" i="4"/>
  <c r="B1809" i="4"/>
  <c r="C1809" i="4"/>
  <c r="D1809" i="4"/>
  <c r="A1810" i="4"/>
  <c r="B1810" i="4"/>
  <c r="C1810" i="4"/>
  <c r="D1810" i="4"/>
  <c r="A1811" i="4"/>
  <c r="B1811" i="4"/>
  <c r="C1811" i="4"/>
  <c r="D1811" i="4"/>
  <c r="A1812" i="4"/>
  <c r="B1812" i="4"/>
  <c r="C1812" i="4"/>
  <c r="D1812" i="4"/>
  <c r="A1813" i="4"/>
  <c r="B1813" i="4"/>
  <c r="C1813" i="4"/>
  <c r="D1813" i="4"/>
  <c r="A1814" i="4"/>
  <c r="B1814" i="4"/>
  <c r="C1814" i="4"/>
  <c r="D1814" i="4"/>
  <c r="A1815" i="4"/>
  <c r="B1815" i="4"/>
  <c r="C1815" i="4"/>
  <c r="D1815" i="4"/>
  <c r="A1816" i="4"/>
  <c r="B1816" i="4"/>
  <c r="C1816" i="4"/>
  <c r="D1816" i="4"/>
  <c r="A1817" i="4"/>
  <c r="B1817" i="4"/>
  <c r="C1817" i="4"/>
  <c r="D1817" i="4"/>
  <c r="A1818" i="4"/>
  <c r="B1818" i="4"/>
  <c r="C1818" i="4"/>
  <c r="D1818" i="4"/>
  <c r="A1819" i="4"/>
  <c r="B1819" i="4"/>
  <c r="C1819" i="4"/>
  <c r="D1819" i="4"/>
  <c r="A1820" i="4"/>
  <c r="B1820" i="4"/>
  <c r="C1820" i="4"/>
  <c r="D1820" i="4"/>
  <c r="A1821" i="4"/>
  <c r="B1821" i="4"/>
  <c r="C1821" i="4"/>
  <c r="D1821" i="4"/>
  <c r="A1822" i="4"/>
  <c r="B1822" i="4"/>
  <c r="C1822" i="4"/>
  <c r="D1822" i="4"/>
  <c r="A1823" i="4"/>
  <c r="B1823" i="4"/>
  <c r="C1823" i="4"/>
  <c r="D1823" i="4"/>
  <c r="A1824" i="4"/>
  <c r="B1824" i="4"/>
  <c r="C1824" i="4"/>
  <c r="D1824" i="4"/>
  <c r="A1825" i="4"/>
  <c r="B1825" i="4"/>
  <c r="C1825" i="4"/>
  <c r="D1825" i="4"/>
  <c r="A1826" i="4"/>
  <c r="B1826" i="4"/>
  <c r="C1826" i="4"/>
  <c r="D1826" i="4"/>
  <c r="A1827" i="4"/>
  <c r="B1827" i="4"/>
  <c r="C1827" i="4"/>
  <c r="D1827" i="4"/>
  <c r="A1828" i="4"/>
  <c r="B1828" i="4"/>
  <c r="C1828" i="4"/>
  <c r="D1828" i="4"/>
  <c r="A1829" i="4"/>
  <c r="B1829" i="4"/>
  <c r="C1829" i="4"/>
  <c r="D1829" i="4"/>
  <c r="A1830" i="4"/>
  <c r="B1830" i="4"/>
  <c r="C1830" i="4"/>
  <c r="D1830" i="4"/>
  <c r="A1831" i="4"/>
  <c r="B1831" i="4"/>
  <c r="C1831" i="4"/>
  <c r="D1831" i="4"/>
  <c r="A1832" i="4"/>
  <c r="B1832" i="4"/>
  <c r="C1832" i="4"/>
  <c r="D1832" i="4"/>
  <c r="A1833" i="4"/>
  <c r="B1833" i="4"/>
  <c r="C1833" i="4"/>
  <c r="D1833" i="4"/>
  <c r="A1834" i="4"/>
  <c r="B1834" i="4"/>
  <c r="C1834" i="4"/>
  <c r="D1834" i="4"/>
  <c r="A1835" i="4"/>
  <c r="B1835" i="4"/>
  <c r="C1835" i="4"/>
  <c r="D1835" i="4"/>
  <c r="A1836" i="4"/>
  <c r="B1836" i="4"/>
  <c r="C1836" i="4"/>
  <c r="D1836" i="4"/>
  <c r="A1837" i="4"/>
  <c r="B1837" i="4"/>
  <c r="C1837" i="4"/>
  <c r="D1837" i="4"/>
  <c r="A1838" i="4"/>
  <c r="B1838" i="4"/>
  <c r="C1838" i="4"/>
  <c r="D1838" i="4"/>
  <c r="A1839" i="4"/>
  <c r="B1839" i="4"/>
  <c r="C1839" i="4"/>
  <c r="D1839" i="4"/>
  <c r="A1840" i="4"/>
  <c r="B1840" i="4"/>
  <c r="C1840" i="4"/>
  <c r="D1840" i="4"/>
  <c r="A1841" i="4"/>
  <c r="B1841" i="4"/>
  <c r="C1841" i="4"/>
  <c r="D1841" i="4"/>
  <c r="A1842" i="4"/>
  <c r="B1842" i="4"/>
  <c r="C1842" i="4"/>
  <c r="D1842" i="4"/>
  <c r="A1843" i="4"/>
  <c r="B1843" i="4"/>
  <c r="C1843" i="4"/>
  <c r="D1843" i="4"/>
  <c r="A1844" i="4"/>
  <c r="B1844" i="4"/>
  <c r="C1844" i="4"/>
  <c r="D1844" i="4"/>
  <c r="A1845" i="4"/>
  <c r="B1845" i="4"/>
  <c r="C1845" i="4"/>
  <c r="D1845" i="4"/>
  <c r="A1846" i="4"/>
  <c r="B1846" i="4"/>
  <c r="C1846" i="4"/>
  <c r="D1846" i="4"/>
  <c r="A1847" i="4"/>
  <c r="B1847" i="4"/>
  <c r="C1847" i="4"/>
  <c r="D1847" i="4"/>
  <c r="A1848" i="4"/>
  <c r="B1848" i="4"/>
  <c r="C1848" i="4"/>
  <c r="D1848" i="4"/>
  <c r="A1849" i="4"/>
  <c r="B1849" i="4"/>
  <c r="C1849" i="4"/>
  <c r="D1849" i="4"/>
  <c r="A1850" i="4"/>
  <c r="B1850" i="4"/>
  <c r="C1850" i="4"/>
  <c r="D1850" i="4"/>
  <c r="A1851" i="4"/>
  <c r="B1851" i="4"/>
  <c r="C1851" i="4"/>
  <c r="D1851" i="4"/>
  <c r="A1852" i="4"/>
  <c r="B1852" i="4"/>
  <c r="C1852" i="4"/>
  <c r="D1852" i="4"/>
  <c r="A1853" i="4"/>
  <c r="B1853" i="4"/>
  <c r="C1853" i="4"/>
  <c r="D1853" i="4"/>
  <c r="A1854" i="4"/>
  <c r="B1854" i="4"/>
  <c r="C1854" i="4"/>
  <c r="D1854" i="4"/>
  <c r="A1855" i="4"/>
  <c r="B1855" i="4"/>
  <c r="C1855" i="4"/>
  <c r="D1855" i="4"/>
  <c r="A1856" i="4"/>
  <c r="B1856" i="4"/>
  <c r="C1856" i="4"/>
  <c r="D1856" i="4"/>
  <c r="A1857" i="4"/>
  <c r="B1857" i="4"/>
  <c r="C1857" i="4"/>
  <c r="D1857" i="4"/>
  <c r="A1858" i="4"/>
  <c r="B1858" i="4"/>
  <c r="C1858" i="4"/>
  <c r="D1858" i="4"/>
  <c r="A1859" i="4"/>
  <c r="B1859" i="4"/>
  <c r="C1859" i="4"/>
  <c r="D1859" i="4"/>
  <c r="A1860" i="4"/>
  <c r="B1860" i="4"/>
  <c r="C1860" i="4"/>
  <c r="D1860" i="4"/>
  <c r="A1861" i="4"/>
  <c r="B1861" i="4"/>
  <c r="C1861" i="4"/>
  <c r="D1861" i="4"/>
  <c r="A1862" i="4"/>
  <c r="B1862" i="4"/>
  <c r="C1862" i="4"/>
  <c r="D1862" i="4"/>
  <c r="A1863" i="4"/>
  <c r="B1863" i="4"/>
  <c r="C1863" i="4"/>
  <c r="D1863" i="4"/>
  <c r="A1864" i="4"/>
  <c r="B1864" i="4"/>
  <c r="C1864" i="4"/>
  <c r="D1864" i="4"/>
  <c r="A1865" i="4"/>
  <c r="B1865" i="4"/>
  <c r="C1865" i="4"/>
  <c r="D1865" i="4"/>
  <c r="A1866" i="4"/>
  <c r="B1866" i="4"/>
  <c r="C1866" i="4"/>
  <c r="D1866" i="4"/>
  <c r="A1867" i="4"/>
  <c r="B1867" i="4"/>
  <c r="C1867" i="4"/>
  <c r="D1867" i="4"/>
  <c r="A1868" i="4"/>
  <c r="B1868" i="4"/>
  <c r="C1868" i="4"/>
  <c r="D1868" i="4"/>
  <c r="A1869" i="4"/>
  <c r="B1869" i="4"/>
  <c r="C1869" i="4"/>
  <c r="D1869" i="4"/>
  <c r="A1870" i="4"/>
  <c r="B1870" i="4"/>
  <c r="C1870" i="4"/>
  <c r="D1870" i="4"/>
  <c r="A1871" i="4"/>
  <c r="B1871" i="4"/>
  <c r="C1871" i="4"/>
  <c r="D1871" i="4"/>
  <c r="A1872" i="4"/>
  <c r="B1872" i="4"/>
  <c r="C1872" i="4"/>
  <c r="D1872" i="4"/>
  <c r="A1873" i="4"/>
  <c r="B1873" i="4"/>
  <c r="C1873" i="4"/>
  <c r="D1873" i="4"/>
  <c r="A1874" i="4"/>
  <c r="B1874" i="4"/>
  <c r="C1874" i="4"/>
  <c r="D1874" i="4"/>
  <c r="A1875" i="4"/>
  <c r="B1875" i="4"/>
  <c r="C1875" i="4"/>
  <c r="D1875" i="4"/>
  <c r="A1876" i="4"/>
  <c r="B1876" i="4"/>
  <c r="C1876" i="4"/>
  <c r="D1876" i="4"/>
  <c r="A1877" i="4"/>
  <c r="B1877" i="4"/>
  <c r="C1877" i="4"/>
  <c r="D1877" i="4"/>
  <c r="A1878" i="4"/>
  <c r="B1878" i="4"/>
  <c r="C1878" i="4"/>
  <c r="D1878" i="4"/>
  <c r="A1879" i="4"/>
  <c r="B1879" i="4"/>
  <c r="C1879" i="4"/>
  <c r="D1879" i="4"/>
  <c r="A1130" i="4"/>
  <c r="B1130" i="4"/>
  <c r="C1130" i="4"/>
  <c r="D1130" i="4"/>
  <c r="A1131" i="4"/>
  <c r="B1131" i="4"/>
  <c r="C1131" i="4"/>
  <c r="D1131" i="4"/>
  <c r="A1132" i="4"/>
  <c r="B1132" i="4"/>
  <c r="C1132" i="4"/>
  <c r="D1132" i="4"/>
  <c r="A1133" i="4"/>
  <c r="B1133" i="4"/>
  <c r="C1133" i="4"/>
  <c r="D1133" i="4"/>
  <c r="A1134" i="4"/>
  <c r="B1134" i="4"/>
  <c r="C1134" i="4"/>
  <c r="D1134" i="4"/>
  <c r="A1135" i="4"/>
  <c r="B1135" i="4"/>
  <c r="C1135" i="4"/>
  <c r="D1135" i="4"/>
  <c r="A1136" i="4"/>
  <c r="B1136" i="4"/>
  <c r="C1136" i="4"/>
  <c r="D1136" i="4"/>
  <c r="A1137" i="4"/>
  <c r="B1137" i="4"/>
  <c r="C1137" i="4"/>
  <c r="D1137" i="4"/>
  <c r="A1138" i="4"/>
  <c r="B1138" i="4"/>
  <c r="C1138" i="4"/>
  <c r="D1138" i="4"/>
  <c r="A1139" i="4"/>
  <c r="B1139" i="4"/>
  <c r="C1139" i="4"/>
  <c r="D1139" i="4"/>
  <c r="A1140" i="4"/>
  <c r="B1140" i="4"/>
  <c r="C1140" i="4"/>
  <c r="D1140" i="4"/>
  <c r="A1141" i="4"/>
  <c r="B1141" i="4"/>
  <c r="C1141" i="4"/>
  <c r="D1141" i="4"/>
  <c r="A1142" i="4"/>
  <c r="B1142" i="4"/>
  <c r="C1142" i="4"/>
  <c r="D1142" i="4"/>
  <c r="A1143" i="4"/>
  <c r="B1143" i="4"/>
  <c r="C1143" i="4"/>
  <c r="D1143" i="4"/>
  <c r="A1144" i="4"/>
  <c r="B1144" i="4"/>
  <c r="C1144" i="4"/>
  <c r="D1144" i="4"/>
  <c r="A1145" i="4"/>
  <c r="B1145" i="4"/>
  <c r="C1145" i="4"/>
  <c r="D1145" i="4"/>
  <c r="A1146" i="4"/>
  <c r="B1146" i="4"/>
  <c r="C1146" i="4"/>
  <c r="D1146" i="4"/>
  <c r="A1147" i="4"/>
  <c r="B1147" i="4"/>
  <c r="C1147" i="4"/>
  <c r="D1147" i="4"/>
  <c r="A1148" i="4"/>
  <c r="B1148" i="4"/>
  <c r="C1148" i="4"/>
  <c r="D1148" i="4"/>
  <c r="A1149" i="4"/>
  <c r="B1149" i="4"/>
  <c r="C1149" i="4"/>
  <c r="D1149" i="4"/>
  <c r="A1150" i="4"/>
  <c r="B1150" i="4"/>
  <c r="C1150" i="4"/>
  <c r="D1150" i="4"/>
  <c r="A1151" i="4"/>
  <c r="B1151" i="4"/>
  <c r="C1151" i="4"/>
  <c r="D1151" i="4"/>
  <c r="A1152" i="4"/>
  <c r="B1152" i="4"/>
  <c r="C1152" i="4"/>
  <c r="D1152" i="4"/>
  <c r="A1153" i="4"/>
  <c r="B1153" i="4"/>
  <c r="C1153" i="4"/>
  <c r="D1153" i="4"/>
  <c r="A1154" i="4"/>
  <c r="B1154" i="4"/>
  <c r="C1154" i="4"/>
  <c r="D1154" i="4"/>
  <c r="A1155" i="4"/>
  <c r="B1155" i="4"/>
  <c r="C1155" i="4"/>
  <c r="D1155" i="4"/>
  <c r="A1156" i="4"/>
  <c r="B1156" i="4"/>
  <c r="C1156" i="4"/>
  <c r="D1156" i="4"/>
  <c r="A1157" i="4"/>
  <c r="B1157" i="4"/>
  <c r="C1157" i="4"/>
  <c r="D1157" i="4"/>
  <c r="A1158" i="4"/>
  <c r="B1158" i="4"/>
  <c r="C1158" i="4"/>
  <c r="D1158" i="4"/>
  <c r="A1159" i="4"/>
  <c r="B1159" i="4"/>
  <c r="C1159" i="4"/>
  <c r="D1159" i="4"/>
  <c r="A1160" i="4"/>
  <c r="B1160" i="4"/>
  <c r="C1160" i="4"/>
  <c r="D1160" i="4"/>
  <c r="A1161" i="4"/>
  <c r="B1161" i="4"/>
  <c r="C1161" i="4"/>
  <c r="D1161" i="4"/>
  <c r="A1162" i="4"/>
  <c r="B1162" i="4"/>
  <c r="C1162" i="4"/>
  <c r="D1162" i="4"/>
  <c r="A1163" i="4"/>
  <c r="B1163" i="4"/>
  <c r="C1163" i="4"/>
  <c r="D1163" i="4"/>
  <c r="A1164" i="4"/>
  <c r="B1164" i="4"/>
  <c r="C1164" i="4"/>
  <c r="D1164" i="4"/>
  <c r="A1165" i="4"/>
  <c r="B1165" i="4"/>
  <c r="C1165" i="4"/>
  <c r="D1165" i="4"/>
  <c r="A1166" i="4"/>
  <c r="B1166" i="4"/>
  <c r="C1166" i="4"/>
  <c r="D1166" i="4"/>
  <c r="A1167" i="4"/>
  <c r="B1167" i="4"/>
  <c r="C1167" i="4"/>
  <c r="D1167" i="4"/>
  <c r="A1168" i="4"/>
  <c r="B1168" i="4"/>
  <c r="C1168" i="4"/>
  <c r="D1168" i="4"/>
  <c r="A1169" i="4"/>
  <c r="B1169" i="4"/>
  <c r="C1169" i="4"/>
  <c r="D1169" i="4"/>
  <c r="A1170" i="4"/>
  <c r="B1170" i="4"/>
  <c r="C1170" i="4"/>
  <c r="D1170" i="4"/>
  <c r="A1171" i="4"/>
  <c r="B1171" i="4"/>
  <c r="C1171" i="4"/>
  <c r="D1171" i="4"/>
  <c r="A1172" i="4"/>
  <c r="B1172" i="4"/>
  <c r="C1172" i="4"/>
  <c r="D1172" i="4"/>
  <c r="A1173" i="4"/>
  <c r="B1173" i="4"/>
  <c r="C1173" i="4"/>
  <c r="D1173" i="4"/>
  <c r="A1174" i="4"/>
  <c r="B1174" i="4"/>
  <c r="C1174" i="4"/>
  <c r="D1174" i="4"/>
  <c r="A1175" i="4"/>
  <c r="B1175" i="4"/>
  <c r="C1175" i="4"/>
  <c r="D1175" i="4"/>
  <c r="A1176" i="4"/>
  <c r="B1176" i="4"/>
  <c r="C1176" i="4"/>
  <c r="D1176" i="4"/>
  <c r="A1177" i="4"/>
  <c r="B1177" i="4"/>
  <c r="C1177" i="4"/>
  <c r="D1177" i="4"/>
  <c r="A1178" i="4"/>
  <c r="B1178" i="4"/>
  <c r="C1178" i="4"/>
  <c r="D1178" i="4"/>
  <c r="A1179" i="4"/>
  <c r="B1179" i="4"/>
  <c r="C1179" i="4"/>
  <c r="D1179" i="4"/>
  <c r="A1180" i="4"/>
  <c r="B1180" i="4"/>
  <c r="C1180" i="4"/>
  <c r="D1180" i="4"/>
  <c r="A1181" i="4"/>
  <c r="B1181" i="4"/>
  <c r="C1181" i="4"/>
  <c r="D1181" i="4"/>
  <c r="A1182" i="4"/>
  <c r="B1182" i="4"/>
  <c r="C1182" i="4"/>
  <c r="D1182" i="4"/>
  <c r="A1183" i="4"/>
  <c r="B1183" i="4"/>
  <c r="C1183" i="4"/>
  <c r="D1183" i="4"/>
  <c r="A1184" i="4"/>
  <c r="B1184" i="4"/>
  <c r="C1184" i="4"/>
  <c r="D1184" i="4"/>
  <c r="A1185" i="4"/>
  <c r="B1185" i="4"/>
  <c r="C1185" i="4"/>
  <c r="D1185" i="4"/>
  <c r="A1186" i="4"/>
  <c r="B1186" i="4"/>
  <c r="C1186" i="4"/>
  <c r="D1186" i="4"/>
  <c r="A1187" i="4"/>
  <c r="B1187" i="4"/>
  <c r="C1187" i="4"/>
  <c r="D1187" i="4"/>
  <c r="A1188" i="4"/>
  <c r="B1188" i="4"/>
  <c r="C1188" i="4"/>
  <c r="D1188" i="4"/>
  <c r="A1189" i="4"/>
  <c r="B1189" i="4"/>
  <c r="C1189" i="4"/>
  <c r="D1189" i="4"/>
  <c r="A1190" i="4"/>
  <c r="B1190" i="4"/>
  <c r="C1190" i="4"/>
  <c r="D1190" i="4"/>
  <c r="A1191" i="4"/>
  <c r="B1191" i="4"/>
  <c r="C1191" i="4"/>
  <c r="D1191" i="4"/>
  <c r="A1192" i="4"/>
  <c r="B1192" i="4"/>
  <c r="C1192" i="4"/>
  <c r="D1192" i="4"/>
  <c r="A1193" i="4"/>
  <c r="B1193" i="4"/>
  <c r="C1193" i="4"/>
  <c r="D1193" i="4"/>
  <c r="A1194" i="4"/>
  <c r="B1194" i="4"/>
  <c r="C1194" i="4"/>
  <c r="D1194" i="4"/>
  <c r="A1195" i="4"/>
  <c r="B1195" i="4"/>
  <c r="C1195" i="4"/>
  <c r="D1195" i="4"/>
  <c r="A1196" i="4"/>
  <c r="B1196" i="4"/>
  <c r="C1196" i="4"/>
  <c r="D1196" i="4"/>
  <c r="A1197" i="4"/>
  <c r="B1197" i="4"/>
  <c r="C1197" i="4"/>
  <c r="D1197" i="4"/>
  <c r="A1198" i="4"/>
  <c r="B1198" i="4"/>
  <c r="C1198" i="4"/>
  <c r="D1198" i="4"/>
  <c r="A1199" i="4"/>
  <c r="B1199" i="4"/>
  <c r="C1199" i="4"/>
  <c r="D1199" i="4"/>
  <c r="A1200" i="4"/>
  <c r="B1200" i="4"/>
  <c r="C1200" i="4"/>
  <c r="D1200" i="4"/>
  <c r="A1201" i="4"/>
  <c r="B1201" i="4"/>
  <c r="C1201" i="4"/>
  <c r="D1201" i="4"/>
  <c r="A1202" i="4"/>
  <c r="B1202" i="4"/>
  <c r="C1202" i="4"/>
  <c r="D1202" i="4"/>
  <c r="A1203" i="4"/>
  <c r="B1203" i="4"/>
  <c r="C1203" i="4"/>
  <c r="D1203" i="4"/>
  <c r="A1204" i="4"/>
  <c r="B1204" i="4"/>
  <c r="C1204" i="4"/>
  <c r="D1204" i="4"/>
  <c r="A1205" i="4"/>
  <c r="B1205" i="4"/>
  <c r="C1205" i="4"/>
  <c r="D1205" i="4"/>
  <c r="A1206" i="4"/>
  <c r="B1206" i="4"/>
  <c r="C1206" i="4"/>
  <c r="D1206" i="4"/>
  <c r="A1207" i="4"/>
  <c r="B1207" i="4"/>
  <c r="C1207" i="4"/>
  <c r="D1207" i="4"/>
  <c r="A1208" i="4"/>
  <c r="B1208" i="4"/>
  <c r="C1208" i="4"/>
  <c r="D1208" i="4"/>
  <c r="A1209" i="4"/>
  <c r="B1209" i="4"/>
  <c r="C1209" i="4"/>
  <c r="D1209" i="4"/>
  <c r="A1210" i="4"/>
  <c r="B1210" i="4"/>
  <c r="C1210" i="4"/>
  <c r="D1210" i="4"/>
  <c r="A1211" i="4"/>
  <c r="B1211" i="4"/>
  <c r="C1211" i="4"/>
  <c r="D1211" i="4"/>
  <c r="A1212" i="4"/>
  <c r="B1212" i="4"/>
  <c r="C1212" i="4"/>
  <c r="D1212" i="4"/>
  <c r="A1213" i="4"/>
  <c r="B1213" i="4"/>
  <c r="C1213" i="4"/>
  <c r="D1213" i="4"/>
  <c r="A1214" i="4"/>
  <c r="B1214" i="4"/>
  <c r="C1214" i="4"/>
  <c r="D1214" i="4"/>
  <c r="A1215" i="4"/>
  <c r="B1215" i="4"/>
  <c r="C1215" i="4"/>
  <c r="D1215" i="4"/>
  <c r="A1216" i="4"/>
  <c r="B1216" i="4"/>
  <c r="C1216" i="4"/>
  <c r="D1216" i="4"/>
  <c r="A1217" i="4"/>
  <c r="B1217" i="4"/>
  <c r="C1217" i="4"/>
  <c r="D1217" i="4"/>
  <c r="A1218" i="4"/>
  <c r="B1218" i="4"/>
  <c r="C1218" i="4"/>
  <c r="D1218" i="4"/>
  <c r="A1219" i="4"/>
  <c r="B1219" i="4"/>
  <c r="C1219" i="4"/>
  <c r="D1219" i="4"/>
  <c r="A1220" i="4"/>
  <c r="B1220" i="4"/>
  <c r="C1220" i="4"/>
  <c r="D1220" i="4"/>
  <c r="A1221" i="4"/>
  <c r="B1221" i="4"/>
  <c r="C1221" i="4"/>
  <c r="D1221" i="4"/>
  <c r="A1222" i="4"/>
  <c r="B1222" i="4"/>
  <c r="C1222" i="4"/>
  <c r="D1222" i="4"/>
  <c r="A1223" i="4"/>
  <c r="B1223" i="4"/>
  <c r="C1223" i="4"/>
  <c r="D1223" i="4"/>
  <c r="A1224" i="4"/>
  <c r="B1224" i="4"/>
  <c r="C1224" i="4"/>
  <c r="D1224" i="4"/>
  <c r="A1225" i="4"/>
  <c r="B1225" i="4"/>
  <c r="C1225" i="4"/>
  <c r="D1225" i="4"/>
  <c r="A1226" i="4"/>
  <c r="B1226" i="4"/>
  <c r="C1226" i="4"/>
  <c r="D1226" i="4"/>
  <c r="A1227" i="4"/>
  <c r="B1227" i="4"/>
  <c r="C1227" i="4"/>
  <c r="D1227" i="4"/>
  <c r="A1228" i="4"/>
  <c r="B1228" i="4"/>
  <c r="C1228" i="4"/>
  <c r="D1228" i="4"/>
  <c r="A1229" i="4"/>
  <c r="B1229" i="4"/>
  <c r="C1229" i="4"/>
  <c r="D1229" i="4"/>
  <c r="A1230" i="4"/>
  <c r="B1230" i="4"/>
  <c r="C1230" i="4"/>
  <c r="D1230" i="4"/>
  <c r="A1231" i="4"/>
  <c r="B1231" i="4"/>
  <c r="C1231" i="4"/>
  <c r="D1231" i="4"/>
  <c r="A1232" i="4"/>
  <c r="B1232" i="4"/>
  <c r="C1232" i="4"/>
  <c r="D1232" i="4"/>
  <c r="A1233" i="4"/>
  <c r="B1233" i="4"/>
  <c r="C1233" i="4"/>
  <c r="D1233" i="4"/>
  <c r="A1234" i="4"/>
  <c r="B1234" i="4"/>
  <c r="C1234" i="4"/>
  <c r="D1234" i="4"/>
  <c r="A1235" i="4"/>
  <c r="B1235" i="4"/>
  <c r="C1235" i="4"/>
  <c r="D1235" i="4"/>
  <c r="A1236" i="4"/>
  <c r="B1236" i="4"/>
  <c r="C1236" i="4"/>
  <c r="D1236" i="4"/>
  <c r="A1237" i="4"/>
  <c r="B1237" i="4"/>
  <c r="C1237" i="4"/>
  <c r="D1237" i="4"/>
  <c r="A1238" i="4"/>
  <c r="B1238" i="4"/>
  <c r="C1238" i="4"/>
  <c r="D1238" i="4"/>
  <c r="A1239" i="4"/>
  <c r="B1239" i="4"/>
  <c r="C1239" i="4"/>
  <c r="D1239" i="4"/>
  <c r="A1240" i="4"/>
  <c r="B1240" i="4"/>
  <c r="C1240" i="4"/>
  <c r="D1240" i="4"/>
  <c r="A1241" i="4"/>
  <c r="B1241" i="4"/>
  <c r="C1241" i="4"/>
  <c r="D1241" i="4"/>
  <c r="A1242" i="4"/>
  <c r="B1242" i="4"/>
  <c r="C1242" i="4"/>
  <c r="D1242" i="4"/>
  <c r="A1243" i="4"/>
  <c r="B1243" i="4"/>
  <c r="C1243" i="4"/>
  <c r="D1243" i="4"/>
  <c r="A1244" i="4"/>
  <c r="B1244" i="4"/>
  <c r="C1244" i="4"/>
  <c r="D1244" i="4"/>
  <c r="A1245" i="4"/>
  <c r="B1245" i="4"/>
  <c r="C1245" i="4"/>
  <c r="D1245" i="4"/>
  <c r="A1246" i="4"/>
  <c r="B1246" i="4"/>
  <c r="C1246" i="4"/>
  <c r="D1246" i="4"/>
  <c r="A1247" i="4"/>
  <c r="B1247" i="4"/>
  <c r="C1247" i="4"/>
  <c r="D1247" i="4"/>
  <c r="A1248" i="4"/>
  <c r="B1248" i="4"/>
  <c r="C1248" i="4"/>
  <c r="D1248" i="4"/>
  <c r="A1249" i="4"/>
  <c r="B1249" i="4"/>
  <c r="C1249" i="4"/>
  <c r="D1249" i="4"/>
  <c r="A1250" i="4"/>
  <c r="B1250" i="4"/>
  <c r="C1250" i="4"/>
  <c r="D1250" i="4"/>
  <c r="A1251" i="4"/>
  <c r="B1251" i="4"/>
  <c r="C1251" i="4"/>
  <c r="D1251" i="4"/>
  <c r="A1252" i="4"/>
  <c r="B1252" i="4"/>
  <c r="C1252" i="4"/>
  <c r="D1252" i="4"/>
  <c r="A1253" i="4"/>
  <c r="B1253" i="4"/>
  <c r="C1253" i="4"/>
  <c r="D1253" i="4"/>
  <c r="A1254" i="4"/>
  <c r="B1254" i="4"/>
  <c r="C1254" i="4"/>
  <c r="D1254" i="4"/>
  <c r="A1255" i="4"/>
  <c r="B1255" i="4"/>
  <c r="C1255" i="4"/>
  <c r="D1255" i="4"/>
  <c r="A1256" i="4"/>
  <c r="B1256" i="4"/>
  <c r="C1256" i="4"/>
  <c r="D1256" i="4"/>
  <c r="A1257" i="4"/>
  <c r="B1257" i="4"/>
  <c r="C1257" i="4"/>
  <c r="D1257" i="4"/>
  <c r="A1258" i="4"/>
  <c r="B1258" i="4"/>
  <c r="C1258" i="4"/>
  <c r="D1258" i="4"/>
  <c r="A1259" i="4"/>
  <c r="B1259" i="4"/>
  <c r="C1259" i="4"/>
  <c r="D1259" i="4"/>
  <c r="A1260" i="4"/>
  <c r="B1260" i="4"/>
  <c r="C1260" i="4"/>
  <c r="D1260" i="4"/>
  <c r="A1261" i="4"/>
  <c r="B1261" i="4"/>
  <c r="C1261" i="4"/>
  <c r="D1261" i="4"/>
  <c r="A1262" i="4"/>
  <c r="B1262" i="4"/>
  <c r="C1262" i="4"/>
  <c r="D1262" i="4"/>
  <c r="A1263" i="4"/>
  <c r="B1263" i="4"/>
  <c r="C1263" i="4"/>
  <c r="D1263" i="4"/>
  <c r="A1264" i="4"/>
  <c r="B1264" i="4"/>
  <c r="C1264" i="4"/>
  <c r="D1264" i="4"/>
  <c r="A1265" i="4"/>
  <c r="B1265" i="4"/>
  <c r="C1265" i="4"/>
  <c r="D1265" i="4"/>
  <c r="A1266" i="4"/>
  <c r="B1266" i="4"/>
  <c r="C1266" i="4"/>
  <c r="D1266" i="4"/>
  <c r="A1267" i="4"/>
  <c r="B1267" i="4"/>
  <c r="C1267" i="4"/>
  <c r="D1267" i="4"/>
  <c r="A1268" i="4"/>
  <c r="B1268" i="4"/>
  <c r="C1268" i="4"/>
  <c r="D1268" i="4"/>
  <c r="A1269" i="4"/>
  <c r="B1269" i="4"/>
  <c r="C1269" i="4"/>
  <c r="D1269" i="4"/>
  <c r="A1270" i="4"/>
  <c r="B1270" i="4"/>
  <c r="C1270" i="4"/>
  <c r="D1270" i="4"/>
  <c r="A1271" i="4"/>
  <c r="B1271" i="4"/>
  <c r="C1271" i="4"/>
  <c r="D1271" i="4"/>
  <c r="A1272" i="4"/>
  <c r="B1272" i="4"/>
  <c r="C1272" i="4"/>
  <c r="D1272" i="4"/>
  <c r="A1273" i="4"/>
  <c r="B1273" i="4"/>
  <c r="C1273" i="4"/>
  <c r="D1273" i="4"/>
  <c r="A1274" i="4"/>
  <c r="B1274" i="4"/>
  <c r="C1274" i="4"/>
  <c r="D1274" i="4"/>
  <c r="A1275" i="4"/>
  <c r="B1275" i="4"/>
  <c r="C1275" i="4"/>
  <c r="D1275" i="4"/>
  <c r="A1276" i="4"/>
  <c r="B1276" i="4"/>
  <c r="C1276" i="4"/>
  <c r="D1276" i="4"/>
  <c r="A1277" i="4"/>
  <c r="B1277" i="4"/>
  <c r="C1277" i="4"/>
  <c r="D1277" i="4"/>
  <c r="A1278" i="4"/>
  <c r="B1278" i="4"/>
  <c r="C1278" i="4"/>
  <c r="D1278" i="4"/>
  <c r="A1279" i="4"/>
  <c r="B1279" i="4"/>
  <c r="C1279" i="4"/>
  <c r="D1279" i="4"/>
  <c r="A1280" i="4"/>
  <c r="B1280" i="4"/>
  <c r="C1280" i="4"/>
  <c r="D1280" i="4"/>
  <c r="A1281" i="4"/>
  <c r="B1281" i="4"/>
  <c r="C1281" i="4"/>
  <c r="D1281" i="4"/>
  <c r="A1282" i="4"/>
  <c r="B1282" i="4"/>
  <c r="C1282" i="4"/>
  <c r="D1282" i="4"/>
  <c r="A1283" i="4"/>
  <c r="B1283" i="4"/>
  <c r="C1283" i="4"/>
  <c r="D1283" i="4"/>
  <c r="A1284" i="4"/>
  <c r="B1284" i="4"/>
  <c r="C1284" i="4"/>
  <c r="D1284" i="4"/>
  <c r="A1285" i="4"/>
  <c r="B1285" i="4"/>
  <c r="C1285" i="4"/>
  <c r="D1285" i="4"/>
  <c r="A1286" i="4"/>
  <c r="B1286" i="4"/>
  <c r="C1286" i="4"/>
  <c r="D1286" i="4"/>
  <c r="A1287" i="4"/>
  <c r="B1287" i="4"/>
  <c r="C1287" i="4"/>
  <c r="D1287" i="4"/>
  <c r="A1288" i="4"/>
  <c r="B1288" i="4"/>
  <c r="C1288" i="4"/>
  <c r="D1288" i="4"/>
  <c r="A1289" i="4"/>
  <c r="B1289" i="4"/>
  <c r="C1289" i="4"/>
  <c r="D1289" i="4"/>
  <c r="A1290" i="4"/>
  <c r="B1290" i="4"/>
  <c r="C1290" i="4"/>
  <c r="D1290" i="4"/>
  <c r="A1291" i="4"/>
  <c r="B1291" i="4"/>
  <c r="C1291" i="4"/>
  <c r="D1291" i="4"/>
  <c r="A1292" i="4"/>
  <c r="B1292" i="4"/>
  <c r="C1292" i="4"/>
  <c r="D1292" i="4"/>
  <c r="A1293" i="4"/>
  <c r="B1293" i="4"/>
  <c r="C1293" i="4"/>
  <c r="D1293" i="4"/>
  <c r="A1294" i="4"/>
  <c r="B1294" i="4"/>
  <c r="C1294" i="4"/>
  <c r="D1294" i="4"/>
  <c r="A1295" i="4"/>
  <c r="B1295" i="4"/>
  <c r="C1295" i="4"/>
  <c r="D1295" i="4"/>
  <c r="A1296" i="4"/>
  <c r="B1296" i="4"/>
  <c r="C1296" i="4"/>
  <c r="D1296" i="4"/>
  <c r="A1297" i="4"/>
  <c r="B1297" i="4"/>
  <c r="C1297" i="4"/>
  <c r="D1297" i="4"/>
  <c r="A1298" i="4"/>
  <c r="B1298" i="4"/>
  <c r="C1298" i="4"/>
  <c r="D1298" i="4"/>
  <c r="A1299" i="4"/>
  <c r="B1299" i="4"/>
  <c r="C1299" i="4"/>
  <c r="D1299" i="4"/>
  <c r="A1300" i="4"/>
  <c r="B1300" i="4"/>
  <c r="C1300" i="4"/>
  <c r="D1300" i="4"/>
  <c r="A1301" i="4"/>
  <c r="B1301" i="4"/>
  <c r="C1301" i="4"/>
  <c r="D1301" i="4"/>
  <c r="A1302" i="4"/>
  <c r="B1302" i="4"/>
  <c r="C1302" i="4"/>
  <c r="D1302" i="4"/>
  <c r="A1303" i="4"/>
  <c r="B1303" i="4"/>
  <c r="C1303" i="4"/>
  <c r="D1303" i="4"/>
  <c r="A1304" i="4"/>
  <c r="B1304" i="4"/>
  <c r="C1304" i="4"/>
  <c r="D1304" i="4"/>
  <c r="A1305" i="4"/>
  <c r="B1305" i="4"/>
  <c r="C1305" i="4"/>
  <c r="D1305" i="4"/>
  <c r="A1306" i="4"/>
  <c r="B1306" i="4"/>
  <c r="C1306" i="4"/>
  <c r="D1306" i="4"/>
  <c r="A1307" i="4"/>
  <c r="B1307" i="4"/>
  <c r="C1307" i="4"/>
  <c r="D1307" i="4"/>
  <c r="A1308" i="4"/>
  <c r="B1308" i="4"/>
  <c r="C1308" i="4"/>
  <c r="D1308" i="4"/>
  <c r="A1309" i="4"/>
  <c r="B1309" i="4"/>
  <c r="C1309" i="4"/>
  <c r="D1309" i="4"/>
  <c r="A1310" i="4"/>
  <c r="B1310" i="4"/>
  <c r="C1310" i="4"/>
  <c r="D1310" i="4"/>
  <c r="A1311" i="4"/>
  <c r="B1311" i="4"/>
  <c r="C1311" i="4"/>
  <c r="D1311" i="4"/>
  <c r="A1312" i="4"/>
  <c r="B1312" i="4"/>
  <c r="C1312" i="4"/>
  <c r="D1312" i="4"/>
  <c r="A1313" i="4"/>
  <c r="B1313" i="4"/>
  <c r="C1313" i="4"/>
  <c r="D1313" i="4"/>
  <c r="A1314" i="4"/>
  <c r="B1314" i="4"/>
  <c r="C1314" i="4"/>
  <c r="D1314" i="4"/>
  <c r="A1315" i="4"/>
  <c r="B1315" i="4"/>
  <c r="C1315" i="4"/>
  <c r="D1315" i="4"/>
  <c r="A1316" i="4"/>
  <c r="B1316" i="4"/>
  <c r="C1316" i="4"/>
  <c r="D1316" i="4"/>
  <c r="A1317" i="4"/>
  <c r="B1317" i="4"/>
  <c r="C1317" i="4"/>
  <c r="D1317" i="4"/>
  <c r="A1318" i="4"/>
  <c r="B1318" i="4"/>
  <c r="C1318" i="4"/>
  <c r="D1318" i="4"/>
  <c r="A1319" i="4"/>
  <c r="B1319" i="4"/>
  <c r="C1319" i="4"/>
  <c r="D1319" i="4"/>
  <c r="A1320" i="4"/>
  <c r="B1320" i="4"/>
  <c r="C1320" i="4"/>
  <c r="D1320" i="4"/>
  <c r="A1321" i="4"/>
  <c r="B1321" i="4"/>
  <c r="C1321" i="4"/>
  <c r="D1321" i="4"/>
  <c r="A1322" i="4"/>
  <c r="B1322" i="4"/>
  <c r="C1322" i="4"/>
  <c r="D1322" i="4"/>
  <c r="A1323" i="4"/>
  <c r="B1323" i="4"/>
  <c r="C1323" i="4"/>
  <c r="D1323" i="4"/>
  <c r="A1324" i="4"/>
  <c r="B1324" i="4"/>
  <c r="C1324" i="4"/>
  <c r="D1324" i="4"/>
  <c r="A1325" i="4"/>
  <c r="B1325" i="4"/>
  <c r="C1325" i="4"/>
  <c r="D1325" i="4"/>
  <c r="A1326" i="4"/>
  <c r="B1326" i="4"/>
  <c r="C1326" i="4"/>
  <c r="D1326" i="4"/>
  <c r="A1327" i="4"/>
  <c r="B1327" i="4"/>
  <c r="C1327" i="4"/>
  <c r="D1327" i="4"/>
  <c r="A1328" i="4"/>
  <c r="B1328" i="4"/>
  <c r="C1328" i="4"/>
  <c r="D1328" i="4"/>
  <c r="A1329" i="4"/>
  <c r="B1329" i="4"/>
  <c r="C1329" i="4"/>
  <c r="D1329" i="4"/>
  <c r="A1330" i="4"/>
  <c r="B1330" i="4"/>
  <c r="C1330" i="4"/>
  <c r="D1330" i="4"/>
  <c r="A1331" i="4"/>
  <c r="B1331" i="4"/>
  <c r="C1331" i="4"/>
  <c r="D1331" i="4"/>
  <c r="A1332" i="4"/>
  <c r="B1332" i="4"/>
  <c r="C1332" i="4"/>
  <c r="D1332" i="4"/>
  <c r="A1333" i="4"/>
  <c r="B1333" i="4"/>
  <c r="C1333" i="4"/>
  <c r="D1333" i="4"/>
  <c r="A1334" i="4"/>
  <c r="B1334" i="4"/>
  <c r="C1334" i="4"/>
  <c r="D1334" i="4"/>
  <c r="A1335" i="4"/>
  <c r="B1335" i="4"/>
  <c r="C1335" i="4"/>
  <c r="D1335" i="4"/>
  <c r="A1336" i="4"/>
  <c r="B1336" i="4"/>
  <c r="C1336" i="4"/>
  <c r="D1336" i="4"/>
  <c r="A1337" i="4"/>
  <c r="B1337" i="4"/>
  <c r="C1337" i="4"/>
  <c r="D1337" i="4"/>
  <c r="A1338" i="4"/>
  <c r="B1338" i="4"/>
  <c r="C1338" i="4"/>
  <c r="D1338" i="4"/>
  <c r="A1339" i="4"/>
  <c r="B1339" i="4"/>
  <c r="C1339" i="4"/>
  <c r="D1339" i="4"/>
  <c r="A1340" i="4"/>
  <c r="B1340" i="4"/>
  <c r="C1340" i="4"/>
  <c r="D1340" i="4"/>
  <c r="A1341" i="4"/>
  <c r="B1341" i="4"/>
  <c r="C1341" i="4"/>
  <c r="D1341" i="4"/>
  <c r="A1342" i="4"/>
  <c r="B1342" i="4"/>
  <c r="C1342" i="4"/>
  <c r="D1342" i="4"/>
  <c r="A1343" i="4"/>
  <c r="B1343" i="4"/>
  <c r="C1343" i="4"/>
  <c r="D1343" i="4"/>
  <c r="A1344" i="4"/>
  <c r="B1344" i="4"/>
  <c r="C1344" i="4"/>
  <c r="D1344" i="4"/>
  <c r="A1345" i="4"/>
  <c r="B1345" i="4"/>
  <c r="C1345" i="4"/>
  <c r="D1345" i="4"/>
  <c r="A1346" i="4"/>
  <c r="B1346" i="4"/>
  <c r="C1346" i="4"/>
  <c r="D1346" i="4"/>
  <c r="A1347" i="4"/>
  <c r="B1347" i="4"/>
  <c r="C1347" i="4"/>
  <c r="D1347" i="4"/>
  <c r="A1348" i="4"/>
  <c r="B1348" i="4"/>
  <c r="C1348" i="4"/>
  <c r="D1348" i="4"/>
  <c r="A1349" i="4"/>
  <c r="B1349" i="4"/>
  <c r="C1349" i="4"/>
  <c r="D1349" i="4"/>
  <c r="A1350" i="4"/>
  <c r="B1350" i="4"/>
  <c r="C1350" i="4"/>
  <c r="D1350" i="4"/>
  <c r="A1351" i="4"/>
  <c r="B1351" i="4"/>
  <c r="C1351" i="4"/>
  <c r="D1351" i="4"/>
  <c r="A1352" i="4"/>
  <c r="B1352" i="4"/>
  <c r="C1352" i="4"/>
  <c r="D1352" i="4"/>
  <c r="A1353" i="4"/>
  <c r="B1353" i="4"/>
  <c r="C1353" i="4"/>
  <c r="D1353" i="4"/>
  <c r="A1354" i="4"/>
  <c r="B1354" i="4"/>
  <c r="C1354" i="4"/>
  <c r="D1354" i="4"/>
  <c r="A1355" i="4"/>
  <c r="B1355" i="4"/>
  <c r="C1355" i="4"/>
  <c r="D1355" i="4"/>
  <c r="A1356" i="4"/>
  <c r="B1356" i="4"/>
  <c r="C1356" i="4"/>
  <c r="D1356" i="4"/>
  <c r="A1357" i="4"/>
  <c r="B1357" i="4"/>
  <c r="C1357" i="4"/>
  <c r="D1357" i="4"/>
  <c r="A1358" i="4"/>
  <c r="B1358" i="4"/>
  <c r="C1358" i="4"/>
  <c r="D1358" i="4"/>
  <c r="A1359" i="4"/>
  <c r="B1359" i="4"/>
  <c r="C1359" i="4"/>
  <c r="D1359" i="4"/>
  <c r="A1360" i="4"/>
  <c r="B1360" i="4"/>
  <c r="C1360" i="4"/>
  <c r="D1360" i="4"/>
  <c r="A1361" i="4"/>
  <c r="B1361" i="4"/>
  <c r="C1361" i="4"/>
  <c r="D1361" i="4"/>
  <c r="A1362" i="4"/>
  <c r="B1362" i="4"/>
  <c r="C1362" i="4"/>
  <c r="D1362" i="4"/>
  <c r="A1363" i="4"/>
  <c r="B1363" i="4"/>
  <c r="C1363" i="4"/>
  <c r="D1363" i="4"/>
  <c r="A1364" i="4"/>
  <c r="B1364" i="4"/>
  <c r="C1364" i="4"/>
  <c r="D1364" i="4"/>
  <c r="A1365" i="4"/>
  <c r="B1365" i="4"/>
  <c r="C1365" i="4"/>
  <c r="D1365" i="4"/>
  <c r="A1366" i="4"/>
  <c r="B1366" i="4"/>
  <c r="C1366" i="4"/>
  <c r="D1366" i="4"/>
  <c r="A1367" i="4"/>
  <c r="B1367" i="4"/>
  <c r="C1367" i="4"/>
  <c r="D1367" i="4"/>
  <c r="A1368" i="4"/>
  <c r="B1368" i="4"/>
  <c r="C1368" i="4"/>
  <c r="D1368" i="4"/>
  <c r="A1369" i="4"/>
  <c r="B1369" i="4"/>
  <c r="C1369" i="4"/>
  <c r="D1369" i="4"/>
  <c r="A1370" i="4"/>
  <c r="B1370" i="4"/>
  <c r="C1370" i="4"/>
  <c r="D1370" i="4"/>
  <c r="A1371" i="4"/>
  <c r="B1371" i="4"/>
  <c r="C1371" i="4"/>
  <c r="D1371" i="4"/>
  <c r="A1372" i="4"/>
  <c r="B1372" i="4"/>
  <c r="C1372" i="4"/>
  <c r="D1372" i="4"/>
  <c r="A1373" i="4"/>
  <c r="B1373" i="4"/>
  <c r="C1373" i="4"/>
  <c r="D1373" i="4"/>
  <c r="A1374" i="4"/>
  <c r="B1374" i="4"/>
  <c r="C1374" i="4"/>
  <c r="D1374" i="4"/>
  <c r="A1375" i="4"/>
  <c r="B1375" i="4"/>
  <c r="C1375" i="4"/>
  <c r="D1375" i="4"/>
  <c r="A1376" i="4"/>
  <c r="B1376" i="4"/>
  <c r="C1376" i="4"/>
  <c r="D1376" i="4"/>
  <c r="A1377" i="4"/>
  <c r="B1377" i="4"/>
  <c r="C1377" i="4"/>
  <c r="D1377" i="4"/>
  <c r="A1378" i="4"/>
  <c r="B1378" i="4"/>
  <c r="C1378" i="4"/>
  <c r="D1378" i="4"/>
  <c r="A1379" i="4"/>
  <c r="B1379" i="4"/>
  <c r="C1379" i="4"/>
  <c r="D1379" i="4"/>
  <c r="A1380" i="4"/>
  <c r="B1380" i="4"/>
  <c r="C1380" i="4"/>
  <c r="D1380" i="4"/>
  <c r="A1381" i="4"/>
  <c r="B1381" i="4"/>
  <c r="C1381" i="4"/>
  <c r="D1381" i="4"/>
  <c r="A1382" i="4"/>
  <c r="B1382" i="4"/>
  <c r="C1382" i="4"/>
  <c r="D1382" i="4"/>
  <c r="A1383" i="4"/>
  <c r="B1383" i="4"/>
  <c r="C1383" i="4"/>
  <c r="D1383" i="4"/>
  <c r="A1384" i="4"/>
  <c r="B1384" i="4"/>
  <c r="C1384" i="4"/>
  <c r="D1384" i="4"/>
  <c r="A1385" i="4"/>
  <c r="B1385" i="4"/>
  <c r="C1385" i="4"/>
  <c r="D1385" i="4"/>
  <c r="A1386" i="4"/>
  <c r="B1386" i="4"/>
  <c r="C1386" i="4"/>
  <c r="D1386" i="4"/>
  <c r="A1387" i="4"/>
  <c r="B1387" i="4"/>
  <c r="C1387" i="4"/>
  <c r="D1387" i="4"/>
  <c r="A1388" i="4"/>
  <c r="B1388" i="4"/>
  <c r="C1388" i="4"/>
  <c r="D1388" i="4"/>
  <c r="A1389" i="4"/>
  <c r="B1389" i="4"/>
  <c r="C1389" i="4"/>
  <c r="D1389" i="4"/>
  <c r="A1390" i="4"/>
  <c r="B1390" i="4"/>
  <c r="C1390" i="4"/>
  <c r="D1390" i="4"/>
  <c r="A1391" i="4"/>
  <c r="B1391" i="4"/>
  <c r="C1391" i="4"/>
  <c r="D1391" i="4"/>
  <c r="A1392" i="4"/>
  <c r="B1392" i="4"/>
  <c r="C1392" i="4"/>
  <c r="D1392" i="4"/>
  <c r="A1393" i="4"/>
  <c r="B1393" i="4"/>
  <c r="C1393" i="4"/>
  <c r="D1393" i="4"/>
  <c r="A1394" i="4"/>
  <c r="B1394" i="4"/>
  <c r="C1394" i="4"/>
  <c r="D1394" i="4"/>
  <c r="A1395" i="4"/>
  <c r="B1395" i="4"/>
  <c r="C1395" i="4"/>
  <c r="D1395" i="4"/>
  <c r="A1396" i="4"/>
  <c r="B1396" i="4"/>
  <c r="C1396" i="4"/>
  <c r="D1396" i="4"/>
  <c r="A1397" i="4"/>
  <c r="B1397" i="4"/>
  <c r="C1397" i="4"/>
  <c r="D1397" i="4"/>
  <c r="A1398" i="4"/>
  <c r="B1398" i="4"/>
  <c r="C1398" i="4"/>
  <c r="D1398" i="4"/>
  <c r="A1399" i="4"/>
  <c r="B1399" i="4"/>
  <c r="C1399" i="4"/>
  <c r="D1399" i="4"/>
  <c r="A1400" i="4"/>
  <c r="B1400" i="4"/>
  <c r="C1400" i="4"/>
  <c r="D1400" i="4"/>
  <c r="A1401" i="4"/>
  <c r="B1401" i="4"/>
  <c r="C1401" i="4"/>
  <c r="D1401" i="4"/>
  <c r="A1402" i="4"/>
  <c r="B1402" i="4"/>
  <c r="C1402" i="4"/>
  <c r="D1402" i="4"/>
  <c r="A1403" i="4"/>
  <c r="B1403" i="4"/>
  <c r="C1403" i="4"/>
  <c r="D1403" i="4"/>
  <c r="A1404" i="4"/>
  <c r="B1404" i="4"/>
  <c r="C1404" i="4"/>
  <c r="D1404" i="4"/>
  <c r="A1405" i="4"/>
  <c r="B1405" i="4"/>
  <c r="C1405" i="4"/>
  <c r="D1405" i="4"/>
  <c r="A1406" i="4"/>
  <c r="B1406" i="4"/>
  <c r="C1406" i="4"/>
  <c r="D1406" i="4"/>
  <c r="A1407" i="4"/>
  <c r="B1407" i="4"/>
  <c r="C1407" i="4"/>
  <c r="D1407" i="4"/>
  <c r="A1408" i="4"/>
  <c r="B1408" i="4"/>
  <c r="C1408" i="4"/>
  <c r="D1408" i="4"/>
  <c r="A1409" i="4"/>
  <c r="B1409" i="4"/>
  <c r="C1409" i="4"/>
  <c r="D1409" i="4"/>
  <c r="A1410" i="4"/>
  <c r="B1410" i="4"/>
  <c r="C1410" i="4"/>
  <c r="D1410" i="4"/>
  <c r="A1411" i="4"/>
  <c r="B1411" i="4"/>
  <c r="C1411" i="4"/>
  <c r="D1411" i="4"/>
  <c r="A1412" i="4"/>
  <c r="B1412" i="4"/>
  <c r="C1412" i="4"/>
  <c r="D1412" i="4"/>
  <c r="A1413" i="4"/>
  <c r="B1413" i="4"/>
  <c r="C1413" i="4"/>
  <c r="D1413" i="4"/>
  <c r="A1414" i="4"/>
  <c r="B1414" i="4"/>
  <c r="C1414" i="4"/>
  <c r="D1414" i="4"/>
  <c r="A1415" i="4"/>
  <c r="B1415" i="4"/>
  <c r="C1415" i="4"/>
  <c r="D1415" i="4"/>
  <c r="A1416" i="4"/>
  <c r="B1416" i="4"/>
  <c r="C1416" i="4"/>
  <c r="D1416" i="4"/>
  <c r="A1417" i="4"/>
  <c r="B1417" i="4"/>
  <c r="C1417" i="4"/>
  <c r="D1417" i="4"/>
  <c r="A1418" i="4"/>
  <c r="B1418" i="4"/>
  <c r="C1418" i="4"/>
  <c r="D1418" i="4"/>
  <c r="A1419" i="4"/>
  <c r="B1419" i="4"/>
  <c r="C1419" i="4"/>
  <c r="D1419" i="4"/>
  <c r="A1420" i="4"/>
  <c r="B1420" i="4"/>
  <c r="C1420" i="4"/>
  <c r="D1420" i="4"/>
  <c r="A1421" i="4"/>
  <c r="B1421" i="4"/>
  <c r="C1421" i="4"/>
  <c r="D1421" i="4"/>
  <c r="A1422" i="4"/>
  <c r="B1422" i="4"/>
  <c r="C1422" i="4"/>
  <c r="D1422" i="4"/>
  <c r="A1423" i="4"/>
  <c r="B1423" i="4"/>
  <c r="C1423" i="4"/>
  <c r="D1423" i="4"/>
  <c r="A1424" i="4"/>
  <c r="B1424" i="4"/>
  <c r="C1424" i="4"/>
  <c r="D1424" i="4"/>
  <c r="A1425" i="4"/>
  <c r="B1425" i="4"/>
  <c r="C1425" i="4"/>
  <c r="D1425" i="4"/>
  <c r="A1426" i="4"/>
  <c r="B1426" i="4"/>
  <c r="C1426" i="4"/>
  <c r="D1426" i="4"/>
  <c r="A1427" i="4"/>
  <c r="B1427" i="4"/>
  <c r="C1427" i="4"/>
  <c r="D1427" i="4"/>
  <c r="A1428" i="4"/>
  <c r="B1428" i="4"/>
  <c r="C1428" i="4"/>
  <c r="D1428" i="4"/>
  <c r="A1429" i="4"/>
  <c r="B1429" i="4"/>
  <c r="C1429" i="4"/>
  <c r="D1429" i="4"/>
  <c r="A1430" i="4"/>
  <c r="B1430" i="4"/>
  <c r="C1430" i="4"/>
  <c r="D1430" i="4"/>
  <c r="A1431" i="4"/>
  <c r="B1431" i="4"/>
  <c r="C1431" i="4"/>
  <c r="D1431" i="4"/>
  <c r="A1432" i="4"/>
  <c r="B1432" i="4"/>
  <c r="C1432" i="4"/>
  <c r="D1432" i="4"/>
  <c r="A1433" i="4"/>
  <c r="B1433" i="4"/>
  <c r="C1433" i="4"/>
  <c r="D1433" i="4"/>
  <c r="A1434" i="4"/>
  <c r="B1434" i="4"/>
  <c r="C1434" i="4"/>
  <c r="D1434" i="4"/>
  <c r="A1435" i="4"/>
  <c r="B1435" i="4"/>
  <c r="C1435" i="4"/>
  <c r="D1435" i="4"/>
  <c r="A1436" i="4"/>
  <c r="B1436" i="4"/>
  <c r="C1436" i="4"/>
  <c r="D1436" i="4"/>
  <c r="A1437" i="4"/>
  <c r="B1437" i="4"/>
  <c r="C1437" i="4"/>
  <c r="D1437" i="4"/>
  <c r="A1438" i="4"/>
  <c r="B1438" i="4"/>
  <c r="C1438" i="4"/>
  <c r="D1438" i="4"/>
  <c r="A1439" i="4"/>
  <c r="B1439" i="4"/>
  <c r="C1439" i="4"/>
  <c r="D1439" i="4"/>
  <c r="A1440" i="4"/>
  <c r="B1440" i="4"/>
  <c r="C1440" i="4"/>
  <c r="D1440" i="4"/>
  <c r="A1441" i="4"/>
  <c r="B1441" i="4"/>
  <c r="C1441" i="4"/>
  <c r="D1441" i="4"/>
  <c r="A1442" i="4"/>
  <c r="B1442" i="4"/>
  <c r="C1442" i="4"/>
  <c r="D1442" i="4"/>
  <c r="A1443" i="4"/>
  <c r="B1443" i="4"/>
  <c r="C1443" i="4"/>
  <c r="D1443" i="4"/>
  <c r="A1444" i="4"/>
  <c r="B1444" i="4"/>
  <c r="C1444" i="4"/>
  <c r="D1444" i="4"/>
  <c r="A1445" i="4"/>
  <c r="B1445" i="4"/>
  <c r="C1445" i="4"/>
  <c r="D1445" i="4"/>
  <c r="A1446" i="4"/>
  <c r="B1446" i="4"/>
  <c r="C1446" i="4"/>
  <c r="D1446" i="4"/>
  <c r="A1447" i="4"/>
  <c r="B1447" i="4"/>
  <c r="C1447" i="4"/>
  <c r="D1447" i="4"/>
  <c r="A1448" i="4"/>
  <c r="B1448" i="4"/>
  <c r="C1448" i="4"/>
  <c r="D1448" i="4"/>
  <c r="A1449" i="4"/>
  <c r="B1449" i="4"/>
  <c r="C1449" i="4"/>
  <c r="D1449" i="4"/>
  <c r="A1450" i="4"/>
  <c r="B1450" i="4"/>
  <c r="C1450" i="4"/>
  <c r="D1450" i="4"/>
  <c r="A1451" i="4"/>
  <c r="B1451" i="4"/>
  <c r="C1451" i="4"/>
  <c r="D1451" i="4"/>
  <c r="A1452" i="4"/>
  <c r="B1452" i="4"/>
  <c r="C1452" i="4"/>
  <c r="D1452" i="4"/>
  <c r="A1453" i="4"/>
  <c r="B1453" i="4"/>
  <c r="C1453" i="4"/>
  <c r="D1453" i="4"/>
  <c r="A1454" i="4"/>
  <c r="B1454" i="4"/>
  <c r="C1454" i="4"/>
  <c r="D1454" i="4"/>
  <c r="A1455" i="4"/>
  <c r="B1455" i="4"/>
  <c r="C1455" i="4"/>
  <c r="D1455" i="4"/>
  <c r="A1456" i="4"/>
  <c r="B1456" i="4"/>
  <c r="C1456" i="4"/>
  <c r="D1456" i="4"/>
  <c r="A1457" i="4"/>
  <c r="B1457" i="4"/>
  <c r="C1457" i="4"/>
  <c r="D1457" i="4"/>
  <c r="A1458" i="4"/>
  <c r="B1458" i="4"/>
  <c r="C1458" i="4"/>
  <c r="D1458" i="4"/>
  <c r="A1459" i="4"/>
  <c r="B1459" i="4"/>
  <c r="C1459" i="4"/>
  <c r="D1459" i="4"/>
  <c r="A1460" i="4"/>
  <c r="B1460" i="4"/>
  <c r="C1460" i="4"/>
  <c r="D1460" i="4"/>
  <c r="A1461" i="4"/>
  <c r="B1461" i="4"/>
  <c r="C1461" i="4"/>
  <c r="D1461" i="4"/>
  <c r="A1462" i="4"/>
  <c r="B1462" i="4"/>
  <c r="C1462" i="4"/>
  <c r="D1462" i="4"/>
  <c r="A1463" i="4"/>
  <c r="B1463" i="4"/>
  <c r="C1463" i="4"/>
  <c r="D1463" i="4"/>
  <c r="A1464" i="4"/>
  <c r="B1464" i="4"/>
  <c r="C1464" i="4"/>
  <c r="D1464" i="4"/>
  <c r="A1465" i="4"/>
  <c r="B1465" i="4"/>
  <c r="C1465" i="4"/>
  <c r="D1465" i="4"/>
  <c r="A1466" i="4"/>
  <c r="B1466" i="4"/>
  <c r="C1466" i="4"/>
  <c r="D1466" i="4"/>
  <c r="A1467" i="4"/>
  <c r="B1467" i="4"/>
  <c r="C1467" i="4"/>
  <c r="D1467" i="4"/>
  <c r="A1468" i="4"/>
  <c r="B1468" i="4"/>
  <c r="C1468" i="4"/>
  <c r="D1468" i="4"/>
  <c r="A1469" i="4"/>
  <c r="B1469" i="4"/>
  <c r="C1469" i="4"/>
  <c r="D1469" i="4"/>
  <c r="A1470" i="4"/>
  <c r="B1470" i="4"/>
  <c r="C1470" i="4"/>
  <c r="D1470" i="4"/>
  <c r="A1471" i="4"/>
  <c r="B1471" i="4"/>
  <c r="C1471" i="4"/>
  <c r="D1471" i="4"/>
  <c r="A1472" i="4"/>
  <c r="B1472" i="4"/>
  <c r="C1472" i="4"/>
  <c r="D1472" i="4"/>
  <c r="A1473" i="4"/>
  <c r="B1473" i="4"/>
  <c r="C1473" i="4"/>
  <c r="D1473" i="4"/>
  <c r="A1474" i="4"/>
  <c r="B1474" i="4"/>
  <c r="C1474" i="4"/>
  <c r="D1474" i="4"/>
  <c r="A1475" i="4"/>
  <c r="B1475" i="4"/>
  <c r="C1475" i="4"/>
  <c r="D1475" i="4"/>
  <c r="A1476" i="4"/>
  <c r="B1476" i="4"/>
  <c r="C1476" i="4"/>
  <c r="D1476" i="4"/>
  <c r="A1477" i="4"/>
  <c r="B1477" i="4"/>
  <c r="C1477" i="4"/>
  <c r="D1477" i="4"/>
  <c r="A1478" i="4"/>
  <c r="B1478" i="4"/>
  <c r="C1478" i="4"/>
  <c r="D1478" i="4"/>
  <c r="A1479" i="4"/>
  <c r="B1479" i="4"/>
  <c r="C1479" i="4"/>
  <c r="D1479" i="4"/>
  <c r="A1480" i="4"/>
  <c r="B1480" i="4"/>
  <c r="C1480" i="4"/>
  <c r="D1480" i="4"/>
  <c r="A1481" i="4"/>
  <c r="B1481" i="4"/>
  <c r="C1481" i="4"/>
  <c r="D1481" i="4"/>
  <c r="A1482" i="4"/>
  <c r="B1482" i="4"/>
  <c r="C1482" i="4"/>
  <c r="D1482" i="4"/>
  <c r="A1483" i="4"/>
  <c r="B1483" i="4"/>
  <c r="C1483" i="4"/>
  <c r="D1483" i="4"/>
  <c r="A1484" i="4"/>
  <c r="B1484" i="4"/>
  <c r="C1484" i="4"/>
  <c r="D1484" i="4"/>
  <c r="A1485" i="4"/>
  <c r="B1485" i="4"/>
  <c r="C1485" i="4"/>
  <c r="D1485" i="4"/>
  <c r="A1486" i="4"/>
  <c r="B1486" i="4"/>
  <c r="C1486" i="4"/>
  <c r="D1486" i="4"/>
  <c r="A1487" i="4"/>
  <c r="B1487" i="4"/>
  <c r="C1487" i="4"/>
  <c r="D1487" i="4"/>
  <c r="A1488" i="4"/>
  <c r="B1488" i="4"/>
  <c r="C1488" i="4"/>
  <c r="D1488" i="4"/>
  <c r="A1489" i="4"/>
  <c r="B1489" i="4"/>
  <c r="C1489" i="4"/>
  <c r="D1489" i="4"/>
  <c r="A1490" i="4"/>
  <c r="B1490" i="4"/>
  <c r="C1490" i="4"/>
  <c r="D1490" i="4"/>
  <c r="A1491" i="4"/>
  <c r="B1491" i="4"/>
  <c r="C1491" i="4"/>
  <c r="D1491" i="4"/>
  <c r="A1492" i="4"/>
  <c r="B1492" i="4"/>
  <c r="C1492" i="4"/>
  <c r="D1492" i="4"/>
  <c r="A1493" i="4"/>
  <c r="B1493" i="4"/>
  <c r="C1493" i="4"/>
  <c r="D1493" i="4"/>
  <c r="A1494" i="4"/>
  <c r="B1494" i="4"/>
  <c r="C1494" i="4"/>
  <c r="D1494" i="4"/>
  <c r="A1495" i="4"/>
  <c r="B1495" i="4"/>
  <c r="C1495" i="4"/>
  <c r="D1495" i="4"/>
  <c r="A1496" i="4"/>
  <c r="B1496" i="4"/>
  <c r="C1496" i="4"/>
  <c r="D1496" i="4"/>
  <c r="A1497" i="4"/>
  <c r="B1497" i="4"/>
  <c r="C1497" i="4"/>
  <c r="D1497" i="4"/>
  <c r="A1498" i="4"/>
  <c r="B1498" i="4"/>
  <c r="C1498" i="4"/>
  <c r="D1498" i="4"/>
  <c r="A1499" i="4"/>
  <c r="B1499" i="4"/>
  <c r="C1499" i="4"/>
  <c r="D1499" i="4"/>
  <c r="A1500" i="4"/>
  <c r="B1500" i="4"/>
  <c r="C1500" i="4"/>
  <c r="D1500" i="4"/>
  <c r="A1501" i="4"/>
  <c r="B1501" i="4"/>
  <c r="C1501" i="4"/>
  <c r="D1501" i="4"/>
  <c r="A1502" i="4"/>
  <c r="B1502" i="4"/>
  <c r="C1502" i="4"/>
  <c r="D1502" i="4"/>
  <c r="A1503" i="4"/>
  <c r="B1503" i="4"/>
  <c r="C1503" i="4"/>
  <c r="D1503" i="4"/>
  <c r="A1504" i="4"/>
  <c r="B1504" i="4"/>
  <c r="C1504" i="4"/>
  <c r="D1504" i="4"/>
  <c r="A755" i="4"/>
  <c r="B755" i="4"/>
  <c r="C755" i="4"/>
  <c r="D755" i="4"/>
  <c r="A756" i="4"/>
  <c r="B756" i="4"/>
  <c r="C756" i="4"/>
  <c r="D756" i="4"/>
  <c r="A757" i="4"/>
  <c r="B757" i="4"/>
  <c r="C757" i="4"/>
  <c r="D757" i="4"/>
  <c r="A758" i="4"/>
  <c r="B758" i="4"/>
  <c r="C758" i="4"/>
  <c r="D758" i="4"/>
  <c r="A759" i="4"/>
  <c r="B759" i="4"/>
  <c r="C759" i="4"/>
  <c r="D759" i="4"/>
  <c r="A760" i="4"/>
  <c r="B760" i="4"/>
  <c r="C760" i="4"/>
  <c r="D760" i="4"/>
  <c r="A761" i="4"/>
  <c r="B761" i="4"/>
  <c r="C761" i="4"/>
  <c r="D761" i="4"/>
  <c r="A762" i="4"/>
  <c r="B762" i="4"/>
  <c r="C762" i="4"/>
  <c r="D762" i="4"/>
  <c r="A763" i="4"/>
  <c r="B763" i="4"/>
  <c r="C763" i="4"/>
  <c r="D763" i="4"/>
  <c r="A764" i="4"/>
  <c r="B764" i="4"/>
  <c r="C764" i="4"/>
  <c r="D764" i="4"/>
  <c r="A765" i="4"/>
  <c r="B765" i="4"/>
  <c r="C765" i="4"/>
  <c r="D765" i="4"/>
  <c r="A766" i="4"/>
  <c r="B766" i="4"/>
  <c r="C766" i="4"/>
  <c r="D766" i="4"/>
  <c r="A767" i="4"/>
  <c r="B767" i="4"/>
  <c r="C767" i="4"/>
  <c r="D767" i="4"/>
  <c r="A768" i="4"/>
  <c r="B768" i="4"/>
  <c r="C768" i="4"/>
  <c r="D768" i="4"/>
  <c r="A769" i="4"/>
  <c r="B769" i="4"/>
  <c r="C769" i="4"/>
  <c r="D769" i="4"/>
  <c r="A770" i="4"/>
  <c r="B770" i="4"/>
  <c r="C770" i="4"/>
  <c r="D770" i="4"/>
  <c r="A771" i="4"/>
  <c r="B771" i="4"/>
  <c r="C771" i="4"/>
  <c r="D771" i="4"/>
  <c r="A772" i="4"/>
  <c r="B772" i="4"/>
  <c r="C772" i="4"/>
  <c r="D772" i="4"/>
  <c r="A773" i="4"/>
  <c r="B773" i="4"/>
  <c r="C773" i="4"/>
  <c r="D773" i="4"/>
  <c r="A774" i="4"/>
  <c r="B774" i="4"/>
  <c r="C774" i="4"/>
  <c r="D774" i="4"/>
  <c r="A775" i="4"/>
  <c r="B775" i="4"/>
  <c r="C775" i="4"/>
  <c r="D775" i="4"/>
  <c r="A776" i="4"/>
  <c r="B776" i="4"/>
  <c r="C776" i="4"/>
  <c r="D776" i="4"/>
  <c r="A777" i="4"/>
  <c r="B777" i="4"/>
  <c r="C777" i="4"/>
  <c r="D777" i="4"/>
  <c r="A778" i="4"/>
  <c r="B778" i="4"/>
  <c r="C778" i="4"/>
  <c r="D778" i="4"/>
  <c r="A779" i="4"/>
  <c r="B779" i="4"/>
  <c r="C779" i="4"/>
  <c r="D779" i="4"/>
  <c r="A780" i="4"/>
  <c r="B780" i="4"/>
  <c r="C780" i="4"/>
  <c r="D780" i="4"/>
  <c r="A781" i="4"/>
  <c r="B781" i="4"/>
  <c r="C781" i="4"/>
  <c r="D781" i="4"/>
  <c r="A782" i="4"/>
  <c r="B782" i="4"/>
  <c r="C782" i="4"/>
  <c r="D782" i="4"/>
  <c r="A783" i="4"/>
  <c r="B783" i="4"/>
  <c r="C783" i="4"/>
  <c r="D783" i="4"/>
  <c r="A784" i="4"/>
  <c r="B784" i="4"/>
  <c r="C784" i="4"/>
  <c r="D784" i="4"/>
  <c r="A785" i="4"/>
  <c r="B785" i="4"/>
  <c r="C785" i="4"/>
  <c r="D785" i="4"/>
  <c r="A786" i="4"/>
  <c r="B786" i="4"/>
  <c r="C786" i="4"/>
  <c r="D786" i="4"/>
  <c r="A787" i="4"/>
  <c r="B787" i="4"/>
  <c r="C787" i="4"/>
  <c r="D787" i="4"/>
  <c r="A788" i="4"/>
  <c r="B788" i="4"/>
  <c r="C788" i="4"/>
  <c r="D788" i="4"/>
  <c r="A789" i="4"/>
  <c r="B789" i="4"/>
  <c r="C789" i="4"/>
  <c r="D789" i="4"/>
  <c r="A790" i="4"/>
  <c r="B790" i="4"/>
  <c r="C790" i="4"/>
  <c r="D790" i="4"/>
  <c r="A791" i="4"/>
  <c r="B791" i="4"/>
  <c r="C791" i="4"/>
  <c r="D791" i="4"/>
  <c r="A792" i="4"/>
  <c r="B792" i="4"/>
  <c r="C792" i="4"/>
  <c r="D792" i="4"/>
  <c r="A793" i="4"/>
  <c r="B793" i="4"/>
  <c r="C793" i="4"/>
  <c r="D793" i="4"/>
  <c r="A794" i="4"/>
  <c r="B794" i="4"/>
  <c r="C794" i="4"/>
  <c r="D794" i="4"/>
  <c r="A795" i="4"/>
  <c r="B795" i="4"/>
  <c r="C795" i="4"/>
  <c r="D795" i="4"/>
  <c r="A796" i="4"/>
  <c r="B796" i="4"/>
  <c r="C796" i="4"/>
  <c r="D796" i="4"/>
  <c r="A797" i="4"/>
  <c r="B797" i="4"/>
  <c r="C797" i="4"/>
  <c r="D797" i="4"/>
  <c r="A798" i="4"/>
  <c r="B798" i="4"/>
  <c r="C798" i="4"/>
  <c r="D798" i="4"/>
  <c r="A799" i="4"/>
  <c r="B799" i="4"/>
  <c r="C799" i="4"/>
  <c r="D799" i="4"/>
  <c r="A800" i="4"/>
  <c r="B800" i="4"/>
  <c r="C800" i="4"/>
  <c r="D800" i="4"/>
  <c r="A801" i="4"/>
  <c r="B801" i="4"/>
  <c r="C801" i="4"/>
  <c r="D801" i="4"/>
  <c r="A802" i="4"/>
  <c r="B802" i="4"/>
  <c r="C802" i="4"/>
  <c r="D802" i="4"/>
  <c r="A803" i="4"/>
  <c r="B803" i="4"/>
  <c r="C803" i="4"/>
  <c r="D803" i="4"/>
  <c r="A804" i="4"/>
  <c r="B804" i="4"/>
  <c r="C804" i="4"/>
  <c r="D804" i="4"/>
  <c r="A805" i="4"/>
  <c r="B805" i="4"/>
  <c r="C805" i="4"/>
  <c r="D805" i="4"/>
  <c r="A806" i="4"/>
  <c r="B806" i="4"/>
  <c r="C806" i="4"/>
  <c r="D806" i="4"/>
  <c r="A807" i="4"/>
  <c r="B807" i="4"/>
  <c r="C807" i="4"/>
  <c r="D807" i="4"/>
  <c r="A808" i="4"/>
  <c r="B808" i="4"/>
  <c r="C808" i="4"/>
  <c r="D808" i="4"/>
  <c r="A809" i="4"/>
  <c r="B809" i="4"/>
  <c r="C809" i="4"/>
  <c r="D809" i="4"/>
  <c r="A810" i="4"/>
  <c r="B810" i="4"/>
  <c r="C810" i="4"/>
  <c r="D810" i="4"/>
  <c r="A811" i="4"/>
  <c r="B811" i="4"/>
  <c r="C811" i="4"/>
  <c r="D811" i="4"/>
  <c r="A812" i="4"/>
  <c r="B812" i="4"/>
  <c r="C812" i="4"/>
  <c r="D812" i="4"/>
  <c r="A813" i="4"/>
  <c r="B813" i="4"/>
  <c r="C813" i="4"/>
  <c r="D813" i="4"/>
  <c r="A814" i="4"/>
  <c r="B814" i="4"/>
  <c r="C814" i="4"/>
  <c r="D814" i="4"/>
  <c r="A815" i="4"/>
  <c r="B815" i="4"/>
  <c r="C815" i="4"/>
  <c r="D815" i="4"/>
  <c r="A816" i="4"/>
  <c r="B816" i="4"/>
  <c r="C816" i="4"/>
  <c r="D816" i="4"/>
  <c r="A817" i="4"/>
  <c r="B817" i="4"/>
  <c r="C817" i="4"/>
  <c r="D817" i="4"/>
  <c r="A818" i="4"/>
  <c r="B818" i="4"/>
  <c r="C818" i="4"/>
  <c r="D818" i="4"/>
  <c r="A819" i="4"/>
  <c r="B819" i="4"/>
  <c r="C819" i="4"/>
  <c r="D819" i="4"/>
  <c r="A820" i="4"/>
  <c r="B820" i="4"/>
  <c r="C820" i="4"/>
  <c r="D820" i="4"/>
  <c r="A821" i="4"/>
  <c r="B821" i="4"/>
  <c r="C821" i="4"/>
  <c r="D821" i="4"/>
  <c r="A822" i="4"/>
  <c r="B822" i="4"/>
  <c r="C822" i="4"/>
  <c r="D822" i="4"/>
  <c r="A823" i="4"/>
  <c r="B823" i="4"/>
  <c r="C823" i="4"/>
  <c r="D823" i="4"/>
  <c r="A824" i="4"/>
  <c r="B824" i="4"/>
  <c r="C824" i="4"/>
  <c r="D824" i="4"/>
  <c r="A825" i="4"/>
  <c r="B825" i="4"/>
  <c r="C825" i="4"/>
  <c r="D825" i="4"/>
  <c r="A826" i="4"/>
  <c r="B826" i="4"/>
  <c r="C826" i="4"/>
  <c r="D826" i="4"/>
  <c r="A827" i="4"/>
  <c r="B827" i="4"/>
  <c r="C827" i="4"/>
  <c r="D827" i="4"/>
  <c r="A828" i="4"/>
  <c r="B828" i="4"/>
  <c r="C828" i="4"/>
  <c r="D828" i="4"/>
  <c r="A829" i="4"/>
  <c r="B829" i="4"/>
  <c r="C829" i="4"/>
  <c r="D829" i="4"/>
  <c r="A830" i="4"/>
  <c r="B830" i="4"/>
  <c r="C830" i="4"/>
  <c r="D830" i="4"/>
  <c r="A831" i="4"/>
  <c r="B831" i="4"/>
  <c r="C831" i="4"/>
  <c r="D831" i="4"/>
  <c r="A832" i="4"/>
  <c r="B832" i="4"/>
  <c r="C832" i="4"/>
  <c r="D832" i="4"/>
  <c r="A833" i="4"/>
  <c r="B833" i="4"/>
  <c r="C833" i="4"/>
  <c r="D833" i="4"/>
  <c r="A834" i="4"/>
  <c r="B834" i="4"/>
  <c r="C834" i="4"/>
  <c r="D834" i="4"/>
  <c r="A835" i="4"/>
  <c r="B835" i="4"/>
  <c r="C835" i="4"/>
  <c r="D835" i="4"/>
  <c r="A836" i="4"/>
  <c r="B836" i="4"/>
  <c r="C836" i="4"/>
  <c r="D836" i="4"/>
  <c r="A837" i="4"/>
  <c r="B837" i="4"/>
  <c r="C837" i="4"/>
  <c r="D837" i="4"/>
  <c r="A838" i="4"/>
  <c r="B838" i="4"/>
  <c r="C838" i="4"/>
  <c r="D838" i="4"/>
  <c r="A839" i="4"/>
  <c r="B839" i="4"/>
  <c r="C839" i="4"/>
  <c r="D839" i="4"/>
  <c r="A840" i="4"/>
  <c r="B840" i="4"/>
  <c r="C840" i="4"/>
  <c r="D840" i="4"/>
  <c r="A841" i="4"/>
  <c r="B841" i="4"/>
  <c r="C841" i="4"/>
  <c r="D841" i="4"/>
  <c r="A842" i="4"/>
  <c r="B842" i="4"/>
  <c r="C842" i="4"/>
  <c r="D842" i="4"/>
  <c r="A843" i="4"/>
  <c r="B843" i="4"/>
  <c r="C843" i="4"/>
  <c r="D843" i="4"/>
  <c r="A844" i="4"/>
  <c r="B844" i="4"/>
  <c r="C844" i="4"/>
  <c r="D844" i="4"/>
  <c r="A845" i="4"/>
  <c r="B845" i="4"/>
  <c r="C845" i="4"/>
  <c r="D845" i="4"/>
  <c r="A846" i="4"/>
  <c r="B846" i="4"/>
  <c r="C846" i="4"/>
  <c r="D846" i="4"/>
  <c r="A847" i="4"/>
  <c r="B847" i="4"/>
  <c r="C847" i="4"/>
  <c r="D847" i="4"/>
  <c r="A848" i="4"/>
  <c r="B848" i="4"/>
  <c r="C848" i="4"/>
  <c r="D848" i="4"/>
  <c r="A849" i="4"/>
  <c r="B849" i="4"/>
  <c r="C849" i="4"/>
  <c r="D849" i="4"/>
  <c r="A850" i="4"/>
  <c r="B850" i="4"/>
  <c r="C850" i="4"/>
  <c r="D850" i="4"/>
  <c r="A851" i="4"/>
  <c r="B851" i="4"/>
  <c r="C851" i="4"/>
  <c r="D851" i="4"/>
  <c r="A852" i="4"/>
  <c r="B852" i="4"/>
  <c r="C852" i="4"/>
  <c r="D852" i="4"/>
  <c r="A853" i="4"/>
  <c r="B853" i="4"/>
  <c r="C853" i="4"/>
  <c r="D853" i="4"/>
  <c r="A854" i="4"/>
  <c r="B854" i="4"/>
  <c r="C854" i="4"/>
  <c r="D854" i="4"/>
  <c r="A855" i="4"/>
  <c r="B855" i="4"/>
  <c r="C855" i="4"/>
  <c r="D855" i="4"/>
  <c r="A856" i="4"/>
  <c r="B856" i="4"/>
  <c r="C856" i="4"/>
  <c r="D856" i="4"/>
  <c r="A857" i="4"/>
  <c r="B857" i="4"/>
  <c r="C857" i="4"/>
  <c r="D857" i="4"/>
  <c r="A858" i="4"/>
  <c r="B858" i="4"/>
  <c r="C858" i="4"/>
  <c r="D858" i="4"/>
  <c r="A859" i="4"/>
  <c r="B859" i="4"/>
  <c r="C859" i="4"/>
  <c r="D859" i="4"/>
  <c r="A860" i="4"/>
  <c r="B860" i="4"/>
  <c r="C860" i="4"/>
  <c r="D860" i="4"/>
  <c r="A861" i="4"/>
  <c r="B861" i="4"/>
  <c r="C861" i="4"/>
  <c r="D861" i="4"/>
  <c r="A862" i="4"/>
  <c r="B862" i="4"/>
  <c r="C862" i="4"/>
  <c r="D862" i="4"/>
  <c r="A863" i="4"/>
  <c r="B863" i="4"/>
  <c r="C863" i="4"/>
  <c r="D863" i="4"/>
  <c r="A864" i="4"/>
  <c r="B864" i="4"/>
  <c r="C864" i="4"/>
  <c r="D864" i="4"/>
  <c r="A865" i="4"/>
  <c r="B865" i="4"/>
  <c r="C865" i="4"/>
  <c r="D865" i="4"/>
  <c r="A866" i="4"/>
  <c r="B866" i="4"/>
  <c r="C866" i="4"/>
  <c r="D866" i="4"/>
  <c r="A867" i="4"/>
  <c r="B867" i="4"/>
  <c r="C867" i="4"/>
  <c r="D867" i="4"/>
  <c r="A868" i="4"/>
  <c r="B868" i="4"/>
  <c r="C868" i="4"/>
  <c r="D868" i="4"/>
  <c r="A869" i="4"/>
  <c r="B869" i="4"/>
  <c r="C869" i="4"/>
  <c r="D869" i="4"/>
  <c r="A870" i="4"/>
  <c r="B870" i="4"/>
  <c r="C870" i="4"/>
  <c r="D870" i="4"/>
  <c r="A871" i="4"/>
  <c r="B871" i="4"/>
  <c r="C871" i="4"/>
  <c r="D871" i="4"/>
  <c r="A872" i="4"/>
  <c r="B872" i="4"/>
  <c r="C872" i="4"/>
  <c r="D872" i="4"/>
  <c r="A873" i="4"/>
  <c r="B873" i="4"/>
  <c r="C873" i="4"/>
  <c r="D873" i="4"/>
  <c r="A874" i="4"/>
  <c r="B874" i="4"/>
  <c r="C874" i="4"/>
  <c r="D874" i="4"/>
  <c r="A875" i="4"/>
  <c r="B875" i="4"/>
  <c r="C875" i="4"/>
  <c r="D875" i="4"/>
  <c r="A876" i="4"/>
  <c r="B876" i="4"/>
  <c r="C876" i="4"/>
  <c r="D876" i="4"/>
  <c r="A877" i="4"/>
  <c r="B877" i="4"/>
  <c r="C877" i="4"/>
  <c r="D877" i="4"/>
  <c r="A878" i="4"/>
  <c r="B878" i="4"/>
  <c r="C878" i="4"/>
  <c r="D878" i="4"/>
  <c r="A879" i="4"/>
  <c r="B879" i="4"/>
  <c r="C879" i="4"/>
  <c r="D879" i="4"/>
  <c r="A880" i="4"/>
  <c r="B880" i="4"/>
  <c r="C880" i="4"/>
  <c r="D880" i="4"/>
  <c r="A881" i="4"/>
  <c r="B881" i="4"/>
  <c r="C881" i="4"/>
  <c r="D881" i="4"/>
  <c r="A882" i="4"/>
  <c r="B882" i="4"/>
  <c r="C882" i="4"/>
  <c r="D882" i="4"/>
  <c r="A883" i="4"/>
  <c r="B883" i="4"/>
  <c r="C883" i="4"/>
  <c r="D883" i="4"/>
  <c r="A884" i="4"/>
  <c r="B884" i="4"/>
  <c r="C884" i="4"/>
  <c r="D884" i="4"/>
  <c r="A885" i="4"/>
  <c r="B885" i="4"/>
  <c r="C885" i="4"/>
  <c r="D885" i="4"/>
  <c r="A886" i="4"/>
  <c r="B886" i="4"/>
  <c r="C886" i="4"/>
  <c r="D886" i="4"/>
  <c r="A887" i="4"/>
  <c r="B887" i="4"/>
  <c r="C887" i="4"/>
  <c r="D887" i="4"/>
  <c r="A888" i="4"/>
  <c r="B888" i="4"/>
  <c r="C888" i="4"/>
  <c r="D888" i="4"/>
  <c r="A889" i="4"/>
  <c r="B889" i="4"/>
  <c r="C889" i="4"/>
  <c r="D889" i="4"/>
  <c r="A890" i="4"/>
  <c r="B890" i="4"/>
  <c r="C890" i="4"/>
  <c r="D890" i="4"/>
  <c r="A891" i="4"/>
  <c r="B891" i="4"/>
  <c r="C891" i="4"/>
  <c r="D891" i="4"/>
  <c r="A892" i="4"/>
  <c r="B892" i="4"/>
  <c r="C892" i="4"/>
  <c r="D892" i="4"/>
  <c r="A893" i="4"/>
  <c r="B893" i="4"/>
  <c r="C893" i="4"/>
  <c r="D893" i="4"/>
  <c r="A894" i="4"/>
  <c r="B894" i="4"/>
  <c r="C894" i="4"/>
  <c r="D894" i="4"/>
  <c r="A895" i="4"/>
  <c r="B895" i="4"/>
  <c r="C895" i="4"/>
  <c r="D895" i="4"/>
  <c r="A896" i="4"/>
  <c r="B896" i="4"/>
  <c r="C896" i="4"/>
  <c r="D896" i="4"/>
  <c r="A897" i="4"/>
  <c r="B897" i="4"/>
  <c r="C897" i="4"/>
  <c r="D897" i="4"/>
  <c r="A898" i="4"/>
  <c r="B898" i="4"/>
  <c r="C898" i="4"/>
  <c r="D898" i="4"/>
  <c r="A899" i="4"/>
  <c r="B899" i="4"/>
  <c r="C899" i="4"/>
  <c r="D899" i="4"/>
  <c r="A900" i="4"/>
  <c r="B900" i="4"/>
  <c r="C900" i="4"/>
  <c r="D900" i="4"/>
  <c r="A901" i="4"/>
  <c r="B901" i="4"/>
  <c r="C901" i="4"/>
  <c r="D901" i="4"/>
  <c r="A902" i="4"/>
  <c r="B902" i="4"/>
  <c r="C902" i="4"/>
  <c r="D902" i="4"/>
  <c r="A903" i="4"/>
  <c r="B903" i="4"/>
  <c r="C903" i="4"/>
  <c r="D903" i="4"/>
  <c r="A904" i="4"/>
  <c r="B904" i="4"/>
  <c r="C904" i="4"/>
  <c r="D904" i="4"/>
  <c r="A905" i="4"/>
  <c r="B905" i="4"/>
  <c r="C905" i="4"/>
  <c r="D905" i="4"/>
  <c r="A906" i="4"/>
  <c r="B906" i="4"/>
  <c r="C906" i="4"/>
  <c r="D906" i="4"/>
  <c r="A907" i="4"/>
  <c r="B907" i="4"/>
  <c r="C907" i="4"/>
  <c r="D907" i="4"/>
  <c r="A908" i="4"/>
  <c r="B908" i="4"/>
  <c r="C908" i="4"/>
  <c r="D908" i="4"/>
  <c r="A909" i="4"/>
  <c r="B909" i="4"/>
  <c r="C909" i="4"/>
  <c r="D909" i="4"/>
  <c r="A910" i="4"/>
  <c r="B910" i="4"/>
  <c r="C910" i="4"/>
  <c r="D910" i="4"/>
  <c r="A911" i="4"/>
  <c r="B911" i="4"/>
  <c r="C911" i="4"/>
  <c r="D911" i="4"/>
  <c r="A912" i="4"/>
  <c r="B912" i="4"/>
  <c r="C912" i="4"/>
  <c r="D912" i="4"/>
  <c r="A913" i="4"/>
  <c r="B913" i="4"/>
  <c r="C913" i="4"/>
  <c r="D913" i="4"/>
  <c r="A914" i="4"/>
  <c r="B914" i="4"/>
  <c r="C914" i="4"/>
  <c r="D914" i="4"/>
  <c r="A915" i="4"/>
  <c r="B915" i="4"/>
  <c r="C915" i="4"/>
  <c r="D915" i="4"/>
  <c r="A916" i="4"/>
  <c r="B916" i="4"/>
  <c r="C916" i="4"/>
  <c r="D916" i="4"/>
  <c r="A917" i="4"/>
  <c r="B917" i="4"/>
  <c r="C917" i="4"/>
  <c r="D917" i="4"/>
  <c r="A918" i="4"/>
  <c r="B918" i="4"/>
  <c r="C918" i="4"/>
  <c r="D918" i="4"/>
  <c r="A919" i="4"/>
  <c r="B919" i="4"/>
  <c r="C919" i="4"/>
  <c r="D919" i="4"/>
  <c r="A920" i="4"/>
  <c r="B920" i="4"/>
  <c r="C920" i="4"/>
  <c r="D920" i="4"/>
  <c r="A921" i="4"/>
  <c r="B921" i="4"/>
  <c r="C921" i="4"/>
  <c r="D921" i="4"/>
  <c r="A922" i="4"/>
  <c r="B922" i="4"/>
  <c r="C922" i="4"/>
  <c r="D922" i="4"/>
  <c r="A923" i="4"/>
  <c r="B923" i="4"/>
  <c r="C923" i="4"/>
  <c r="D923" i="4"/>
  <c r="A924" i="4"/>
  <c r="B924" i="4"/>
  <c r="C924" i="4"/>
  <c r="D924" i="4"/>
  <c r="A925" i="4"/>
  <c r="B925" i="4"/>
  <c r="C925" i="4"/>
  <c r="D925" i="4"/>
  <c r="A926" i="4"/>
  <c r="B926" i="4"/>
  <c r="C926" i="4"/>
  <c r="D926" i="4"/>
  <c r="A927" i="4"/>
  <c r="B927" i="4"/>
  <c r="C927" i="4"/>
  <c r="D927" i="4"/>
  <c r="A928" i="4"/>
  <c r="B928" i="4"/>
  <c r="C928" i="4"/>
  <c r="D928" i="4"/>
  <c r="A929" i="4"/>
  <c r="B929" i="4"/>
  <c r="C929" i="4"/>
  <c r="D929" i="4"/>
  <c r="A930" i="4"/>
  <c r="B930" i="4"/>
  <c r="C930" i="4"/>
  <c r="D930" i="4"/>
  <c r="A931" i="4"/>
  <c r="B931" i="4"/>
  <c r="C931" i="4"/>
  <c r="D931" i="4"/>
  <c r="A932" i="4"/>
  <c r="B932" i="4"/>
  <c r="C932" i="4"/>
  <c r="D932" i="4"/>
  <c r="A933" i="4"/>
  <c r="B933" i="4"/>
  <c r="C933" i="4"/>
  <c r="D933" i="4"/>
  <c r="A934" i="4"/>
  <c r="B934" i="4"/>
  <c r="C934" i="4"/>
  <c r="D934" i="4"/>
  <c r="A935" i="4"/>
  <c r="B935" i="4"/>
  <c r="C935" i="4"/>
  <c r="D935" i="4"/>
  <c r="A936" i="4"/>
  <c r="B936" i="4"/>
  <c r="C936" i="4"/>
  <c r="D936" i="4"/>
  <c r="A937" i="4"/>
  <c r="B937" i="4"/>
  <c r="C937" i="4"/>
  <c r="D937" i="4"/>
  <c r="A938" i="4"/>
  <c r="B938" i="4"/>
  <c r="C938" i="4"/>
  <c r="D938" i="4"/>
  <c r="A939" i="4"/>
  <c r="B939" i="4"/>
  <c r="C939" i="4"/>
  <c r="D939" i="4"/>
  <c r="A940" i="4"/>
  <c r="B940" i="4"/>
  <c r="C940" i="4"/>
  <c r="D940" i="4"/>
  <c r="A941" i="4"/>
  <c r="B941" i="4"/>
  <c r="C941" i="4"/>
  <c r="D941" i="4"/>
  <c r="A942" i="4"/>
  <c r="B942" i="4"/>
  <c r="C942" i="4"/>
  <c r="D942" i="4"/>
  <c r="A943" i="4"/>
  <c r="B943" i="4"/>
  <c r="C943" i="4"/>
  <c r="D943" i="4"/>
  <c r="A944" i="4"/>
  <c r="B944" i="4"/>
  <c r="C944" i="4"/>
  <c r="D944" i="4"/>
  <c r="A945" i="4"/>
  <c r="B945" i="4"/>
  <c r="C945" i="4"/>
  <c r="D945" i="4"/>
  <c r="A946" i="4"/>
  <c r="B946" i="4"/>
  <c r="C946" i="4"/>
  <c r="D946" i="4"/>
  <c r="A947" i="4"/>
  <c r="B947" i="4"/>
  <c r="C947" i="4"/>
  <c r="D947" i="4"/>
  <c r="A948" i="4"/>
  <c r="B948" i="4"/>
  <c r="C948" i="4"/>
  <c r="D948" i="4"/>
  <c r="A949" i="4"/>
  <c r="B949" i="4"/>
  <c r="C949" i="4"/>
  <c r="D949" i="4"/>
  <c r="A950" i="4"/>
  <c r="B950" i="4"/>
  <c r="C950" i="4"/>
  <c r="D950" i="4"/>
  <c r="A951" i="4"/>
  <c r="B951" i="4"/>
  <c r="C951" i="4"/>
  <c r="D951" i="4"/>
  <c r="A952" i="4"/>
  <c r="B952" i="4"/>
  <c r="C952" i="4"/>
  <c r="D952" i="4"/>
  <c r="A953" i="4"/>
  <c r="B953" i="4"/>
  <c r="C953" i="4"/>
  <c r="D953" i="4"/>
  <c r="A954" i="4"/>
  <c r="B954" i="4"/>
  <c r="C954" i="4"/>
  <c r="D954" i="4"/>
  <c r="A955" i="4"/>
  <c r="B955" i="4"/>
  <c r="C955" i="4"/>
  <c r="D955" i="4"/>
  <c r="A956" i="4"/>
  <c r="B956" i="4"/>
  <c r="C956" i="4"/>
  <c r="D956" i="4"/>
  <c r="A957" i="4"/>
  <c r="B957" i="4"/>
  <c r="C957" i="4"/>
  <c r="D957" i="4"/>
  <c r="A958" i="4"/>
  <c r="B958" i="4"/>
  <c r="C958" i="4"/>
  <c r="D958" i="4"/>
  <c r="A959" i="4"/>
  <c r="B959" i="4"/>
  <c r="C959" i="4"/>
  <c r="D959" i="4"/>
  <c r="A960" i="4"/>
  <c r="B960" i="4"/>
  <c r="C960" i="4"/>
  <c r="D960" i="4"/>
  <c r="A961" i="4"/>
  <c r="B961" i="4"/>
  <c r="C961" i="4"/>
  <c r="D961" i="4"/>
  <c r="A962" i="4"/>
  <c r="B962" i="4"/>
  <c r="C962" i="4"/>
  <c r="D962" i="4"/>
  <c r="A963" i="4"/>
  <c r="B963" i="4"/>
  <c r="C963" i="4"/>
  <c r="D963" i="4"/>
  <c r="A964" i="4"/>
  <c r="B964" i="4"/>
  <c r="C964" i="4"/>
  <c r="D964" i="4"/>
  <c r="A965" i="4"/>
  <c r="B965" i="4"/>
  <c r="C965" i="4"/>
  <c r="D965" i="4"/>
  <c r="A966" i="4"/>
  <c r="B966" i="4"/>
  <c r="C966" i="4"/>
  <c r="D966" i="4"/>
  <c r="A967" i="4"/>
  <c r="B967" i="4"/>
  <c r="C967" i="4"/>
  <c r="D967" i="4"/>
  <c r="A968" i="4"/>
  <c r="B968" i="4"/>
  <c r="C968" i="4"/>
  <c r="D968" i="4"/>
  <c r="A969" i="4"/>
  <c r="B969" i="4"/>
  <c r="C969" i="4"/>
  <c r="D969" i="4"/>
  <c r="A970" i="4"/>
  <c r="B970" i="4"/>
  <c r="C970" i="4"/>
  <c r="D970" i="4"/>
  <c r="A971" i="4"/>
  <c r="B971" i="4"/>
  <c r="C971" i="4"/>
  <c r="D971" i="4"/>
  <c r="A972" i="4"/>
  <c r="B972" i="4"/>
  <c r="C972" i="4"/>
  <c r="D972" i="4"/>
  <c r="A973" i="4"/>
  <c r="B973" i="4"/>
  <c r="C973" i="4"/>
  <c r="D973" i="4"/>
  <c r="A974" i="4"/>
  <c r="B974" i="4"/>
  <c r="C974" i="4"/>
  <c r="D974" i="4"/>
  <c r="A975" i="4"/>
  <c r="B975" i="4"/>
  <c r="C975" i="4"/>
  <c r="D975" i="4"/>
  <c r="A976" i="4"/>
  <c r="B976" i="4"/>
  <c r="C976" i="4"/>
  <c r="D976" i="4"/>
  <c r="A977" i="4"/>
  <c r="B977" i="4"/>
  <c r="C977" i="4"/>
  <c r="D977" i="4"/>
  <c r="A978" i="4"/>
  <c r="B978" i="4"/>
  <c r="C978" i="4"/>
  <c r="D978" i="4"/>
  <c r="A979" i="4"/>
  <c r="B979" i="4"/>
  <c r="C979" i="4"/>
  <c r="D979" i="4"/>
  <c r="A980" i="4"/>
  <c r="B980" i="4"/>
  <c r="C980" i="4"/>
  <c r="D980" i="4"/>
  <c r="A981" i="4"/>
  <c r="B981" i="4"/>
  <c r="C981" i="4"/>
  <c r="D981" i="4"/>
  <c r="A982" i="4"/>
  <c r="B982" i="4"/>
  <c r="C982" i="4"/>
  <c r="D982" i="4"/>
  <c r="A983" i="4"/>
  <c r="B983" i="4"/>
  <c r="C983" i="4"/>
  <c r="D983" i="4"/>
  <c r="A984" i="4"/>
  <c r="B984" i="4"/>
  <c r="C984" i="4"/>
  <c r="D984" i="4"/>
  <c r="A985" i="4"/>
  <c r="B985" i="4"/>
  <c r="C985" i="4"/>
  <c r="D985" i="4"/>
  <c r="A986" i="4"/>
  <c r="B986" i="4"/>
  <c r="C986" i="4"/>
  <c r="D986" i="4"/>
  <c r="A987" i="4"/>
  <c r="B987" i="4"/>
  <c r="C987" i="4"/>
  <c r="D987" i="4"/>
  <c r="A988" i="4"/>
  <c r="B988" i="4"/>
  <c r="C988" i="4"/>
  <c r="D988" i="4"/>
  <c r="A989" i="4"/>
  <c r="B989" i="4"/>
  <c r="C989" i="4"/>
  <c r="D989" i="4"/>
  <c r="A990" i="4"/>
  <c r="B990" i="4"/>
  <c r="C990" i="4"/>
  <c r="D990" i="4"/>
  <c r="A991" i="4"/>
  <c r="B991" i="4"/>
  <c r="C991" i="4"/>
  <c r="D991" i="4"/>
  <c r="A992" i="4"/>
  <c r="B992" i="4"/>
  <c r="C992" i="4"/>
  <c r="D992" i="4"/>
  <c r="A993" i="4"/>
  <c r="B993" i="4"/>
  <c r="C993" i="4"/>
  <c r="D993" i="4"/>
  <c r="A994" i="4"/>
  <c r="B994" i="4"/>
  <c r="C994" i="4"/>
  <c r="D994" i="4"/>
  <c r="A995" i="4"/>
  <c r="B995" i="4"/>
  <c r="C995" i="4"/>
  <c r="D995" i="4"/>
  <c r="A996" i="4"/>
  <c r="B996" i="4"/>
  <c r="C996" i="4"/>
  <c r="D996" i="4"/>
  <c r="A997" i="4"/>
  <c r="B997" i="4"/>
  <c r="C997" i="4"/>
  <c r="D997" i="4"/>
  <c r="A998" i="4"/>
  <c r="B998" i="4"/>
  <c r="C998" i="4"/>
  <c r="D998" i="4"/>
  <c r="A999" i="4"/>
  <c r="B999" i="4"/>
  <c r="C999" i="4"/>
  <c r="D999" i="4"/>
  <c r="A1000" i="4"/>
  <c r="B1000" i="4"/>
  <c r="C1000" i="4"/>
  <c r="D1000" i="4"/>
  <c r="A1001" i="4"/>
  <c r="B1001" i="4"/>
  <c r="C1001" i="4"/>
  <c r="D1001" i="4"/>
  <c r="A1002" i="4"/>
  <c r="B1002" i="4"/>
  <c r="C1002" i="4"/>
  <c r="D1002" i="4"/>
  <c r="A1003" i="4"/>
  <c r="B1003" i="4"/>
  <c r="C1003" i="4"/>
  <c r="D1003" i="4"/>
  <c r="A1004" i="4"/>
  <c r="B1004" i="4"/>
  <c r="C1004" i="4"/>
  <c r="D1004" i="4"/>
  <c r="A1005" i="4"/>
  <c r="B1005" i="4"/>
  <c r="C1005" i="4"/>
  <c r="D1005" i="4"/>
  <c r="A1006" i="4"/>
  <c r="B1006" i="4"/>
  <c r="C1006" i="4"/>
  <c r="D1006" i="4"/>
  <c r="A1007" i="4"/>
  <c r="B1007" i="4"/>
  <c r="C1007" i="4"/>
  <c r="D1007" i="4"/>
  <c r="A1008" i="4"/>
  <c r="B1008" i="4"/>
  <c r="C1008" i="4"/>
  <c r="D1008" i="4"/>
  <c r="A1009" i="4"/>
  <c r="B1009" i="4"/>
  <c r="C1009" i="4"/>
  <c r="D1009" i="4"/>
  <c r="A1010" i="4"/>
  <c r="B1010" i="4"/>
  <c r="C1010" i="4"/>
  <c r="D1010" i="4"/>
  <c r="A1011" i="4"/>
  <c r="B1011" i="4"/>
  <c r="C1011" i="4"/>
  <c r="D1011" i="4"/>
  <c r="A1012" i="4"/>
  <c r="B1012" i="4"/>
  <c r="C1012" i="4"/>
  <c r="D1012" i="4"/>
  <c r="A1013" i="4"/>
  <c r="B1013" i="4"/>
  <c r="C1013" i="4"/>
  <c r="D1013" i="4"/>
  <c r="A1014" i="4"/>
  <c r="B1014" i="4"/>
  <c r="C1014" i="4"/>
  <c r="D1014" i="4"/>
  <c r="A1015" i="4"/>
  <c r="B1015" i="4"/>
  <c r="C1015" i="4"/>
  <c r="D1015" i="4"/>
  <c r="A1016" i="4"/>
  <c r="B1016" i="4"/>
  <c r="C1016" i="4"/>
  <c r="D1016" i="4"/>
  <c r="A1017" i="4"/>
  <c r="B1017" i="4"/>
  <c r="C1017" i="4"/>
  <c r="D1017" i="4"/>
  <c r="A1018" i="4"/>
  <c r="B1018" i="4"/>
  <c r="C1018" i="4"/>
  <c r="D1018" i="4"/>
  <c r="A1019" i="4"/>
  <c r="B1019" i="4"/>
  <c r="C1019" i="4"/>
  <c r="D1019" i="4"/>
  <c r="A1020" i="4"/>
  <c r="B1020" i="4"/>
  <c r="C1020" i="4"/>
  <c r="D1020" i="4"/>
  <c r="A1021" i="4"/>
  <c r="B1021" i="4"/>
  <c r="C1021" i="4"/>
  <c r="D1021" i="4"/>
  <c r="A1022" i="4"/>
  <c r="B1022" i="4"/>
  <c r="C1022" i="4"/>
  <c r="D1022" i="4"/>
  <c r="A1023" i="4"/>
  <c r="B1023" i="4"/>
  <c r="C1023" i="4"/>
  <c r="D1023" i="4"/>
  <c r="A1024" i="4"/>
  <c r="B1024" i="4"/>
  <c r="C1024" i="4"/>
  <c r="D1024" i="4"/>
  <c r="A1025" i="4"/>
  <c r="B1025" i="4"/>
  <c r="C1025" i="4"/>
  <c r="D1025" i="4"/>
  <c r="A1026" i="4"/>
  <c r="B1026" i="4"/>
  <c r="C1026" i="4"/>
  <c r="D1026" i="4"/>
  <c r="A1027" i="4"/>
  <c r="B1027" i="4"/>
  <c r="C1027" i="4"/>
  <c r="D1027" i="4"/>
  <c r="A1028" i="4"/>
  <c r="B1028" i="4"/>
  <c r="C1028" i="4"/>
  <c r="D1028" i="4"/>
  <c r="A1029" i="4"/>
  <c r="B1029" i="4"/>
  <c r="C1029" i="4"/>
  <c r="D1029" i="4"/>
  <c r="A1030" i="4"/>
  <c r="B1030" i="4"/>
  <c r="C1030" i="4"/>
  <c r="D1030" i="4"/>
  <c r="A1031" i="4"/>
  <c r="B1031" i="4"/>
  <c r="C1031" i="4"/>
  <c r="D1031" i="4"/>
  <c r="A1032" i="4"/>
  <c r="B1032" i="4"/>
  <c r="C1032" i="4"/>
  <c r="D1032" i="4"/>
  <c r="A1033" i="4"/>
  <c r="B1033" i="4"/>
  <c r="C1033" i="4"/>
  <c r="D1033" i="4"/>
  <c r="A1034" i="4"/>
  <c r="B1034" i="4"/>
  <c r="C1034" i="4"/>
  <c r="D1034" i="4"/>
  <c r="A1035" i="4"/>
  <c r="B1035" i="4"/>
  <c r="C1035" i="4"/>
  <c r="D1035" i="4"/>
  <c r="A1036" i="4"/>
  <c r="B1036" i="4"/>
  <c r="C1036" i="4"/>
  <c r="D1036" i="4"/>
  <c r="A1037" i="4"/>
  <c r="B1037" i="4"/>
  <c r="C1037" i="4"/>
  <c r="D1037" i="4"/>
  <c r="A1038" i="4"/>
  <c r="B1038" i="4"/>
  <c r="C1038" i="4"/>
  <c r="D1038" i="4"/>
  <c r="A1039" i="4"/>
  <c r="B1039" i="4"/>
  <c r="C1039" i="4"/>
  <c r="D1039" i="4"/>
  <c r="A1040" i="4"/>
  <c r="B1040" i="4"/>
  <c r="C1040" i="4"/>
  <c r="D1040" i="4"/>
  <c r="A1041" i="4"/>
  <c r="B1041" i="4"/>
  <c r="C1041" i="4"/>
  <c r="D1041" i="4"/>
  <c r="A1042" i="4"/>
  <c r="B1042" i="4"/>
  <c r="C1042" i="4"/>
  <c r="D1042" i="4"/>
  <c r="A1043" i="4"/>
  <c r="B1043" i="4"/>
  <c r="C1043" i="4"/>
  <c r="D1043" i="4"/>
  <c r="A1044" i="4"/>
  <c r="B1044" i="4"/>
  <c r="C1044" i="4"/>
  <c r="D1044" i="4"/>
  <c r="A1045" i="4"/>
  <c r="B1045" i="4"/>
  <c r="C1045" i="4"/>
  <c r="D1045" i="4"/>
  <c r="A1046" i="4"/>
  <c r="B1046" i="4"/>
  <c r="C1046" i="4"/>
  <c r="D1046" i="4"/>
  <c r="A1047" i="4"/>
  <c r="B1047" i="4"/>
  <c r="C1047" i="4"/>
  <c r="D1047" i="4"/>
  <c r="A1048" i="4"/>
  <c r="B1048" i="4"/>
  <c r="C1048" i="4"/>
  <c r="D1048" i="4"/>
  <c r="A1049" i="4"/>
  <c r="B1049" i="4"/>
  <c r="C1049" i="4"/>
  <c r="D1049" i="4"/>
  <c r="A1050" i="4"/>
  <c r="B1050" i="4"/>
  <c r="C1050" i="4"/>
  <c r="D1050" i="4"/>
  <c r="A1051" i="4"/>
  <c r="B1051" i="4"/>
  <c r="C1051" i="4"/>
  <c r="D1051" i="4"/>
  <c r="A1052" i="4"/>
  <c r="B1052" i="4"/>
  <c r="C1052" i="4"/>
  <c r="D1052" i="4"/>
  <c r="A1053" i="4"/>
  <c r="B1053" i="4"/>
  <c r="C1053" i="4"/>
  <c r="D1053" i="4"/>
  <c r="A1054" i="4"/>
  <c r="B1054" i="4"/>
  <c r="C1054" i="4"/>
  <c r="D1054" i="4"/>
  <c r="A1055" i="4"/>
  <c r="B1055" i="4"/>
  <c r="C1055" i="4"/>
  <c r="D1055" i="4"/>
  <c r="A1056" i="4"/>
  <c r="B1056" i="4"/>
  <c r="C1056" i="4"/>
  <c r="D1056" i="4"/>
  <c r="A1057" i="4"/>
  <c r="B1057" i="4"/>
  <c r="C1057" i="4"/>
  <c r="D1057" i="4"/>
  <c r="A1058" i="4"/>
  <c r="B1058" i="4"/>
  <c r="C1058" i="4"/>
  <c r="D1058" i="4"/>
  <c r="A1059" i="4"/>
  <c r="B1059" i="4"/>
  <c r="C1059" i="4"/>
  <c r="D1059" i="4"/>
  <c r="A1060" i="4"/>
  <c r="B1060" i="4"/>
  <c r="C1060" i="4"/>
  <c r="D1060" i="4"/>
  <c r="A1061" i="4"/>
  <c r="B1061" i="4"/>
  <c r="C1061" i="4"/>
  <c r="D1061" i="4"/>
  <c r="A1062" i="4"/>
  <c r="B1062" i="4"/>
  <c r="C1062" i="4"/>
  <c r="D1062" i="4"/>
  <c r="A1063" i="4"/>
  <c r="B1063" i="4"/>
  <c r="C1063" i="4"/>
  <c r="D1063" i="4"/>
  <c r="A1064" i="4"/>
  <c r="B1064" i="4"/>
  <c r="C1064" i="4"/>
  <c r="D1064" i="4"/>
  <c r="A1065" i="4"/>
  <c r="B1065" i="4"/>
  <c r="C1065" i="4"/>
  <c r="D1065" i="4"/>
  <c r="A1066" i="4"/>
  <c r="B1066" i="4"/>
  <c r="C1066" i="4"/>
  <c r="D1066" i="4"/>
  <c r="A1067" i="4"/>
  <c r="B1067" i="4"/>
  <c r="C1067" i="4"/>
  <c r="D1067" i="4"/>
  <c r="A1068" i="4"/>
  <c r="B1068" i="4"/>
  <c r="C1068" i="4"/>
  <c r="D1068" i="4"/>
  <c r="A1069" i="4"/>
  <c r="B1069" i="4"/>
  <c r="C1069" i="4"/>
  <c r="D1069" i="4"/>
  <c r="A1070" i="4"/>
  <c r="B1070" i="4"/>
  <c r="C1070" i="4"/>
  <c r="D1070" i="4"/>
  <c r="A1071" i="4"/>
  <c r="B1071" i="4"/>
  <c r="C1071" i="4"/>
  <c r="D1071" i="4"/>
  <c r="A1072" i="4"/>
  <c r="B1072" i="4"/>
  <c r="C1072" i="4"/>
  <c r="D1072" i="4"/>
  <c r="A1073" i="4"/>
  <c r="B1073" i="4"/>
  <c r="C1073" i="4"/>
  <c r="D1073" i="4"/>
  <c r="A1074" i="4"/>
  <c r="B1074" i="4"/>
  <c r="C1074" i="4"/>
  <c r="D1074" i="4"/>
  <c r="A1075" i="4"/>
  <c r="B1075" i="4"/>
  <c r="C1075" i="4"/>
  <c r="D1075" i="4"/>
  <c r="A1076" i="4"/>
  <c r="B1076" i="4"/>
  <c r="C1076" i="4"/>
  <c r="D1076" i="4"/>
  <c r="A1077" i="4"/>
  <c r="B1077" i="4"/>
  <c r="C1077" i="4"/>
  <c r="D1077" i="4"/>
  <c r="A1078" i="4"/>
  <c r="B1078" i="4"/>
  <c r="C1078" i="4"/>
  <c r="D1078" i="4"/>
  <c r="A1079" i="4"/>
  <c r="B1079" i="4"/>
  <c r="C1079" i="4"/>
  <c r="D1079" i="4"/>
  <c r="A1080" i="4"/>
  <c r="B1080" i="4"/>
  <c r="C1080" i="4"/>
  <c r="D1080" i="4"/>
  <c r="A1081" i="4"/>
  <c r="B1081" i="4"/>
  <c r="C1081" i="4"/>
  <c r="D1081" i="4"/>
  <c r="A1082" i="4"/>
  <c r="B1082" i="4"/>
  <c r="C1082" i="4"/>
  <c r="D1082" i="4"/>
  <c r="A1083" i="4"/>
  <c r="B1083" i="4"/>
  <c r="C1083" i="4"/>
  <c r="D1083" i="4"/>
  <c r="A1084" i="4"/>
  <c r="B1084" i="4"/>
  <c r="C1084" i="4"/>
  <c r="D1084" i="4"/>
  <c r="A1085" i="4"/>
  <c r="B1085" i="4"/>
  <c r="C1085" i="4"/>
  <c r="D1085" i="4"/>
  <c r="A1086" i="4"/>
  <c r="B1086" i="4"/>
  <c r="C1086" i="4"/>
  <c r="D1086" i="4"/>
  <c r="A1087" i="4"/>
  <c r="B1087" i="4"/>
  <c r="C1087" i="4"/>
  <c r="D1087" i="4"/>
  <c r="A1088" i="4"/>
  <c r="B1088" i="4"/>
  <c r="C1088" i="4"/>
  <c r="D1088" i="4"/>
  <c r="A1089" i="4"/>
  <c r="B1089" i="4"/>
  <c r="C1089" i="4"/>
  <c r="D1089" i="4"/>
  <c r="A1090" i="4"/>
  <c r="B1090" i="4"/>
  <c r="C1090" i="4"/>
  <c r="D1090" i="4"/>
  <c r="A1091" i="4"/>
  <c r="B1091" i="4"/>
  <c r="C1091" i="4"/>
  <c r="D1091" i="4"/>
  <c r="A1092" i="4"/>
  <c r="B1092" i="4"/>
  <c r="C1092" i="4"/>
  <c r="D1092" i="4"/>
  <c r="A1093" i="4"/>
  <c r="B1093" i="4"/>
  <c r="C1093" i="4"/>
  <c r="D1093" i="4"/>
  <c r="A1094" i="4"/>
  <c r="B1094" i="4"/>
  <c r="C1094" i="4"/>
  <c r="D1094" i="4"/>
  <c r="A1095" i="4"/>
  <c r="B1095" i="4"/>
  <c r="C1095" i="4"/>
  <c r="D1095" i="4"/>
  <c r="A1096" i="4"/>
  <c r="B1096" i="4"/>
  <c r="C1096" i="4"/>
  <c r="D1096" i="4"/>
  <c r="A1097" i="4"/>
  <c r="B1097" i="4"/>
  <c r="C1097" i="4"/>
  <c r="D1097" i="4"/>
  <c r="A1098" i="4"/>
  <c r="B1098" i="4"/>
  <c r="C1098" i="4"/>
  <c r="D1098" i="4"/>
  <c r="A1099" i="4"/>
  <c r="B1099" i="4"/>
  <c r="C1099" i="4"/>
  <c r="D1099" i="4"/>
  <c r="A1100" i="4"/>
  <c r="B1100" i="4"/>
  <c r="C1100" i="4"/>
  <c r="D1100" i="4"/>
  <c r="A1101" i="4"/>
  <c r="B1101" i="4"/>
  <c r="C1101" i="4"/>
  <c r="D1101" i="4"/>
  <c r="A1102" i="4"/>
  <c r="B1102" i="4"/>
  <c r="C1102" i="4"/>
  <c r="D1102" i="4"/>
  <c r="A1103" i="4"/>
  <c r="B1103" i="4"/>
  <c r="C1103" i="4"/>
  <c r="D1103" i="4"/>
  <c r="A1104" i="4"/>
  <c r="B1104" i="4"/>
  <c r="C1104" i="4"/>
  <c r="D1104" i="4"/>
  <c r="A1105" i="4"/>
  <c r="B1105" i="4"/>
  <c r="C1105" i="4"/>
  <c r="D1105" i="4"/>
  <c r="A1106" i="4"/>
  <c r="B1106" i="4"/>
  <c r="C1106" i="4"/>
  <c r="D1106" i="4"/>
  <c r="A1107" i="4"/>
  <c r="B1107" i="4"/>
  <c r="C1107" i="4"/>
  <c r="D1107" i="4"/>
  <c r="A1108" i="4"/>
  <c r="B1108" i="4"/>
  <c r="C1108" i="4"/>
  <c r="D1108" i="4"/>
  <c r="A1109" i="4"/>
  <c r="B1109" i="4"/>
  <c r="C1109" i="4"/>
  <c r="D1109" i="4"/>
  <c r="A1110" i="4"/>
  <c r="B1110" i="4"/>
  <c r="C1110" i="4"/>
  <c r="D1110" i="4"/>
  <c r="A1111" i="4"/>
  <c r="B1111" i="4"/>
  <c r="C1111" i="4"/>
  <c r="D1111" i="4"/>
  <c r="A1112" i="4"/>
  <c r="B1112" i="4"/>
  <c r="C1112" i="4"/>
  <c r="D1112" i="4"/>
  <c r="A1113" i="4"/>
  <c r="B1113" i="4"/>
  <c r="C1113" i="4"/>
  <c r="D1113" i="4"/>
  <c r="A1114" i="4"/>
  <c r="B1114" i="4"/>
  <c r="C1114" i="4"/>
  <c r="D1114" i="4"/>
  <c r="A1115" i="4"/>
  <c r="B1115" i="4"/>
  <c r="C1115" i="4"/>
  <c r="D1115" i="4"/>
  <c r="A1116" i="4"/>
  <c r="B1116" i="4"/>
  <c r="C1116" i="4"/>
  <c r="D1116" i="4"/>
  <c r="A1117" i="4"/>
  <c r="B1117" i="4"/>
  <c r="C1117" i="4"/>
  <c r="D1117" i="4"/>
  <c r="A1118" i="4"/>
  <c r="B1118" i="4"/>
  <c r="C1118" i="4"/>
  <c r="D1118" i="4"/>
  <c r="A1119" i="4"/>
  <c r="B1119" i="4"/>
  <c r="C1119" i="4"/>
  <c r="D1119" i="4"/>
  <c r="A1120" i="4"/>
  <c r="B1120" i="4"/>
  <c r="C1120" i="4"/>
  <c r="D1120" i="4"/>
  <c r="A1121" i="4"/>
  <c r="B1121" i="4"/>
  <c r="C1121" i="4"/>
  <c r="D1121" i="4"/>
  <c r="A1122" i="4"/>
  <c r="B1122" i="4"/>
  <c r="C1122" i="4"/>
  <c r="D1122" i="4"/>
  <c r="A1123" i="4"/>
  <c r="B1123" i="4"/>
  <c r="C1123" i="4"/>
  <c r="D1123" i="4"/>
  <c r="A1124" i="4"/>
  <c r="B1124" i="4"/>
  <c r="C1124" i="4"/>
  <c r="D1124" i="4"/>
  <c r="A1125" i="4"/>
  <c r="B1125" i="4"/>
  <c r="C1125" i="4"/>
  <c r="D1125" i="4"/>
  <c r="A1126" i="4"/>
  <c r="B1126" i="4"/>
  <c r="C1126" i="4"/>
  <c r="D1126" i="4"/>
  <c r="A1127" i="4"/>
  <c r="B1127" i="4"/>
  <c r="C1127" i="4"/>
  <c r="D1127" i="4"/>
  <c r="A1128" i="4"/>
  <c r="B1128" i="4"/>
  <c r="C1128" i="4"/>
  <c r="D1128" i="4"/>
  <c r="A1129" i="4"/>
  <c r="B1129" i="4"/>
  <c r="C1129" i="4"/>
  <c r="D1129" i="4"/>
  <c r="A380" i="4"/>
  <c r="B380" i="4"/>
  <c r="C380" i="4"/>
  <c r="D380" i="4"/>
  <c r="A381" i="4"/>
  <c r="B381" i="4"/>
  <c r="C381" i="4"/>
  <c r="D381" i="4"/>
  <c r="A382" i="4"/>
  <c r="B382" i="4"/>
  <c r="C382" i="4"/>
  <c r="D382" i="4"/>
  <c r="A383" i="4"/>
  <c r="B383" i="4"/>
  <c r="C383" i="4"/>
  <c r="D383" i="4"/>
  <c r="A384" i="4"/>
  <c r="B384" i="4"/>
  <c r="C384" i="4"/>
  <c r="D384" i="4"/>
  <c r="A385" i="4"/>
  <c r="B385" i="4"/>
  <c r="C385" i="4"/>
  <c r="D385" i="4"/>
  <c r="A386" i="4"/>
  <c r="B386" i="4"/>
  <c r="C386" i="4"/>
  <c r="D386" i="4"/>
  <c r="A387" i="4"/>
  <c r="B387" i="4"/>
  <c r="C387" i="4"/>
  <c r="D387" i="4"/>
  <c r="A388" i="4"/>
  <c r="B388" i="4"/>
  <c r="C388" i="4"/>
  <c r="D388" i="4"/>
  <c r="A389" i="4"/>
  <c r="B389" i="4"/>
  <c r="C389" i="4"/>
  <c r="D389" i="4"/>
  <c r="A390" i="4"/>
  <c r="B390" i="4"/>
  <c r="C390" i="4"/>
  <c r="D390" i="4"/>
  <c r="A391" i="4"/>
  <c r="B391" i="4"/>
  <c r="C391" i="4"/>
  <c r="D391" i="4"/>
  <c r="A392" i="4"/>
  <c r="B392" i="4"/>
  <c r="C392" i="4"/>
  <c r="D392" i="4"/>
  <c r="A393" i="4"/>
  <c r="B393" i="4"/>
  <c r="C393" i="4"/>
  <c r="D393" i="4"/>
  <c r="A394" i="4"/>
  <c r="B394" i="4"/>
  <c r="C394" i="4"/>
  <c r="D394" i="4"/>
  <c r="A395" i="4"/>
  <c r="B395" i="4"/>
  <c r="C395" i="4"/>
  <c r="D395" i="4"/>
  <c r="A396" i="4"/>
  <c r="B396" i="4"/>
  <c r="C396" i="4"/>
  <c r="D396" i="4"/>
  <c r="A397" i="4"/>
  <c r="B397" i="4"/>
  <c r="C397" i="4"/>
  <c r="D397" i="4"/>
  <c r="A398" i="4"/>
  <c r="B398" i="4"/>
  <c r="C398" i="4"/>
  <c r="D398" i="4"/>
  <c r="A399" i="4"/>
  <c r="B399" i="4"/>
  <c r="C399" i="4"/>
  <c r="D399" i="4"/>
  <c r="A400" i="4"/>
  <c r="B400" i="4"/>
  <c r="C400" i="4"/>
  <c r="D400" i="4"/>
  <c r="A401" i="4"/>
  <c r="B401" i="4"/>
  <c r="C401" i="4"/>
  <c r="D401" i="4"/>
  <c r="A402" i="4"/>
  <c r="B402" i="4"/>
  <c r="C402" i="4"/>
  <c r="D402" i="4"/>
  <c r="A403" i="4"/>
  <c r="B403" i="4"/>
  <c r="C403" i="4"/>
  <c r="D403" i="4"/>
  <c r="A404" i="4"/>
  <c r="B404" i="4"/>
  <c r="C404" i="4"/>
  <c r="D404" i="4"/>
  <c r="A405" i="4"/>
  <c r="B405" i="4"/>
  <c r="C405" i="4"/>
  <c r="D405" i="4"/>
  <c r="A406" i="4"/>
  <c r="B406" i="4"/>
  <c r="C406" i="4"/>
  <c r="D406" i="4"/>
  <c r="A407" i="4"/>
  <c r="B407" i="4"/>
  <c r="C407" i="4"/>
  <c r="D407" i="4"/>
  <c r="A408" i="4"/>
  <c r="B408" i="4"/>
  <c r="C408" i="4"/>
  <c r="D408" i="4"/>
  <c r="A409" i="4"/>
  <c r="B409" i="4"/>
  <c r="C409" i="4"/>
  <c r="D409" i="4"/>
  <c r="A410" i="4"/>
  <c r="B410" i="4"/>
  <c r="C410" i="4"/>
  <c r="D410" i="4"/>
  <c r="A411" i="4"/>
  <c r="B411" i="4"/>
  <c r="C411" i="4"/>
  <c r="D411" i="4"/>
  <c r="A412" i="4"/>
  <c r="B412" i="4"/>
  <c r="C412" i="4"/>
  <c r="D412" i="4"/>
  <c r="A413" i="4"/>
  <c r="B413" i="4"/>
  <c r="C413" i="4"/>
  <c r="D413" i="4"/>
  <c r="A414" i="4"/>
  <c r="B414" i="4"/>
  <c r="C414" i="4"/>
  <c r="D414" i="4"/>
  <c r="A415" i="4"/>
  <c r="B415" i="4"/>
  <c r="C415" i="4"/>
  <c r="D415" i="4"/>
  <c r="A416" i="4"/>
  <c r="B416" i="4"/>
  <c r="C416" i="4"/>
  <c r="D416" i="4"/>
  <c r="A417" i="4"/>
  <c r="B417" i="4"/>
  <c r="C417" i="4"/>
  <c r="D417" i="4"/>
  <c r="A418" i="4"/>
  <c r="B418" i="4"/>
  <c r="C418" i="4"/>
  <c r="D418" i="4"/>
  <c r="A419" i="4"/>
  <c r="B419" i="4"/>
  <c r="C419" i="4"/>
  <c r="D419" i="4"/>
  <c r="A420" i="4"/>
  <c r="B420" i="4"/>
  <c r="C420" i="4"/>
  <c r="D420" i="4"/>
  <c r="A421" i="4"/>
  <c r="B421" i="4"/>
  <c r="C421" i="4"/>
  <c r="D421" i="4"/>
  <c r="A422" i="4"/>
  <c r="B422" i="4"/>
  <c r="C422" i="4"/>
  <c r="D422" i="4"/>
  <c r="A423" i="4"/>
  <c r="B423" i="4"/>
  <c r="C423" i="4"/>
  <c r="D423" i="4"/>
  <c r="A424" i="4"/>
  <c r="B424" i="4"/>
  <c r="C424" i="4"/>
  <c r="D424" i="4"/>
  <c r="A425" i="4"/>
  <c r="B425" i="4"/>
  <c r="C425" i="4"/>
  <c r="D425" i="4"/>
  <c r="A426" i="4"/>
  <c r="B426" i="4"/>
  <c r="C426" i="4"/>
  <c r="D426" i="4"/>
  <c r="A427" i="4"/>
  <c r="B427" i="4"/>
  <c r="C427" i="4"/>
  <c r="D427" i="4"/>
  <c r="A428" i="4"/>
  <c r="B428" i="4"/>
  <c r="C428" i="4"/>
  <c r="D428" i="4"/>
  <c r="A429" i="4"/>
  <c r="B429" i="4"/>
  <c r="C429" i="4"/>
  <c r="D429" i="4"/>
  <c r="A430" i="4"/>
  <c r="B430" i="4"/>
  <c r="C430" i="4"/>
  <c r="D430" i="4"/>
  <c r="A431" i="4"/>
  <c r="B431" i="4"/>
  <c r="C431" i="4"/>
  <c r="D431" i="4"/>
  <c r="A432" i="4"/>
  <c r="B432" i="4"/>
  <c r="C432" i="4"/>
  <c r="D432" i="4"/>
  <c r="A433" i="4"/>
  <c r="B433" i="4"/>
  <c r="C433" i="4"/>
  <c r="D433" i="4"/>
  <c r="A434" i="4"/>
  <c r="B434" i="4"/>
  <c r="C434" i="4"/>
  <c r="D434" i="4"/>
  <c r="A435" i="4"/>
  <c r="B435" i="4"/>
  <c r="C435" i="4"/>
  <c r="D435" i="4"/>
  <c r="A436" i="4"/>
  <c r="B436" i="4"/>
  <c r="C436" i="4"/>
  <c r="D436" i="4"/>
  <c r="A437" i="4"/>
  <c r="B437" i="4"/>
  <c r="C437" i="4"/>
  <c r="D437" i="4"/>
  <c r="A438" i="4"/>
  <c r="B438" i="4"/>
  <c r="C438" i="4"/>
  <c r="D438" i="4"/>
  <c r="A439" i="4"/>
  <c r="B439" i="4"/>
  <c r="C439" i="4"/>
  <c r="D439" i="4"/>
  <c r="A440" i="4"/>
  <c r="B440" i="4"/>
  <c r="C440" i="4"/>
  <c r="D440" i="4"/>
  <c r="A441" i="4"/>
  <c r="B441" i="4"/>
  <c r="C441" i="4"/>
  <c r="D441" i="4"/>
  <c r="A442" i="4"/>
  <c r="B442" i="4"/>
  <c r="C442" i="4"/>
  <c r="D442" i="4"/>
  <c r="A443" i="4"/>
  <c r="B443" i="4"/>
  <c r="C443" i="4"/>
  <c r="D443" i="4"/>
  <c r="A444" i="4"/>
  <c r="B444" i="4"/>
  <c r="C444" i="4"/>
  <c r="D444" i="4"/>
  <c r="A445" i="4"/>
  <c r="B445" i="4"/>
  <c r="C445" i="4"/>
  <c r="D445" i="4"/>
  <c r="A446" i="4"/>
  <c r="B446" i="4"/>
  <c r="C446" i="4"/>
  <c r="D446" i="4"/>
  <c r="A447" i="4"/>
  <c r="B447" i="4"/>
  <c r="C447" i="4"/>
  <c r="D447" i="4"/>
  <c r="A448" i="4"/>
  <c r="B448" i="4"/>
  <c r="C448" i="4"/>
  <c r="D448" i="4"/>
  <c r="A449" i="4"/>
  <c r="B449" i="4"/>
  <c r="C449" i="4"/>
  <c r="D449" i="4"/>
  <c r="A450" i="4"/>
  <c r="B450" i="4"/>
  <c r="C450" i="4"/>
  <c r="D450" i="4"/>
  <c r="A451" i="4"/>
  <c r="B451" i="4"/>
  <c r="C451" i="4"/>
  <c r="D451" i="4"/>
  <c r="A452" i="4"/>
  <c r="B452" i="4"/>
  <c r="C452" i="4"/>
  <c r="D452" i="4"/>
  <c r="A453" i="4"/>
  <c r="B453" i="4"/>
  <c r="C453" i="4"/>
  <c r="D453" i="4"/>
  <c r="A454" i="4"/>
  <c r="B454" i="4"/>
  <c r="C454" i="4"/>
  <c r="D454" i="4"/>
  <c r="A455" i="4"/>
  <c r="B455" i="4"/>
  <c r="C455" i="4"/>
  <c r="D455" i="4"/>
  <c r="A456" i="4"/>
  <c r="B456" i="4"/>
  <c r="C456" i="4"/>
  <c r="D456" i="4"/>
  <c r="A457" i="4"/>
  <c r="B457" i="4"/>
  <c r="C457" i="4"/>
  <c r="D457" i="4"/>
  <c r="A458" i="4"/>
  <c r="B458" i="4"/>
  <c r="C458" i="4"/>
  <c r="D458" i="4"/>
  <c r="A459" i="4"/>
  <c r="B459" i="4"/>
  <c r="C459" i="4"/>
  <c r="D459" i="4"/>
  <c r="A460" i="4"/>
  <c r="B460" i="4"/>
  <c r="C460" i="4"/>
  <c r="D460" i="4"/>
  <c r="A461" i="4"/>
  <c r="B461" i="4"/>
  <c r="C461" i="4"/>
  <c r="D461" i="4"/>
  <c r="A462" i="4"/>
  <c r="B462" i="4"/>
  <c r="C462" i="4"/>
  <c r="D462" i="4"/>
  <c r="A463" i="4"/>
  <c r="B463" i="4"/>
  <c r="C463" i="4"/>
  <c r="D463" i="4"/>
  <c r="A464" i="4"/>
  <c r="B464" i="4"/>
  <c r="C464" i="4"/>
  <c r="D464" i="4"/>
  <c r="A465" i="4"/>
  <c r="B465" i="4"/>
  <c r="C465" i="4"/>
  <c r="D465" i="4"/>
  <c r="A466" i="4"/>
  <c r="B466" i="4"/>
  <c r="C466" i="4"/>
  <c r="D466" i="4"/>
  <c r="A467" i="4"/>
  <c r="B467" i="4"/>
  <c r="C467" i="4"/>
  <c r="D467" i="4"/>
  <c r="A468" i="4"/>
  <c r="B468" i="4"/>
  <c r="C468" i="4"/>
  <c r="D468" i="4"/>
  <c r="A469" i="4"/>
  <c r="B469" i="4"/>
  <c r="C469" i="4"/>
  <c r="D469" i="4"/>
  <c r="A470" i="4"/>
  <c r="B470" i="4"/>
  <c r="C470" i="4"/>
  <c r="D470" i="4"/>
  <c r="A471" i="4"/>
  <c r="B471" i="4"/>
  <c r="C471" i="4"/>
  <c r="D471" i="4"/>
  <c r="A472" i="4"/>
  <c r="B472" i="4"/>
  <c r="C472" i="4"/>
  <c r="D472" i="4"/>
  <c r="A473" i="4"/>
  <c r="B473" i="4"/>
  <c r="C473" i="4"/>
  <c r="D473" i="4"/>
  <c r="A474" i="4"/>
  <c r="B474" i="4"/>
  <c r="C474" i="4"/>
  <c r="D474" i="4"/>
  <c r="A475" i="4"/>
  <c r="B475" i="4"/>
  <c r="C475" i="4"/>
  <c r="D475" i="4"/>
  <c r="A476" i="4"/>
  <c r="B476" i="4"/>
  <c r="C476" i="4"/>
  <c r="D476" i="4"/>
  <c r="A477" i="4"/>
  <c r="B477" i="4"/>
  <c r="C477" i="4"/>
  <c r="D477" i="4"/>
  <c r="A478" i="4"/>
  <c r="B478" i="4"/>
  <c r="C478" i="4"/>
  <c r="D478" i="4"/>
  <c r="A479" i="4"/>
  <c r="B479" i="4"/>
  <c r="C479" i="4"/>
  <c r="D479" i="4"/>
  <c r="A480" i="4"/>
  <c r="B480" i="4"/>
  <c r="C480" i="4"/>
  <c r="D480" i="4"/>
  <c r="A481" i="4"/>
  <c r="B481" i="4"/>
  <c r="C481" i="4"/>
  <c r="D481" i="4"/>
  <c r="A482" i="4"/>
  <c r="B482" i="4"/>
  <c r="C482" i="4"/>
  <c r="D482" i="4"/>
  <c r="A483" i="4"/>
  <c r="B483" i="4"/>
  <c r="C483" i="4"/>
  <c r="D483" i="4"/>
  <c r="A484" i="4"/>
  <c r="B484" i="4"/>
  <c r="C484" i="4"/>
  <c r="D484" i="4"/>
  <c r="A485" i="4"/>
  <c r="B485" i="4"/>
  <c r="C485" i="4"/>
  <c r="D485" i="4"/>
  <c r="A486" i="4"/>
  <c r="B486" i="4"/>
  <c r="C486" i="4"/>
  <c r="D486" i="4"/>
  <c r="A487" i="4"/>
  <c r="B487" i="4"/>
  <c r="C487" i="4"/>
  <c r="D487" i="4"/>
  <c r="A488" i="4"/>
  <c r="B488" i="4"/>
  <c r="C488" i="4"/>
  <c r="D488" i="4"/>
  <c r="A489" i="4"/>
  <c r="B489" i="4"/>
  <c r="C489" i="4"/>
  <c r="D489" i="4"/>
  <c r="A490" i="4"/>
  <c r="B490" i="4"/>
  <c r="C490" i="4"/>
  <c r="D490" i="4"/>
  <c r="A491" i="4"/>
  <c r="B491" i="4"/>
  <c r="C491" i="4"/>
  <c r="D491" i="4"/>
  <c r="A492" i="4"/>
  <c r="B492" i="4"/>
  <c r="C492" i="4"/>
  <c r="D492" i="4"/>
  <c r="A493" i="4"/>
  <c r="B493" i="4"/>
  <c r="C493" i="4"/>
  <c r="D493" i="4"/>
  <c r="A494" i="4"/>
  <c r="B494" i="4"/>
  <c r="C494" i="4"/>
  <c r="D494" i="4"/>
  <c r="A495" i="4"/>
  <c r="B495" i="4"/>
  <c r="C495" i="4"/>
  <c r="D495" i="4"/>
  <c r="A496" i="4"/>
  <c r="B496" i="4"/>
  <c r="C496" i="4"/>
  <c r="D496" i="4"/>
  <c r="A497" i="4"/>
  <c r="B497" i="4"/>
  <c r="C497" i="4"/>
  <c r="D497" i="4"/>
  <c r="A498" i="4"/>
  <c r="B498" i="4"/>
  <c r="C498" i="4"/>
  <c r="D498" i="4"/>
  <c r="A499" i="4"/>
  <c r="B499" i="4"/>
  <c r="C499" i="4"/>
  <c r="D499" i="4"/>
  <c r="A500" i="4"/>
  <c r="B500" i="4"/>
  <c r="C500" i="4"/>
  <c r="D500" i="4"/>
  <c r="A501" i="4"/>
  <c r="B501" i="4"/>
  <c r="C501" i="4"/>
  <c r="D501" i="4"/>
  <c r="A502" i="4"/>
  <c r="B502" i="4"/>
  <c r="C502" i="4"/>
  <c r="D502" i="4"/>
  <c r="A503" i="4"/>
  <c r="B503" i="4"/>
  <c r="C503" i="4"/>
  <c r="D503" i="4"/>
  <c r="A504" i="4"/>
  <c r="B504" i="4"/>
  <c r="C504" i="4"/>
  <c r="D504" i="4"/>
  <c r="A505" i="4"/>
  <c r="B505" i="4"/>
  <c r="C505" i="4"/>
  <c r="D505" i="4"/>
  <c r="A506" i="4"/>
  <c r="B506" i="4"/>
  <c r="C506" i="4"/>
  <c r="D506" i="4"/>
  <c r="A507" i="4"/>
  <c r="B507" i="4"/>
  <c r="C507" i="4"/>
  <c r="D507" i="4"/>
  <c r="A508" i="4"/>
  <c r="B508" i="4"/>
  <c r="C508" i="4"/>
  <c r="D508" i="4"/>
  <c r="A509" i="4"/>
  <c r="B509" i="4"/>
  <c r="C509" i="4"/>
  <c r="D509" i="4"/>
  <c r="A510" i="4"/>
  <c r="B510" i="4"/>
  <c r="C510" i="4"/>
  <c r="D510" i="4"/>
  <c r="A511" i="4"/>
  <c r="B511" i="4"/>
  <c r="C511" i="4"/>
  <c r="D511" i="4"/>
  <c r="A512" i="4"/>
  <c r="B512" i="4"/>
  <c r="C512" i="4"/>
  <c r="D512" i="4"/>
  <c r="A513" i="4"/>
  <c r="B513" i="4"/>
  <c r="C513" i="4"/>
  <c r="D513" i="4"/>
  <c r="A514" i="4"/>
  <c r="B514" i="4"/>
  <c r="C514" i="4"/>
  <c r="D514" i="4"/>
  <c r="A515" i="4"/>
  <c r="B515" i="4"/>
  <c r="C515" i="4"/>
  <c r="D515" i="4"/>
  <c r="A516" i="4"/>
  <c r="B516" i="4"/>
  <c r="C516" i="4"/>
  <c r="D516" i="4"/>
  <c r="A517" i="4"/>
  <c r="B517" i="4"/>
  <c r="C517" i="4"/>
  <c r="D517" i="4"/>
  <c r="A518" i="4"/>
  <c r="B518" i="4"/>
  <c r="C518" i="4"/>
  <c r="D518" i="4"/>
  <c r="A519" i="4"/>
  <c r="B519" i="4"/>
  <c r="C519" i="4"/>
  <c r="D519" i="4"/>
  <c r="A520" i="4"/>
  <c r="B520" i="4"/>
  <c r="C520" i="4"/>
  <c r="D520" i="4"/>
  <c r="A521" i="4"/>
  <c r="B521" i="4"/>
  <c r="C521" i="4"/>
  <c r="D521" i="4"/>
  <c r="A522" i="4"/>
  <c r="B522" i="4"/>
  <c r="C522" i="4"/>
  <c r="D522" i="4"/>
  <c r="A523" i="4"/>
  <c r="B523" i="4"/>
  <c r="C523" i="4"/>
  <c r="D523" i="4"/>
  <c r="A524" i="4"/>
  <c r="B524" i="4"/>
  <c r="C524" i="4"/>
  <c r="D524" i="4"/>
  <c r="A525" i="4"/>
  <c r="B525" i="4"/>
  <c r="C525" i="4"/>
  <c r="D525" i="4"/>
  <c r="A526" i="4"/>
  <c r="B526" i="4"/>
  <c r="C526" i="4"/>
  <c r="D526" i="4"/>
  <c r="A527" i="4"/>
  <c r="B527" i="4"/>
  <c r="C527" i="4"/>
  <c r="D527" i="4"/>
  <c r="A528" i="4"/>
  <c r="B528" i="4"/>
  <c r="C528" i="4"/>
  <c r="D528" i="4"/>
  <c r="A529" i="4"/>
  <c r="B529" i="4"/>
  <c r="C529" i="4"/>
  <c r="D529" i="4"/>
  <c r="A530" i="4"/>
  <c r="B530" i="4"/>
  <c r="C530" i="4"/>
  <c r="D530" i="4"/>
  <c r="A531" i="4"/>
  <c r="B531" i="4"/>
  <c r="C531" i="4"/>
  <c r="D531" i="4"/>
  <c r="A532" i="4"/>
  <c r="B532" i="4"/>
  <c r="C532" i="4"/>
  <c r="D532" i="4"/>
  <c r="A533" i="4"/>
  <c r="B533" i="4"/>
  <c r="C533" i="4"/>
  <c r="D533" i="4"/>
  <c r="A534" i="4"/>
  <c r="B534" i="4"/>
  <c r="C534" i="4"/>
  <c r="D534" i="4"/>
  <c r="A535" i="4"/>
  <c r="B535" i="4"/>
  <c r="C535" i="4"/>
  <c r="D535" i="4"/>
  <c r="A536" i="4"/>
  <c r="B536" i="4"/>
  <c r="C536" i="4"/>
  <c r="D536" i="4"/>
  <c r="A537" i="4"/>
  <c r="B537" i="4"/>
  <c r="C537" i="4"/>
  <c r="D537" i="4"/>
  <c r="A538" i="4"/>
  <c r="B538" i="4"/>
  <c r="C538" i="4"/>
  <c r="D538" i="4"/>
  <c r="A539" i="4"/>
  <c r="B539" i="4"/>
  <c r="C539" i="4"/>
  <c r="D539" i="4"/>
  <c r="A540" i="4"/>
  <c r="B540" i="4"/>
  <c r="C540" i="4"/>
  <c r="D540" i="4"/>
  <c r="A541" i="4"/>
  <c r="B541" i="4"/>
  <c r="C541" i="4"/>
  <c r="D541" i="4"/>
  <c r="A542" i="4"/>
  <c r="B542" i="4"/>
  <c r="C542" i="4"/>
  <c r="D542" i="4"/>
  <c r="A543" i="4"/>
  <c r="B543" i="4"/>
  <c r="C543" i="4"/>
  <c r="D543" i="4"/>
  <c r="A544" i="4"/>
  <c r="B544" i="4"/>
  <c r="C544" i="4"/>
  <c r="D544" i="4"/>
  <c r="A545" i="4"/>
  <c r="B545" i="4"/>
  <c r="C545" i="4"/>
  <c r="D545" i="4"/>
  <c r="A546" i="4"/>
  <c r="B546" i="4"/>
  <c r="C546" i="4"/>
  <c r="D546" i="4"/>
  <c r="A547" i="4"/>
  <c r="B547" i="4"/>
  <c r="C547" i="4"/>
  <c r="D547" i="4"/>
  <c r="A548" i="4"/>
  <c r="B548" i="4"/>
  <c r="C548" i="4"/>
  <c r="D548" i="4"/>
  <c r="A549" i="4"/>
  <c r="B549" i="4"/>
  <c r="C549" i="4"/>
  <c r="D549" i="4"/>
  <c r="A550" i="4"/>
  <c r="B550" i="4"/>
  <c r="C550" i="4"/>
  <c r="D550" i="4"/>
  <c r="A551" i="4"/>
  <c r="B551" i="4"/>
  <c r="C551" i="4"/>
  <c r="D551" i="4"/>
  <c r="A552" i="4"/>
  <c r="B552" i="4"/>
  <c r="C552" i="4"/>
  <c r="D552" i="4"/>
  <c r="A553" i="4"/>
  <c r="B553" i="4"/>
  <c r="C553" i="4"/>
  <c r="D553" i="4"/>
  <c r="A554" i="4"/>
  <c r="B554" i="4"/>
  <c r="C554" i="4"/>
  <c r="D554" i="4"/>
  <c r="A555" i="4"/>
  <c r="B555" i="4"/>
  <c r="C555" i="4"/>
  <c r="D555" i="4"/>
  <c r="A556" i="4"/>
  <c r="B556" i="4"/>
  <c r="C556" i="4"/>
  <c r="D556" i="4"/>
  <c r="A557" i="4"/>
  <c r="B557" i="4"/>
  <c r="C557" i="4"/>
  <c r="D557" i="4"/>
  <c r="A558" i="4"/>
  <c r="B558" i="4"/>
  <c r="C558" i="4"/>
  <c r="D558" i="4"/>
  <c r="A559" i="4"/>
  <c r="B559" i="4"/>
  <c r="C559" i="4"/>
  <c r="D559" i="4"/>
  <c r="A560" i="4"/>
  <c r="B560" i="4"/>
  <c r="C560" i="4"/>
  <c r="D560" i="4"/>
  <c r="A561" i="4"/>
  <c r="B561" i="4"/>
  <c r="C561" i="4"/>
  <c r="D561" i="4"/>
  <c r="A562" i="4"/>
  <c r="B562" i="4"/>
  <c r="C562" i="4"/>
  <c r="D562" i="4"/>
  <c r="A563" i="4"/>
  <c r="B563" i="4"/>
  <c r="C563" i="4"/>
  <c r="D563" i="4"/>
  <c r="A564" i="4"/>
  <c r="B564" i="4"/>
  <c r="C564" i="4"/>
  <c r="D564" i="4"/>
  <c r="A565" i="4"/>
  <c r="B565" i="4"/>
  <c r="C565" i="4"/>
  <c r="D565" i="4"/>
  <c r="A566" i="4"/>
  <c r="B566" i="4"/>
  <c r="C566" i="4"/>
  <c r="D566" i="4"/>
  <c r="A567" i="4"/>
  <c r="B567" i="4"/>
  <c r="C567" i="4"/>
  <c r="D567" i="4"/>
  <c r="A568" i="4"/>
  <c r="B568" i="4"/>
  <c r="C568" i="4"/>
  <c r="D568" i="4"/>
  <c r="A569" i="4"/>
  <c r="B569" i="4"/>
  <c r="C569" i="4"/>
  <c r="D569" i="4"/>
  <c r="A570" i="4"/>
  <c r="B570" i="4"/>
  <c r="C570" i="4"/>
  <c r="D570" i="4"/>
  <c r="A571" i="4"/>
  <c r="B571" i="4"/>
  <c r="C571" i="4"/>
  <c r="D571" i="4"/>
  <c r="A572" i="4"/>
  <c r="B572" i="4"/>
  <c r="C572" i="4"/>
  <c r="D572" i="4"/>
  <c r="A573" i="4"/>
  <c r="B573" i="4"/>
  <c r="C573" i="4"/>
  <c r="D573" i="4"/>
  <c r="A574" i="4"/>
  <c r="B574" i="4"/>
  <c r="C574" i="4"/>
  <c r="D574" i="4"/>
  <c r="A575" i="4"/>
  <c r="B575" i="4"/>
  <c r="C575" i="4"/>
  <c r="D575" i="4"/>
  <c r="A576" i="4"/>
  <c r="B576" i="4"/>
  <c r="C576" i="4"/>
  <c r="D576" i="4"/>
  <c r="A577" i="4"/>
  <c r="B577" i="4"/>
  <c r="C577" i="4"/>
  <c r="D577" i="4"/>
  <c r="A578" i="4"/>
  <c r="B578" i="4"/>
  <c r="C578" i="4"/>
  <c r="D578" i="4"/>
  <c r="A579" i="4"/>
  <c r="B579" i="4"/>
  <c r="C579" i="4"/>
  <c r="D579" i="4"/>
  <c r="A580" i="4"/>
  <c r="B580" i="4"/>
  <c r="C580" i="4"/>
  <c r="D580" i="4"/>
  <c r="A581" i="4"/>
  <c r="B581" i="4"/>
  <c r="C581" i="4"/>
  <c r="D581" i="4"/>
  <c r="A582" i="4"/>
  <c r="B582" i="4"/>
  <c r="C582" i="4"/>
  <c r="D582" i="4"/>
  <c r="A583" i="4"/>
  <c r="B583" i="4"/>
  <c r="C583" i="4"/>
  <c r="D583" i="4"/>
  <c r="A584" i="4"/>
  <c r="B584" i="4"/>
  <c r="C584" i="4"/>
  <c r="D584" i="4"/>
  <c r="A585" i="4"/>
  <c r="B585" i="4"/>
  <c r="C585" i="4"/>
  <c r="D585" i="4"/>
  <c r="A586" i="4"/>
  <c r="B586" i="4"/>
  <c r="C586" i="4"/>
  <c r="D586" i="4"/>
  <c r="A587" i="4"/>
  <c r="B587" i="4"/>
  <c r="C587" i="4"/>
  <c r="D587" i="4"/>
  <c r="A588" i="4"/>
  <c r="B588" i="4"/>
  <c r="C588" i="4"/>
  <c r="D588" i="4"/>
  <c r="A589" i="4"/>
  <c r="B589" i="4"/>
  <c r="C589" i="4"/>
  <c r="D589" i="4"/>
  <c r="A590" i="4"/>
  <c r="B590" i="4"/>
  <c r="C590" i="4"/>
  <c r="D590" i="4"/>
  <c r="A591" i="4"/>
  <c r="B591" i="4"/>
  <c r="C591" i="4"/>
  <c r="D591" i="4"/>
  <c r="A592" i="4"/>
  <c r="B592" i="4"/>
  <c r="C592" i="4"/>
  <c r="D592" i="4"/>
  <c r="A593" i="4"/>
  <c r="B593" i="4"/>
  <c r="C593" i="4"/>
  <c r="D593" i="4"/>
  <c r="A594" i="4"/>
  <c r="B594" i="4"/>
  <c r="C594" i="4"/>
  <c r="D594" i="4"/>
  <c r="A595" i="4"/>
  <c r="B595" i="4"/>
  <c r="C595" i="4"/>
  <c r="D595" i="4"/>
  <c r="A596" i="4"/>
  <c r="B596" i="4"/>
  <c r="C596" i="4"/>
  <c r="D596" i="4"/>
  <c r="A597" i="4"/>
  <c r="B597" i="4"/>
  <c r="C597" i="4"/>
  <c r="D597" i="4"/>
  <c r="A598" i="4"/>
  <c r="B598" i="4"/>
  <c r="C598" i="4"/>
  <c r="D598" i="4"/>
  <c r="A599" i="4"/>
  <c r="B599" i="4"/>
  <c r="C599" i="4"/>
  <c r="D599" i="4"/>
  <c r="A600" i="4"/>
  <c r="B600" i="4"/>
  <c r="C600" i="4"/>
  <c r="D600" i="4"/>
  <c r="A601" i="4"/>
  <c r="B601" i="4"/>
  <c r="C601" i="4"/>
  <c r="D601" i="4"/>
  <c r="A602" i="4"/>
  <c r="B602" i="4"/>
  <c r="C602" i="4"/>
  <c r="D602" i="4"/>
  <c r="A603" i="4"/>
  <c r="B603" i="4"/>
  <c r="C603" i="4"/>
  <c r="D603" i="4"/>
  <c r="A604" i="4"/>
  <c r="B604" i="4"/>
  <c r="C604" i="4"/>
  <c r="D604" i="4"/>
  <c r="A605" i="4"/>
  <c r="B605" i="4"/>
  <c r="C605" i="4"/>
  <c r="D605" i="4"/>
  <c r="A606" i="4"/>
  <c r="B606" i="4"/>
  <c r="C606" i="4"/>
  <c r="D606" i="4"/>
  <c r="A607" i="4"/>
  <c r="B607" i="4"/>
  <c r="C607" i="4"/>
  <c r="D607" i="4"/>
  <c r="A608" i="4"/>
  <c r="B608" i="4"/>
  <c r="C608" i="4"/>
  <c r="D608" i="4"/>
  <c r="A609" i="4"/>
  <c r="B609" i="4"/>
  <c r="C609" i="4"/>
  <c r="D609" i="4"/>
  <c r="A610" i="4"/>
  <c r="B610" i="4"/>
  <c r="C610" i="4"/>
  <c r="D610" i="4"/>
  <c r="A611" i="4"/>
  <c r="B611" i="4"/>
  <c r="C611" i="4"/>
  <c r="D611" i="4"/>
  <c r="A612" i="4"/>
  <c r="B612" i="4"/>
  <c r="C612" i="4"/>
  <c r="D612" i="4"/>
  <c r="A613" i="4"/>
  <c r="B613" i="4"/>
  <c r="C613" i="4"/>
  <c r="D613" i="4"/>
  <c r="A614" i="4"/>
  <c r="B614" i="4"/>
  <c r="C614" i="4"/>
  <c r="D614" i="4"/>
  <c r="A615" i="4"/>
  <c r="B615" i="4"/>
  <c r="C615" i="4"/>
  <c r="D615" i="4"/>
  <c r="A616" i="4"/>
  <c r="B616" i="4"/>
  <c r="C616" i="4"/>
  <c r="D616" i="4"/>
  <c r="A617" i="4"/>
  <c r="B617" i="4"/>
  <c r="C617" i="4"/>
  <c r="D617" i="4"/>
  <c r="A618" i="4"/>
  <c r="B618" i="4"/>
  <c r="C618" i="4"/>
  <c r="D618" i="4"/>
  <c r="A619" i="4"/>
  <c r="B619" i="4"/>
  <c r="C619" i="4"/>
  <c r="D619" i="4"/>
  <c r="A620" i="4"/>
  <c r="B620" i="4"/>
  <c r="C620" i="4"/>
  <c r="D620" i="4"/>
  <c r="A621" i="4"/>
  <c r="B621" i="4"/>
  <c r="C621" i="4"/>
  <c r="D621" i="4"/>
  <c r="A622" i="4"/>
  <c r="B622" i="4"/>
  <c r="C622" i="4"/>
  <c r="D622" i="4"/>
  <c r="A623" i="4"/>
  <c r="B623" i="4"/>
  <c r="C623" i="4"/>
  <c r="D623" i="4"/>
  <c r="A624" i="4"/>
  <c r="B624" i="4"/>
  <c r="C624" i="4"/>
  <c r="D624" i="4"/>
  <c r="A625" i="4"/>
  <c r="B625" i="4"/>
  <c r="C625" i="4"/>
  <c r="D625" i="4"/>
  <c r="A626" i="4"/>
  <c r="B626" i="4"/>
  <c r="C626" i="4"/>
  <c r="D626" i="4"/>
  <c r="A627" i="4"/>
  <c r="B627" i="4"/>
  <c r="C627" i="4"/>
  <c r="D627" i="4"/>
  <c r="A628" i="4"/>
  <c r="B628" i="4"/>
  <c r="C628" i="4"/>
  <c r="D628" i="4"/>
  <c r="A629" i="4"/>
  <c r="B629" i="4"/>
  <c r="C629" i="4"/>
  <c r="D629" i="4"/>
  <c r="A630" i="4"/>
  <c r="B630" i="4"/>
  <c r="C630" i="4"/>
  <c r="D630" i="4"/>
  <c r="A631" i="4"/>
  <c r="B631" i="4"/>
  <c r="C631" i="4"/>
  <c r="D631" i="4"/>
  <c r="A632" i="4"/>
  <c r="B632" i="4"/>
  <c r="C632" i="4"/>
  <c r="D632" i="4"/>
  <c r="A633" i="4"/>
  <c r="B633" i="4"/>
  <c r="C633" i="4"/>
  <c r="D633" i="4"/>
  <c r="A634" i="4"/>
  <c r="B634" i="4"/>
  <c r="C634" i="4"/>
  <c r="D634" i="4"/>
  <c r="A635" i="4"/>
  <c r="B635" i="4"/>
  <c r="C635" i="4"/>
  <c r="D635" i="4"/>
  <c r="A636" i="4"/>
  <c r="B636" i="4"/>
  <c r="C636" i="4"/>
  <c r="D636" i="4"/>
  <c r="A637" i="4"/>
  <c r="B637" i="4"/>
  <c r="C637" i="4"/>
  <c r="D637" i="4"/>
  <c r="A638" i="4"/>
  <c r="B638" i="4"/>
  <c r="C638" i="4"/>
  <c r="D638" i="4"/>
  <c r="A639" i="4"/>
  <c r="B639" i="4"/>
  <c r="C639" i="4"/>
  <c r="D639" i="4"/>
  <c r="A640" i="4"/>
  <c r="B640" i="4"/>
  <c r="C640" i="4"/>
  <c r="D640" i="4"/>
  <c r="A641" i="4"/>
  <c r="B641" i="4"/>
  <c r="C641" i="4"/>
  <c r="D641" i="4"/>
  <c r="A642" i="4"/>
  <c r="B642" i="4"/>
  <c r="C642" i="4"/>
  <c r="D642" i="4"/>
  <c r="A643" i="4"/>
  <c r="B643" i="4"/>
  <c r="C643" i="4"/>
  <c r="D643" i="4"/>
  <c r="A644" i="4"/>
  <c r="B644" i="4"/>
  <c r="C644" i="4"/>
  <c r="D644" i="4"/>
  <c r="A645" i="4"/>
  <c r="B645" i="4"/>
  <c r="C645" i="4"/>
  <c r="D645" i="4"/>
  <c r="A646" i="4"/>
  <c r="B646" i="4"/>
  <c r="C646" i="4"/>
  <c r="D646" i="4"/>
  <c r="A647" i="4"/>
  <c r="B647" i="4"/>
  <c r="C647" i="4"/>
  <c r="D647" i="4"/>
  <c r="A648" i="4"/>
  <c r="B648" i="4"/>
  <c r="C648" i="4"/>
  <c r="D648" i="4"/>
  <c r="A649" i="4"/>
  <c r="B649" i="4"/>
  <c r="C649" i="4"/>
  <c r="D649" i="4"/>
  <c r="A650" i="4"/>
  <c r="B650" i="4"/>
  <c r="C650" i="4"/>
  <c r="D650" i="4"/>
  <c r="A651" i="4"/>
  <c r="B651" i="4"/>
  <c r="C651" i="4"/>
  <c r="D651" i="4"/>
  <c r="A652" i="4"/>
  <c r="B652" i="4"/>
  <c r="C652" i="4"/>
  <c r="D652" i="4"/>
  <c r="A653" i="4"/>
  <c r="B653" i="4"/>
  <c r="C653" i="4"/>
  <c r="D653" i="4"/>
  <c r="A654" i="4"/>
  <c r="B654" i="4"/>
  <c r="C654" i="4"/>
  <c r="D654" i="4"/>
  <c r="A655" i="4"/>
  <c r="B655" i="4"/>
  <c r="C655" i="4"/>
  <c r="D655" i="4"/>
  <c r="A656" i="4"/>
  <c r="B656" i="4"/>
  <c r="C656" i="4"/>
  <c r="D656" i="4"/>
  <c r="A657" i="4"/>
  <c r="B657" i="4"/>
  <c r="C657" i="4"/>
  <c r="D657" i="4"/>
  <c r="A658" i="4"/>
  <c r="B658" i="4"/>
  <c r="C658" i="4"/>
  <c r="D658" i="4"/>
  <c r="A659" i="4"/>
  <c r="B659" i="4"/>
  <c r="C659" i="4"/>
  <c r="D659" i="4"/>
  <c r="A660" i="4"/>
  <c r="B660" i="4"/>
  <c r="C660" i="4"/>
  <c r="D660" i="4"/>
  <c r="A661" i="4"/>
  <c r="B661" i="4"/>
  <c r="C661" i="4"/>
  <c r="D661" i="4"/>
  <c r="A662" i="4"/>
  <c r="B662" i="4"/>
  <c r="C662" i="4"/>
  <c r="D662" i="4"/>
  <c r="A663" i="4"/>
  <c r="B663" i="4"/>
  <c r="C663" i="4"/>
  <c r="D663" i="4"/>
  <c r="A664" i="4"/>
  <c r="B664" i="4"/>
  <c r="C664" i="4"/>
  <c r="D664" i="4"/>
  <c r="A665" i="4"/>
  <c r="B665" i="4"/>
  <c r="C665" i="4"/>
  <c r="D665" i="4"/>
  <c r="A666" i="4"/>
  <c r="B666" i="4"/>
  <c r="C666" i="4"/>
  <c r="D666" i="4"/>
  <c r="A667" i="4"/>
  <c r="B667" i="4"/>
  <c r="C667" i="4"/>
  <c r="D667" i="4"/>
  <c r="A668" i="4"/>
  <c r="B668" i="4"/>
  <c r="C668" i="4"/>
  <c r="D668" i="4"/>
  <c r="A669" i="4"/>
  <c r="B669" i="4"/>
  <c r="C669" i="4"/>
  <c r="D669" i="4"/>
  <c r="A670" i="4"/>
  <c r="B670" i="4"/>
  <c r="C670" i="4"/>
  <c r="D670" i="4"/>
  <c r="A671" i="4"/>
  <c r="B671" i="4"/>
  <c r="C671" i="4"/>
  <c r="D671" i="4"/>
  <c r="A672" i="4"/>
  <c r="B672" i="4"/>
  <c r="C672" i="4"/>
  <c r="D672" i="4"/>
  <c r="A673" i="4"/>
  <c r="B673" i="4"/>
  <c r="C673" i="4"/>
  <c r="D673" i="4"/>
  <c r="A674" i="4"/>
  <c r="B674" i="4"/>
  <c r="C674" i="4"/>
  <c r="D674" i="4"/>
  <c r="A675" i="4"/>
  <c r="B675" i="4"/>
  <c r="C675" i="4"/>
  <c r="D675" i="4"/>
  <c r="A676" i="4"/>
  <c r="B676" i="4"/>
  <c r="C676" i="4"/>
  <c r="D676" i="4"/>
  <c r="A677" i="4"/>
  <c r="B677" i="4"/>
  <c r="C677" i="4"/>
  <c r="D677" i="4"/>
  <c r="A678" i="4"/>
  <c r="B678" i="4"/>
  <c r="C678" i="4"/>
  <c r="D678" i="4"/>
  <c r="A679" i="4"/>
  <c r="B679" i="4"/>
  <c r="C679" i="4"/>
  <c r="D679" i="4"/>
  <c r="A680" i="4"/>
  <c r="B680" i="4"/>
  <c r="C680" i="4"/>
  <c r="D680" i="4"/>
  <c r="A681" i="4"/>
  <c r="B681" i="4"/>
  <c r="C681" i="4"/>
  <c r="D681" i="4"/>
  <c r="A682" i="4"/>
  <c r="B682" i="4"/>
  <c r="C682" i="4"/>
  <c r="D682" i="4"/>
  <c r="A683" i="4"/>
  <c r="B683" i="4"/>
  <c r="C683" i="4"/>
  <c r="D683" i="4"/>
  <c r="A684" i="4"/>
  <c r="B684" i="4"/>
  <c r="C684" i="4"/>
  <c r="D684" i="4"/>
  <c r="A685" i="4"/>
  <c r="B685" i="4"/>
  <c r="C685" i="4"/>
  <c r="D685" i="4"/>
  <c r="A686" i="4"/>
  <c r="B686" i="4"/>
  <c r="C686" i="4"/>
  <c r="D686" i="4"/>
  <c r="A687" i="4"/>
  <c r="B687" i="4"/>
  <c r="C687" i="4"/>
  <c r="D687" i="4"/>
  <c r="A688" i="4"/>
  <c r="B688" i="4"/>
  <c r="C688" i="4"/>
  <c r="D688" i="4"/>
  <c r="A689" i="4"/>
  <c r="B689" i="4"/>
  <c r="C689" i="4"/>
  <c r="D689" i="4"/>
  <c r="A690" i="4"/>
  <c r="B690" i="4"/>
  <c r="C690" i="4"/>
  <c r="D690" i="4"/>
  <c r="A691" i="4"/>
  <c r="B691" i="4"/>
  <c r="C691" i="4"/>
  <c r="D691" i="4"/>
  <c r="A692" i="4"/>
  <c r="B692" i="4"/>
  <c r="C692" i="4"/>
  <c r="D692" i="4"/>
  <c r="A693" i="4"/>
  <c r="B693" i="4"/>
  <c r="C693" i="4"/>
  <c r="D693" i="4"/>
  <c r="A694" i="4"/>
  <c r="B694" i="4"/>
  <c r="C694" i="4"/>
  <c r="D694" i="4"/>
  <c r="A695" i="4"/>
  <c r="B695" i="4"/>
  <c r="C695" i="4"/>
  <c r="D695" i="4"/>
  <c r="A696" i="4"/>
  <c r="B696" i="4"/>
  <c r="C696" i="4"/>
  <c r="D696" i="4"/>
  <c r="A697" i="4"/>
  <c r="B697" i="4"/>
  <c r="C697" i="4"/>
  <c r="D697" i="4"/>
  <c r="A698" i="4"/>
  <c r="B698" i="4"/>
  <c r="C698" i="4"/>
  <c r="D698" i="4"/>
  <c r="A699" i="4"/>
  <c r="B699" i="4"/>
  <c r="C699" i="4"/>
  <c r="D699" i="4"/>
  <c r="A700" i="4"/>
  <c r="B700" i="4"/>
  <c r="C700" i="4"/>
  <c r="D700" i="4"/>
  <c r="A701" i="4"/>
  <c r="B701" i="4"/>
  <c r="C701" i="4"/>
  <c r="D701" i="4"/>
  <c r="A702" i="4"/>
  <c r="B702" i="4"/>
  <c r="C702" i="4"/>
  <c r="D702" i="4"/>
  <c r="A703" i="4"/>
  <c r="B703" i="4"/>
  <c r="C703" i="4"/>
  <c r="D703" i="4"/>
  <c r="A704" i="4"/>
  <c r="B704" i="4"/>
  <c r="C704" i="4"/>
  <c r="D704" i="4"/>
  <c r="A705" i="4"/>
  <c r="B705" i="4"/>
  <c r="C705" i="4"/>
  <c r="D705" i="4"/>
  <c r="A706" i="4"/>
  <c r="B706" i="4"/>
  <c r="C706" i="4"/>
  <c r="D706" i="4"/>
  <c r="A707" i="4"/>
  <c r="B707" i="4"/>
  <c r="C707" i="4"/>
  <c r="D707" i="4"/>
  <c r="A708" i="4"/>
  <c r="B708" i="4"/>
  <c r="C708" i="4"/>
  <c r="D708" i="4"/>
  <c r="A709" i="4"/>
  <c r="B709" i="4"/>
  <c r="C709" i="4"/>
  <c r="D709" i="4"/>
  <c r="A710" i="4"/>
  <c r="B710" i="4"/>
  <c r="C710" i="4"/>
  <c r="D710" i="4"/>
  <c r="A711" i="4"/>
  <c r="B711" i="4"/>
  <c r="C711" i="4"/>
  <c r="D711" i="4"/>
  <c r="A712" i="4"/>
  <c r="B712" i="4"/>
  <c r="C712" i="4"/>
  <c r="D712" i="4"/>
  <c r="A713" i="4"/>
  <c r="B713" i="4"/>
  <c r="C713" i="4"/>
  <c r="D713" i="4"/>
  <c r="A714" i="4"/>
  <c r="B714" i="4"/>
  <c r="C714" i="4"/>
  <c r="D714" i="4"/>
  <c r="A715" i="4"/>
  <c r="B715" i="4"/>
  <c r="C715" i="4"/>
  <c r="D715" i="4"/>
  <c r="A716" i="4"/>
  <c r="B716" i="4"/>
  <c r="C716" i="4"/>
  <c r="D716" i="4"/>
  <c r="A717" i="4"/>
  <c r="B717" i="4"/>
  <c r="C717" i="4"/>
  <c r="D717" i="4"/>
  <c r="A718" i="4"/>
  <c r="B718" i="4"/>
  <c r="C718" i="4"/>
  <c r="D718" i="4"/>
  <c r="A719" i="4"/>
  <c r="B719" i="4"/>
  <c r="C719" i="4"/>
  <c r="D719" i="4"/>
  <c r="A720" i="4"/>
  <c r="B720" i="4"/>
  <c r="C720" i="4"/>
  <c r="D720" i="4"/>
  <c r="A721" i="4"/>
  <c r="B721" i="4"/>
  <c r="C721" i="4"/>
  <c r="D721" i="4"/>
  <c r="A722" i="4"/>
  <c r="B722" i="4"/>
  <c r="C722" i="4"/>
  <c r="D722" i="4"/>
  <c r="A723" i="4"/>
  <c r="B723" i="4"/>
  <c r="C723" i="4"/>
  <c r="D723" i="4"/>
  <c r="A724" i="4"/>
  <c r="B724" i="4"/>
  <c r="C724" i="4"/>
  <c r="D724" i="4"/>
  <c r="A725" i="4"/>
  <c r="B725" i="4"/>
  <c r="C725" i="4"/>
  <c r="D725" i="4"/>
  <c r="A726" i="4"/>
  <c r="B726" i="4"/>
  <c r="C726" i="4"/>
  <c r="D726" i="4"/>
  <c r="A727" i="4"/>
  <c r="B727" i="4"/>
  <c r="C727" i="4"/>
  <c r="D727" i="4"/>
  <c r="A728" i="4"/>
  <c r="B728" i="4"/>
  <c r="C728" i="4"/>
  <c r="D728" i="4"/>
  <c r="A729" i="4"/>
  <c r="B729" i="4"/>
  <c r="C729" i="4"/>
  <c r="D729" i="4"/>
  <c r="A730" i="4"/>
  <c r="B730" i="4"/>
  <c r="C730" i="4"/>
  <c r="D730" i="4"/>
  <c r="A731" i="4"/>
  <c r="B731" i="4"/>
  <c r="C731" i="4"/>
  <c r="D731" i="4"/>
  <c r="A732" i="4"/>
  <c r="B732" i="4"/>
  <c r="C732" i="4"/>
  <c r="D732" i="4"/>
  <c r="A733" i="4"/>
  <c r="B733" i="4"/>
  <c r="C733" i="4"/>
  <c r="D733" i="4"/>
  <c r="A734" i="4"/>
  <c r="B734" i="4"/>
  <c r="C734" i="4"/>
  <c r="D734" i="4"/>
  <c r="A735" i="4"/>
  <c r="B735" i="4"/>
  <c r="C735" i="4"/>
  <c r="D735" i="4"/>
  <c r="A736" i="4"/>
  <c r="B736" i="4"/>
  <c r="C736" i="4"/>
  <c r="D736" i="4"/>
  <c r="A737" i="4"/>
  <c r="B737" i="4"/>
  <c r="C737" i="4"/>
  <c r="D737" i="4"/>
  <c r="A738" i="4"/>
  <c r="B738" i="4"/>
  <c r="C738" i="4"/>
  <c r="D738" i="4"/>
  <c r="A739" i="4"/>
  <c r="B739" i="4"/>
  <c r="C739" i="4"/>
  <c r="D739" i="4"/>
  <c r="A740" i="4"/>
  <c r="B740" i="4"/>
  <c r="C740" i="4"/>
  <c r="D740" i="4"/>
  <c r="A741" i="4"/>
  <c r="B741" i="4"/>
  <c r="C741" i="4"/>
  <c r="D741" i="4"/>
  <c r="A742" i="4"/>
  <c r="B742" i="4"/>
  <c r="C742" i="4"/>
  <c r="D742" i="4"/>
  <c r="A743" i="4"/>
  <c r="B743" i="4"/>
  <c r="C743" i="4"/>
  <c r="D743" i="4"/>
  <c r="A744" i="4"/>
  <c r="B744" i="4"/>
  <c r="C744" i="4"/>
  <c r="D744" i="4"/>
  <c r="A745" i="4"/>
  <c r="B745" i="4"/>
  <c r="C745" i="4"/>
  <c r="D745" i="4"/>
  <c r="A746" i="4"/>
  <c r="B746" i="4"/>
  <c r="C746" i="4"/>
  <c r="D746" i="4"/>
  <c r="A747" i="4"/>
  <c r="B747" i="4"/>
  <c r="C747" i="4"/>
  <c r="D747" i="4"/>
  <c r="A748" i="4"/>
  <c r="B748" i="4"/>
  <c r="C748" i="4"/>
  <c r="D748" i="4"/>
  <c r="A749" i="4"/>
  <c r="B749" i="4"/>
  <c r="C749" i="4"/>
  <c r="D749" i="4"/>
  <c r="A750" i="4"/>
  <c r="B750" i="4"/>
  <c r="C750" i="4"/>
  <c r="D750" i="4"/>
  <c r="A751" i="4"/>
  <c r="B751" i="4"/>
  <c r="C751" i="4"/>
  <c r="D751" i="4"/>
  <c r="A752" i="4"/>
  <c r="B752" i="4"/>
  <c r="C752" i="4"/>
  <c r="D752" i="4"/>
  <c r="A753" i="4"/>
  <c r="B753" i="4"/>
  <c r="C753" i="4"/>
  <c r="D753" i="4"/>
  <c r="A754" i="4"/>
  <c r="B754" i="4"/>
  <c r="C754" i="4"/>
  <c r="D754" i="4"/>
  <c r="A5" i="4"/>
  <c r="B5" i="4"/>
  <c r="C5" i="4"/>
  <c r="D5" i="4"/>
  <c r="A6" i="4"/>
  <c r="B6" i="4"/>
  <c r="C6" i="4"/>
  <c r="D6" i="4"/>
  <c r="A7" i="4"/>
  <c r="B7" i="4"/>
  <c r="C7" i="4"/>
  <c r="D7" i="4"/>
  <c r="A8" i="4"/>
  <c r="B8" i="4"/>
  <c r="C8" i="4"/>
  <c r="D8" i="4"/>
  <c r="A9" i="4"/>
  <c r="B9" i="4"/>
  <c r="C9" i="4"/>
  <c r="D9" i="4"/>
  <c r="A10" i="4"/>
  <c r="B10" i="4"/>
  <c r="C10" i="4"/>
  <c r="D10" i="4"/>
  <c r="A11" i="4"/>
  <c r="B11" i="4"/>
  <c r="C11" i="4"/>
  <c r="D11" i="4"/>
  <c r="A12" i="4"/>
  <c r="B12" i="4"/>
  <c r="C12" i="4"/>
  <c r="D12" i="4"/>
  <c r="A13" i="4"/>
  <c r="B13" i="4"/>
  <c r="C13" i="4"/>
  <c r="D13" i="4"/>
  <c r="A14" i="4"/>
  <c r="B14" i="4"/>
  <c r="C14" i="4"/>
  <c r="D14" i="4"/>
  <c r="A15" i="4"/>
  <c r="B15" i="4"/>
  <c r="C15" i="4"/>
  <c r="D15" i="4"/>
  <c r="A16" i="4"/>
  <c r="B16" i="4"/>
  <c r="C16" i="4"/>
  <c r="D16" i="4"/>
  <c r="A17" i="4"/>
  <c r="B17" i="4"/>
  <c r="C17" i="4"/>
  <c r="D17" i="4"/>
  <c r="A18" i="4"/>
  <c r="B18" i="4"/>
  <c r="C18" i="4"/>
  <c r="D18" i="4"/>
  <c r="A19" i="4"/>
  <c r="B19" i="4"/>
  <c r="C19" i="4"/>
  <c r="D19" i="4"/>
  <c r="A20" i="4"/>
  <c r="B20" i="4"/>
  <c r="C20" i="4"/>
  <c r="D20" i="4"/>
  <c r="A21" i="4"/>
  <c r="B21" i="4"/>
  <c r="C21" i="4"/>
  <c r="D21" i="4"/>
  <c r="A22" i="4"/>
  <c r="B22" i="4"/>
  <c r="C22" i="4"/>
  <c r="D22" i="4"/>
  <c r="A23" i="4"/>
  <c r="B23" i="4"/>
  <c r="C23" i="4"/>
  <c r="D23" i="4"/>
  <c r="A24" i="4"/>
  <c r="B24" i="4"/>
  <c r="C24" i="4"/>
  <c r="D24" i="4"/>
  <c r="A25" i="4"/>
  <c r="B25" i="4"/>
  <c r="C25" i="4"/>
  <c r="D25" i="4"/>
  <c r="A26" i="4"/>
  <c r="B26" i="4"/>
  <c r="C26" i="4"/>
  <c r="D26" i="4"/>
  <c r="A27" i="4"/>
  <c r="B27" i="4"/>
  <c r="C27" i="4"/>
  <c r="D27" i="4"/>
  <c r="A28" i="4"/>
  <c r="B28" i="4"/>
  <c r="C28" i="4"/>
  <c r="D28" i="4"/>
  <c r="A29" i="4"/>
  <c r="B29" i="4"/>
  <c r="C29" i="4"/>
  <c r="D29" i="4"/>
  <c r="A30" i="4"/>
  <c r="B30" i="4"/>
  <c r="C30" i="4"/>
  <c r="D30" i="4"/>
  <c r="A31" i="4"/>
  <c r="B31" i="4"/>
  <c r="C31" i="4"/>
  <c r="D31" i="4"/>
  <c r="A32" i="4"/>
  <c r="B32" i="4"/>
  <c r="C32" i="4"/>
  <c r="D32" i="4"/>
  <c r="A33" i="4"/>
  <c r="B33" i="4"/>
  <c r="C33" i="4"/>
  <c r="D33" i="4"/>
  <c r="A34" i="4"/>
  <c r="B34" i="4"/>
  <c r="C34" i="4"/>
  <c r="D34" i="4"/>
  <c r="A35" i="4"/>
  <c r="B35" i="4"/>
  <c r="C35" i="4"/>
  <c r="D35" i="4"/>
  <c r="A36" i="4"/>
  <c r="B36" i="4"/>
  <c r="C36" i="4"/>
  <c r="D36" i="4"/>
  <c r="A37" i="4"/>
  <c r="B37" i="4"/>
  <c r="C37" i="4"/>
  <c r="D37" i="4"/>
  <c r="A38" i="4"/>
  <c r="B38" i="4"/>
  <c r="C38" i="4"/>
  <c r="D38" i="4"/>
  <c r="A39" i="4"/>
  <c r="B39" i="4"/>
  <c r="C39" i="4"/>
  <c r="D39" i="4"/>
  <c r="A40" i="4"/>
  <c r="B40" i="4"/>
  <c r="C40" i="4"/>
  <c r="D40" i="4"/>
  <c r="A41" i="4"/>
  <c r="B41" i="4"/>
  <c r="C41" i="4"/>
  <c r="D41" i="4"/>
  <c r="A42" i="4"/>
  <c r="B42" i="4"/>
  <c r="C42" i="4"/>
  <c r="D42" i="4"/>
  <c r="A43" i="4"/>
  <c r="B43" i="4"/>
  <c r="C43" i="4"/>
  <c r="D43" i="4"/>
  <c r="A44" i="4"/>
  <c r="B44" i="4"/>
  <c r="C44" i="4"/>
  <c r="D44" i="4"/>
  <c r="A45" i="4"/>
  <c r="B45" i="4"/>
  <c r="C45" i="4"/>
  <c r="D45" i="4"/>
  <c r="A46" i="4"/>
  <c r="B46" i="4"/>
  <c r="C46" i="4"/>
  <c r="D46" i="4"/>
  <c r="A47" i="4"/>
  <c r="B47" i="4"/>
  <c r="C47" i="4"/>
  <c r="D47" i="4"/>
  <c r="A48" i="4"/>
  <c r="B48" i="4"/>
  <c r="C48" i="4"/>
  <c r="D48" i="4"/>
  <c r="A49" i="4"/>
  <c r="B49" i="4"/>
  <c r="C49" i="4"/>
  <c r="D49" i="4"/>
  <c r="A50" i="4"/>
  <c r="B50" i="4"/>
  <c r="C50" i="4"/>
  <c r="D50" i="4"/>
  <c r="A51" i="4"/>
  <c r="B51" i="4"/>
  <c r="C51" i="4"/>
  <c r="D51" i="4"/>
  <c r="A52" i="4"/>
  <c r="B52" i="4"/>
  <c r="C52" i="4"/>
  <c r="D52" i="4"/>
  <c r="A53" i="4"/>
  <c r="B53" i="4"/>
  <c r="C53" i="4"/>
  <c r="D53" i="4"/>
  <c r="A54" i="4"/>
  <c r="B54" i="4"/>
  <c r="C54" i="4"/>
  <c r="D54" i="4"/>
  <c r="A55" i="4"/>
  <c r="B55" i="4"/>
  <c r="C55" i="4"/>
  <c r="D55" i="4"/>
  <c r="A56" i="4"/>
  <c r="B56" i="4"/>
  <c r="C56" i="4"/>
  <c r="D56" i="4"/>
  <c r="A57" i="4"/>
  <c r="B57" i="4"/>
  <c r="C57" i="4"/>
  <c r="D57" i="4"/>
  <c r="A58" i="4"/>
  <c r="B58" i="4"/>
  <c r="C58" i="4"/>
  <c r="D58" i="4"/>
  <c r="A59" i="4"/>
  <c r="B59" i="4"/>
  <c r="C59" i="4"/>
  <c r="D59" i="4"/>
  <c r="A60" i="4"/>
  <c r="B60" i="4"/>
  <c r="C60" i="4"/>
  <c r="D60" i="4"/>
  <c r="A61" i="4"/>
  <c r="B61" i="4"/>
  <c r="C61" i="4"/>
  <c r="D61" i="4"/>
  <c r="A62" i="4"/>
  <c r="B62" i="4"/>
  <c r="C62" i="4"/>
  <c r="D62" i="4"/>
  <c r="A63" i="4"/>
  <c r="B63" i="4"/>
  <c r="C63" i="4"/>
  <c r="D63" i="4"/>
  <c r="A64" i="4"/>
  <c r="B64" i="4"/>
  <c r="C64" i="4"/>
  <c r="D64" i="4"/>
  <c r="A65" i="4"/>
  <c r="B65" i="4"/>
  <c r="C65" i="4"/>
  <c r="D65" i="4"/>
  <c r="A66" i="4"/>
  <c r="B66" i="4"/>
  <c r="C66" i="4"/>
  <c r="D66" i="4"/>
  <c r="A67" i="4"/>
  <c r="B67" i="4"/>
  <c r="C67" i="4"/>
  <c r="D67" i="4"/>
  <c r="A68" i="4"/>
  <c r="B68" i="4"/>
  <c r="C68" i="4"/>
  <c r="D68" i="4"/>
  <c r="A69" i="4"/>
  <c r="B69" i="4"/>
  <c r="C69" i="4"/>
  <c r="D69" i="4"/>
  <c r="A70" i="4"/>
  <c r="B70" i="4"/>
  <c r="C70" i="4"/>
  <c r="D70" i="4"/>
  <c r="A71" i="4"/>
  <c r="B71" i="4"/>
  <c r="C71" i="4"/>
  <c r="D71" i="4"/>
  <c r="A72" i="4"/>
  <c r="B72" i="4"/>
  <c r="C72" i="4"/>
  <c r="D72" i="4"/>
  <c r="A73" i="4"/>
  <c r="B73" i="4"/>
  <c r="C73" i="4"/>
  <c r="D73" i="4"/>
  <c r="A74" i="4"/>
  <c r="B74" i="4"/>
  <c r="C74" i="4"/>
  <c r="D74" i="4"/>
  <c r="A75" i="4"/>
  <c r="B75" i="4"/>
  <c r="C75" i="4"/>
  <c r="D75" i="4"/>
  <c r="A76" i="4"/>
  <c r="B76" i="4"/>
  <c r="C76" i="4"/>
  <c r="D76" i="4"/>
  <c r="A77" i="4"/>
  <c r="B77" i="4"/>
  <c r="C77" i="4"/>
  <c r="D77" i="4"/>
  <c r="A78" i="4"/>
  <c r="B78" i="4"/>
  <c r="C78" i="4"/>
  <c r="D78" i="4"/>
  <c r="A79" i="4"/>
  <c r="B79" i="4"/>
  <c r="C79" i="4"/>
  <c r="D79" i="4"/>
  <c r="A80" i="4"/>
  <c r="B80" i="4"/>
  <c r="C80" i="4"/>
  <c r="D80" i="4"/>
  <c r="A81" i="4"/>
  <c r="B81" i="4"/>
  <c r="C81" i="4"/>
  <c r="D81" i="4"/>
  <c r="A82" i="4"/>
  <c r="B82" i="4"/>
  <c r="C82" i="4"/>
  <c r="D82" i="4"/>
  <c r="A83" i="4"/>
  <c r="B83" i="4"/>
  <c r="C83" i="4"/>
  <c r="D83" i="4"/>
  <c r="A84" i="4"/>
  <c r="B84" i="4"/>
  <c r="C84" i="4"/>
  <c r="D84" i="4"/>
  <c r="A85" i="4"/>
  <c r="B85" i="4"/>
  <c r="C85" i="4"/>
  <c r="D85" i="4"/>
  <c r="A86" i="4"/>
  <c r="B86" i="4"/>
  <c r="C86" i="4"/>
  <c r="D86" i="4"/>
  <c r="A87" i="4"/>
  <c r="B87" i="4"/>
  <c r="C87" i="4"/>
  <c r="D87" i="4"/>
  <c r="A88" i="4"/>
  <c r="B88" i="4"/>
  <c r="C88" i="4"/>
  <c r="D88" i="4"/>
  <c r="A89" i="4"/>
  <c r="B89" i="4"/>
  <c r="C89" i="4"/>
  <c r="D89" i="4"/>
  <c r="A90" i="4"/>
  <c r="B90" i="4"/>
  <c r="C90" i="4"/>
  <c r="D90" i="4"/>
  <c r="A91" i="4"/>
  <c r="B91" i="4"/>
  <c r="C91" i="4"/>
  <c r="D91" i="4"/>
  <c r="A92" i="4"/>
  <c r="B92" i="4"/>
  <c r="C92" i="4"/>
  <c r="D92" i="4"/>
  <c r="A93" i="4"/>
  <c r="B93" i="4"/>
  <c r="C93" i="4"/>
  <c r="D93" i="4"/>
  <c r="A94" i="4"/>
  <c r="B94" i="4"/>
  <c r="C94" i="4"/>
  <c r="D94" i="4"/>
  <c r="A95" i="4"/>
  <c r="B95" i="4"/>
  <c r="C95" i="4"/>
  <c r="D95" i="4"/>
  <c r="A96" i="4"/>
  <c r="B96" i="4"/>
  <c r="C96" i="4"/>
  <c r="D96" i="4"/>
  <c r="A97" i="4"/>
  <c r="B97" i="4"/>
  <c r="C97" i="4"/>
  <c r="D97" i="4"/>
  <c r="A98" i="4"/>
  <c r="B98" i="4"/>
  <c r="C98" i="4"/>
  <c r="D98" i="4"/>
  <c r="A99" i="4"/>
  <c r="B99" i="4"/>
  <c r="C99" i="4"/>
  <c r="D99" i="4"/>
  <c r="A100" i="4"/>
  <c r="B100" i="4"/>
  <c r="C100" i="4"/>
  <c r="D100" i="4"/>
  <c r="A101" i="4"/>
  <c r="B101" i="4"/>
  <c r="C101" i="4"/>
  <c r="D101" i="4"/>
  <c r="A102" i="4"/>
  <c r="B102" i="4"/>
  <c r="C102" i="4"/>
  <c r="D102" i="4"/>
  <c r="A103" i="4"/>
  <c r="B103" i="4"/>
  <c r="C103" i="4"/>
  <c r="D103" i="4"/>
  <c r="A104" i="4"/>
  <c r="B104" i="4"/>
  <c r="C104" i="4"/>
  <c r="D104" i="4"/>
  <c r="A105" i="4"/>
  <c r="B105" i="4"/>
  <c r="C105" i="4"/>
  <c r="D105" i="4"/>
  <c r="A106" i="4"/>
  <c r="B106" i="4"/>
  <c r="C106" i="4"/>
  <c r="D106" i="4"/>
  <c r="A107" i="4"/>
  <c r="B107" i="4"/>
  <c r="C107" i="4"/>
  <c r="D107" i="4"/>
  <c r="A108" i="4"/>
  <c r="B108" i="4"/>
  <c r="C108" i="4"/>
  <c r="D108" i="4"/>
  <c r="A109" i="4"/>
  <c r="B109" i="4"/>
  <c r="C109" i="4"/>
  <c r="D109" i="4"/>
  <c r="A110" i="4"/>
  <c r="B110" i="4"/>
  <c r="C110" i="4"/>
  <c r="D110" i="4"/>
  <c r="A111" i="4"/>
  <c r="B111" i="4"/>
  <c r="C111" i="4"/>
  <c r="D111" i="4"/>
  <c r="A112" i="4"/>
  <c r="B112" i="4"/>
  <c r="C112" i="4"/>
  <c r="D112" i="4"/>
  <c r="A113" i="4"/>
  <c r="B113" i="4"/>
  <c r="C113" i="4"/>
  <c r="D113" i="4"/>
  <c r="A114" i="4"/>
  <c r="B114" i="4"/>
  <c r="C114" i="4"/>
  <c r="D114" i="4"/>
  <c r="A115" i="4"/>
  <c r="B115" i="4"/>
  <c r="C115" i="4"/>
  <c r="D115" i="4"/>
  <c r="A116" i="4"/>
  <c r="B116" i="4"/>
  <c r="C116" i="4"/>
  <c r="D116" i="4"/>
  <c r="A117" i="4"/>
  <c r="B117" i="4"/>
  <c r="C117" i="4"/>
  <c r="D117" i="4"/>
  <c r="A118" i="4"/>
  <c r="B118" i="4"/>
  <c r="C118" i="4"/>
  <c r="D118" i="4"/>
  <c r="A119" i="4"/>
  <c r="B119" i="4"/>
  <c r="C119" i="4"/>
  <c r="D119" i="4"/>
  <c r="A120" i="4"/>
  <c r="B120" i="4"/>
  <c r="C120" i="4"/>
  <c r="D120" i="4"/>
  <c r="A121" i="4"/>
  <c r="B121" i="4"/>
  <c r="C121" i="4"/>
  <c r="D121" i="4"/>
  <c r="A122" i="4"/>
  <c r="B122" i="4"/>
  <c r="C122" i="4"/>
  <c r="D122" i="4"/>
  <c r="A123" i="4"/>
  <c r="B123" i="4"/>
  <c r="C123" i="4"/>
  <c r="D123" i="4"/>
  <c r="A124" i="4"/>
  <c r="B124" i="4"/>
  <c r="C124" i="4"/>
  <c r="D124" i="4"/>
  <c r="A125" i="4"/>
  <c r="B125" i="4"/>
  <c r="C125" i="4"/>
  <c r="D125" i="4"/>
  <c r="A126" i="4"/>
  <c r="B126" i="4"/>
  <c r="C126" i="4"/>
  <c r="D126" i="4"/>
  <c r="A127" i="4"/>
  <c r="B127" i="4"/>
  <c r="C127" i="4"/>
  <c r="D127" i="4"/>
  <c r="A128" i="4"/>
  <c r="B128" i="4"/>
  <c r="C128" i="4"/>
  <c r="D128" i="4"/>
  <c r="A129" i="4"/>
  <c r="B129" i="4"/>
  <c r="C129" i="4"/>
  <c r="D129" i="4"/>
  <c r="A130" i="4"/>
  <c r="B130" i="4"/>
  <c r="C130" i="4"/>
  <c r="D130" i="4"/>
  <c r="A131" i="4"/>
  <c r="B131" i="4"/>
  <c r="C131" i="4"/>
  <c r="D131" i="4"/>
  <c r="A132" i="4"/>
  <c r="B132" i="4"/>
  <c r="C132" i="4"/>
  <c r="D132" i="4"/>
  <c r="A133" i="4"/>
  <c r="B133" i="4"/>
  <c r="C133" i="4"/>
  <c r="D133" i="4"/>
  <c r="A134" i="4"/>
  <c r="B134" i="4"/>
  <c r="C134" i="4"/>
  <c r="D134" i="4"/>
  <c r="A135" i="4"/>
  <c r="B135" i="4"/>
  <c r="C135" i="4"/>
  <c r="D135" i="4"/>
  <c r="A136" i="4"/>
  <c r="B136" i="4"/>
  <c r="C136" i="4"/>
  <c r="D136" i="4"/>
  <c r="A137" i="4"/>
  <c r="B137" i="4"/>
  <c r="C137" i="4"/>
  <c r="D137" i="4"/>
  <c r="A138" i="4"/>
  <c r="B138" i="4"/>
  <c r="C138" i="4"/>
  <c r="D138" i="4"/>
  <c r="A139" i="4"/>
  <c r="B139" i="4"/>
  <c r="C139" i="4"/>
  <c r="D139" i="4"/>
  <c r="A140" i="4"/>
  <c r="B140" i="4"/>
  <c r="C140" i="4"/>
  <c r="D140" i="4"/>
  <c r="A141" i="4"/>
  <c r="B141" i="4"/>
  <c r="C141" i="4"/>
  <c r="D141" i="4"/>
  <c r="A142" i="4"/>
  <c r="B142" i="4"/>
  <c r="C142" i="4"/>
  <c r="D142" i="4"/>
  <c r="A143" i="4"/>
  <c r="B143" i="4"/>
  <c r="C143" i="4"/>
  <c r="D143" i="4"/>
  <c r="A144" i="4"/>
  <c r="B144" i="4"/>
  <c r="C144" i="4"/>
  <c r="D144" i="4"/>
  <c r="A145" i="4"/>
  <c r="B145" i="4"/>
  <c r="C145" i="4"/>
  <c r="D145" i="4"/>
  <c r="A146" i="4"/>
  <c r="B146" i="4"/>
  <c r="C146" i="4"/>
  <c r="D146" i="4"/>
  <c r="A147" i="4"/>
  <c r="B147" i="4"/>
  <c r="C147" i="4"/>
  <c r="D147" i="4"/>
  <c r="A148" i="4"/>
  <c r="B148" i="4"/>
  <c r="C148" i="4"/>
  <c r="D148" i="4"/>
  <c r="A149" i="4"/>
  <c r="B149" i="4"/>
  <c r="C149" i="4"/>
  <c r="D149" i="4"/>
  <c r="A150" i="4"/>
  <c r="B150" i="4"/>
  <c r="C150" i="4"/>
  <c r="D150" i="4"/>
  <c r="A151" i="4"/>
  <c r="B151" i="4"/>
  <c r="C151" i="4"/>
  <c r="D151" i="4"/>
  <c r="A152" i="4"/>
  <c r="B152" i="4"/>
  <c r="C152" i="4"/>
  <c r="D152" i="4"/>
  <c r="A153" i="4"/>
  <c r="B153" i="4"/>
  <c r="C153" i="4"/>
  <c r="D153" i="4"/>
  <c r="A154" i="4"/>
  <c r="B154" i="4"/>
  <c r="C154" i="4"/>
  <c r="D154" i="4"/>
  <c r="A155" i="4"/>
  <c r="B155" i="4"/>
  <c r="C155" i="4"/>
  <c r="D155" i="4"/>
  <c r="A156" i="4"/>
  <c r="B156" i="4"/>
  <c r="C156" i="4"/>
  <c r="D156" i="4"/>
  <c r="A157" i="4"/>
  <c r="B157" i="4"/>
  <c r="C157" i="4"/>
  <c r="D157" i="4"/>
  <c r="A158" i="4"/>
  <c r="B158" i="4"/>
  <c r="C158" i="4"/>
  <c r="D158" i="4"/>
  <c r="A159" i="4"/>
  <c r="B159" i="4"/>
  <c r="C159" i="4"/>
  <c r="D159" i="4"/>
  <c r="A160" i="4"/>
  <c r="B160" i="4"/>
  <c r="C160" i="4"/>
  <c r="D160" i="4"/>
  <c r="A161" i="4"/>
  <c r="B161" i="4"/>
  <c r="C161" i="4"/>
  <c r="D161" i="4"/>
  <c r="A162" i="4"/>
  <c r="B162" i="4"/>
  <c r="C162" i="4"/>
  <c r="D162" i="4"/>
  <c r="A163" i="4"/>
  <c r="B163" i="4"/>
  <c r="C163" i="4"/>
  <c r="D163" i="4"/>
  <c r="A164" i="4"/>
  <c r="B164" i="4"/>
  <c r="C164" i="4"/>
  <c r="D164" i="4"/>
  <c r="A165" i="4"/>
  <c r="B165" i="4"/>
  <c r="C165" i="4"/>
  <c r="D165" i="4"/>
  <c r="A166" i="4"/>
  <c r="B166" i="4"/>
  <c r="C166" i="4"/>
  <c r="D166" i="4"/>
  <c r="A167" i="4"/>
  <c r="B167" i="4"/>
  <c r="C167" i="4"/>
  <c r="D167" i="4"/>
  <c r="A168" i="4"/>
  <c r="B168" i="4"/>
  <c r="C168" i="4"/>
  <c r="D168" i="4"/>
  <c r="A169" i="4"/>
  <c r="B169" i="4"/>
  <c r="C169" i="4"/>
  <c r="D169" i="4"/>
  <c r="A170" i="4"/>
  <c r="B170" i="4"/>
  <c r="C170" i="4"/>
  <c r="D170" i="4"/>
  <c r="A171" i="4"/>
  <c r="B171" i="4"/>
  <c r="C171" i="4"/>
  <c r="D171" i="4"/>
  <c r="A172" i="4"/>
  <c r="B172" i="4"/>
  <c r="C172" i="4"/>
  <c r="D172" i="4"/>
  <c r="A173" i="4"/>
  <c r="B173" i="4"/>
  <c r="C173" i="4"/>
  <c r="D173" i="4"/>
  <c r="A174" i="4"/>
  <c r="B174" i="4"/>
  <c r="C174" i="4"/>
  <c r="D174" i="4"/>
  <c r="A175" i="4"/>
  <c r="B175" i="4"/>
  <c r="C175" i="4"/>
  <c r="D175" i="4"/>
  <c r="A176" i="4"/>
  <c r="B176" i="4"/>
  <c r="C176" i="4"/>
  <c r="D176" i="4"/>
  <c r="A177" i="4"/>
  <c r="B177" i="4"/>
  <c r="C177" i="4"/>
  <c r="D177" i="4"/>
  <c r="A178" i="4"/>
  <c r="B178" i="4"/>
  <c r="C178" i="4"/>
  <c r="D178" i="4"/>
  <c r="A179" i="4"/>
  <c r="B179" i="4"/>
  <c r="C179" i="4"/>
  <c r="D179" i="4"/>
  <c r="A180" i="4"/>
  <c r="B180" i="4"/>
  <c r="C180" i="4"/>
  <c r="D180" i="4"/>
  <c r="A181" i="4"/>
  <c r="B181" i="4"/>
  <c r="C181" i="4"/>
  <c r="D181" i="4"/>
  <c r="A182" i="4"/>
  <c r="B182" i="4"/>
  <c r="C182" i="4"/>
  <c r="D182" i="4"/>
  <c r="A183" i="4"/>
  <c r="B183" i="4"/>
  <c r="C183" i="4"/>
  <c r="D183" i="4"/>
  <c r="A184" i="4"/>
  <c r="B184" i="4"/>
  <c r="C184" i="4"/>
  <c r="D184" i="4"/>
  <c r="A185" i="4"/>
  <c r="B185" i="4"/>
  <c r="C185" i="4"/>
  <c r="D185" i="4"/>
  <c r="A186" i="4"/>
  <c r="B186" i="4"/>
  <c r="C186" i="4"/>
  <c r="D186" i="4"/>
  <c r="A187" i="4"/>
  <c r="B187" i="4"/>
  <c r="C187" i="4"/>
  <c r="D187" i="4"/>
  <c r="A188" i="4"/>
  <c r="B188" i="4"/>
  <c r="C188" i="4"/>
  <c r="D188" i="4"/>
  <c r="A189" i="4"/>
  <c r="B189" i="4"/>
  <c r="C189" i="4"/>
  <c r="D189" i="4"/>
  <c r="A190" i="4"/>
  <c r="B190" i="4"/>
  <c r="C190" i="4"/>
  <c r="D190" i="4"/>
  <c r="A191" i="4"/>
  <c r="B191" i="4"/>
  <c r="C191" i="4"/>
  <c r="D191" i="4"/>
  <c r="A192" i="4"/>
  <c r="B192" i="4"/>
  <c r="C192" i="4"/>
  <c r="D192" i="4"/>
  <c r="A193" i="4"/>
  <c r="B193" i="4"/>
  <c r="C193" i="4"/>
  <c r="D193" i="4"/>
  <c r="A194" i="4"/>
  <c r="B194" i="4"/>
  <c r="C194" i="4"/>
  <c r="D194" i="4"/>
  <c r="A195" i="4"/>
  <c r="B195" i="4"/>
  <c r="C195" i="4"/>
  <c r="D195" i="4"/>
  <c r="A196" i="4"/>
  <c r="B196" i="4"/>
  <c r="C196" i="4"/>
  <c r="D196" i="4"/>
  <c r="A197" i="4"/>
  <c r="B197" i="4"/>
  <c r="C197" i="4"/>
  <c r="D197" i="4"/>
  <c r="A198" i="4"/>
  <c r="B198" i="4"/>
  <c r="C198" i="4"/>
  <c r="D198" i="4"/>
  <c r="A199" i="4"/>
  <c r="B199" i="4"/>
  <c r="C199" i="4"/>
  <c r="D199" i="4"/>
  <c r="A200" i="4"/>
  <c r="B200" i="4"/>
  <c r="C200" i="4"/>
  <c r="D200" i="4"/>
  <c r="A201" i="4"/>
  <c r="B201" i="4"/>
  <c r="C201" i="4"/>
  <c r="D201" i="4"/>
  <c r="A202" i="4"/>
  <c r="B202" i="4"/>
  <c r="C202" i="4"/>
  <c r="D202" i="4"/>
  <c r="A203" i="4"/>
  <c r="B203" i="4"/>
  <c r="C203" i="4"/>
  <c r="D203" i="4"/>
  <c r="A204" i="4"/>
  <c r="B204" i="4"/>
  <c r="C204" i="4"/>
  <c r="D204" i="4"/>
  <c r="A205" i="4"/>
  <c r="B205" i="4"/>
  <c r="C205" i="4"/>
  <c r="D205" i="4"/>
  <c r="A206" i="4"/>
  <c r="B206" i="4"/>
  <c r="C206" i="4"/>
  <c r="D206" i="4"/>
  <c r="A207" i="4"/>
  <c r="B207" i="4"/>
  <c r="C207" i="4"/>
  <c r="D207" i="4"/>
  <c r="A208" i="4"/>
  <c r="B208" i="4"/>
  <c r="C208" i="4"/>
  <c r="D208" i="4"/>
  <c r="A209" i="4"/>
  <c r="B209" i="4"/>
  <c r="C209" i="4"/>
  <c r="D209" i="4"/>
  <c r="A210" i="4"/>
  <c r="B210" i="4"/>
  <c r="C210" i="4"/>
  <c r="D210" i="4"/>
  <c r="A211" i="4"/>
  <c r="B211" i="4"/>
  <c r="C211" i="4"/>
  <c r="D211" i="4"/>
  <c r="A212" i="4"/>
  <c r="B212" i="4"/>
  <c r="C212" i="4"/>
  <c r="D212" i="4"/>
  <c r="A213" i="4"/>
  <c r="B213" i="4"/>
  <c r="C213" i="4"/>
  <c r="D213" i="4"/>
  <c r="A214" i="4"/>
  <c r="B214" i="4"/>
  <c r="C214" i="4"/>
  <c r="D214" i="4"/>
  <c r="A215" i="4"/>
  <c r="B215" i="4"/>
  <c r="C215" i="4"/>
  <c r="D215" i="4"/>
  <c r="A216" i="4"/>
  <c r="B216" i="4"/>
  <c r="C216" i="4"/>
  <c r="D216" i="4"/>
  <c r="A217" i="4"/>
  <c r="B217" i="4"/>
  <c r="C217" i="4"/>
  <c r="D217" i="4"/>
  <c r="A218" i="4"/>
  <c r="B218" i="4"/>
  <c r="C218" i="4"/>
  <c r="D218" i="4"/>
  <c r="A219" i="4"/>
  <c r="B219" i="4"/>
  <c r="C219" i="4"/>
  <c r="D219" i="4"/>
  <c r="A220" i="4"/>
  <c r="B220" i="4"/>
  <c r="C220" i="4"/>
  <c r="D220" i="4"/>
  <c r="A221" i="4"/>
  <c r="B221" i="4"/>
  <c r="C221" i="4"/>
  <c r="D221" i="4"/>
  <c r="A222" i="4"/>
  <c r="B222" i="4"/>
  <c r="C222" i="4"/>
  <c r="D222" i="4"/>
  <c r="A223" i="4"/>
  <c r="B223" i="4"/>
  <c r="C223" i="4"/>
  <c r="D223" i="4"/>
  <c r="A224" i="4"/>
  <c r="B224" i="4"/>
  <c r="C224" i="4"/>
  <c r="D224" i="4"/>
  <c r="A225" i="4"/>
  <c r="B225" i="4"/>
  <c r="C225" i="4"/>
  <c r="D225" i="4"/>
  <c r="A226" i="4"/>
  <c r="B226" i="4"/>
  <c r="C226" i="4"/>
  <c r="D226" i="4"/>
  <c r="A227" i="4"/>
  <c r="B227" i="4"/>
  <c r="C227" i="4"/>
  <c r="D227" i="4"/>
  <c r="A228" i="4"/>
  <c r="B228" i="4"/>
  <c r="C228" i="4"/>
  <c r="D228" i="4"/>
  <c r="A229" i="4"/>
  <c r="B229" i="4"/>
  <c r="C229" i="4"/>
  <c r="D229" i="4"/>
  <c r="A230" i="4"/>
  <c r="B230" i="4"/>
  <c r="C230" i="4"/>
  <c r="D230" i="4"/>
  <c r="A231" i="4"/>
  <c r="B231" i="4"/>
  <c r="C231" i="4"/>
  <c r="D231" i="4"/>
  <c r="A232" i="4"/>
  <c r="B232" i="4"/>
  <c r="C232" i="4"/>
  <c r="D232" i="4"/>
  <c r="A233" i="4"/>
  <c r="B233" i="4"/>
  <c r="C233" i="4"/>
  <c r="D233" i="4"/>
  <c r="A234" i="4"/>
  <c r="B234" i="4"/>
  <c r="C234" i="4"/>
  <c r="D234" i="4"/>
  <c r="A235" i="4"/>
  <c r="B235" i="4"/>
  <c r="C235" i="4"/>
  <c r="D235" i="4"/>
  <c r="A236" i="4"/>
  <c r="B236" i="4"/>
  <c r="C236" i="4"/>
  <c r="D236" i="4"/>
  <c r="A237" i="4"/>
  <c r="B237" i="4"/>
  <c r="C237" i="4"/>
  <c r="D237" i="4"/>
  <c r="A238" i="4"/>
  <c r="B238" i="4"/>
  <c r="C238" i="4"/>
  <c r="D238" i="4"/>
  <c r="A239" i="4"/>
  <c r="B239" i="4"/>
  <c r="C239" i="4"/>
  <c r="D239" i="4"/>
  <c r="A240" i="4"/>
  <c r="B240" i="4"/>
  <c r="C240" i="4"/>
  <c r="D240" i="4"/>
  <c r="A241" i="4"/>
  <c r="B241" i="4"/>
  <c r="C241" i="4"/>
  <c r="D241" i="4"/>
  <c r="A242" i="4"/>
  <c r="B242" i="4"/>
  <c r="C242" i="4"/>
  <c r="D242" i="4"/>
  <c r="A243" i="4"/>
  <c r="B243" i="4"/>
  <c r="C243" i="4"/>
  <c r="D243" i="4"/>
  <c r="A244" i="4"/>
  <c r="B244" i="4"/>
  <c r="C244" i="4"/>
  <c r="D244" i="4"/>
  <c r="A245" i="4"/>
  <c r="B245" i="4"/>
  <c r="C245" i="4"/>
  <c r="D245" i="4"/>
  <c r="A246" i="4"/>
  <c r="B246" i="4"/>
  <c r="C246" i="4"/>
  <c r="D246" i="4"/>
  <c r="A247" i="4"/>
  <c r="B247" i="4"/>
  <c r="C247" i="4"/>
  <c r="D247" i="4"/>
  <c r="A248" i="4"/>
  <c r="B248" i="4"/>
  <c r="C248" i="4"/>
  <c r="D248" i="4"/>
  <c r="A249" i="4"/>
  <c r="B249" i="4"/>
  <c r="C249" i="4"/>
  <c r="D249" i="4"/>
  <c r="A250" i="4"/>
  <c r="B250" i="4"/>
  <c r="C250" i="4"/>
  <c r="D250" i="4"/>
  <c r="A251" i="4"/>
  <c r="B251" i="4"/>
  <c r="C251" i="4"/>
  <c r="D251" i="4"/>
  <c r="A252" i="4"/>
  <c r="B252" i="4"/>
  <c r="C252" i="4"/>
  <c r="D252" i="4"/>
  <c r="A253" i="4"/>
  <c r="B253" i="4"/>
  <c r="C253" i="4"/>
  <c r="D253" i="4"/>
  <c r="A254" i="4"/>
  <c r="B254" i="4"/>
  <c r="C254" i="4"/>
  <c r="D254" i="4"/>
  <c r="A255" i="4"/>
  <c r="B255" i="4"/>
  <c r="C255" i="4"/>
  <c r="D255" i="4"/>
  <c r="A256" i="4"/>
  <c r="B256" i="4"/>
  <c r="C256" i="4"/>
  <c r="D256" i="4"/>
  <c r="A257" i="4"/>
  <c r="B257" i="4"/>
  <c r="C257" i="4"/>
  <c r="D257" i="4"/>
  <c r="A258" i="4"/>
  <c r="B258" i="4"/>
  <c r="C258" i="4"/>
  <c r="D258" i="4"/>
  <c r="A259" i="4"/>
  <c r="B259" i="4"/>
  <c r="C259" i="4"/>
  <c r="D259" i="4"/>
  <c r="A260" i="4"/>
  <c r="B260" i="4"/>
  <c r="C260" i="4"/>
  <c r="D260" i="4"/>
  <c r="A261" i="4"/>
  <c r="B261" i="4"/>
  <c r="C261" i="4"/>
  <c r="D261" i="4"/>
  <c r="A262" i="4"/>
  <c r="B262" i="4"/>
  <c r="C262" i="4"/>
  <c r="D262" i="4"/>
  <c r="A263" i="4"/>
  <c r="B263" i="4"/>
  <c r="C263" i="4"/>
  <c r="D263" i="4"/>
  <c r="A264" i="4"/>
  <c r="B264" i="4"/>
  <c r="C264" i="4"/>
  <c r="D264" i="4"/>
  <c r="A265" i="4"/>
  <c r="B265" i="4"/>
  <c r="C265" i="4"/>
  <c r="D265" i="4"/>
  <c r="A266" i="4"/>
  <c r="B266" i="4"/>
  <c r="C266" i="4"/>
  <c r="D266" i="4"/>
  <c r="A267" i="4"/>
  <c r="B267" i="4"/>
  <c r="C267" i="4"/>
  <c r="D267" i="4"/>
  <c r="A268" i="4"/>
  <c r="B268" i="4"/>
  <c r="C268" i="4"/>
  <c r="D268" i="4"/>
  <c r="A269" i="4"/>
  <c r="B269" i="4"/>
  <c r="C269" i="4"/>
  <c r="D269" i="4"/>
  <c r="A270" i="4"/>
  <c r="B270" i="4"/>
  <c r="C270" i="4"/>
  <c r="D270" i="4"/>
  <c r="A271" i="4"/>
  <c r="B271" i="4"/>
  <c r="C271" i="4"/>
  <c r="D271" i="4"/>
  <c r="A272" i="4"/>
  <c r="B272" i="4"/>
  <c r="C272" i="4"/>
  <c r="D272" i="4"/>
  <c r="A273" i="4"/>
  <c r="B273" i="4"/>
  <c r="C273" i="4"/>
  <c r="D273" i="4"/>
  <c r="A274" i="4"/>
  <c r="B274" i="4"/>
  <c r="C274" i="4"/>
  <c r="D274" i="4"/>
  <c r="A275" i="4"/>
  <c r="B275" i="4"/>
  <c r="C275" i="4"/>
  <c r="D275" i="4"/>
  <c r="A276" i="4"/>
  <c r="B276" i="4"/>
  <c r="C276" i="4"/>
  <c r="D276" i="4"/>
  <c r="A277" i="4"/>
  <c r="B277" i="4"/>
  <c r="C277" i="4"/>
  <c r="D277" i="4"/>
  <c r="A278" i="4"/>
  <c r="B278" i="4"/>
  <c r="C278" i="4"/>
  <c r="D278" i="4"/>
  <c r="A279" i="4"/>
  <c r="B279" i="4"/>
  <c r="C279" i="4"/>
  <c r="D279" i="4"/>
  <c r="A280" i="4"/>
  <c r="B280" i="4"/>
  <c r="C280" i="4"/>
  <c r="D280" i="4"/>
  <c r="A281" i="4"/>
  <c r="B281" i="4"/>
  <c r="C281" i="4"/>
  <c r="D281" i="4"/>
  <c r="A282" i="4"/>
  <c r="B282" i="4"/>
  <c r="C282" i="4"/>
  <c r="D282" i="4"/>
  <c r="A283" i="4"/>
  <c r="B283" i="4"/>
  <c r="C283" i="4"/>
  <c r="D283" i="4"/>
  <c r="A284" i="4"/>
  <c r="B284" i="4"/>
  <c r="C284" i="4"/>
  <c r="D284" i="4"/>
  <c r="A285" i="4"/>
  <c r="B285" i="4"/>
  <c r="C285" i="4"/>
  <c r="D285" i="4"/>
  <c r="A286" i="4"/>
  <c r="B286" i="4"/>
  <c r="C286" i="4"/>
  <c r="D286" i="4"/>
  <c r="A287" i="4"/>
  <c r="B287" i="4"/>
  <c r="C287" i="4"/>
  <c r="D287" i="4"/>
  <c r="A288" i="4"/>
  <c r="B288" i="4"/>
  <c r="C288" i="4"/>
  <c r="D288" i="4"/>
  <c r="A289" i="4"/>
  <c r="B289" i="4"/>
  <c r="C289" i="4"/>
  <c r="D289" i="4"/>
  <c r="A290" i="4"/>
  <c r="B290" i="4"/>
  <c r="C290" i="4"/>
  <c r="D290" i="4"/>
  <c r="A291" i="4"/>
  <c r="B291" i="4"/>
  <c r="C291" i="4"/>
  <c r="D291" i="4"/>
  <c r="A292" i="4"/>
  <c r="B292" i="4"/>
  <c r="C292" i="4"/>
  <c r="D292" i="4"/>
  <c r="A293" i="4"/>
  <c r="B293" i="4"/>
  <c r="C293" i="4"/>
  <c r="D293" i="4"/>
  <c r="A294" i="4"/>
  <c r="B294" i="4"/>
  <c r="C294" i="4"/>
  <c r="D294" i="4"/>
  <c r="A295" i="4"/>
  <c r="B295" i="4"/>
  <c r="C295" i="4"/>
  <c r="D295" i="4"/>
  <c r="A296" i="4"/>
  <c r="B296" i="4"/>
  <c r="C296" i="4"/>
  <c r="D296" i="4"/>
  <c r="A297" i="4"/>
  <c r="B297" i="4"/>
  <c r="C297" i="4"/>
  <c r="D297" i="4"/>
  <c r="A298" i="4"/>
  <c r="B298" i="4"/>
  <c r="C298" i="4"/>
  <c r="D298" i="4"/>
  <c r="A299" i="4"/>
  <c r="B299" i="4"/>
  <c r="C299" i="4"/>
  <c r="D299" i="4"/>
  <c r="A300" i="4"/>
  <c r="B300" i="4"/>
  <c r="C300" i="4"/>
  <c r="D300" i="4"/>
  <c r="A301" i="4"/>
  <c r="B301" i="4"/>
  <c r="C301" i="4"/>
  <c r="D301" i="4"/>
  <c r="A302" i="4"/>
  <c r="B302" i="4"/>
  <c r="C302" i="4"/>
  <c r="D302" i="4"/>
  <c r="A303" i="4"/>
  <c r="B303" i="4"/>
  <c r="C303" i="4"/>
  <c r="D303" i="4"/>
  <c r="A304" i="4"/>
  <c r="B304" i="4"/>
  <c r="C304" i="4"/>
  <c r="D304" i="4"/>
  <c r="A305" i="4"/>
  <c r="B305" i="4"/>
  <c r="C305" i="4"/>
  <c r="D305" i="4"/>
  <c r="A306" i="4"/>
  <c r="B306" i="4"/>
  <c r="C306" i="4"/>
  <c r="D306" i="4"/>
  <c r="A307" i="4"/>
  <c r="B307" i="4"/>
  <c r="C307" i="4"/>
  <c r="D307" i="4"/>
  <c r="A308" i="4"/>
  <c r="B308" i="4"/>
  <c r="C308" i="4"/>
  <c r="D308" i="4"/>
  <c r="A309" i="4"/>
  <c r="B309" i="4"/>
  <c r="C309" i="4"/>
  <c r="D309" i="4"/>
  <c r="A310" i="4"/>
  <c r="B310" i="4"/>
  <c r="C310" i="4"/>
  <c r="D310" i="4"/>
  <c r="A311" i="4"/>
  <c r="B311" i="4"/>
  <c r="C311" i="4"/>
  <c r="D311" i="4"/>
  <c r="A312" i="4"/>
  <c r="B312" i="4"/>
  <c r="C312" i="4"/>
  <c r="D312" i="4"/>
  <c r="A313" i="4"/>
  <c r="B313" i="4"/>
  <c r="C313" i="4"/>
  <c r="D313" i="4"/>
  <c r="A314" i="4"/>
  <c r="B314" i="4"/>
  <c r="C314" i="4"/>
  <c r="D314" i="4"/>
  <c r="A315" i="4"/>
  <c r="B315" i="4"/>
  <c r="C315" i="4"/>
  <c r="D315" i="4"/>
  <c r="A316" i="4"/>
  <c r="B316" i="4"/>
  <c r="C316" i="4"/>
  <c r="D316" i="4"/>
  <c r="A317" i="4"/>
  <c r="B317" i="4"/>
  <c r="C317" i="4"/>
  <c r="D317" i="4"/>
  <c r="A318" i="4"/>
  <c r="B318" i="4"/>
  <c r="C318" i="4"/>
  <c r="D318" i="4"/>
  <c r="A319" i="4"/>
  <c r="B319" i="4"/>
  <c r="C319" i="4"/>
  <c r="D319" i="4"/>
  <c r="A320" i="4"/>
  <c r="B320" i="4"/>
  <c r="C320" i="4"/>
  <c r="D320" i="4"/>
  <c r="A321" i="4"/>
  <c r="B321" i="4"/>
  <c r="C321" i="4"/>
  <c r="D321" i="4"/>
  <c r="A322" i="4"/>
  <c r="B322" i="4"/>
  <c r="C322" i="4"/>
  <c r="D322" i="4"/>
  <c r="A323" i="4"/>
  <c r="B323" i="4"/>
  <c r="C323" i="4"/>
  <c r="D323" i="4"/>
  <c r="A324" i="4"/>
  <c r="B324" i="4"/>
  <c r="C324" i="4"/>
  <c r="D324" i="4"/>
  <c r="A325" i="4"/>
  <c r="B325" i="4"/>
  <c r="C325" i="4"/>
  <c r="D325" i="4"/>
  <c r="A326" i="4"/>
  <c r="B326" i="4"/>
  <c r="C326" i="4"/>
  <c r="D326" i="4"/>
  <c r="A327" i="4"/>
  <c r="B327" i="4"/>
  <c r="C327" i="4"/>
  <c r="D327" i="4"/>
  <c r="A328" i="4"/>
  <c r="B328" i="4"/>
  <c r="C328" i="4"/>
  <c r="D328" i="4"/>
  <c r="A329" i="4"/>
  <c r="B329" i="4"/>
  <c r="C329" i="4"/>
  <c r="D329" i="4"/>
  <c r="A330" i="4"/>
  <c r="B330" i="4"/>
  <c r="C330" i="4"/>
  <c r="D330" i="4"/>
  <c r="A331" i="4"/>
  <c r="B331" i="4"/>
  <c r="C331" i="4"/>
  <c r="D331" i="4"/>
  <c r="A332" i="4"/>
  <c r="B332" i="4"/>
  <c r="C332" i="4"/>
  <c r="D332" i="4"/>
  <c r="A333" i="4"/>
  <c r="B333" i="4"/>
  <c r="C333" i="4"/>
  <c r="D333" i="4"/>
  <c r="A334" i="4"/>
  <c r="B334" i="4"/>
  <c r="C334" i="4"/>
  <c r="D334" i="4"/>
  <c r="A335" i="4"/>
  <c r="B335" i="4"/>
  <c r="C335" i="4"/>
  <c r="D335" i="4"/>
  <c r="A336" i="4"/>
  <c r="B336" i="4"/>
  <c r="C336" i="4"/>
  <c r="D336" i="4"/>
  <c r="A337" i="4"/>
  <c r="B337" i="4"/>
  <c r="C337" i="4"/>
  <c r="D337" i="4"/>
  <c r="A338" i="4"/>
  <c r="B338" i="4"/>
  <c r="C338" i="4"/>
  <c r="D338" i="4"/>
  <c r="A339" i="4"/>
  <c r="B339" i="4"/>
  <c r="C339" i="4"/>
  <c r="D339" i="4"/>
  <c r="A340" i="4"/>
  <c r="B340" i="4"/>
  <c r="C340" i="4"/>
  <c r="D340" i="4"/>
  <c r="A341" i="4"/>
  <c r="B341" i="4"/>
  <c r="C341" i="4"/>
  <c r="D341" i="4"/>
  <c r="A342" i="4"/>
  <c r="B342" i="4"/>
  <c r="C342" i="4"/>
  <c r="D342" i="4"/>
  <c r="A343" i="4"/>
  <c r="B343" i="4"/>
  <c r="C343" i="4"/>
  <c r="D343" i="4"/>
  <c r="A344" i="4"/>
  <c r="B344" i="4"/>
  <c r="C344" i="4"/>
  <c r="D344" i="4"/>
  <c r="A345" i="4"/>
  <c r="B345" i="4"/>
  <c r="C345" i="4"/>
  <c r="D345" i="4"/>
  <c r="A346" i="4"/>
  <c r="B346" i="4"/>
  <c r="C346" i="4"/>
  <c r="D346" i="4"/>
  <c r="A347" i="4"/>
  <c r="B347" i="4"/>
  <c r="C347" i="4"/>
  <c r="D347" i="4"/>
  <c r="A348" i="4"/>
  <c r="B348" i="4"/>
  <c r="C348" i="4"/>
  <c r="D348" i="4"/>
  <c r="A349" i="4"/>
  <c r="B349" i="4"/>
  <c r="C349" i="4"/>
  <c r="D349" i="4"/>
  <c r="A350" i="4"/>
  <c r="B350" i="4"/>
  <c r="C350" i="4"/>
  <c r="D350" i="4"/>
  <c r="A351" i="4"/>
  <c r="B351" i="4"/>
  <c r="C351" i="4"/>
  <c r="D351" i="4"/>
  <c r="A352" i="4"/>
  <c r="B352" i="4"/>
  <c r="C352" i="4"/>
  <c r="D352" i="4"/>
  <c r="A353" i="4"/>
  <c r="B353" i="4"/>
  <c r="C353" i="4"/>
  <c r="D353" i="4"/>
  <c r="A354" i="4"/>
  <c r="B354" i="4"/>
  <c r="C354" i="4"/>
  <c r="D354" i="4"/>
  <c r="A355" i="4"/>
  <c r="B355" i="4"/>
  <c r="C355" i="4"/>
  <c r="D355" i="4"/>
  <c r="A356" i="4"/>
  <c r="B356" i="4"/>
  <c r="C356" i="4"/>
  <c r="D356" i="4"/>
  <c r="A357" i="4"/>
  <c r="B357" i="4"/>
  <c r="C357" i="4"/>
  <c r="D357" i="4"/>
  <c r="A358" i="4"/>
  <c r="B358" i="4"/>
  <c r="C358" i="4"/>
  <c r="D358" i="4"/>
  <c r="A359" i="4"/>
  <c r="B359" i="4"/>
  <c r="C359" i="4"/>
  <c r="D359" i="4"/>
  <c r="A360" i="4"/>
  <c r="B360" i="4"/>
  <c r="C360" i="4"/>
  <c r="D360" i="4"/>
  <c r="A361" i="4"/>
  <c r="B361" i="4"/>
  <c r="C361" i="4"/>
  <c r="D361" i="4"/>
  <c r="A362" i="4"/>
  <c r="B362" i="4"/>
  <c r="C362" i="4"/>
  <c r="D362" i="4"/>
  <c r="A363" i="4"/>
  <c r="B363" i="4"/>
  <c r="C363" i="4"/>
  <c r="D363" i="4"/>
  <c r="A364" i="4"/>
  <c r="B364" i="4"/>
  <c r="C364" i="4"/>
  <c r="D364" i="4"/>
  <c r="A365" i="4"/>
  <c r="B365" i="4"/>
  <c r="C365" i="4"/>
  <c r="D365" i="4"/>
  <c r="A366" i="4"/>
  <c r="B366" i="4"/>
  <c r="C366" i="4"/>
  <c r="D366" i="4"/>
  <c r="A367" i="4"/>
  <c r="B367" i="4"/>
  <c r="C367" i="4"/>
  <c r="D367" i="4"/>
  <c r="A368" i="4"/>
  <c r="B368" i="4"/>
  <c r="C368" i="4"/>
  <c r="D368" i="4"/>
  <c r="A369" i="4"/>
  <c r="B369" i="4"/>
  <c r="C369" i="4"/>
  <c r="D369" i="4"/>
  <c r="A370" i="4"/>
  <c r="B370" i="4"/>
  <c r="C370" i="4"/>
  <c r="D370" i="4"/>
  <c r="A371" i="4"/>
  <c r="B371" i="4"/>
  <c r="C371" i="4"/>
  <c r="D371" i="4"/>
  <c r="A372" i="4"/>
  <c r="B372" i="4"/>
  <c r="C372" i="4"/>
  <c r="D372" i="4"/>
  <c r="A373" i="4"/>
  <c r="B373" i="4"/>
  <c r="C373" i="4"/>
  <c r="D373" i="4"/>
  <c r="A374" i="4"/>
  <c r="B374" i="4"/>
  <c r="C374" i="4"/>
  <c r="D374" i="4"/>
  <c r="A375" i="4"/>
  <c r="B375" i="4"/>
  <c r="C375" i="4"/>
  <c r="D375" i="4"/>
  <c r="A376" i="4"/>
  <c r="B376" i="4"/>
  <c r="C376" i="4"/>
  <c r="D376" i="4"/>
  <c r="A377" i="4"/>
  <c r="B377" i="4"/>
  <c r="C377" i="4"/>
  <c r="D377" i="4"/>
  <c r="A378" i="4"/>
  <c r="B378" i="4"/>
  <c r="C378" i="4"/>
  <c r="D378" i="4"/>
  <c r="A379" i="4"/>
  <c r="B379" i="4"/>
  <c r="C379" i="4"/>
  <c r="D379" i="4"/>
  <c r="A6" i="3" l="1"/>
  <c r="B8" i="3" s="1"/>
  <c r="C8" i="3" s="1"/>
  <c r="B10" i="3"/>
  <c r="C10" i="3" s="1"/>
  <c r="B11" i="3"/>
  <c r="C11" i="3" s="1"/>
  <c r="B12" i="3"/>
  <c r="C12" i="3"/>
  <c r="B13" i="3"/>
  <c r="C13" i="3" s="1"/>
  <c r="B14" i="3"/>
  <c r="C14" i="3"/>
  <c r="B15" i="3"/>
  <c r="C15" i="3"/>
  <c r="B16" i="3"/>
  <c r="C16" i="3"/>
  <c r="B17" i="3"/>
  <c r="C17" i="3"/>
  <c r="B18" i="3"/>
  <c r="C18" i="3"/>
  <c r="B19" i="3"/>
  <c r="C19" i="3"/>
  <c r="B20" i="3"/>
  <c r="C20" i="3"/>
  <c r="B21" i="3"/>
  <c r="C21" i="3" s="1"/>
  <c r="B24" i="3"/>
  <c r="C24" i="3" s="1"/>
  <c r="B25" i="3"/>
  <c r="B26" i="3"/>
  <c r="B27" i="3" s="1"/>
  <c r="A29" i="3"/>
  <c r="B40" i="3" s="1"/>
  <c r="C40" i="3" s="1"/>
  <c r="B31" i="3"/>
  <c r="C31" i="3" s="1"/>
  <c r="B33" i="3"/>
  <c r="C33" i="3"/>
  <c r="B34" i="3"/>
  <c r="C34" i="3"/>
  <c r="B35" i="3"/>
  <c r="C35" i="3"/>
  <c r="B36" i="3"/>
  <c r="C36" i="3" s="1"/>
  <c r="B37" i="3"/>
  <c r="C37" i="3"/>
  <c r="B38" i="3"/>
  <c r="C38" i="3"/>
  <c r="B39" i="3"/>
  <c r="C39" i="3" s="1"/>
  <c r="B45" i="3"/>
  <c r="C45" i="3" s="1"/>
  <c r="B47" i="3"/>
  <c r="C47" i="3"/>
  <c r="B48" i="3"/>
  <c r="C48" i="3"/>
  <c r="B49" i="3"/>
  <c r="B50" i="3"/>
  <c r="B51" i="3" s="1"/>
  <c r="A53" i="3"/>
  <c r="B58" i="3" s="1"/>
  <c r="B55" i="3"/>
  <c r="B56" i="3"/>
  <c r="B57" i="3"/>
  <c r="B69" i="3"/>
  <c r="B70" i="3"/>
  <c r="B71" i="3"/>
  <c r="A78" i="3"/>
  <c r="B93" i="3" s="1"/>
  <c r="B80" i="3"/>
  <c r="B81" i="3"/>
  <c r="B82" i="3"/>
  <c r="B83" i="3"/>
  <c r="B84" i="3"/>
  <c r="B85" i="3"/>
  <c r="B86" i="3"/>
  <c r="B87" i="3"/>
  <c r="B88" i="3"/>
  <c r="B89" i="3"/>
  <c r="A96" i="3"/>
  <c r="B108" i="3" s="1"/>
  <c r="C108" i="3" s="1"/>
  <c r="B98" i="3"/>
  <c r="B99" i="3"/>
  <c r="C99" i="3" s="1"/>
  <c r="B100" i="3"/>
  <c r="B101" i="3"/>
  <c r="C101" i="3" s="1"/>
  <c r="B102" i="3"/>
  <c r="B103" i="3"/>
  <c r="C103" i="3" s="1"/>
  <c r="B104" i="3"/>
  <c r="C104" i="3"/>
  <c r="B105" i="3"/>
  <c r="C105" i="3"/>
  <c r="B106" i="3"/>
  <c r="C106" i="3"/>
  <c r="B107" i="3"/>
  <c r="C107" i="3" s="1"/>
  <c r="B112" i="3"/>
  <c r="C112" i="3" s="1"/>
  <c r="B113" i="3"/>
  <c r="C113" i="3" s="1"/>
  <c r="B114" i="3"/>
  <c r="B115" i="3"/>
  <c r="B116" i="3"/>
  <c r="B117" i="3"/>
  <c r="B118" i="3"/>
  <c r="C117" i="3" s="1"/>
  <c r="B119" i="3"/>
  <c r="B120" i="3"/>
  <c r="A122" i="3"/>
  <c r="B126" i="3" s="1"/>
  <c r="B124" i="3"/>
  <c r="B125" i="3"/>
  <c r="B138" i="3"/>
  <c r="B139" i="3"/>
  <c r="A150" i="3"/>
  <c r="B160" i="3" s="1"/>
  <c r="C160" i="3" s="1"/>
  <c r="B152" i="3"/>
  <c r="B153" i="3"/>
  <c r="C153" i="3" s="1"/>
  <c r="B154" i="3"/>
  <c r="B155" i="3"/>
  <c r="C155" i="3"/>
  <c r="B156" i="3"/>
  <c r="C156" i="3"/>
  <c r="B157" i="3"/>
  <c r="C157" i="3" s="1"/>
  <c r="B166" i="3"/>
  <c r="B167" i="3"/>
  <c r="B168" i="3"/>
  <c r="C152" i="3" s="1"/>
  <c r="B169" i="3"/>
  <c r="B170" i="3"/>
  <c r="A172" i="3"/>
  <c r="B200" i="3" s="1"/>
  <c r="B174" i="3"/>
  <c r="B175" i="3"/>
  <c r="B188" i="3"/>
  <c r="B189" i="3"/>
  <c r="A203" i="3"/>
  <c r="B225" i="3" s="1"/>
  <c r="B205" i="3"/>
  <c r="B206" i="3"/>
  <c r="B207" i="3"/>
  <c r="B219" i="3"/>
  <c r="B220" i="3"/>
  <c r="B221" i="3"/>
  <c r="A228" i="3"/>
  <c r="B242" i="3" s="1"/>
  <c r="B230" i="3"/>
  <c r="B231" i="3"/>
  <c r="B232" i="3"/>
  <c r="B233" i="3"/>
  <c r="B234" i="3"/>
  <c r="B235" i="3"/>
  <c r="B236" i="3"/>
  <c r="B237" i="3"/>
  <c r="B238" i="3"/>
  <c r="B239" i="3"/>
  <c r="B244" i="3"/>
  <c r="B245" i="3"/>
  <c r="B246" i="3"/>
  <c r="B247" i="3"/>
  <c r="B248" i="3"/>
  <c r="B249" i="3"/>
  <c r="B250" i="3"/>
  <c r="B251" i="3"/>
  <c r="B252" i="3"/>
  <c r="B253" i="3"/>
  <c r="A260" i="3"/>
  <c r="B276" i="3" s="1"/>
  <c r="B262" i="3"/>
  <c r="B263" i="3"/>
  <c r="B264" i="3"/>
  <c r="B265" i="3"/>
  <c r="B266" i="3"/>
  <c r="B267" i="3"/>
  <c r="B268" i="3"/>
  <c r="B269" i="3"/>
  <c r="B270" i="3"/>
  <c r="B271" i="3"/>
  <c r="A279" i="3"/>
  <c r="B290" i="3" s="1"/>
  <c r="C290" i="3" s="1"/>
  <c r="B281" i="3"/>
  <c r="C281" i="3" s="1"/>
  <c r="B282" i="3"/>
  <c r="B283" i="3"/>
  <c r="C283" i="3" s="1"/>
  <c r="B284" i="3"/>
  <c r="B285" i="3"/>
  <c r="C285" i="3" s="1"/>
  <c r="B286" i="3"/>
  <c r="C286" i="3"/>
  <c r="B287" i="3"/>
  <c r="C287" i="3" s="1"/>
  <c r="B288" i="3"/>
  <c r="C288" i="3" s="1"/>
  <c r="B289" i="3"/>
  <c r="C289" i="3" s="1"/>
  <c r="B295" i="3"/>
  <c r="C295" i="3" s="1"/>
  <c r="B296" i="3"/>
  <c r="C296" i="3" s="1"/>
  <c r="B297" i="3"/>
  <c r="C297" i="3" s="1"/>
  <c r="B298" i="3"/>
  <c r="B299" i="3"/>
  <c r="C282" i="3" s="1"/>
  <c r="B300" i="3"/>
  <c r="B301" i="3"/>
  <c r="C245" i="3" l="1"/>
  <c r="C239" i="3"/>
  <c r="C237" i="3"/>
  <c r="C234" i="3"/>
  <c r="C232" i="3"/>
  <c r="C231" i="3"/>
  <c r="C230" i="3"/>
  <c r="C89" i="3"/>
  <c r="C268" i="3"/>
  <c r="C242" i="3"/>
  <c r="C88" i="3"/>
  <c r="C267" i="3"/>
  <c r="C221" i="3"/>
  <c r="B67" i="3"/>
  <c r="B216" i="3"/>
  <c r="B198" i="3"/>
  <c r="B184" i="3"/>
  <c r="B64" i="3"/>
  <c r="B46" i="3"/>
  <c r="C46" i="3" s="1"/>
  <c r="B32" i="3"/>
  <c r="C32" i="3" s="1"/>
  <c r="B137" i="3"/>
  <c r="B65" i="3"/>
  <c r="B214" i="3"/>
  <c r="B196" i="3"/>
  <c r="C196" i="3" s="1"/>
  <c r="B182" i="3"/>
  <c r="C182" i="3" s="1"/>
  <c r="B164" i="3"/>
  <c r="C164" i="3" s="1"/>
  <c r="B146" i="3"/>
  <c r="B132" i="3"/>
  <c r="C132" i="3" s="1"/>
  <c r="B136" i="3"/>
  <c r="C136" i="3" s="1"/>
  <c r="C284" i="3"/>
  <c r="C102" i="3"/>
  <c r="B66" i="3"/>
  <c r="B215" i="3"/>
  <c r="C215" i="3" s="1"/>
  <c r="B197" i="3"/>
  <c r="B183" i="3"/>
  <c r="B165" i="3"/>
  <c r="C165" i="3" s="1"/>
  <c r="B133" i="3"/>
  <c r="B147" i="3"/>
  <c r="B213" i="3"/>
  <c r="B195" i="3"/>
  <c r="B181" i="3"/>
  <c r="B163" i="3"/>
  <c r="C163" i="3" s="1"/>
  <c r="B145" i="3"/>
  <c r="B131" i="3"/>
  <c r="B63" i="3"/>
  <c r="B62" i="3"/>
  <c r="B218" i="3"/>
  <c r="B186" i="3"/>
  <c r="B68" i="3"/>
  <c r="B199" i="3"/>
  <c r="B201" i="3" s="1"/>
  <c r="B135" i="3"/>
  <c r="C298" i="3"/>
  <c r="C166" i="3"/>
  <c r="C116" i="3"/>
  <c r="B293" i="3"/>
  <c r="C293" i="3" s="1"/>
  <c r="B275" i="3"/>
  <c r="C265" i="3" s="1"/>
  <c r="B243" i="3"/>
  <c r="C243" i="3" s="1"/>
  <c r="B211" i="3"/>
  <c r="C211" i="3" s="1"/>
  <c r="B193" i="3"/>
  <c r="C193" i="3" s="1"/>
  <c r="B179" i="3"/>
  <c r="C179" i="3" s="1"/>
  <c r="B161" i="3"/>
  <c r="C161" i="3" s="1"/>
  <c r="B143" i="3"/>
  <c r="B129" i="3"/>
  <c r="B111" i="3"/>
  <c r="C111" i="3" s="1"/>
  <c r="B61" i="3"/>
  <c r="B43" i="3"/>
  <c r="C43" i="3" s="1"/>
  <c r="B75" i="3"/>
  <c r="B292" i="3"/>
  <c r="C292" i="3" s="1"/>
  <c r="B256" i="3"/>
  <c r="C244" i="3" s="1"/>
  <c r="B210" i="3"/>
  <c r="C210" i="3" s="1"/>
  <c r="B178" i="3"/>
  <c r="B128" i="3"/>
  <c r="B92" i="3"/>
  <c r="B60" i="3"/>
  <c r="B291" i="3"/>
  <c r="C291" i="3" s="1"/>
  <c r="B273" i="3"/>
  <c r="B255" i="3"/>
  <c r="C255" i="3" s="1"/>
  <c r="B241" i="3"/>
  <c r="C241" i="3" s="1"/>
  <c r="B223" i="3"/>
  <c r="B209" i="3"/>
  <c r="B191" i="3"/>
  <c r="C191" i="3" s="1"/>
  <c r="B177" i="3"/>
  <c r="C177" i="3" s="1"/>
  <c r="B159" i="3"/>
  <c r="C159" i="3" s="1"/>
  <c r="B141" i="3"/>
  <c r="C141" i="3" s="1"/>
  <c r="B127" i="3"/>
  <c r="C127" i="3" s="1"/>
  <c r="B109" i="3"/>
  <c r="C109" i="3" s="1"/>
  <c r="B91" i="3"/>
  <c r="C91" i="3" s="1"/>
  <c r="B73" i="3"/>
  <c r="C73" i="3" s="1"/>
  <c r="B59" i="3"/>
  <c r="C59" i="3" s="1"/>
  <c r="B41" i="3"/>
  <c r="C41" i="3" s="1"/>
  <c r="B23" i="3"/>
  <c r="C23" i="3" s="1"/>
  <c r="B9" i="3"/>
  <c r="C9" i="3" s="1"/>
  <c r="C154" i="3"/>
  <c r="C98" i="3"/>
  <c r="B294" i="3"/>
  <c r="C294" i="3" s="1"/>
  <c r="B187" i="3"/>
  <c r="B217" i="3"/>
  <c r="B185" i="3"/>
  <c r="B134" i="3"/>
  <c r="C115" i="3"/>
  <c r="C114" i="3"/>
  <c r="C100" i="3"/>
  <c r="B212" i="3"/>
  <c r="B194" i="3"/>
  <c r="B180" i="3"/>
  <c r="B162" i="3"/>
  <c r="C162" i="3" s="1"/>
  <c r="B144" i="3"/>
  <c r="B130" i="3"/>
  <c r="B44" i="3"/>
  <c r="C44" i="3" s="1"/>
  <c r="B257" i="3"/>
  <c r="B274" i="3"/>
  <c r="C274" i="3" s="1"/>
  <c r="B224" i="3"/>
  <c r="B192" i="3"/>
  <c r="C192" i="3" s="1"/>
  <c r="B142" i="3"/>
  <c r="C142" i="3" s="1"/>
  <c r="B110" i="3"/>
  <c r="C110" i="3" s="1"/>
  <c r="B74" i="3"/>
  <c r="C71" i="3" s="1"/>
  <c r="B42" i="3"/>
  <c r="C42" i="3" s="1"/>
  <c r="B272" i="3"/>
  <c r="B254" i="3"/>
  <c r="C254" i="3" s="1"/>
  <c r="B240" i="3"/>
  <c r="C240" i="3" s="1"/>
  <c r="B222" i="3"/>
  <c r="B208" i="3"/>
  <c r="B190" i="3"/>
  <c r="B176" i="3"/>
  <c r="B158" i="3"/>
  <c r="C158" i="3" s="1"/>
  <c r="B140" i="3"/>
  <c r="B90" i="3"/>
  <c r="C90" i="3" s="1"/>
  <c r="B72" i="3"/>
  <c r="B22" i="3"/>
  <c r="C22" i="3" s="1"/>
  <c r="C167" i="3"/>
  <c r="C121" i="2"/>
  <c r="C125" i="2" s="1"/>
  <c r="B125" i="2"/>
  <c r="C124" i="2"/>
  <c r="B124" i="2"/>
  <c r="C123" i="2"/>
  <c r="B123" i="2"/>
  <c r="C122" i="2"/>
  <c r="B122" i="2"/>
  <c r="B121" i="2"/>
  <c r="C120" i="2"/>
  <c r="B120" i="2"/>
  <c r="D115" i="2"/>
  <c r="C115" i="2"/>
  <c r="B115" i="2"/>
  <c r="A115" i="2"/>
  <c r="D114" i="2"/>
  <c r="C114" i="2"/>
  <c r="B114" i="2"/>
  <c r="A114" i="2"/>
  <c r="D113" i="2"/>
  <c r="C113" i="2"/>
  <c r="B113" i="2"/>
  <c r="A113" i="2"/>
  <c r="D112" i="2"/>
  <c r="C112" i="2"/>
  <c r="B112" i="2"/>
  <c r="A112" i="2"/>
  <c r="D111" i="2"/>
  <c r="C111" i="2"/>
  <c r="B111" i="2"/>
  <c r="A111" i="2"/>
  <c r="D110" i="2"/>
  <c r="C110" i="2"/>
  <c r="B110" i="2"/>
  <c r="A110" i="2"/>
  <c r="D109" i="2"/>
  <c r="C109" i="2"/>
  <c r="B109" i="2"/>
  <c r="A109" i="2"/>
  <c r="D108" i="2"/>
  <c r="C108" i="2"/>
  <c r="B108" i="2"/>
  <c r="A108" i="2"/>
  <c r="D107" i="2"/>
  <c r="C107" i="2"/>
  <c r="B107" i="2"/>
  <c r="A107" i="2"/>
  <c r="D106" i="2"/>
  <c r="C106" i="2"/>
  <c r="B106" i="2"/>
  <c r="A106" i="2"/>
  <c r="D105" i="2"/>
  <c r="C105" i="2"/>
  <c r="B105" i="2"/>
  <c r="A105" i="2"/>
  <c r="D104" i="2"/>
  <c r="C104" i="2"/>
  <c r="B104" i="2"/>
  <c r="A104" i="2"/>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B97" i="2"/>
  <c r="C97" i="2" s="1"/>
  <c r="B96" i="2"/>
  <c r="C96" i="2" s="1"/>
  <c r="B95" i="2"/>
  <c r="C95" i="2" s="1"/>
  <c r="B91" i="2"/>
  <c r="C91" i="2" s="1"/>
  <c r="B90" i="2"/>
  <c r="C90" i="2" s="1"/>
  <c r="B89" i="2"/>
  <c r="C89" i="2" s="1"/>
  <c r="B88" i="2"/>
  <c r="C88" i="2" s="1"/>
  <c r="B84" i="2"/>
  <c r="C84" i="2" s="1"/>
  <c r="C66" i="2"/>
  <c r="B80" i="2"/>
  <c r="C80" i="2" s="1"/>
  <c r="B79" i="2"/>
  <c r="C79" i="2" s="1"/>
  <c r="B78" i="2"/>
  <c r="C78" i="2" s="1"/>
  <c r="B77" i="2"/>
  <c r="C77" i="2" s="1"/>
  <c r="B76" i="2"/>
  <c r="C76" i="2" s="1"/>
  <c r="B75" i="2"/>
  <c r="C75" i="2" s="1"/>
  <c r="B74" i="2"/>
  <c r="C74" i="2" s="1"/>
  <c r="B73" i="2"/>
  <c r="C73" i="2" s="1"/>
  <c r="B72" i="2"/>
  <c r="C72" i="2" s="1"/>
  <c r="B71" i="2"/>
  <c r="C71" i="2" s="1"/>
  <c r="B70" i="2"/>
  <c r="C70" i="2" s="1"/>
  <c r="B69" i="2"/>
  <c r="C69" i="2" s="1"/>
  <c r="B68" i="2"/>
  <c r="C68" i="2" s="1"/>
  <c r="B67" i="2"/>
  <c r="B66" i="2"/>
  <c r="B65" i="2"/>
  <c r="C65" i="2" s="1"/>
  <c r="B61" i="2"/>
  <c r="C61" i="2" s="1"/>
  <c r="B60" i="2"/>
  <c r="C60" i="2" s="1"/>
  <c r="B59" i="2"/>
  <c r="C59" i="2" s="1"/>
  <c r="B58" i="2"/>
  <c r="C58" i="2" s="1"/>
  <c r="B57" i="2"/>
  <c r="C57" i="2" s="1"/>
  <c r="B56" i="2"/>
  <c r="C56" i="2" s="1"/>
  <c r="B55" i="2"/>
  <c r="C55" i="2" s="1"/>
  <c r="B54" i="2"/>
  <c r="B50" i="2"/>
  <c r="C50" i="2" s="1"/>
  <c r="B49" i="2"/>
  <c r="C49" i="2" s="1"/>
  <c r="B48" i="2"/>
  <c r="C48" i="2" s="1"/>
  <c r="B47" i="2"/>
  <c r="C47" i="2" s="1"/>
  <c r="B46" i="2"/>
  <c r="C46" i="2" s="1"/>
  <c r="B45" i="2"/>
  <c r="C45" i="2" s="1"/>
  <c r="B41" i="2"/>
  <c r="C41" i="2" s="1"/>
  <c r="B40" i="2"/>
  <c r="C40" i="2" s="1"/>
  <c r="C36" i="2"/>
  <c r="B36" i="2"/>
  <c r="B35" i="2"/>
  <c r="C35" i="2" s="1"/>
  <c r="B34" i="2"/>
  <c r="C34" i="2" s="1"/>
  <c r="B33" i="2"/>
  <c r="C33" i="2" s="1"/>
  <c r="B32" i="2"/>
  <c r="C32" i="2" s="1"/>
  <c r="B31" i="2"/>
  <c r="C31" i="2" s="1"/>
  <c r="B30" i="2"/>
  <c r="C30" i="2" s="1"/>
  <c r="B29" i="2"/>
  <c r="C29" i="2" s="1"/>
  <c r="B28" i="2"/>
  <c r="C28" i="2" s="1"/>
  <c r="B27" i="2"/>
  <c r="C27" i="2" s="1"/>
  <c r="B26" i="2"/>
  <c r="C26" i="2" s="1"/>
  <c r="B25" i="2"/>
  <c r="C25" i="2" s="1"/>
  <c r="B24" i="2"/>
  <c r="C24" i="2" s="1"/>
  <c r="B23" i="2"/>
  <c r="C23" i="2" s="1"/>
  <c r="D18" i="2"/>
  <c r="C18" i="2"/>
  <c r="B18" i="2"/>
  <c r="D17" i="2"/>
  <c r="C17" i="2"/>
  <c r="B17" i="2"/>
  <c r="D16" i="2"/>
  <c r="C16" i="2"/>
  <c r="B16" i="2"/>
  <c r="D15" i="2"/>
  <c r="C15" i="2"/>
  <c r="B15" i="2"/>
  <c r="B11" i="2"/>
  <c r="B10" i="2"/>
  <c r="B9" i="2"/>
  <c r="C223" i="3" l="1"/>
  <c r="C65" i="3"/>
  <c r="C186" i="3"/>
  <c r="C212" i="3"/>
  <c r="C60" i="3"/>
  <c r="C62" i="3"/>
  <c r="C64" i="3"/>
  <c r="C124" i="3"/>
  <c r="C138" i="3"/>
  <c r="B148" i="3"/>
  <c r="C209" i="3"/>
  <c r="C180" i="3"/>
  <c r="C218" i="3"/>
  <c r="C85" i="3"/>
  <c r="C82" i="3"/>
  <c r="C87" i="3"/>
  <c r="C80" i="3"/>
  <c r="B94" i="3"/>
  <c r="C84" i="3"/>
  <c r="C86" i="3"/>
  <c r="C63" i="3"/>
  <c r="C184" i="3"/>
  <c r="C58" i="3"/>
  <c r="C135" i="3"/>
  <c r="C130" i="3"/>
  <c r="C68" i="3"/>
  <c r="C198" i="3"/>
  <c r="C178" i="3"/>
  <c r="C57" i="3"/>
  <c r="C69" i="3"/>
  <c r="C217" i="3"/>
  <c r="C235" i="3"/>
  <c r="C249" i="3"/>
  <c r="C238" i="3"/>
  <c r="C252" i="3"/>
  <c r="C246" i="3"/>
  <c r="C233" i="3"/>
  <c r="C247" i="3"/>
  <c r="C236" i="3"/>
  <c r="C250" i="3"/>
  <c r="C251" i="3"/>
  <c r="B258" i="3"/>
  <c r="C248" i="3"/>
  <c r="C181" i="3"/>
  <c r="C83" i="3"/>
  <c r="C174" i="3"/>
  <c r="C72" i="3"/>
  <c r="C185" i="3"/>
  <c r="C176" i="3"/>
  <c r="C187" i="3"/>
  <c r="C195" i="3"/>
  <c r="C263" i="3"/>
  <c r="C206" i="3"/>
  <c r="C205" i="3"/>
  <c r="B226" i="3"/>
  <c r="C220" i="3"/>
  <c r="C145" i="3"/>
  <c r="C190" i="3"/>
  <c r="C213" i="3"/>
  <c r="C207" i="3"/>
  <c r="C175" i="3"/>
  <c r="C56" i="3"/>
  <c r="C70" i="3"/>
  <c r="B76" i="3"/>
  <c r="C55" i="3"/>
  <c r="C273" i="3"/>
  <c r="C140" i="3"/>
  <c r="C208" i="3"/>
  <c r="C264" i="3"/>
  <c r="C188" i="3"/>
  <c r="C144" i="3"/>
  <c r="C194" i="3"/>
  <c r="C128" i="3"/>
  <c r="C134" i="3"/>
  <c r="C67" i="3"/>
  <c r="C222" i="3"/>
  <c r="C61" i="3"/>
  <c r="C133" i="3"/>
  <c r="C126" i="3"/>
  <c r="C189" i="3"/>
  <c r="C219" i="3"/>
  <c r="C253" i="3"/>
  <c r="C271" i="3"/>
  <c r="C216" i="3"/>
  <c r="C129" i="3"/>
  <c r="C183" i="3"/>
  <c r="C81" i="3"/>
  <c r="C66" i="3"/>
  <c r="C266" i="3"/>
  <c r="C269" i="3"/>
  <c r="B277" i="3"/>
  <c r="C139" i="3"/>
  <c r="C270" i="3"/>
  <c r="C214" i="3"/>
  <c r="C137" i="3"/>
  <c r="C131" i="3"/>
  <c r="C272" i="3"/>
  <c r="C143" i="3"/>
  <c r="C197" i="3"/>
  <c r="C125" i="3"/>
  <c r="C262" i="3"/>
  <c r="B116" i="2"/>
  <c r="C116" i="2"/>
  <c r="B51" i="2"/>
  <c r="C51" i="2" s="1"/>
  <c r="B62" i="2"/>
  <c r="C62" i="2" s="1"/>
  <c r="B81" i="2"/>
  <c r="C81" i="2" s="1"/>
  <c r="B85" i="2"/>
  <c r="C85" i="2" s="1"/>
  <c r="B92" i="2"/>
  <c r="C92" i="2" s="1"/>
  <c r="B37" i="2"/>
  <c r="C54" i="2"/>
  <c r="C67" i="2"/>
  <c r="B42" i="2"/>
  <c r="C42" i="2" s="1"/>
  <c r="B98" i="2"/>
  <c r="C98" i="2" s="1"/>
  <c r="D116" i="2" l="1"/>
  <c r="B100" i="2"/>
  <c r="C100" i="2" s="1"/>
  <c r="C37" i="2"/>
</calcChain>
</file>

<file path=xl/sharedStrings.xml><?xml version="1.0" encoding="utf-8"?>
<sst xmlns="http://schemas.openxmlformats.org/spreadsheetml/2006/main" count="16809" uniqueCount="2719">
  <si>
    <t/>
  </si>
  <si>
    <t>Transaction Details</t>
  </si>
  <si>
    <t>Business Platinum Card® / Jan 01, 2025 to Dec 31, 2025</t>
  </si>
  <si>
    <t>Prepared for</t>
  </si>
  <si>
    <t>JOHN DUNNING</t>
  </si>
  <si>
    <t>Account Number</t>
  </si>
  <si>
    <t>XXXX-XXXXXX-02000</t>
  </si>
  <si>
    <t>Date</t>
  </si>
  <si>
    <t>Receipt</t>
  </si>
  <si>
    <t>Description</t>
  </si>
  <si>
    <t>Card Member</t>
  </si>
  <si>
    <t>Account #</t>
  </si>
  <si>
    <t>Amount</t>
  </si>
  <si>
    <t>Extended Details</t>
  </si>
  <si>
    <t>Appears On Your Statement As</t>
  </si>
  <si>
    <t>Category</t>
  </si>
  <si>
    <t>12/31/2025</t>
  </si>
  <si>
    <t>A&amp;R NOTARY PLUS     Los Angeles         CA</t>
  </si>
  <si>
    <t>-02000</t>
  </si>
  <si>
    <t>NoLBczBdb3W squareup.com/receipts
A&amp;R NOTARY PLUS
Los Angeles
CA
squareup.com/receipts</t>
  </si>
  <si>
    <t>BUDGET RENT A CAR   RICHMOND            CA</t>
  </si>
  <si>
    <t>R/A# 964532601   1-800-621-2844
BUDGET RENT A CAR
RICHMOND
CA
Foreign Spend Amount: 2956.78 CANADIAN DOLLAR Commission Amount:  Currency Exchange Rate: null</t>
  </si>
  <si>
    <t>SPONSORCLOUD (SYNPROSALT LAKE CITY      UT</t>
  </si>
  <si>
    <t>CH_3SKZJQB7 +13854834872
SPONSORCLOUD (SYNPRO)
SALT LAKE CITY
UT
+13854834872</t>
  </si>
  <si>
    <t>12/29/2025</t>
  </si>
  <si>
    <t>DNH*GODADDY#39806828Tempe               AZ</t>
  </si>
  <si>
    <t>3980682814 4805058855
Microsoft 365 Online Business Essentials
Email - Archiving - Renewal
DNH*GODADDY#3980682814
Tempe
AZ
Microsoft 365 Online Business Essentials
Email - Archiving - Renewal
4805058855</t>
  </si>
  <si>
    <t>OPENAI *CHATGPT SUBSSAN FRANCISCO       CA</t>
  </si>
  <si>
    <t>CH_3SJMPNC6 +14158799686
OPENAI *CHATGPT SUBSCR
SAN FRANCISCO
CA
+14158799686</t>
  </si>
  <si>
    <t>12/28/2025</t>
  </si>
  <si>
    <t>ONLINE PAYMENT - THANK YOU</t>
  </si>
  <si>
    <t xml:space="preserve">ONLINE PAYMENT - THANK YOU
</t>
  </si>
  <si>
    <t>12/27/2025</t>
  </si>
  <si>
    <t>DNH*GODADDY#39792539Tempe               AZ</t>
  </si>
  <si>
    <t>3979253910 4805058855
Hosting - Web - Economy - Linux cPanel -
DNH*GODADDY#3979253910
Tempe
AZ
Hosting - Web - Economy - Linux cPanel -
4805058855</t>
  </si>
  <si>
    <t>SPLICE.COM          NEW YORK            NY</t>
  </si>
  <si>
    <t>CH_3SIYBXCF 3235775423
SPLICE.COM
NEW YORK
NY
3235775423</t>
  </si>
  <si>
    <t>12/25/2025</t>
  </si>
  <si>
    <t>DNH*GODADDY#39778629Tempe               AZ</t>
  </si>
  <si>
    <t>3977862936 4805058855
Email Plus  - Renewal - monthly
Email - Archiving - Renewal
DNH*GODADDY#3977862936
Tempe
AZ
Email Plus  - Renewal - monthly
Email - Archiving - Renewal
4805058855</t>
  </si>
  <si>
    <t>12/23/2025</t>
  </si>
  <si>
    <t>DNH*GODADDY#39769602Tempe               AZ</t>
  </si>
  <si>
    <t>3976960263 4805058855
Business Enterprise - Renewal - 1 month
Email - Archiving - Renewal
Microsoft 365 Email Backup - Renewal
DNH*GODADDY#3976960263
Tempe
AZ
Business Enterprise - Renewal - 1 month
Email - Archiving - Renewal
Microsoft 365 Email Backup - Renewal
4805058855</t>
  </si>
  <si>
    <t>12/20/2025</t>
  </si>
  <si>
    <t>CAMPAIGNER SVC      888-845-4544        CA</t>
  </si>
  <si>
    <t>34200007    EMAIL MARKET
CAMPAIGNER SVC
888-845-4544
CA
EMAIL MARKET</t>
  </si>
  <si>
    <t>DNH*GODADDY#39749794Tempe               AZ</t>
  </si>
  <si>
    <t>3974979472 4805058855
Microsoft 365 Email Essentials - Renewal
Email - Archiving - Renewal
Microsoft 365 Email Backup - Renewal
DNH*GODADDY#3974979472
Tempe
AZ
Microsoft 365 Email Essentials - Renewal
Email - Archiving - Renewal
Microsoft 365 Email Backup - Renewal
4805058855</t>
  </si>
  <si>
    <t>12/18/2025</t>
  </si>
  <si>
    <t>DNH*GODADDY#39733818Tempe               AZ</t>
  </si>
  <si>
    <t>3973381885 4805058855
Microsoft 365 Secure Business Profession
DNH*GODADDY#3973381885
Tempe
AZ
Microsoft 365 Secure Business Profession
4805058855</t>
  </si>
  <si>
    <t>12/17/2025</t>
  </si>
  <si>
    <t>CVS PHARMACY        LOS ANGELES         CA</t>
  </si>
  <si>
    <t>10037404   8007467287
PHARMACIES
CVS PHARMACY
LOS ANGELES
CA
PHARMACIES
8007467287</t>
  </si>
  <si>
    <t>PACOS TACOS         LOS ANGELES         CA</t>
  </si>
  <si>
    <t>84660098    310-850-1336
PACOS TACOS
LOS ANGELES
CA
Description : FOOD/BEVERAGE Price : 0.00
310-850-1336</t>
  </si>
  <si>
    <t>12/16/2025</t>
  </si>
  <si>
    <t>ACE PARKING 2231 223PLAYA VISTA         CA</t>
  </si>
  <si>
    <t>29960039    800-925-7275
ACE PARKING 2231 2231
PLAYA VISTA
CA
Description : AUTOMOBILE PARKING Price : 0.00
800-925-7275</t>
  </si>
  <si>
    <t>CHEVRON 0308980/CHEVLOS ANGELES         CA</t>
  </si>
  <si>
    <t>00308980 80 CONVENIENCE STORE
CHEVRON 0308980/CHEVRON
LOS ANGELES
CA
Description : CHEVRON Price : 0.00
Description : TAX Price : 0.00
CONVENIENCE STORE</t>
  </si>
  <si>
    <t>SOCIALPILOT         LEWES               DE</t>
  </si>
  <si>
    <t>CH_2SF2LP04 +14154506060
SOCIALPILOT
LEWES
DE
+14154506060</t>
  </si>
  <si>
    <t>TST* BLUEYS KITCHEN LOS ANGELES         CA</t>
  </si>
  <si>
    <t>21105175351 RESTAURANT
TST* BLUEYS KITCHEN MAR V 00098618
LOS ANGELES
CA
RESTAURANT</t>
  </si>
  <si>
    <t>12/15/2025</t>
  </si>
  <si>
    <t>800.COM, LLC        800-800-4321        FL</t>
  </si>
  <si>
    <t>21105175350 ESTABLISHES
800.COM, LLC
800-800-4321
FL
ESTABLISHES</t>
  </si>
  <si>
    <t>PAYA THAI LA LLC    LOS ANGELES         CA</t>
  </si>
  <si>
    <t xml:space="preserve">771R5dvp8eA squareup.com/receipts
PAYA THAI LA LLC
LOS ANGELES
CA
</t>
  </si>
  <si>
    <t>RESTORE.COM         AUSTIN              TX</t>
  </si>
  <si>
    <t>CH_3SEXDUA8 +15125374087
RESTORE.COM
AUSTIN
TX
+15125374087</t>
  </si>
  <si>
    <t>CH_3SENHXA8 +15125374087
RESTORE.COM
AUSTIN
TX
+15125374087</t>
  </si>
  <si>
    <t>THE MV GRAB AND GO  LOS ANGELES         CA</t>
  </si>
  <si>
    <t>85544025350 310-927-6589
THE MV GRAB AND GO
LOS ANGELES
CA
310-927-6589</t>
  </si>
  <si>
    <t>12/14/2025</t>
  </si>
  <si>
    <t>10050097   8007467287
PHARMACIES
CVS PHARMACY
LOS ANGELES
CA
PHARMACIES
8007467287</t>
  </si>
  <si>
    <t>SIXT USA POS        FORT LAUDERDALE     FL</t>
  </si>
  <si>
    <t>000000507   AUTOMOBILE RENTAL
Sixt9606665673
51207SBXVNFOQKYF6T
SIXT USA POS
FORT LAUDERDALE
FL
Sixt9606665673
51207SBXVNFOQKYF6T
AUTOMOBILE RENTAL</t>
  </si>
  <si>
    <t>THE NOVO            Los Angeles         CA</t>
  </si>
  <si>
    <t>BsAFWBB6Ke4 squareup.com/receipts
THE NOVO
Los Angeles
CA
squareup.com/receipts</t>
  </si>
  <si>
    <t>fZd8Q4tUDti squareup.com/receipts
THE NOVO
Los Angeles
CA
squareup.com/receipts</t>
  </si>
  <si>
    <t>v7CSXBZzeT3 squareup.com/receipts
THE NOVO
Los Angeles
CA
squareup.com/receipts</t>
  </si>
  <si>
    <t>12/13/2025</t>
  </si>
  <si>
    <t>ATHENA PARKING LOT 1MALIBU              CA</t>
  </si>
  <si>
    <t>73011005348 CWOLK@SBCGLOBAL.NET
ATHENA PARKING LOT 103 583521195000039
MALIBU
CA
CWOLK@SBCGLOBAL.NET</t>
  </si>
  <si>
    <t>CKO*WONDERSHARE.COM HK                  HK</t>
  </si>
  <si>
    <t>67737804867 8675586665000
CKO*WONDERSHARE.COM 207919
HK
HK
8675586665000</t>
  </si>
  <si>
    <t>DNH*GODADDY#39695273Tempe               AZ</t>
  </si>
  <si>
    <t>3969527356 4805058855
Microsoft 365 Online Business Essentials
Email - Archiving - Renewal
DNH*GODADDY#3969527356
Tempe
AZ
Microsoft 365 Online Business Essentials
Email - Archiving - Renewal
4805058855</t>
  </si>
  <si>
    <t>GRADUATE COLUMBUS GRCOLUMBUS            OH</t>
  </si>
  <si>
    <t xml:space="preserve">71537       803-779-7779
LODGING
GRADUATE COLUMBUS GRADUATE COLUMB
COLUMBUS
OH
</t>
  </si>
  <si>
    <t>LA CABANA - VENICE 5877-8144102         CA</t>
  </si>
  <si>
    <t>73011545348 CARLOS@LACABANAVENICE
CARLOS@LACABANAVENICE.COM
LA CABANA - VENICE 545500001823608
877-8144102
CA
CARLOS@LACABANAVENICE.COM</t>
  </si>
  <si>
    <t>zHTAtsYbL6l squareup.com/receipts
PAYA THAI LA LLC
LOS ANGELES
CA
squareup.com/receipts</t>
  </si>
  <si>
    <t>TST* GRADUATE HOTELSCOLUMBUS            OH</t>
  </si>
  <si>
    <t>99999995347 6144841900
TST* GRADUATE HOTELS - CO 300563283
COLUMBUS
OH
Description : RESTAURANTS Price : 0.0597
6144841900</t>
  </si>
  <si>
    <t>VENICE LIQUOR 436845LOS ANGELES         CA</t>
  </si>
  <si>
    <t>73011005348 VENICELIQUORSTORE@GMA
VENICELIQUORSTORE@GMAIL.C
VENICE LIQUOR 436845560498130
LOS ANGELES
CA
VENICELIQUORSTORE@GMAIL.C</t>
  </si>
  <si>
    <t>12/12/2025</t>
  </si>
  <si>
    <t>AUNTIE ANNE &amp; CINNABCLEVELAND           OH</t>
  </si>
  <si>
    <t>81983208    216-514-9798
AUNTIE ANNE &amp; CINNABON # OH 161
CLEVELAND
OH
Description : RESTAURANT Price : 0.00
216-514-9798</t>
  </si>
  <si>
    <t>BUDGET RENT A CAR   COLUMBUS            OH</t>
  </si>
  <si>
    <t xml:space="preserve">R/A# 201943350   800-621-2844
BUDGET RENT A CAR
COLUMBUS
OH
</t>
  </si>
  <si>
    <t>CONTACTS+           HUNTINGTON BEACH    CA</t>
  </si>
  <si>
    <t>CH_2SAMX83T +18004304095
CONTACTS+
HUNTINGTON BEACH
CA
+18004304095</t>
  </si>
  <si>
    <t>GRANDPA'S CHEESE BARASHLAND             OH</t>
  </si>
  <si>
    <t>13120014    419-281-3202
GRANDPA'S CHEESE BARN&amp;SW
ASHLAND
OH
Description : GROCERIES/SUNDRIES Price : 0.00
419-281-3202</t>
  </si>
  <si>
    <t>SPOTIFY USA         NEW YORK            NY</t>
  </si>
  <si>
    <t>P3D5C2D952  CABLE &amp; PAY TV
SPOTIFY USA
NEW YORK
NY
CABLE &amp; PAY TV</t>
  </si>
  <si>
    <t>STARBUCKS C         CLEVELAND           OH</t>
  </si>
  <si>
    <t>129532     129532           44135
STARBUCKS C
CLEVELAND
OH
129532           44135</t>
  </si>
  <si>
    <t>TST* 033 MARCELLA'S COLUMBUS            OH</t>
  </si>
  <si>
    <t>lAbFcyfOY00 6142232100
TST* 033 MARCELLA'S SN 300571744
COLUMBUS
OH
Description : RESTAURANTS Price : 2.3631
6142232100</t>
  </si>
  <si>
    <t>United Airlines     Houston</t>
  </si>
  <si>
    <t>17655670402 UNITED AIR
EXCESS BAGGAGE
United Airlines
Houston
Carrier : UNITED AIRLINES
Passenger Name : DUNNING /FIRST CHECKED BA
Ticket Number : 0164353096078
Departure Day : 12/12
Additional Info : EXCESS BAGGAGE
"From : CLEVELAND, OHIO,US"
To : LOS ANGELES INTERN
Class : H</t>
  </si>
  <si>
    <t>12/11/2025</t>
  </si>
  <si>
    <t>DNH*GODADDY#39673481Tempe               AZ</t>
  </si>
  <si>
    <t>3967348162 4805058855
Email Essentials  - Renewal - monthly
Email - Archiving - Renewal
DNH*GODADDY#3967348162
Tempe
AZ
Email Essentials  - Renewal - monthly
Email - Archiving - Renewal
4805058855</t>
  </si>
  <si>
    <t>TST* ONE LINE COFFEECOLUMBUS            OH</t>
  </si>
  <si>
    <t>21105175346 RESTAURANT
TST* ONE LINE COFFEE - SH 00038418
COLUMBUS
OH
RESTAURANT</t>
  </si>
  <si>
    <t>TST* TOWNHALL - COLUCOLUMBUS            OH</t>
  </si>
  <si>
    <t>99999995345 2162215070
TST* TOWNHALL - COLUMBUS- 300534976
COLUMBUS
OH
Description : BARS Price : 0.7882
2162215070</t>
  </si>
  <si>
    <t>12/10/2025</t>
  </si>
  <si>
    <t>AMERICAN AIRLINES   800-433-7300        TX</t>
  </si>
  <si>
    <t>20251209    AMERICAN AIR
PREFERRED SEAT UPGRADE
AMERICAN AIRLINES
800-433-7300
TX
Carrier : American Airlines
Passenger Name : DUNNING/JOHN
Ticket Number : 0010639601198
Departure Day : 12/10
Additional Info : PREFERRED SEAT UPGRADE
From : ATLANTA HARTSFIELD
To : WASHINGTON NATIONA
Class : M
From : WASHINGTON NATIONA
To : COLUMBUS PORT COLU
Class : M</t>
  </si>
  <si>
    <t>American Airlines   FORT WORTH          TX</t>
  </si>
  <si>
    <t>20251210    AMERICAN AIR
EXCESS BAGGAGE
American Airlines
FORT WORTH
TX
Carrier : American Airlines Inc
Passenger Name : DUNNING/JOHN
Ticket Number : 0010279466785
Departure Day : 12/10
Additional Info : EXCESS BAGGAGE
From : ATLANTA HARTSFIELD
To : WASHINGTON NATIONA
Class : M
From : WASHINGTON NATIONA
To : COLUMBUS PORT COLU
Class : M</t>
  </si>
  <si>
    <t>DNH*GODADDY#39665169Tempe               AZ</t>
  </si>
  <si>
    <t>3966516981 4805058855
Business Professional  - Renewal - month
Email - Archiving - Renewal
DNH*GODADDY#3966516981
Tempe
AZ
Business Professional  - Renewal - month
Email - Archiving - Renewal
4805058855</t>
  </si>
  <si>
    <t>STARBUCKS STORE 0980MONTGOMERY          AL</t>
  </si>
  <si>
    <t>EF946463BF2 FAST FOOD RESTAURANT
STARBUCKS STORE 0980
MONTGOMERY
AL
FAST FOOD RESTAURANT</t>
  </si>
  <si>
    <t>VIMEO PRO           212-625-0668        NY</t>
  </si>
  <si>
    <t>P-06747570  MEMBERSHIP
VIMEO PRO
212-625-0668
NY
MEMBERSHIP</t>
  </si>
  <si>
    <t>12/09/2025</t>
  </si>
  <si>
    <t>CVS PHARMACY        MONTGOMERY          AL</t>
  </si>
  <si>
    <t>10038723   8007467287
PHARMACIES
CVS PHARMACY
MONTGOMERY
AL
PHARMACIES
8007467287</t>
  </si>
  <si>
    <t>DNH*GODADDY#39657009Tempe               AZ</t>
  </si>
  <si>
    <t>3965700975 4805058855
Conversations Deluxe - 1 Month - Renewal
DNH*GODADDY#3965700975
Tempe
AZ
Conversations Deluxe - 1 Month - Renewal
4805058855</t>
  </si>
  <si>
    <t>LA ZONA ROSA        MONTGOMERY          AL</t>
  </si>
  <si>
    <t>00068587    334-274-1153
LA ZONA ROSA
MONTGOMERY
AL
Description : GENERAL MERCH Price : 0.00
334-274-1153</t>
  </si>
  <si>
    <t>TST* CENTRAL RESTAURMONTGOMERY          AL</t>
  </si>
  <si>
    <t>21105175344 RESTAURANT
TST* CENTRAL RESTAURANT 00217798
MONTGOMERY
AL
RESTAURANT</t>
  </si>
  <si>
    <t>12/08/2025</t>
  </si>
  <si>
    <t>BUC-EE'S #0058/UNBRAAUBURN              AL</t>
  </si>
  <si>
    <t>GAS AND CONV
BUC-EE'S #0058/UNBRANDED
AUBURN
AL
Description : UNBRANDED Price : 0.00
Description : TAX Price : 0.00
GAS AND CONV</t>
  </si>
  <si>
    <t>DNH*GODADDY#39649003Tempe               AZ</t>
  </si>
  <si>
    <t>3964900383 4805058855
Microsoft 365 Business Professional- Ren
Email - Archiving - Renewal
Microsoft 365 Email Backup - Renewal
DNH*GODADDY#3964900383
Tempe
AZ
Microsoft 365 Business Professional- Ren
Email - Archiving - Renewal
Microsoft 365 Email Backup - Renewal
4805058855</t>
  </si>
  <si>
    <t>MASTERCLASS.COM/CHARSAN FRANCISCO       CA</t>
  </si>
  <si>
    <t>CH_3SCHRX2Z +18559818208
MASTERCLASS.COM/CHARGE
SAN FRANCISCO
CA
+18559818208</t>
  </si>
  <si>
    <t>CH_3SCEEYC6 +14158799686
OPENAI *CHATGPT SUBSCR
SAN FRANCISCO
CA
+14158799686</t>
  </si>
  <si>
    <t>RAILROAD THAI       MONTGOMERY          AL</t>
  </si>
  <si>
    <t>88860062    334-269-0708
RAILROAD THAI
MONTGOMERY
AL
Description : FOOD/BEVERAGE Price : 0.00
334-269-0708</t>
  </si>
  <si>
    <t>STARBUCKS STORE 1361LA GRANGE           GA</t>
  </si>
  <si>
    <t>FBC40240E50 FAST FOOD RESTAURANT
STARBUCKS STORE 1361
LA GRANGE
GA
FAST FOOD RESTAURANT</t>
  </si>
  <si>
    <t>THE CANDLER HOTEL THATLANTA             GA</t>
  </si>
  <si>
    <t>981939005   404-423-1200
THE CANDLER HOTEL THE CANDLER HOT
ATLANTA
GA
404-423-1200</t>
  </si>
  <si>
    <t xml:space="preserve">254345      404-253-1200
LODGING
THE CANDLER HOTEL THE CANDLER HOT
ATLANTA
GA
</t>
  </si>
  <si>
    <t>WALGREENS           MONTGOMERY          AL</t>
  </si>
  <si>
    <t>99999995343NONE             36106
PHARMACIES
WALGREENS
MONTGOMERY
AL
PHARMACIES
NONE             36106</t>
  </si>
  <si>
    <t>12/07/2025</t>
  </si>
  <si>
    <t>6681121 - WE JUICE IATLANTA             GA</t>
  </si>
  <si>
    <t>FAST FOOD RESTAURANT
6681121 - WE JUICE IT 59709
ATLANTA
GA
FAST FOOD RESTAURANT</t>
  </si>
  <si>
    <t>DNH*GODADDY#39640518Tempe               AZ</t>
  </si>
  <si>
    <t>3964051895 4805058855
Microsoft 365 Email Plus- Renewal - mont
DNH*GODADDY#3964051895
Tempe
AZ
Microsoft 365 Email Plus- Renewal - mont
4805058855</t>
  </si>
  <si>
    <t>NNN.MARKET          CLEARWATER          FL</t>
  </si>
  <si>
    <t>CH_3SBLZLGW +18134214065
NNN.MARKET
CLEARWATER
FL
+18134214065</t>
  </si>
  <si>
    <t>ON INC              PORTLAND            OR</t>
  </si>
  <si>
    <t>######YX18w SPORTS CLOTHING
ON INC
PORTLAND
OR
SPORTS CLOTHING</t>
  </si>
  <si>
    <t>STARBUCKS 85549 STARLOS ANGELES         CA</t>
  </si>
  <si>
    <t>941432256   305-267-8510
STARBUCKS 85549 STARBUCKS 85549
LOS ANGELES
CA
305-267-8510</t>
  </si>
  <si>
    <t>TST* CAFE GRATITUDE VENICE              CA</t>
  </si>
  <si>
    <t>99999995341 4242318000
TST* CAFE GRATITUDE - VEN 300545147
VENICE
CA
Description : RESTAURANTS Price : 1.628
4242318000</t>
  </si>
  <si>
    <t>TST* PASHA 00127546 ATLANTA             GA</t>
  </si>
  <si>
    <t>00127546029 RESTAURANT
TST* PASHA 00127546
ATLANTA
GA
RESTAURANT</t>
  </si>
  <si>
    <t>12/06/2025</t>
  </si>
  <si>
    <t>BRAVE.COM           SAN FRANCISCO       CA</t>
  </si>
  <si>
    <t>CH_3SBGTBBS +16502003351
BRAVE.COM
SAN FRANCISCO
CA
+16502003351</t>
  </si>
  <si>
    <t>CREXI               LOS ANGELES         CA</t>
  </si>
  <si>
    <t>CH_3SBHYZJL +18882730423
CREXI
LOS ANGELES
CA
+18882730423</t>
  </si>
  <si>
    <t>DNH*GODADDY#39633846Tempe               AZ</t>
  </si>
  <si>
    <t>3963384608 4805058855
COM Domain Name Renewal - 1 Year recur
Full Domain Privacy and Protection - Ren
DNH*GODADDY#3963384608
Tempe
AZ
COM Domain Name Renewal - 1 Year recur
Full Domain Privacy and Protection - Ren
4805058855</t>
  </si>
  <si>
    <t>######YX0ko SPORTS CLOTHING
ON INC
PORTLAND
OR
SPORTS CLOTHING</t>
  </si>
  <si>
    <t>######YX28w SPORTS CLOTHING
ON INC
PORTLAND
OR
SPORTS CLOTHING</t>
  </si>
  <si>
    <t>84680109    310-850-1336
PACOS TACOS
LOS ANGELES
CA
Description : FOOD/BEVERAGE Price : 0.00
310-850-1336</t>
  </si>
  <si>
    <t>12/05/2025</t>
  </si>
  <si>
    <t>BEC* REGS4TEM7U7    LITTLETON           CO</t>
  </si>
  <si>
    <t>CH_3SBAN4CK +18479757388
BEC* REGS4TEM7U7
LITTLETON
CO
+18479757388</t>
  </si>
  <si>
    <t>CUSTOMER SERVICE PAYMENT - THANK YOU</t>
  </si>
  <si>
    <t xml:space="preserve">CUSTOMER SERVICE PAYMENT - THANK YOU
</t>
  </si>
  <si>
    <t>DNH*GODADDY#39628862Tempe               AZ</t>
  </si>
  <si>
    <t>3962886233 4805058855
Email Essentials  - Renewal - monthly
Email - Archiving - Renewal
Microsoft 365 Email Backup - Renewal
DNH*GODADDY#3962886233
Tempe
AZ
Email Essentials  - Renewal - monthly
Email - Archiving - Renewal
Microsoft 365 Email Backup - Renewal
4805058855</t>
  </si>
  <si>
    <t>EXPEDIA 733192382190EXPEDIA.COM         WA</t>
  </si>
  <si>
    <t>6013VHHZRNR TRAVEL AGENCY
EXPEDIA 73319238219058
EXPEDIA.COM
WA
TRAVEL AGENCY</t>
  </si>
  <si>
    <t>EXPEDIA 733198567492EXPEDIA.COM         WA</t>
  </si>
  <si>
    <t>60RJ2DFG2DT TRAVEL AGENCY
EXPEDIA 73319856749210
EXPEDIA.COM
WA
TRAVEL AGENCY</t>
  </si>
  <si>
    <t>EXPEDIA 733198979514EXPEDIA.COM         WA</t>
  </si>
  <si>
    <t>60HVGXDO0IT TRAVEL AGENCY
EXPEDIA 73319897951468
EXPEDIA.COM
WA
TRAVEL AGENCY</t>
  </si>
  <si>
    <t>EXPEDIA 733199016700EXPEDIA.COM         WA</t>
  </si>
  <si>
    <t>60BTS8ZXP52 TRAVEL AGENCY
EXPEDIA 73319901670036
EXPEDIA.COM
WA
TRAVEL AGENCY</t>
  </si>
  <si>
    <t>PAYPAL *AIRBNB HMEHN8888888888          CA</t>
  </si>
  <si>
    <t>10197474777 8888888888
PAYPAL *AIRBNB HMEHNQ3SCQ
8888888888
CA
Description : LODGING AND ACCOMMO Price : 0.00
8888888888</t>
  </si>
  <si>
    <t>12/04/2025</t>
  </si>
  <si>
    <t>CH_3SAJQ5A8 +15125374087
RESTORE.COM
AUSTIN
TX
+15125374087</t>
  </si>
  <si>
    <t>XAI LLC             PALO ALTO           CA</t>
  </si>
  <si>
    <t>CH_3SAFV0AC +18002698161
XAI LLC
PALO ALTO
CA
+18002698161</t>
  </si>
  <si>
    <t>12/03/2025</t>
  </si>
  <si>
    <t>Interest Charge on Pay Over Time Purchases</t>
  </si>
  <si>
    <t xml:space="preserve">Interest Charge on Pay Over Time Purchases
</t>
  </si>
  <si>
    <t>MOBILE PAYMENT - THANK YOU</t>
  </si>
  <si>
    <t xml:space="preserve">MOBILE PAYMENT - THANK YOU
</t>
  </si>
  <si>
    <t>SALESMESSAGE.COM    DELRAY BEACH        FL</t>
  </si>
  <si>
    <t>CH_3SAUF4CY +18884092298
SALESMESSAGE.COM
DELRAY BEACH
FL
+18884092298</t>
  </si>
  <si>
    <t>12/02/2025</t>
  </si>
  <si>
    <t>ALANA'S COFFEE ROASTLos Angeles         CA</t>
  </si>
  <si>
    <t>luWOFEGxa3x squareup.com/receipts
ALANA'S COFFEE ROASTERS
Los Angeles
CA
squareup.com/receipts</t>
  </si>
  <si>
    <t>12/01/2025</t>
  </si>
  <si>
    <t>ABC*ICONFIT         LOS ANGELES         CA</t>
  </si>
  <si>
    <t>71094475335 310-836-8000
ABC*ICONFIT
LOS ANGELES
CA
310-836-8000</t>
  </si>
  <si>
    <t>DNH*GODADDY#39596554Tempe               AZ</t>
  </si>
  <si>
    <t>3959655452 4805058855
Business Professional  - Renewal - month
Email - Archiving - Renewal
Microsoft 365 Email Backup - Renewal
DNH*GODADDY#3959655452
Tempe
AZ
Business Professional  - Renewal - month
Email - Archiving - Renewal
Microsoft 365 Email Backup - Renewal
4805058855</t>
  </si>
  <si>
    <t>LOOM SUBSCRIPTION   AUSTIN              TX</t>
  </si>
  <si>
    <t>CH_3SZXVAD0 +16780000000
LOOM SUBSCRIPTION
AUSTIN
TX
+16780000000</t>
  </si>
  <si>
    <t>21105175336 RESTAURANT
TST* BLUEYS KITCHEN MAR V 00098618
LOS ANGELES
CA
RESTAURANT</t>
  </si>
  <si>
    <t>11/30/2025</t>
  </si>
  <si>
    <t>LA FIESTA FOODS INC.Los Angeles         CA</t>
  </si>
  <si>
    <t>5GDNzGPjewG squareup.com/receipts
LA FIESTA FOODS INC. DBA THE TAMALE FI
Los Angeles
CA
squareup.com/receipts</t>
  </si>
  <si>
    <t>*</t>
  </si>
  <si>
    <t>PICKLED BY SHRED LLCLos Angeles         CA</t>
  </si>
  <si>
    <t>LtAkhbwJuJj squareup.com/receipts
PICKLED BY SHRED LLC
Los Angeles
CA
squareup.com/receipts</t>
  </si>
  <si>
    <t>PY *FATBURGER 65 000MARINA DEL RE       CA</t>
  </si>
  <si>
    <t>99999995334 3107490925
PY *FATBURGER 65 000007086
MARINA DEL RE
CA
3107490925</t>
  </si>
  <si>
    <t>CH_3SZKXLB7 +13854834872
SPONSORCLOUD (SYNPRO)
SALT LAKE CITY
UT
+13854834872</t>
  </si>
  <si>
    <t>TST* BEETHOVEN 00200LOS ANGELES         CA</t>
  </si>
  <si>
    <t>00200094029 RESTAURANT
TST* BEETHOVEN 00200094
LOS ANGELES
CA
RESTAURANT</t>
  </si>
  <si>
    <t>UNION 76 10194728   LOS ANGELES         CA</t>
  </si>
  <si>
    <t>11813046054 UNION 76
UNION 76 10194728
LOS ANGELES
CA
UNION 76</t>
  </si>
  <si>
    <t>11/29/2025</t>
  </si>
  <si>
    <t>CASABLANCA RESTAURANVENICE              CA</t>
  </si>
  <si>
    <t>31099535334 RESTAURANT
CASABLANCA RESTAURANT 00-08045339838
VENICE
CA
RESTAURANT</t>
  </si>
  <si>
    <t>DNH*GODADDY#39582504Tempe               AZ</t>
  </si>
  <si>
    <t>3958250499 4805058855
Microsoft 365 Online Business Essentials
Email - Archiving - Renewal
DNH*GODADDY#3958250499
Tempe
AZ
Microsoft 365 Online Business Essentials
Email - Archiving - Renewal
4805058855</t>
  </si>
  <si>
    <t>JACKS SURF BOARDS   SANTA MONICA        CA</t>
  </si>
  <si>
    <t>3104506569
JACKS SURF BOARDS
SANTA MONICA
CA
3104506569</t>
  </si>
  <si>
    <t>LARRYS SHAVER SHOPPESANTA MONICA        CA</t>
  </si>
  <si>
    <t>73011395334 RNAWPAR@GMAIL.COM
LARRYS SHAVER SHOPPE 965797900664226
SANTA MONICA
CA
RNAWPAR@GMAIL.COM</t>
  </si>
  <si>
    <t>CH_3SYUZBC6 +14158799686
OPENAI *CHATGPT SUBSCR
SAN FRANCISCO
CA
+14158799686</t>
  </si>
  <si>
    <t>STARBUCKS STORE 0566SANTA MONICA        CA</t>
  </si>
  <si>
    <t>11D0075BB69 FAST FOOD RESTAURANT
STARBUCKS STORE 0566
SANTA MONICA
CA
FAST FOOD RESTAURANT</t>
  </si>
  <si>
    <t>11/28/2025</t>
  </si>
  <si>
    <t>ANACAPA SURF N SPORTOXNARD              CA</t>
  </si>
  <si>
    <t>44900014    805-382-1602
ANACAPA SURF N SPORT
OXNARD
CA
Description : SPORTING GOODS/APPA Price : 0.00
805-382-1602</t>
  </si>
  <si>
    <t>44900013    805-382-1602
ANACAPA SURF N SPORT
OXNARD
CA
Description : SPORTING GOODS/APPA Price : 0.00
805-382-1602</t>
  </si>
  <si>
    <t>UNION 76 00463695   PACIFIC PALISADES   CA</t>
  </si>
  <si>
    <t>11808673589 UNION 76
UNION 76 00463695
PACIFIC PALISADES
CA
UNION 76</t>
  </si>
  <si>
    <t>YOLANDAS OXNARD 7183OXNARD              CA</t>
  </si>
  <si>
    <t>73011715332 EVO@GETME.SELLEREMAIL
EVO@GETME.SELLEREMAILID.C
YOLANDAS OXNARD 718300000754324
OXNARD
CA
EVO@GETME.SELLEREMAILID.C</t>
  </si>
  <si>
    <t>11/27/2025</t>
  </si>
  <si>
    <t>DNH*GODADDY#39568564Tempe               AZ</t>
  </si>
  <si>
    <t>3956856435 4805058855
COM Domain Name Renewal - 1 Year recur
Full Domain Privacy and Protection - Ren
Hosting - Web - Economy - Linux cPanel -
DNH*GODADDY#3956856435
Tempe
AZ
COM Domain Name Renewal - 1 Year recur
Full Domain Privacy and Protection - Ren
Hosting - Web - Economy - Linux cPanel -
4805058855</t>
  </si>
  <si>
    <t>INN OF THE SEVENTH RTOPANGA             CA</t>
  </si>
  <si>
    <t>31127265334 3104551311
INN OF THE SEVENTH RAY 128 OLD TOPANGA
TOPANGA
CA
3104551311</t>
  </si>
  <si>
    <t>CH_3SY6JWCF 3235775423
SPLICE.COM
NEW YORK
NY
3235775423</t>
  </si>
  <si>
    <t>73011005332 VENICELIQUORSTORE@GMA
VENICELIQUORSTORE@GMAIL.C
VENICE LIQUOR 436845560498130
LOS ANGELES
CA
VENICELIQUORSTORE@GMAIL.C</t>
  </si>
  <si>
    <t>11/26/2025</t>
  </si>
  <si>
    <t>DNH*GODADDY#39560189Tempe               AZ</t>
  </si>
  <si>
    <t>3956018974 4805058855
COM Domain Name Renewal - 1 Year recur
DNH*GODADDY#3956018974
Tempe
AZ
COM Domain Name Renewal - 1 Year recur
4805058855</t>
  </si>
  <si>
    <t>11/25/2025</t>
  </si>
  <si>
    <t>DNH*GODADDY#39552819Tempe               AZ</t>
  </si>
  <si>
    <t>3955281914 4805058855
Email Plus  - Renewal - monthly
Email - Archiving - Renewal
DNH*GODADDY#3955281914
Tempe
AZ
Email Plus  - Renewal - monthly
Email - Archiving - Renewal
4805058855</t>
  </si>
  <si>
    <t>11/23/2025</t>
  </si>
  <si>
    <t>DNH*GODADDY#39537257Tempe               AZ</t>
  </si>
  <si>
    <t>3953725743 4805058855
Business Enterprise - Renewal - 1 month
Email - Archiving - Renewal
Microsoft 365 Email Backup - Renewal
DNH*GODADDY#3953725743
Tempe
AZ
Business Enterprise - Renewal - 1 month
Email - Archiving - Renewal
Microsoft 365 Email Backup - Renewal
4805058855</t>
  </si>
  <si>
    <t>11/22/2025</t>
  </si>
  <si>
    <t>TnTIrKUsXrq squareup.com/receipts
ALANA'S COFFEE ROASTERS
Los Angeles
CA
squareup.com/receipts</t>
  </si>
  <si>
    <t>CH_3SWQVUA8 +15125374087
RESTORE.COM
AUSTIN
TX
+15125374087</t>
  </si>
  <si>
    <t>TST* PAISITA CAFE 00VENICE              CA</t>
  </si>
  <si>
    <t>21105175327 RESTAURANT
TST* PAISITA CAFE 00202963
VENICE
CA
RESTAURANT</t>
  </si>
  <si>
    <t>11/21/2025</t>
  </si>
  <si>
    <t>LADOT METER PARKING LOS ANGELES         CA</t>
  </si>
  <si>
    <t>543796     100003846666371  90012
LADOT METER PARKING
LOS ANGELES
CA
100003846666371  90012</t>
  </si>
  <si>
    <t>21105175326 RESTAURANT
TST* BLUEYS KITCHEN MAR V 00098618
LOS ANGELES
CA
RESTAURANT</t>
  </si>
  <si>
    <t>TST* TAVERNA AT THE LOS ANGELES         CA</t>
  </si>
  <si>
    <t>21105175326 RESTAURANT
TST* TAVERNA AT THE MAR V 00207350
LOS ANGELES
CA
RESTAURANT</t>
  </si>
  <si>
    <t>P-06408259  MEMBERSHIP
VIMEO PRO
212-625-0668
NY
MEMBERSHIP</t>
  </si>
  <si>
    <t>11/20/2025</t>
  </si>
  <si>
    <t>34197459    EMAIL MARKET
CAMPAIGNER SVC
888-845-4544
CA
EMAIL MARKET</t>
  </si>
  <si>
    <t>DNH*GODADDY#39518694Tempe               AZ</t>
  </si>
  <si>
    <t>3951869499 4805058855
Microsoft 365 Email Essentials - Renewal
Email - Archiving - Renewal
Microsoft 365 Email Backup - Renewal
DNH*GODADDY#3951869499
Tempe
AZ
Microsoft 365 Email Essentials - Renewal
Email - Archiving - Renewal
Microsoft 365 Email Backup - Renewal
4805058855</t>
  </si>
  <si>
    <t>11/19/2025</t>
  </si>
  <si>
    <t>DNH*GODADDY#39506726Tempe               AZ</t>
  </si>
  <si>
    <t>3950672683 4805058855
COM Domain Name Renewal - 1 Year recur
Full Domain Privacy and Protection - Ren
DNH*GODADDY#3950672683
Tempe
AZ
COM Domain Name Renewal - 1 Year recur
Full Domain Privacy and Protection - Ren
4805058855</t>
  </si>
  <si>
    <t>73011545324 CARLOS@LACABANAVENICE
CARLOS@LACABANAVENICE.COM
LA CABANA - VENICE 545500001823608
877-8144102
CA
CARLOS@LACABANAVENICE.COM</t>
  </si>
  <si>
    <t>21105175324 RESTAURANT
TST* BLUEYS KITCHEN MAR V 00098618
LOS ANGELES
CA
RESTAURANT</t>
  </si>
  <si>
    <t>11/18/2025</t>
  </si>
  <si>
    <t>DNH*GODADDY#39499288Tempe               AZ</t>
  </si>
  <si>
    <t>3949928892 4805058855
Microsoft 365 Secure Business Profession
DNH*GODADDY#3949928892
Tempe
AZ
Microsoft 365 Secure Business Profession
4805058855</t>
  </si>
  <si>
    <t>CH_3SUS5HB7 +13854834872
SPONSORCLOUD (SYNPRO)
SALT LAKE CITY
UT
+13854834872</t>
  </si>
  <si>
    <t>11/17/2025</t>
  </si>
  <si>
    <t>MED*CEDARS SINAI MEDLOS ANGELES         CA</t>
  </si>
  <si>
    <t>484882221   866-803-1777
MED*CEDARS SINAI MEDICAL 6082000000120
LOS ANGELES
CA
866-803-1777</t>
  </si>
  <si>
    <t>73011005321 VENICELIQUORSTORE@GMA
VENICELIQUORSTORE@GMAIL.C
VENICE LIQUOR 436845560498130
LOS ANGELES
CA
VENICELIQUORSTORE@GMAIL.C</t>
  </si>
  <si>
    <t>11/16/2025</t>
  </si>
  <si>
    <t>CH_2SUATN04 +14154506060
SOCIALPILOT
LEWES
DE
+14154506060</t>
  </si>
  <si>
    <t>THE ODYSSEY THEATRE Los Angeles         CA</t>
  </si>
  <si>
    <t>ZcMQjWOp7Un squareup.com/receipts
THE ODYSSEY THEATRE ENSEMBLE
Los Angeles
CA
squareup.com/receipts</t>
  </si>
  <si>
    <t>11/15/2025</t>
  </si>
  <si>
    <t>21105175320 ESTABLISHES
800.COM, LLC
800-800-4321
FL
ESTABLISHES</t>
  </si>
  <si>
    <t>10052191   8007467287
PHARMACIES
CVS PHARMACY
LOS ANGELES
CA
PHARMACIES
8007467287</t>
  </si>
  <si>
    <t>CH_3STFJAA8 +15125374087
RESTORE.COM
AUSTIN
TX
+15125374087</t>
  </si>
  <si>
    <t>21105175320 RESTAURANT
TST* TAVERNA AT THE MAR V 00207350
LOS ANGELES
CA
RESTAURANT</t>
  </si>
  <si>
    <t>11/14/2025</t>
  </si>
  <si>
    <t>CH_3STYNYA8 +15125374087
RESTORE.COM
AUSTIN
TX
+15125374087</t>
  </si>
  <si>
    <t>21105175319 RESTAURANT
TST* BLUEYS KITCHEN MAR V 00098618
LOS ANGELES
CA
RESTAURANT</t>
  </si>
  <si>
    <t>11/13/2025</t>
  </si>
  <si>
    <t>DNH*GODADDY#39459571Tempe               AZ</t>
  </si>
  <si>
    <t>3945957161 4805058855
Microsoft 365 Online Business Essentials
Email - Archiving - Renewal
DNH*GODADDY#3945957161
Tempe
AZ
Microsoft 365 Online Business Essentials
Email - Archiving - Renewal
4805058855</t>
  </si>
  <si>
    <t>84600051    310-850-1336
PACOS TACOS
LOS ANGELES
CA
Description : FOOD/BEVERAGE Price : 0.00
310-850-1336</t>
  </si>
  <si>
    <t>RENOUVEAUM* RENOUVEALOS ANGELES         CA</t>
  </si>
  <si>
    <t>CH_3ST9Z2HU +14697464855
RENOUVEAUM* RENOUVEAUM
LOS ANGELES
CA
+14697464855</t>
  </si>
  <si>
    <t>11/12/2025</t>
  </si>
  <si>
    <t>CITY OF SANTA MONICASANTA MONICA        CA</t>
  </si>
  <si>
    <t>509377     100003841692546  90401
CITY OF SANTA MONICA
SANTA MONICA
CA
100003841692546  90401</t>
  </si>
  <si>
    <t>P3C5AB5F35  CABLE &amp; PAY TV
SPOTIFY USA
NEW YORK
NY
CABLE &amp; PAY TV</t>
  </si>
  <si>
    <t>11/11/2025</t>
  </si>
  <si>
    <t>DNH*GODADDY#39446192Tempe               AZ</t>
  </si>
  <si>
    <t>3944619259 4805058855
Email Essentials  - Renewal - monthly
Email - Archiving - Renewal
DNH*GODADDY#3944619259
Tempe
AZ
Email Essentials  - Renewal - monthly
Email - Archiving - Renewal
4805058855</t>
  </si>
  <si>
    <t>WAC BEVERLY HILLS PABEVERLY HILLS       CA</t>
  </si>
  <si>
    <t>768581067   310-860-6666
WAC BEVERLY HILLS PARKING WAC BEVERLY
BEVERLY HILLS
CA
310-860-6666</t>
  </si>
  <si>
    <t>11/10/2025</t>
  </si>
  <si>
    <t>DNH*GODADDY#39434045Tempe               AZ</t>
  </si>
  <si>
    <t>3943404519 4805058855
Business Professional  - Renewal - month
Email - Archiving - Renewal
DNH*GODADDY#3943404519
Tempe
AZ
Business Professional  - Renewal - month
Email - Archiving - Renewal
4805058855</t>
  </si>
  <si>
    <t>21105175315 RESTAURANT
TST* BLUEYS KITCHEN MAR V 00098618
LOS ANGELES
CA
RESTAURANT</t>
  </si>
  <si>
    <t>P-06212714  MEMBERSHIP
VIMEO PRO
212-625-0668
NY
MEMBERSHIP</t>
  </si>
  <si>
    <t>11/09/2025</t>
  </si>
  <si>
    <t>DLS @ BELASCO       Los Angeles         CA</t>
  </si>
  <si>
    <t>VqYu1KPct0C squareup.com/receipts
DLS @ BELASCO
Los Angeles
CA
squareup.com/receipts</t>
  </si>
  <si>
    <t>DNH*GODADDY#39427281Tempe               AZ</t>
  </si>
  <si>
    <t>3942728148 4805058855
Conversations Deluxe - 1 Month - Renewal
DNH*GODADDY#3942728148
Tempe
AZ
Conversations Deluxe - 1 Month - Renewal
4805058855</t>
  </si>
  <si>
    <t>73011545313 CARLOS@LACABANAVENICE
CARLOS@LACABANAVENICE.COM
LA CABANA - VENICE 545500001823608
877-8144102
CA
CARLOS@LACABANAVENICE.COM</t>
  </si>
  <si>
    <t xml:space="preserve">VqkeArcBrAS squareup.com/receipts
PAYA THAI LA LLC
LOS ANGELES
CA
</t>
  </si>
  <si>
    <t>11/08/2025</t>
  </si>
  <si>
    <t>DNH*GODADDY#39423588Tempe               AZ</t>
  </si>
  <si>
    <t>3942358845 4805058855
COM Domain Name Renewal - 1 Year recur
DNH*GODADDY#3942358845
Tempe
AZ
COM Domain Name Renewal - 1 Year recur
4805058855</t>
  </si>
  <si>
    <t>DNH*GODADDY#39423613Tempe               AZ</t>
  </si>
  <si>
    <t>3942361374 4805058855
Microsoft 365 Business Professional- Ren
Email - Archiving - Renewal
Microsoft 365 Email Backup - Renewal
DNH*GODADDY#3942361374
Tempe
AZ
Microsoft 365 Business Professional- Ren
Email - Archiving - Renewal
Microsoft 365 Email Backup - Renewal
4805058855</t>
  </si>
  <si>
    <t>CH_3SRLWWC6 +14158799686
OPENAI *CHATGPT SUBSCR
SAN FRANCISCO
CA
+14158799686</t>
  </si>
  <si>
    <t>73011005313 VENICELIQUORSTORE@GMA
VENICELIQUORSTORE@GMAIL.C
VENICE LIQUOR 436845560498130
LOS ANGELES
CA
VENICELIQUORSTORE@GMAIL.C</t>
  </si>
  <si>
    <t>11/07/2025</t>
  </si>
  <si>
    <t>DNH*GODADDY#39415092Tempe               AZ</t>
  </si>
  <si>
    <t>3941509272 4805058855
Microsoft 365 Email Plus with Security -
DNH*GODADDY#3941509272
Tempe
AZ
Microsoft 365 Email Plus with Security -
4805058855</t>
  </si>
  <si>
    <t>DNH*GODADDY#39415093Tempe               AZ</t>
  </si>
  <si>
    <t>3941509362 4805058855
Microsoft 365 Email Plus- Renewal - mont
DNH*GODADDY#3941509362
Tempe
AZ
Microsoft 365 Email Plus- Renewal - mont
4805058855</t>
  </si>
  <si>
    <t>CH_3SQSJNGW +18134214065
NNN.MARKET
CLEARWATER
FL
+18134214065</t>
  </si>
  <si>
    <t>11/06/2025</t>
  </si>
  <si>
    <t>CH_3SQOAEBS +16502003351
BRAVE.COM
SAN FRANCISCO
CA
+16502003351</t>
  </si>
  <si>
    <t>31099535311 RESTAURANT
CASABLANCA RESTAURANT 00-08045339838
VENICE
CA
RESTAURANT</t>
  </si>
  <si>
    <t>CHEVRON 0306890/CHEVSANTA MONICA        CA</t>
  </si>
  <si>
    <t>00306890 90 SERVICE STN
CHEVRON 0306890/CHEVRON
SANTA MONICA
CA
Description : CHEVRON Price : 0.00
Description : TAX Price : 0.00
SERVICE STN</t>
  </si>
  <si>
    <t>CH_3SQPADJL +18882730423
CREXI
LOS ANGELES
CA
+18882730423</t>
  </si>
  <si>
    <t>ROBERTS CHIROPRACTICWEATHERFORD         TX</t>
  </si>
  <si>
    <t>32173925311 CHIROPRACTOR
ROBERTS CHIROPRACTIC ROBERTS CHIROPR
WEATHERFORD
TX
CHIROPRACTOR</t>
  </si>
  <si>
    <t>11/05/2025</t>
  </si>
  <si>
    <t>DNH*GODADDY#39398334Tempe               AZ</t>
  </si>
  <si>
    <t>3939833411 4805058855
Email Essentials  - Renewal - monthly
Email - Archiving - Renewal
Microsoft 365 Email Backup - Renewal
DNH*GODADDY#3939833411
Tempe
AZ
Email Essentials  - Renewal - monthly
Email - Archiving - Renewal
Microsoft 365 Email Backup - Renewal
4805058855</t>
  </si>
  <si>
    <t>11/04/2025</t>
  </si>
  <si>
    <t>YOAST B.V.          WIJCHEN             NL</t>
  </si>
  <si>
    <t>######HBeNt LARGE DIGITAL GOODS M
LARGE DIGITAL GOODS MERCH
YOAST B.V.
WIJCHEN
NL
LARGE DIGITAL GOODS MERCH</t>
  </si>
  <si>
    <t>11/03/2025</t>
  </si>
  <si>
    <t>CH_2SPUE93T +18004304095
CONTACTS+
HUNTINGTON BEACH
CA
+18004304095</t>
  </si>
  <si>
    <t>CH_3SPBQ3CY +18884092298
SALESMESSAGE.COM
DELRAY BEACH
FL
+18884092298</t>
  </si>
  <si>
    <t>WEATHERFORD MASSAGE WEATHERFORD         TX</t>
  </si>
  <si>
    <t>61200001    817-550-6688
WEATHERFORD MASSAGE
WEATHERFORD
TX
Description : MASSAGE PARLOR Price : 0.00
817-550-6688</t>
  </si>
  <si>
    <t>11/02/2025</t>
  </si>
  <si>
    <t>CASA MANANA         Fort Worth          TX</t>
  </si>
  <si>
    <t>DH3Wcf10c5Z squareup.com/receipts
CASA MANANA
Fort Worth
TX
squareup.com/receipts</t>
  </si>
  <si>
    <t xml:space="preserve">pWXJP424JBx squareup.com/receipts
CASA MANANA
Fort Worth
TX
</t>
  </si>
  <si>
    <t>DNH*GODADDY#39371537Tempe               AZ</t>
  </si>
  <si>
    <t>3937153772 4805058855
Microsoft 365 Email Essentials - Renewal
Email - Archiving - Renewal
Professional Email - Individual - Renewa
DNH*GODADDY#3937153772
Tempe
AZ
Microsoft 365 Email Essentials - Renewal
Email - Archiving - Renewal
Professional Email - Individual - Renewa
4805058855</t>
  </si>
  <si>
    <t>SP FW LOCALS - FWTX FORT WORTH          TX</t>
  </si>
  <si>
    <t>CH_3SPA1DJ8 +18177044258
SP FW LOCALS - FWTX
FORT WORTH
TX
+18177044258</t>
  </si>
  <si>
    <t>CH_3SPA6TJ8 +18177044258
SP FW LOCALS - FWTX
FORT WORTH
TX
+18177044258</t>
  </si>
  <si>
    <t>11/01/2025</t>
  </si>
  <si>
    <t>71094475305 310-836-8000
ABC*ICONFIT
LOS ANGELES
CA
310-836-8000</t>
  </si>
  <si>
    <t>BOULEVARD OF GREENS Fort Worth          TX</t>
  </si>
  <si>
    <t>TVEj8jYFy56 squareup.com/receipts
BOULEVARD OF GREENS
Fort Worth
TX
squareup.com/receipts</t>
  </si>
  <si>
    <t>DNH*GODADDY#39368645Tempe               AZ</t>
  </si>
  <si>
    <t>3936864575 4805058855
Business Professional  - Renewal - month
Email - Archiving - Renewal
Microsoft 365 Email Backup - Renewal
DNH*GODADDY#3936864575
Tempe
AZ
Business Professional  - Renewal - month
Email - Archiving - Renewal
Microsoft 365 Email Backup - Renewal
4805058855</t>
  </si>
  <si>
    <t>CH_3SOFCXD0 +16780000000
LOOM SUBSCRIPTION
AUSTIN
TX
+16780000000</t>
  </si>
  <si>
    <t>10/31/2025</t>
  </si>
  <si>
    <t>PAYPAL *CREPUSHCOM  4029357733          FL</t>
  </si>
  <si>
    <t>10194218800 4029357733
PAYPAL *CREPUSHCOM
4029357733
FL
"Description : MANAGEMENT, CONSULT Price : 0.00"
4029357733</t>
  </si>
  <si>
    <t>PROPERTYBLAST.COM   800-418-4452        FL</t>
  </si>
  <si>
    <t>85189935304800-418-4452
PROPERTYBLAST.COM
800-418-4452
FL
800-418-4452</t>
  </si>
  <si>
    <t>CH_3SOSEVB7 +13854834872
SPONSORCLOUD (SYNPRO)
SALT LAKE CITY
UT
+13854834872</t>
  </si>
  <si>
    <t>ZENO'S ON THE SQUAREWEATHERFORD         TX</t>
  </si>
  <si>
    <t>21105175305 RESTAURANT
ZENO'S ON THE SQUARE
WEATHERFORD
TX
RESTAURANT</t>
  </si>
  <si>
    <t>10/30/2025</t>
  </si>
  <si>
    <t>MINTY BOI INC       Dallas              TX</t>
  </si>
  <si>
    <t xml:space="preserve">frCG2iYRfNz squareup.com/receipts
MINTY BOI INC
Dallas
TX
</t>
  </si>
  <si>
    <t>TST* GRANADA THEATERDALLAS              TX</t>
  </si>
  <si>
    <t>99999995303 2148249933
TST* GRANADA THEATER 300569169
DALLAS
TX
Description : BARS Price : 0.0739
2148249933</t>
  </si>
  <si>
    <t>10/29/2025</t>
  </si>
  <si>
    <t>DNH*GODADDY#39344090Tempe               AZ</t>
  </si>
  <si>
    <t>3934409076 4805058855
Microsoft 365 Online Business Essentials
Email - Archiving - Renewal
DNH*GODADDY#3934409076
Tempe
AZ
Microsoft 365 Online Business Essentials
Email - Archiving - Renewal
4805058855</t>
  </si>
  <si>
    <t>EXXONMOBIL          WEATHERFORD         TX</t>
  </si>
  <si>
    <t>00013767    817-613-9437
EXXONMOBIL
WEATHERFORD
TX
Description : 001 Price : 0.00
817-613-9437</t>
  </si>
  <si>
    <t>GAMMA.APP           SAN FRANCISCO       CA</t>
  </si>
  <si>
    <t>CH_3SNCRHAC +14152371288
GAMMA.APP
SAN FRANCISCO
CA
+14152371288</t>
  </si>
  <si>
    <t>CH_3SNFUXC6 +14158799686
OPENAI *CHATGPT SUBSCR
SAN FRANCISCO
CA
+14158799686</t>
  </si>
  <si>
    <t>TRX VAPE AND CIGAR 5DALLAS              TX</t>
  </si>
  <si>
    <t>73056715303 TRXVANDC@GMAIL.COM
TRX VAPE AND CIGAR 567140115129713
DALLAS
TX
TRXVANDC@GMAIL.COM</t>
  </si>
  <si>
    <t>10/28/2025</t>
  </si>
  <si>
    <t>HOTEL DROVER - CATERFORT WORTH          TX</t>
  </si>
  <si>
    <t>730110053020000196388       76164
HOTEL DROVER - CATERING 06888002166791
FORT WORTH
TX
0000196388       76164</t>
  </si>
  <si>
    <t>HOTEL DROVER - LOBBYFORT WORTH          TX</t>
  </si>
  <si>
    <t>730110053020000196242       76164
HOTEL DROVER - LOBBY BAR 0688800216679
FORT WORTH
TX
0000196242       76164</t>
  </si>
  <si>
    <t>HOTEL DROVER AUTOGRAFORT WORTH          TX</t>
  </si>
  <si>
    <t xml:space="preserve">M30279      AUTOGRAPH
LODGING
HOTEL DROVER AUTOGRA
FORT WORTH
TX
</t>
  </si>
  <si>
    <t>LATE FEE</t>
  </si>
  <si>
    <t xml:space="preserve">LATE FEE
</t>
  </si>
  <si>
    <t>10/27/2025</t>
  </si>
  <si>
    <t>CHIPOTLE 2250 2250  WEATHERFORD         TX</t>
  </si>
  <si>
    <t>013539      303-595-4000
CHIPOTLE 2250 2250
WEATHERFORD
TX
Description : FAST FOOD RESTAURAN Price : 0.00
303-595-4000</t>
  </si>
  <si>
    <t>DNH*GODADDY#39326833Tempe               AZ</t>
  </si>
  <si>
    <t>3932683343 4805058855
Hosting - Web - Economy - Linux cPanel -
DNH*GODADDY#3932683343
Tempe
AZ
Hosting - Web - Economy - Linux cPanel -
4805058855</t>
  </si>
  <si>
    <t>CH_3SMRXVCF 3235775423
SPLICE.COM
NEW YORK
NY
3235775423</t>
  </si>
  <si>
    <t>10/26/2025</t>
  </si>
  <si>
    <t>RUSSELL FEED &amp; SUPPLWEATHERFORD         TX</t>
  </si>
  <si>
    <t>38840114    817-624-6224
RUSSELL FEED &amp; SUPPLY #9
WEATHERFORD
TX
Description : SPECIALTY RETAIL Price : 0.00
817-624-6224</t>
  </si>
  <si>
    <t>10/25/2025</t>
  </si>
  <si>
    <t>CINEPOLIS USA       DALLAS              TX</t>
  </si>
  <si>
    <t>CH_3SMDM8B5 +19729931553
CINEPOLIS USA
DALLAS
TX
+19729931553</t>
  </si>
  <si>
    <t>DNH*GODADDY#39313185Tempe               AZ</t>
  </si>
  <si>
    <t>3931318584 4805058855
Email Plus  - Renewal - monthly
Email - Archiving - Renewal
DNH*GODADDY#3931318584
Tempe
AZ
Email Plus  - Renewal - monthly
Email - Archiving - Renewal
4805058855</t>
  </si>
  <si>
    <t>FUND LAUNCH         LEHI                UT</t>
  </si>
  <si>
    <t>CH_3SM1UGGE +14352443532
FUND LAUNCH
LEHI
UT
+14352443532</t>
  </si>
  <si>
    <t>TDMC DICKIESARENA BOFORT WORTH          TX</t>
  </si>
  <si>
    <t>847264     0000000000000000076102
TDMC DICKIESARENA BO
FORT WORTH
TX
0000000000000000076102</t>
  </si>
  <si>
    <t>TST* DON ARTEMIO 000FORT WORTH          TX</t>
  </si>
  <si>
    <t>21105175299 RESTAURANT
TST* DON ARTEMIO 00058771
FORT WORTH
TX
RESTAURANT</t>
  </si>
  <si>
    <t>10/24/2025</t>
  </si>
  <si>
    <t>CINEMARK            PLANO               TX</t>
  </si>
  <si>
    <t>######WqMsO RESTAURANT
CINEMARK
PLANO
TX
RESTAURANT</t>
  </si>
  <si>
    <t>38840057    817-624-6224
RUSSELL FEED &amp; SUPPLY #9
WEATHERFORD
TX
Description : SPECIALTY RETAIL Price : 0.00
817-624-6224</t>
  </si>
  <si>
    <t>10/23/2025</t>
  </si>
  <si>
    <t>DNH*GODADDY#39299611Tempe               AZ</t>
  </si>
  <si>
    <t>3929961186 4805058855
Business Enterprise - Renewal - 1 month
Email - Archiving - Renewal
Microsoft 365 Email Backup - Renewal
DNH*GODADDY#3929961186
Tempe
AZ
Business Enterprise - Renewal - 1 month
Email - Archiving - Renewal
Microsoft 365 Email Backup - Renewal
4805058855</t>
  </si>
  <si>
    <t>ZAPIER.COM/CHARGE   SAN FRANCISCO       CA</t>
  </si>
  <si>
    <t>CH_2SLTVGHZ +18773818743
ZAPIER.COM/CHARGE
SAN FRANCISCO
CA
+18773818743</t>
  </si>
  <si>
    <t>10/22/2025</t>
  </si>
  <si>
    <t>TST* SUNNY STREET - WEATHERFORD         TX</t>
  </si>
  <si>
    <t>99999995295 8175942210
TST* SUNNY STREET - WEATH 300570137
WEATHERFORD
TX
Description : RESTAURANTS Price : 0.7509
8175942210</t>
  </si>
  <si>
    <t>21105175296 RESTAURANT
ZENO'S ON THE SQUARE
WEATHERFORD
TX
RESTAURANT</t>
  </si>
  <si>
    <t>10/21/2025</t>
  </si>
  <si>
    <t>BLVD   *PREMIER IV &amp;WEATHERFORD         TX</t>
  </si>
  <si>
    <t>99999995295 8334849376
BLVD   *PREMIER IV &amp; WELL 000010059
WEATHERFORD
TX
Description : MED/HEALTH SERV Price : 0.618
8334849376</t>
  </si>
  <si>
    <t>32173925295 CHIROPRACTOR
ROBERTS CHIROPRACTIC ROBERTS CHIROPR
WEATHERFORD
TX
CHIROPRACTOR</t>
  </si>
  <si>
    <t>ROSA'S CAFE         WEATHERFORD         TX</t>
  </si>
  <si>
    <t>10156320251 8175995335
ROSA'S CAFE
WEATHERFORD
TX
8175995335</t>
  </si>
  <si>
    <t>STARBUCKS STORE 9848FORT WORTH          TX</t>
  </si>
  <si>
    <t>6BD0C2329CA FAST FOOD RESTAURANT
STARBUCKS STORE 9848
FORT WORTH
TX
FAST FOOD RESTAURANT</t>
  </si>
  <si>
    <t>WALGREENS           WEATHERFORD         TX</t>
  </si>
  <si>
    <t>99999995295 8002892273
WALGREENS
WEATHERFORD
TX
Description : PHARMACIES Price : 0.1799
8002892273</t>
  </si>
  <si>
    <t>10/20/2025</t>
  </si>
  <si>
    <t>BOBACANE BOBACANE   WEATHERFORD         TX</t>
  </si>
  <si>
    <t>34003245294 RESTAURANT
BOBACANE BOBACANE
WEATHERFORD
TX
RESTAURANT</t>
  </si>
  <si>
    <t>34194645    EMAIL MARKET
CAMPAIGNER SVC
888-845-4544
CA
EMAIL MARKET</t>
  </si>
  <si>
    <t>DNH*GODADDY#39272024Tempe               AZ</t>
  </si>
  <si>
    <t>3927202405 4805058855
Microsoft 365 Email Essentials - Renewal
Email - Archiving - Renewal
Microsoft 365 Email Backup - Renewal
DNH*GODADDY#3927202405
Tempe
AZ
Microsoft 365 Email Essentials - Renewal
Email - Archiving - Renewal
Microsoft 365 Email Backup - Renewal
4805058855</t>
  </si>
  <si>
    <t>HOBBY-LOBBY #758 000WEATHERFORD         TX</t>
  </si>
  <si>
    <t>67530204000 8175996941
HOBBY-LOBBY #758 000000758
WEATHERFORD
TX
Description : HOBBY SHOPS Price : 0.4053
8175996941</t>
  </si>
  <si>
    <t>10/19/2025</t>
  </si>
  <si>
    <t>61700005    817-550-6688
WEATHERFORD MASSAGE
WEATHERFORD
TX
Description : MASSAGE PARLOR Price : 0.00
817-550-6688</t>
  </si>
  <si>
    <t>10/18/2025</t>
  </si>
  <si>
    <t>DNH*GODADDY#39259694Tempe               AZ</t>
  </si>
  <si>
    <t>3925969477 4805058855
Microsoft 365 Secure Business Profession
DNH*GODADDY#3925969477
Tempe
AZ
Microsoft 365 Secure Business Profession
4805058855</t>
  </si>
  <si>
    <t>FILM ALLEY- WEATHERF817-3413232         TX</t>
  </si>
  <si>
    <t>73011005330 JACOB@SCHULMANPARTNER
JACOB@SCHULMANPARTNERS.CO
FILM ALLEY- WEATHERF 436845559638738
817-3413232
TX
JACOB@SCHULMANPARTNERS.CO</t>
  </si>
  <si>
    <t>99999995292 8002892273
WALGREENS
WEATHERFORD
TX
Description : PHARMACIES Price : 0.1948
8002892273</t>
  </si>
  <si>
    <t>10/17/2025</t>
  </si>
  <si>
    <t>HOMEGOODS #1084 0000WEATHERFORD         TX</t>
  </si>
  <si>
    <t>20944285477102337           01701
DISCOUNT STORES
HOMEGOODS #1084 000001084
WEATHERFORD
TX
DISCOUNT STORES
102337           01701</t>
  </si>
  <si>
    <t>STARBUCKS STORE 6932WEATHERFORD         TX</t>
  </si>
  <si>
    <t>4AC31E3D1EC FAST FOOD RESTAURANT
STARBUCKS STORE 6932
WEATHERFORD
TX
FAST FOOD RESTAURANT</t>
  </si>
  <si>
    <t>8053C2ECED5 FAST FOOD RESTAURANT
STARBUCKS STORE 6932
WEATHERFORD
TX
FAST FOOD RESTAURANT</t>
  </si>
  <si>
    <t>10/16/2025</t>
  </si>
  <si>
    <t>DNH*GODADDY#39245434Tempe               AZ</t>
  </si>
  <si>
    <t>3924543415 4805058855
NET Domain Name Renewal - 1 Year recur
COM Domain Name Renewal - 1 Year recur
Full Domain Privacy and Protection - Ren
DNH*GODADDY#3924543415
Tempe
AZ
NET Domain Name Renewal - 1 Year recur
COM Domain Name Renewal - 1 Year recur
Full Domain Privacy and Protection - Ren
4805058855</t>
  </si>
  <si>
    <t>DocuSign            SEATTLE             WA</t>
  </si>
  <si>
    <t>18071014    DIGITAL GOODS: APPS
DocuSign
SEATTLE
WA
DIGITAL GOODS: APPS</t>
  </si>
  <si>
    <t>73011005290 JACOB@SCHULMANPARTNER
JACOB@SCHULMANPARTNERS.CO
FILM ALLEY- WEATHERF 436845559638738
817-3413232
TX
JACOB@SCHULMANPARTNERS.CO</t>
  </si>
  <si>
    <t>LEV INC             NEW YORK            NY</t>
  </si>
  <si>
    <t>CH_3SJ0HADL +18884827768
LEV INC
NEW YORK
NY
+18884827768</t>
  </si>
  <si>
    <t>000000451   AUTOMOBILE RENTAL
Sixt9605175422
51008W0UC9QZHQSFSB
SIXT USA POS
FORT LAUDERDALE
FL
Sixt9605175422
51008W0UC9QZHQSFSB
AUTOMOBILE RENTAL</t>
  </si>
  <si>
    <t>CH_2SIVHQ04 +14154506060
SOCIALPILOT
LEWES
DE
+14154506060</t>
  </si>
  <si>
    <t>10/15/2025</t>
  </si>
  <si>
    <t>21105175289 ESTABLISHES
800.COM, LLC
800-800-4321
FL
ESTABLISHES</t>
  </si>
  <si>
    <t>DFW AIRPORT PARKING DFW AIRPORT         TX</t>
  </si>
  <si>
    <t>885441      PARKING LOT &amp; GARAGE
DFW AIRPORT PARKING
DFW AIRPORT
TX
PARKING LOT &amp; GARAGE</t>
  </si>
  <si>
    <t>PAR*SMOOTHIE KING SKDALLAS              TX</t>
  </si>
  <si>
    <t>999999952894698651300
PAR*SMOOTHIE KING SK2405 000009916
DALLAS
TX
4698651300</t>
  </si>
  <si>
    <t>CH_3SIQYNA8 +15125374087
RESTORE.COM
AUSTIN
TX
+15125374087</t>
  </si>
  <si>
    <t>TACO BELL 034586 034WEATHERFORD         TX</t>
  </si>
  <si>
    <t>df1bea      415-309-3061
TACO BELL 034586 0345
WEATHERFORD
TX
Description : FAST FOOD RESTAURAN Price : 0.00
415-309-3061</t>
  </si>
  <si>
    <t>10/13/2025</t>
  </si>
  <si>
    <t>h2pLUMhTgU7 squareup.com/receipts
ALANA'S COFFEE ROASTERS
Los Angeles
CA
squareup.com/receipts</t>
  </si>
  <si>
    <t>DNH*GODADDY#39218992Tempe               AZ</t>
  </si>
  <si>
    <t>3921899265 4805058855
Microsoft 365 Online Business Essentials
Email - Archiving - Renewal
DNH*GODADDY#3921899265
Tempe
AZ
Microsoft 365 Online Business Essentials
Email - Archiving - Renewal
4805058855</t>
  </si>
  <si>
    <t>21105175287 RESTAURANT
TST* BLUEYS KITCHEN MAR V 00098618
LOS ANGELES
CA
RESTAURANT</t>
  </si>
  <si>
    <t>10/12/2025</t>
  </si>
  <si>
    <t>CIRCLE K # 44112/CIRGLENWOOD SPRINGS    CO</t>
  </si>
  <si>
    <t>CONVENIENCE
CIRCLE K # 44112/CIRCLE K
GLENWOOD SPRINGS
CO
Description : CIRCLE K Price : 0.00
Description : TAX Price : 0.00
CONVENIENCE</t>
  </si>
  <si>
    <t>P3B6DE9252  CABLE &amp; PAY TV
SPOTIFY USA
NEW YORK
NY
CABLE &amp; PAY TV</t>
  </si>
  <si>
    <t>THE CORNER BEET     Denver              CO</t>
  </si>
  <si>
    <t>7z97BY5krK6 squareup.com/receipts
THE CORNER BEET
Denver
CO
squareup.com/receipts</t>
  </si>
  <si>
    <t>10/11/2025</t>
  </si>
  <si>
    <t>DNH*GODADDY#39202417Tempe               AZ</t>
  </si>
  <si>
    <t>3920241732 4805058855
COM Domain Name Renewal - 1 Year recur
Full Domain Protection - Renewal
Email Essentials  - Renewal - monthly
Email - Archiving - Renewal
DNH*GODADDY#3920241732
Tempe
AZ
COM Domain Name Renewal - 1 Year recur
Full Domain Protection - Renewal
Email Essentials  - Renewal - monthly
Email - Archiving - Renewal
4805058855</t>
  </si>
  <si>
    <t>TST* LAS MONTANAS 00ASPEN               CO</t>
  </si>
  <si>
    <t>21105175285 RESTAURANT
TST* LAS MONTANAS 00085873
ASPEN
CO
RESTAURANT</t>
  </si>
  <si>
    <t>10/10/2025</t>
  </si>
  <si>
    <t>AMAZON.COM          AMZN.COM/BILL       WA</t>
  </si>
  <si>
    <t>2I1O5Z4OTMP MERCHANDISE
AMAZON.COM
AMZN.COM/BILL
WA
MERCHANDISE</t>
  </si>
  <si>
    <t>DNH*GODADDY#39192267Tempe               AZ</t>
  </si>
  <si>
    <t>3919226711 4805058855
Websites  Marketing with Email Renewal
Business Professional  - Renewal - month
Email - Archiving - Renewal
Email Essentials  - Renewal - 1 Year
DNH*GODADDY#3919226711
Tempe
AZ
Websites  Marketing with Email Renewal
Business Professional  - Renewal - month
Email - Archiving - Renewal
Email Essentials  - Renewal - 1 Year
4805058855</t>
  </si>
  <si>
    <t>TST* POPULUS HOTEL- DENVER              CO</t>
  </si>
  <si>
    <t>YqTcSmdTI00 3038004240
TST* POPULUS HOTEL- STELL 300569983
DENVER
CO
Description : RESTAURANTS Price : 1.0178
3038004240</t>
  </si>
  <si>
    <t>P-05695735  MEMBERSHIP
VIMEO PRO
212-625-0668
NY
MEMBERSHIP</t>
  </si>
  <si>
    <t>10/09/2025</t>
  </si>
  <si>
    <t>BALANCED ROOT APOTHEDenver              CO</t>
  </si>
  <si>
    <t>HZXcfG5gULg squareup.com/receipts
BALANCED ROOT APOTHECARY
Denver
CO
squareup.com/receipts</t>
  </si>
  <si>
    <t>COLORADO CC DPAC CONDENVER              CO</t>
  </si>
  <si>
    <t>00000010806 7303001762
COLORADO CC DPAC CONC
DENVER
CO
Description : NO DATA SUBMITTED Price : 0.00
7303001762</t>
  </si>
  <si>
    <t>DNH*GODADDY#39184358Tempe               AZ</t>
  </si>
  <si>
    <t>3918435839 4805058855
Conversations Deluxe - 1 Month - Renewal
DNH*GODADDY#3918435839
Tempe
AZ
Conversations Deluxe - 1 Month - Renewal
4805058855</t>
  </si>
  <si>
    <t>HYDRATEIVBAR.COM    DENVER              CO</t>
  </si>
  <si>
    <t>CH_3SGQCFBB +13852336964
HYDRATEIVBAR.COM
DENVER
CO
+13852336964</t>
  </si>
  <si>
    <t>3JXi7rK13Bo squareup.com/receipts
THE CORNER BEET
Denver
CO
squareup.com/receipts</t>
  </si>
  <si>
    <t>10/08/2025</t>
  </si>
  <si>
    <t>DNH*GODADDY#39175484Tempe               AZ</t>
  </si>
  <si>
    <t>3917548488 4805058855
Microsoft 365 Business Professional- Ren
Email - Archiving - Renewal
Microsoft 365 Email Backup - Renewal
DNH*GODADDY#3917548488
Tempe
AZ
Microsoft 365 Business Professional- Ren
Email - Archiving - Renewal
Microsoft 365 Email Backup - Renewal
4805058855</t>
  </si>
  <si>
    <t>LAX AIRP BGRILL BY BLOS ANGELES         CA</t>
  </si>
  <si>
    <t>004328083   866-820-1178
LAX AIRP BGRILL BY BOA LAX AIRP BGRILL
LOS ANGELES
CA
866-820-1178</t>
  </si>
  <si>
    <t>CH_3SG7ABC6 +14158799686
OPENAI *CHATGPT SUBSCR
SAN FRANCISCO
CA
+14158799686</t>
  </si>
  <si>
    <t>PACIFIC SPAS &amp; SAUNALOS ANGELES         CA</t>
  </si>
  <si>
    <t>50300006    310-445-7727
PACIFIC SPAS &amp; SAUNA 0000
LOS ANGELES
CA
Description : POOL/PATIO/SPA/SPLY Price : 0.00
310-445-7727</t>
  </si>
  <si>
    <t>10/07/2025</t>
  </si>
  <si>
    <t>547243     100003822024681  90401
CITY OF SANTA MONICA
SANTA MONICA
CA
100003822024681  90401</t>
  </si>
  <si>
    <t>DNH*GODADDY#39169529Tempe               AZ</t>
  </si>
  <si>
    <t>3916952965 4805058855
Microsoft 365 Email Plus- Renewal - mont
DNH*GODADDY#3916952965
Tempe
AZ
Microsoft 365 Email Plus- Renewal - mont
4805058855</t>
  </si>
  <si>
    <t>Points for Amex Trvl</t>
  </si>
  <si>
    <t xml:space="preserve">Points for Amex Trvl
</t>
  </si>
  <si>
    <t>PwP    AMERICAN EXPRSEATTLE             WA</t>
  </si>
  <si>
    <t>100809      AIRLINE/AIR CARRIER
PASSENGER TICKET
PwP    AMERICAN EXPRESS TRAVEL
SEATTLE
WA
Carrier : UNITED AIRLINES
Passenger Name : HARTMAYER/SAGIV
Ticket Number : 01673389276145
Departure Day : 10/09
Additional Info : PASSENGER TICKET
From : PHOENIX SKY HARBOR
To : LOS ANGELES INTERN
Class : U</t>
  </si>
  <si>
    <t>REI#274 MARINA D RAYMARINA DEL REY      CA</t>
  </si>
  <si>
    <t>822848     0000000000000000090292
REI#274 MARINA D RAY
MARINA DEL REY
CA
0000000000000000090292</t>
  </si>
  <si>
    <t>RENTV.COM, INC.     310-242-8613        CA</t>
  </si>
  <si>
    <t>21105175281 ADVERTISING
RENTV.COM, INC.
310-242-8613
CA
ADVERTISING</t>
  </si>
  <si>
    <t>CH_3SFLJRA8 +15125374087
RESTORE.COM
AUSTIN
TX
+15125374087</t>
  </si>
  <si>
    <t>Southwest Airlines  DALLAS              TX</t>
  </si>
  <si>
    <t>7900405470  (214) 792 - 4223
PASSENGER TICKET
Southwest Airlines
DALLAS
TX
Carrier : SOUTHWEST AIRLINES (MASTE
Passenger Name : HARTMAYER/SAGIV
Ticket Number : 5262393917509
Departure Day : 10/09
Additional Info : PASSENGER TICKET
From : LOS ANGELES INTERN
To : PHOENIX SKY HARBOR
Class : N</t>
  </si>
  <si>
    <t>VITO RESTAURANT     SANTA MONICA        CA</t>
  </si>
  <si>
    <t>######FjPfs MISC/SPECIALTY RETAIL
VITO RESTAURANT
SANTA MONICA
CA
MISC/SPECIALTY RETAIL</t>
  </si>
  <si>
    <t>10/06/2025</t>
  </si>
  <si>
    <t>AMAZON PRIME*NV8WW00AMZN.COM/BILL       WA</t>
  </si>
  <si>
    <t>5CBGBMRZ5BS DIGITAL
AMAZON PRIME*NV8WW00Z2
AMZN.COM/BILL
WA
DIGITAL</t>
  </si>
  <si>
    <t>Amazon Prime        Amazon.com          WA</t>
  </si>
  <si>
    <t>62T6B1XNEK6 SUBSCRIPTION
Amazon Prime
Amazon.com
WA
SUBSCRIPTION</t>
  </si>
  <si>
    <t>CH_3SF9OPBS +16502003351
BRAVE.COM
SAN FRANCISCO
CA
+16502003351</t>
  </si>
  <si>
    <t>CH_3SFABQJL +18882730423
CREXI
LOS ANGELES
CA
+18882730423</t>
  </si>
  <si>
    <t>21105175280 RESTAURANT
TST* BLUEYS KITCHEN MAR V 00098618
LOS ANGELES
CA
RESTAURANT</t>
  </si>
  <si>
    <t>10/05/2025</t>
  </si>
  <si>
    <t>AMC MARINA MARKETPL MARINA DEL REY      CA</t>
  </si>
  <si>
    <t>29441688    913-213-2160
AMC MARINA MARKETPL
MARINA DEL REY
CA
Description : ADMISSION/TICKETS Price : 0.00
913-213-2160</t>
  </si>
  <si>
    <t>COFFEE BEAN &amp; TEA   MARINA DEL RE       CA</t>
  </si>
  <si>
    <t>823151      FAST FOOD RESTAURANT
COFFEE BEAN &amp; TEA
MARINA DEL RE
CA
FAST FOOD RESTAURANT</t>
  </si>
  <si>
    <t>DNH*GODADDY#39150323Tempe               AZ</t>
  </si>
  <si>
    <t>3915032320 4805058855
Email Essentials  - Renewal - monthly
Email - Archiving - Renewal
Microsoft 365 Email Backup - Renewal
DNH*GODADDY#3915032320
Tempe
AZ
Email Essentials  - Renewal - monthly
Email - Archiving - Renewal
Microsoft 365 Email Backup - Renewal
4805058855</t>
  </si>
  <si>
    <t xml:space="preserve">tugs1s1b08A squareup.com/receipts
PAYA THAI LA LLC
LOS ANGELES
CA
</t>
  </si>
  <si>
    <t>ROSS DRESS FOR LESS VENICE              CA</t>
  </si>
  <si>
    <t>00311009577 999-000-0000
ROSS DRESS FOR LESS
VENICE
CA
999-000-0000</t>
  </si>
  <si>
    <t>10/04/2025</t>
  </si>
  <si>
    <t>843308      PARKING LOT &amp; GARAGE
CITY OF SANTA MONICA
SANTA MONICA
CA
PARKING LOT &amp; GARAGE</t>
  </si>
  <si>
    <t>SILVERLAKE RAMEN 000SANTA MONICA        CA</t>
  </si>
  <si>
    <t>99999995278 4243300125
SILVERLAKE RAMEN 000000001
SANTA MONICA
CA
4243300125</t>
  </si>
  <si>
    <t>THE HOME DEPOT      LOS ANGELES         CA</t>
  </si>
  <si>
    <t>10040661133 800-654-0688
THE HOME DEPOT
LOS ANGELES
CA
800-654-0688</t>
  </si>
  <si>
    <t>10/03/2025</t>
  </si>
  <si>
    <t>2418 AMC AMC MARINA MARINA DEL RE       CA</t>
  </si>
  <si>
    <t>31502619    913-213-2160
2418 AMC AMC MARINA 6 2418
MARINA DEL RE
CA
Description : ADMISSION/TICKETS Price : 0.00
913-213-2160</t>
  </si>
  <si>
    <t>ADJ REDIST PURCHASE BAL</t>
  </si>
  <si>
    <t xml:space="preserve">ADJ REDIST PURCHASE BAL
</t>
  </si>
  <si>
    <t>CH_2SEFS23T +18004304095
CONTACTS+
HUNTINGTON BEACH
CA
+18004304095</t>
  </si>
  <si>
    <t>DR ADJ REDIST CADV PRIN</t>
  </si>
  <si>
    <t xml:space="preserve">DR ADJ REDIST CADV PRIN
</t>
  </si>
  <si>
    <t>CH_3SEN5DCY +18884092298
SALESMESSAGE.COM
DELRAY BEACH
FL
+18884092298</t>
  </si>
  <si>
    <t>THE HANGAR          Santa Monica        CA</t>
  </si>
  <si>
    <t>j9aiOBcO9Gs squareup.com/receipts
THE HANGAR
Santa Monica
CA
squareup.com/receipts</t>
  </si>
  <si>
    <t>21105175277 RESTAURANT
TST* BLUEYS KITCHEN MAR V 00098618
LOS ANGELES
CA
RESTAURANT</t>
  </si>
  <si>
    <t>10/02/2025</t>
  </si>
  <si>
    <t>CASABLANCA 00-080164VENICE              CA</t>
  </si>
  <si>
    <t>31099535276 RESTAURANT
CASABLANCA 00-08016445473
VENICE
CA
RESTAURANT</t>
  </si>
  <si>
    <t>DNH*GODADDY#39125988Tempe               AZ</t>
  </si>
  <si>
    <t>3912598837 4805058855
Microsoft 365 Email Essentials - Renewal
Email - Archiving - Renewal
Professional Email - Individual - Renewa
DNH*GODADDY#3912598837
Tempe
AZ
Microsoft 365 Email Essentials - Renewal
Email - Archiving - Renewal
Professional Email - Individual - Renewa
4805058855</t>
  </si>
  <si>
    <t>10/01/2025</t>
  </si>
  <si>
    <t>71094475274 310-836-8000
ABC*ICONFIT
LOS ANGELES
CA
310-836-8000</t>
  </si>
  <si>
    <t>DNH*GODADDY#39115285Tempe               AZ</t>
  </si>
  <si>
    <t>3911528509 4805058855
Business Professional  - Renewal - month
Email - Archiving - Renewal
Microsoft 365 Email Backup - Renewal
DNH*GODADDY#3911528509
Tempe
AZ
Business Professional  - Renewal - month
Email - Archiving - Renewal
Microsoft 365 Email Backup - Renewal
4805058855</t>
  </si>
  <si>
    <t>EGNYTE INC 000000001MOUNTAIN VIEW       CA</t>
  </si>
  <si>
    <t>13358061    6509684018
EGNYTE INC 000000001
MOUNTAIN VIEW
CA
Description : REFER TO RECEIPT Price : 0.00
6509684018</t>
  </si>
  <si>
    <t>CH_3SDQRQD0 +16780000000
LOOM SUBSCRIPTION
AUSTIN
TX
+16780000000</t>
  </si>
  <si>
    <t>21105175275 RESTAURANT
TST* BLUEYS KITCHEN MAR V 00098618
LOS ANGELES
CA
RESTAURANT</t>
  </si>
  <si>
    <t>09/30/2025</t>
  </si>
  <si>
    <t>CBI*CCLEANER PIRIFOR800-799-9570        IL</t>
  </si>
  <si>
    <t>513477401  513477401        90066
CBI*CCLEANER PIRIFORM
800-799-9570
IL
513477401        90066</t>
  </si>
  <si>
    <t>CR ADJ PURCH FIN CHG</t>
  </si>
  <si>
    <t xml:space="preserve">CR ADJ PURCH FIN CHG
</t>
  </si>
  <si>
    <t>DNH*GODADDY#39097588Tempe               AZ</t>
  </si>
  <si>
    <t>3909758824 4805058855
Online Business Essentials  - monthly
Email - Archiving
DNH*GODADDY#3909758824
Tempe
AZ
Online Business Essentials  - monthly
Email - Archiving
4805058855</t>
  </si>
  <si>
    <t>FRAUD CREDIT</t>
  </si>
  <si>
    <t xml:space="preserve">FRAUD CREDIT
</t>
  </si>
  <si>
    <t>CH_3SDDSVB7 +13854834872
SPONSORCLOUD (SYNPRO)
SALT LAKE CITY
UT
+13854834872</t>
  </si>
  <si>
    <t>00200094028 RESTAURANT
TST* BEETHOVEN 00200094
LOS ANGELES
CA
RESTAURANT</t>
  </si>
  <si>
    <t>TST* MY LAI 00041823LOS ANGELES         CA</t>
  </si>
  <si>
    <t>21105175274 RESTAURANT
TST* MY LAI 00041823
LOS ANGELES
CA
RESTAURANT</t>
  </si>
  <si>
    <t>09/29/2025</t>
  </si>
  <si>
    <t>CVS PHARMACY        MARINA DEL REY      CA</t>
  </si>
  <si>
    <t>10062040   8007467287
PHARMACIES
CVS PHARMACY
MARINA DEL REY
CA
PHARMACIES
8007467287</t>
  </si>
  <si>
    <t>LUGG HOLD #OEKQFH   SAN FRANCISCO       CA</t>
  </si>
  <si>
    <t>CH_3SCJEJD9 +18449594809
LUGG HOLD #OEKQFH
SAN FRANCISCO
CA
+18449594809</t>
  </si>
  <si>
    <t>CH_3SCNV3C6 +14158799686
OPENAI *CHATGPT SUBSCR
SAN FRANCISCO
CA
+14158799686</t>
  </si>
  <si>
    <t>PRIME VIDEO *6A18I4W888-802-3080        WA</t>
  </si>
  <si>
    <t>194TCIMU3T9 DIGITAL
PRIME VIDEO *6A18I4W63
888-802-3080
WA
DIGITAL</t>
  </si>
  <si>
    <t xml:space="preserve">1WGgeixpSNj squareup.com/receipts
THE HANGAR
Santa Monica
CA
</t>
  </si>
  <si>
    <t xml:space="preserve">Df7sH0CB6KE squareup.com/receipts
THE HANGAR
Santa Monica
CA
</t>
  </si>
  <si>
    <t>21105175273 RESTAURANT
TST* BLUEYS KITCHEN MAR V 00098618
LOS ANGELES
CA
RESTAURANT</t>
  </si>
  <si>
    <t>99999995272 4242318000
TST* CAFE GRATITUDE - VEN 300545147
VENICE
CA
Description : RESTAURANTS Price : 0.9668
4242318000</t>
  </si>
  <si>
    <t>09/28/2025</t>
  </si>
  <si>
    <t>LE CAFE DE LA PLAGE-Malibu              CA</t>
  </si>
  <si>
    <t>TJIWPfFgaEA squareup.com/receipts
LE CAFE DE LA PLAGE- MALIBU
Malibu
CA
squareup.com/receipts</t>
  </si>
  <si>
    <t>LILY S MALIBU       MALIBU              CA</t>
  </si>
  <si>
    <t>85347015272805-824-5631
LILY S MALIBU
MALIBU
CA
805-824-5631</t>
  </si>
  <si>
    <t>PnkaEY8JhSC squareup.com/receipts
PAYA THAI LA LLC
LOS ANGELES
CA
squareup.com/receipts</t>
  </si>
  <si>
    <t>09/27/2025</t>
  </si>
  <si>
    <t>DNH*GODADDY#39065271Tempe               AZ</t>
  </si>
  <si>
    <t>3906527113 4805058855
Hosting - Web - Economy - Linux cPanel -
DNH*GODADDY#3906527113
Tempe
AZ
Hosting - Web - Economy - Linux cPanel -
4805058855</t>
  </si>
  <si>
    <t>ETSY, INC.          BROOKLYN            NY</t>
  </si>
  <si>
    <t>18681319839 MISC APPAREL STORE
ETSY, INC.
BROOKLYN
NY
MISC APPAREL STORE</t>
  </si>
  <si>
    <t>CH_3SBZF3CF 3235775423
SPLICE.COM
NEW YORK
NY
3235775423</t>
  </si>
  <si>
    <t>XL6n79YTqgZ squareup.com/receipts
THE HANGAR
Santa Monica
CA
squareup.com/receipts</t>
  </si>
  <si>
    <t>09/26/2025</t>
  </si>
  <si>
    <t>DNH*GODADDY#39053759Tempe               AZ</t>
  </si>
  <si>
    <t>3905375989 4805058855
Microsoft 365 Email Plus with Security -
DNH*GODADDY#3905375989
Tempe
AZ
Microsoft 365 Email Plus with Security -
4805058855</t>
  </si>
  <si>
    <t>FAARHA INC #43159 88LOS ANGELES         CA</t>
  </si>
  <si>
    <t>00060848    800-325-3265
FAARHA INC #43159 8869
LOS ANGELES
CA
Description : GAS/SERVICES Price : 0.00
800-325-3265</t>
  </si>
  <si>
    <t>HOLLYWOOD BOWL 65000LOS ANGELES         CA</t>
  </si>
  <si>
    <t>10156320250 4106882489
HOLLYWOOD BOWL 650000012611805
LOS ANGELES
CA
Description : MISCL FOOD STORES Price : 0.1622
4106882489</t>
  </si>
  <si>
    <t>LOS ANGELES PHILHARMLOS ANGELES         CA</t>
  </si>
  <si>
    <t>74207855270 213-972-7300
LOS ANGELES PHILHARMONIC LOS ANGELES 6
LOS ANGELES
CA
213-972-7300</t>
  </si>
  <si>
    <t>21105175269 RESTAURANT
TST* TAVERNA AT THE MAR V 00207350
LOS ANGELES
CA
RESTAURANT</t>
  </si>
  <si>
    <t>09/25/2025</t>
  </si>
  <si>
    <t>7HdM61md19I squareup.com/receipts
ALANA'S COFFEE ROASTERS
Los Angeles
CA
squareup.com/receipts</t>
  </si>
  <si>
    <t>DNH*GODADDY#39035947Tempe               AZ</t>
  </si>
  <si>
    <t>3903594726 4805058855
Email Plus  - Renewal - monthly
Email - Archiving - Renewal
DNH*GODADDY#3903594726
Tempe
AZ
Email Plus  - Renewal - monthly
Email - Archiving - Renewal
4805058855</t>
  </si>
  <si>
    <t>CH_3SB9BNGE +14352443532
FUND LAUNCH
LEHI
UT
+14352443532</t>
  </si>
  <si>
    <t>LISA HO GUINAN, D.M.MARINA DEL RE       CA</t>
  </si>
  <si>
    <t>21105175269 DENTIST/ORTHODONTIST
LISA HO GUINAN, D.M.D
MARINA DEL RE
CA
DENTIST/ORTHODONTIST</t>
  </si>
  <si>
    <t>PACOS TACOS 0755    LOS ANGELES         CA</t>
  </si>
  <si>
    <t>30610075    310-850-1336
PACOS TACOS 0755
LOS ANGELES
CA
Description : FOOD/BEVERAGE Price : 0.00
310-850-1336</t>
  </si>
  <si>
    <t>PAYPAL *WALKER EDIS 8014333008          UT</t>
  </si>
  <si>
    <t>10191264677 8014333008
PAYPAL *WALKER EDIS WALKER EDIS
8014333008
UT
"Description : FURNITURE, HOME FUR Price : 0.00"
8014333008</t>
  </si>
  <si>
    <t>PRIME VIDEO CHANNELSAMZN.COM/BILL       WA</t>
  </si>
  <si>
    <t>6VZQWNWKOPV DIGITAL
PRIME VIDEO CHANNELS
AMZN.COM/BILL
WA
DIGITAL</t>
  </si>
  <si>
    <t>09/24/2025</t>
  </si>
  <si>
    <t>85544025268 310-927-6589
THE MV GRAB AND GO
LOS ANGELES
CA
310-927-6589</t>
  </si>
  <si>
    <t>09/23/2025</t>
  </si>
  <si>
    <t>DNH*GODADDY#39016385Tempe               AZ</t>
  </si>
  <si>
    <t>3901638562 4805058855
Microsoft 365 Secure Business Profession
Business Enterprise - Renewal - 1 month
Email - Archiving - Renewal
Microsoft 365 Email Backup - Renewal
DNH*GODADDY#3901638562
Tempe
AZ
Microsoft 365 Secure Business Profession
Business Enterprise - Renewal - 1 month
Email - Archiving - Renewal
Microsoft 365 Email Backup - Renewal
4805058855</t>
  </si>
  <si>
    <t>11657775814 UNION 76
UNION 76 10194728
LOS ANGELES
CA
UNION 76</t>
  </si>
  <si>
    <t>09/22/2025</t>
  </si>
  <si>
    <t>CH_3SAKB7A8 +15125374087
RESTORE.COM
AUSTIN
TX
+15125374087</t>
  </si>
  <si>
    <t>CH_3SAK9YA8 +15125374087
RESTORE.COM
AUSTIN
TX
+15125374087</t>
  </si>
  <si>
    <t>21105175266 RESTAURANT
TST* BLUEYS KITCHEN MAR V 00098618
LOS ANGELES
CA
RESTAURANT</t>
  </si>
  <si>
    <t>09/20/2025</t>
  </si>
  <si>
    <t>ATLANTIC CIGARS     WEST NORRITON       PA</t>
  </si>
  <si>
    <t>860286      HTTP://WWW.ATLANTICCI
HTTP://WWW.ATLANTICCIGAR.
ATLANTIC CIGARS
WEST NORRITON
PA
Description : N/A Price : 0.00
HTTP://WWW.ATLANTICCIGAR.</t>
  </si>
  <si>
    <t>34191667    EMAIL MARKET
CAMPAIGNER SVC
888-845-4544
CA
EMAIL MARKET</t>
  </si>
  <si>
    <t>DNH*GODADDY#38977995Tempe               AZ</t>
  </si>
  <si>
    <t>3897799582 4805058855
Microsoft 365 Email Essentials - Renewal
Email - Archiving - Renewal
Microsoft 365 Email Backup - Renewal
DNH*GODADDY#3897799582
Tempe
AZ
Microsoft 365 Email Essentials - Renewal
Email - Archiving - Renewal
Microsoft 365 Email Backup - Renewal
4805058855</t>
  </si>
  <si>
    <t>LIVING SPACES MID CILOS ANGELES         CA</t>
  </si>
  <si>
    <t>SO-01514880 877-266-7300
LIVING SPACES MID CITY LIVING SPACES M
LOS ANGELES
CA
877-266-7300</t>
  </si>
  <si>
    <t>21105175264 RESTAURANT
TST* BLUEYS KITCHEN MAR V 00098618
LOS ANGELES
CA
RESTAURANT</t>
  </si>
  <si>
    <t>09/19/2025</t>
  </si>
  <si>
    <t>PRIME VIDEO *WC12G67888-802-3080        WA</t>
  </si>
  <si>
    <t>35PAPE695JQ DIGITAL
PRIME VIDEO *WC12G67Q3
888-802-3080
WA
DIGITAL</t>
  </si>
  <si>
    <t>21105175263 RESTAURANT
TST* BLUEYS KITCHEN MAR V 00098618
LOS ANGELES
CA
RESTAURANT</t>
  </si>
  <si>
    <t>09/18/2025</t>
  </si>
  <si>
    <t>1akQz2uZIfI squareup.com/receipts
ALANA'S COFFEE ROASTERS
Los Angeles
CA
squareup.com/receipts</t>
  </si>
  <si>
    <t>DNH*GODADDY#38957741Tempe               AZ</t>
  </si>
  <si>
    <t>3895774116 4805058855
Microsoft 365 Secure Business Profession
DNH*GODADDY#3895774116
Tempe
AZ
Microsoft 365 Secure Business Profession
4805058855</t>
  </si>
  <si>
    <t>21105175262 RESTAURANT
TST* BLUEYS KITCHEN MAR V 00098618
LOS ANGELES
CA
RESTAURANT</t>
  </si>
  <si>
    <t>09/17/2025</t>
  </si>
  <si>
    <t>31099535261 RESTAURANT
CASABLANCA 00-08016445473
VENICE
CA
RESTAURANT</t>
  </si>
  <si>
    <t>99999995260 4242318000
TST* CAFE GRATITUDE - VEN 300545147
VENICE
CA
Description : RESTAURANTS Price : 1.1057
4242318000</t>
  </si>
  <si>
    <t>WLA SPEEDWASH       LOS ANGELES         CA</t>
  </si>
  <si>
    <t>90073767    818-805-1059
WLA SPEEDWASH
LOS ANGELES
CA
Description : BUSINESS SERVICES Price : 0.00
818-805-1059</t>
  </si>
  <si>
    <t>09/16/2025</t>
  </si>
  <si>
    <t>21105175260 ESTABLISHES
800.COM, LLC
800-800-4321
FL
ESTABLISHES</t>
  </si>
  <si>
    <t>CH_3S88P8DL +18884827768
LEV INC
NEW YORK
NY
+18884827768</t>
  </si>
  <si>
    <t>CH_2S83P004 +14154506060
SOCIALPILOT
LEWES
DE
+14154506060</t>
  </si>
  <si>
    <t>09/13/2025</t>
  </si>
  <si>
    <t>DNH*GODADDY#38895690Tempe               AZ</t>
  </si>
  <si>
    <t>3889569036 4805058855
Microsoft 365 Online Business Essentials
Email - Archiving - Renewal
DNH*GODADDY#3889569036
Tempe
AZ
Microsoft 365 Online Business Essentials
Email - Archiving - Renewal
4805058855</t>
  </si>
  <si>
    <t>09/12/2025</t>
  </si>
  <si>
    <t>PAYPAL *PADDLE.NET  4029357733          GB</t>
  </si>
  <si>
    <t>10190146442 4029357733
PAYPAL *PADDLE.NET
4029357733
GB
Description : OEM SOFTWARE Price : 0.00
4029357733</t>
  </si>
  <si>
    <t>P3A7AE831F  CABLE &amp; PAY TV
SPOTIFY USA
NEW YORK
NY
CABLE &amp; PAY TV</t>
  </si>
  <si>
    <t>THE UPS STORE 4398  LOS ANGELES         CA</t>
  </si>
  <si>
    <t>V4398-2925091220390066
GROUND RESIDENTIAL
08X08X08 BOX
08X08X08 BASIC PACK MATERIALS
08X08X08 BASIC PACK SERVICE
THE UPS STORE 4398
LOS ANGELES
CA
GROUND RESIDENTIAL
08X08X08 BOX
08X08X08 BASIC PACK MATERIALS
08X08X08 BASIC PACK SERVICE
V4398-2925091220390066</t>
  </si>
  <si>
    <t>21105175256 RESTAURANT
TST* BLUEYS KITCHEN MAR V 00098618
LOS ANGELES
CA
RESTAURANT</t>
  </si>
  <si>
    <t>09/11/2025</t>
  </si>
  <si>
    <t>n5vKSi53nGM squareup.com/receipts
ALANA'S COFFEE ROASTERS
Los Angeles
CA
squareup.com/receipts</t>
  </si>
  <si>
    <t>DNH*GODADDY#38876545Tempe               AZ</t>
  </si>
  <si>
    <t>3887654542 4805058855
Email Essentials  - Renewal - monthly
Email - Archiving - Renewal
DNH*GODADDY#3887654542
Tempe
AZ
Email Essentials  - Renewal - monthly
Email - Archiving - Renewal
4805058855</t>
  </si>
  <si>
    <t>521136     100003807430489  90012
LADOT METER PARKING
LOS ANGELES
CA
100003807430489  90012</t>
  </si>
  <si>
    <t>21105175255 RESTAURANT
TST* MY LAI 00041823
LOS ANGELES
CA
RESTAURANT</t>
  </si>
  <si>
    <t>09/10/2025</t>
  </si>
  <si>
    <t>JeV8uJWUKQa squareup.com/receipts
ALANA'S COFFEE ROASTERS
Los Angeles
CA
squareup.com/receipts</t>
  </si>
  <si>
    <t>DNH*GODADDY#38864949Tempe               AZ</t>
  </si>
  <si>
    <t>3886494902 4805058855
Business Professional  - Renewal - month
Email - Archiving - Renewal
DNH*GODADDY#3886494902
Tempe
AZ
Business Professional  - Renewal - month
Email - Archiving - Renewal
4805058855</t>
  </si>
  <si>
    <t>21105175254 RESTAURANT
TST* BLUEYS KITCHEN MAR V 00098618
LOS ANGELES
CA
RESTAURANT</t>
  </si>
  <si>
    <t>VENICE LIQUOR 650000LOS ANGELES         CA</t>
  </si>
  <si>
    <t>10156320250 3103914148
VENICE LIQUOR 650000012414564
LOS ANGELES
CA
Description : PACKAGE STORE-BEER/ Price : 0.0738
3103914148</t>
  </si>
  <si>
    <t>P-05230740  MEMBERSHIP
VIMEO PRO
212-625-0668
NY
MEMBERSHIP</t>
  </si>
  <si>
    <t>09/09/2025</t>
  </si>
  <si>
    <t>DNH*GODADDY#38849106Tempe               AZ</t>
  </si>
  <si>
    <t>3884910664 4805058855
Conversations Deluxe - 1 Month - Renewal
DNH*GODADDY#3884910664
Tempe
AZ
Conversations Deluxe - 1 Month - Renewal
4805058855</t>
  </si>
  <si>
    <t>SP BILLY REID - LEAPCHICAGO             IL</t>
  </si>
  <si>
    <t>CH_3S5CFXQS +18339462075
SP BILLY REID - LEAP
CHICAGO
IL
+18339462075</t>
  </si>
  <si>
    <t>V4398-2925090921090066
2DA
SIZE #4- 9.5X14.5 BUBBLE MAILER
COMPUTER USE PER HOUR
THE UPS STORE 4398
LOS ANGELES
CA
2DA
SIZE #4- 9.5X14.5 BUBBLE MAILER
COMPUTER USE PER HOUR
V4398-2925090921090066</t>
  </si>
  <si>
    <t>TST* SALT &amp; STRAW - VENICE              CA</t>
  </si>
  <si>
    <t>99999995253 3103108429
TST* SALT &amp; STRAW - 1357 300672438
VENICE
CA
Description : RESTAURANTS Price : 0.1848
3103108429</t>
  </si>
  <si>
    <t>######ExkVz MISC/SPECIALTY RETAIL
VITO RESTAURANT
SANTA MONICA
CA
MISC/SPECIALTY RETAIL</t>
  </si>
  <si>
    <t>09/08/2025</t>
  </si>
  <si>
    <t>ALAMO RENT A CAR RIOHEREDIA             HE</t>
  </si>
  <si>
    <t>THRIFTY CAR RENTAL
ALAMO RENT A CAR RIO SEGUNDO
HEREDIA
HE
Foreign Spend Amount: 35806.77 COSTA RICAN COLON Commission Amount:  Currency Exchange Rate: null</t>
  </si>
  <si>
    <t>DNH*GODADDY#38840669Tempe               AZ</t>
  </si>
  <si>
    <t>3884066914 4805058855
COM Domain Name Renewal - 1 Year recur
Microsoft 365 Business Professional- Ren
Email - Archiving - Renewal
DNH*GODADDY#3884066914
Tempe
AZ
COM Domain Name Renewal - 1 Year recur
Microsoft 365 Business Professional- Ren
Email - Archiving - Renewal
4805058855</t>
  </si>
  <si>
    <t>13271131    6509684018
EGNYTE INC 000000001
MOUNTAIN VIEW
CA
Description : REFER TO RECEIPT Price : 0.00
6509684018</t>
  </si>
  <si>
    <t>GRANDVIEW CLEANERS 5LOS ANGELES         CA</t>
  </si>
  <si>
    <t>73011545251 APPLE619@AOL.COM
GRANDVIEW CLEANERS 545500001455021
LOS ANGELES
CA
APPLE619@AOL.COM</t>
  </si>
  <si>
    <t>CH_3S5ERPC6 +14158799686
OPENAI *CHATGPT SUBSCR
SAN FRANCISCO
CA
+14158799686</t>
  </si>
  <si>
    <t>85544025252 310-927-6589
THE MV GRAB AND GO
LOS ANGELES
CA
310-927-6589</t>
  </si>
  <si>
    <t>09/07/2025</t>
  </si>
  <si>
    <t>DNH*GODADDY#38269263Tempe               AZ</t>
  </si>
  <si>
    <t>3826926345 4805058855
Discount Domain Club Domain Pro
DNH*GODADDY#3826926345
Tempe
AZ
Discount Domain Club Domain Pro
4805058855</t>
  </si>
  <si>
    <t>DNH*GODADDY#38824020Tempe               AZ</t>
  </si>
  <si>
    <t>3882402047 4805058855
Microsoft 365 Email Plus- Renewal - mont
DNH*GODADDY#3882402047
Tempe
AZ
Microsoft 365 Email Plus- Renewal - mont
4805058855</t>
  </si>
  <si>
    <t>73011545251 CARLOS@LACABANAVENICE
CARLOS@LACABANAVENICE.COM
LA CABANA - VENICE 545500001823608
877-8144102
CA
CARLOS@LACABANAVENICE.COM</t>
  </si>
  <si>
    <t>LS YOGA-URT         GLENDALE            CA</t>
  </si>
  <si>
    <t>CH_3S4VQOFF +18185453880
LS YOGA-URT
GLENDALE
CA
+18185453880</t>
  </si>
  <si>
    <t>READ - MEETING MANAGSEATTLE             WA</t>
  </si>
  <si>
    <t>CH_3S4P6MKE +12066576177
READ - MEETING MANAGER
SEATTLE
WA
+12066576177</t>
  </si>
  <si>
    <t>TST* CHECKER HALL 30LOS ANGELES         CA</t>
  </si>
  <si>
    <t>99999995250 3235097416
TST* CHECKER HALL 300588270
LOS ANGELES
CA
Description : BARS Price : 0.1234
3235097416</t>
  </si>
  <si>
    <t>09/06/2025</t>
  </si>
  <si>
    <t>ALASKA AIRLINES     SEATTLE             WA</t>
  </si>
  <si>
    <t>0           ALASKA AIR
PASSENGER TICKET
ALASKA AIRLINES
SEATTLE
WA
Carrier : ALASKA AIRLINES
Passenger Name : DUNNING/JOHN
Ticket Number : 0274424462479
Departure Day : 09/06
Additional Info : PASSENGER TICKET
From : SAN JOSE JUAN SANT
To : LOS ANGELES INTERN</t>
  </si>
  <si>
    <t>0           ALASKA AIR
PASSENGER TICKET
ALASKA AIRLINES
SEATTLE
WA
Carrier : ALASKA AIRLINES
Passenger Name : DUNNING/JOHN
Ticket Number : 0274424462480
Departure Day : 09/06
Additional Info : PASSENGER TICKET
From : SAN JOSE JUAN SANT
To : LOS ANGELES INTERN</t>
  </si>
  <si>
    <t>AMAZON PRIME*CA6506BAMZN.COM/BILL       WA</t>
  </si>
  <si>
    <t>7K2WPD4WKCQ DIGITAL
AMAZON PRIME*CA6506B03
AMZN.COM/BILL
WA
DIGITAL</t>
  </si>
  <si>
    <t>39YMA5XFHXW SUBSCRIPTION
Amazon Prime
Amazon.com
WA
SUBSCRIPTION</t>
  </si>
  <si>
    <t>CH_3S4H65BS +16502003351
BRAVE.COM
SAN FRANCISCO
CA
+16502003351</t>
  </si>
  <si>
    <t>CH_3S4I0TJL +18882730423
CREXI
LOS ANGELES
CA
+18882730423</t>
  </si>
  <si>
    <t>STARBUCKS KIOSKO AERALAJUELA            AL</t>
  </si>
  <si>
    <t>FAST FOOD RESTAURANT
STARBUCKS KIOSKO AEROPUERTO
ALAJUELA
AL
FAST FOOD RESTAURANT</t>
  </si>
  <si>
    <t>09/05/2025</t>
  </si>
  <si>
    <t>9           ALASKA AIR
PASSENGER TICKET
ALASKA AIRLINES
SEATTLE
WA
Carrier : ALASKA AIRLINES
Passenger Name : DUNNING/JOHN
Ticket Number : 0274424428910
Departure Day : 09/06
Additional Info : PASSENGER TICKET
From : SAN JOSE JUAN SANT
To : LOS ANGELES INTERN</t>
  </si>
  <si>
    <t>DNH*GODADDY#38803084Tempe               AZ</t>
  </si>
  <si>
    <t>3880308441 4805058855
CO Domain Name Renewal - 1 Year recurr
Full Domain Protection - Renewal
COM Domain Name Renewal - 1 Year recur
DNH*GODADDY#3880308441
Tempe
AZ
CO Domain Name Renewal - 1 Year recurr
Full Domain Protection - Renewal
COM Domain Name Renewal - 1 Year recur
4805058855</t>
  </si>
  <si>
    <t>ESTACION EUSSE TARCOPUNTARENAS</t>
  </si>
  <si>
    <t>GAS STATION
ESTACION EUSSE TARCOLES  PUNTARENAS
PUNTARENAS
GAS STATIONForeign Spend Amount: 34198.00 COSTA RICAN COLON Commission Amount:  Currency Exchange Rate: null</t>
  </si>
  <si>
    <t>HOLIDAY INN EXPRESS ALAJUELA            AL</t>
  </si>
  <si>
    <t xml:space="preserve">LODGING
HOLIDAY INN EXPRESS SAN JOSE
ALAJUELA
AL
</t>
  </si>
  <si>
    <t>MINI SUPER TROVA TARPUNTARENAS</t>
  </si>
  <si>
    <t>GROCERY STORE
MINI SUPER TROVA TARC    PUNTARENAS
PUNTARENAS
GROCERY STOREForeign Spend Amount: 650.00 COSTA RICAN COLON Commission Amount:  Currency Exchange Rate: null</t>
  </si>
  <si>
    <t>09/04/2025</t>
  </si>
  <si>
    <t>DNH*GODADDY#38791705Tempe               AZ</t>
  </si>
  <si>
    <t>3879170542 4805058855
Microsoft 365 Email Plus with Security -
DNH*GODADDY#3879170542
Tempe
AZ
Microsoft 365 Email Plus with Security -
4805058855</t>
  </si>
  <si>
    <t>INFIERNO WOOD FIRED PUNTARENAS          PU</t>
  </si>
  <si>
    <t>RESTAURANT
INFIERNO WOOD FIRED GRILL
PUNTARENAS
PU
RESTAURANTForeign Spend Amount: 51095.00 COSTA RICAN COLON Commission Amount:  Currency Exchange Rate: null</t>
  </si>
  <si>
    <t>Jaco Centro de ServiGarabito,Jaco</t>
  </si>
  <si>
    <t>GAS STATION
Jaco Centro de Servicio
Garabito,Jaco
GAS STATIONForeign Spend Amount: 28463.00 COSTA RICAN COLON Commission Amount:  Currency Exchange Rate: null</t>
  </si>
  <si>
    <t>KINDLE SVCS*C99GU6WM888-802-3080        WA</t>
  </si>
  <si>
    <t>5WPTD9B6I4Q DIGITAL
KINDLE SVCS*C99GU6WM3
888-802-3080
WA
DIGITAL</t>
  </si>
  <si>
    <t>09/03/2025</t>
  </si>
  <si>
    <t>CH_2S3N9Z3T +18004304095
CONTACTS+
HUNTINGTON BEACH
CA
+18004304095</t>
  </si>
  <si>
    <t>CRYSTAL DENTAL CARE PUNTARENAS          PU</t>
  </si>
  <si>
    <t>DENTIST/ORTHODONTIST
CRYSTAL DENTAL CARE
PUNTARENAS
PU
DENTIST/ORTHODONTIST</t>
  </si>
  <si>
    <t>LOCALS GRILL        PUNTARENAS          PU</t>
  </si>
  <si>
    <t>RESTAURANT
LOCALS GRILL
PUNTARENAS
PU
RESTAURANTForeign Spend Amount: 15750.01 COSTA RICAN COLON Commission Amount:  Currency Exchange Rate: null</t>
  </si>
  <si>
    <t>RESTAURANTE LOS ALMEPUNTARENAS          PU</t>
  </si>
  <si>
    <t>RESTAURANT
RESTAURANTE LOS ALMENDROS
PUNTARENAS
PU
RESTAURANTForeign Spend Amount: 48620.00 COSTA RICAN COLON Commission Amount:  Currency Exchange Rate: null</t>
  </si>
  <si>
    <t>CH_3S3VUACY +18884092298
SALESMESSAGE.COM
DELRAY BEACH
FL
+18884092298</t>
  </si>
  <si>
    <t>09/02/2025</t>
  </si>
  <si>
    <t>DNH*GODADDY#38767029Tempe               AZ</t>
  </si>
  <si>
    <t>3876702923 4805058855
Microsoft 365 Email Essentials - Renewal
Email - Archiving - Renewal
DNH*GODADDY#3876702923
Tempe
AZ
Microsoft 365 Email Essentials - Renewal
Email - Archiving - Renewal
4805058855</t>
  </si>
  <si>
    <t>DNH*GODADDY#38768106Tempe               AZ</t>
  </si>
  <si>
    <t>3876810678 4805058855
Professional Email - Individual - 1 mont
DNH*GODADDY#3876810678
Tempe
AZ
Professional Email - Individual - 1 mont
4805058855</t>
  </si>
  <si>
    <t>GASOLINERA PARRITA  PUNTARENAS          PU</t>
  </si>
  <si>
    <t>GAS STATION
GASOLINERA PARRITA
PUNTARENAS
PU
GAS STATIONForeign Spend Amount: 52219.00 COSTA RICAN COLON Commission Amount:  Currency Exchange Rate: null</t>
  </si>
  <si>
    <t>MANGO SURF SHOP JACOPUNTARENAS          PU</t>
  </si>
  <si>
    <t>DEPARTMENT STORE
MANGO SURF SHOP JACO
PUNTARENAS
PU
DEPARTMENT STOREForeign Spend Amount: 70500.00 COSTA RICAN COLON Commission Amount:  Currency Exchange Rate: null</t>
  </si>
  <si>
    <t>ZARPE O QUE PARRITA PUNTARENAS          PU</t>
  </si>
  <si>
    <t>LIQUOR STORE
ZARPE O QUE PARRITA
PUNTARENAS
PU
LIQUOR STOREForeign Spend Amount: 900.00 COSTA RICAN COLON Commission Amount:  Currency Exchange Rate: null</t>
  </si>
  <si>
    <t>LIQUOR STORE
ZARPE O QUE PARRITA
PUNTARENAS
PU
LIQUOR STOREForeign Spend Amount: 1000.00 COSTA RICAN COLON Commission Amount:  Currency Exchange Rate: null</t>
  </si>
  <si>
    <t>09/01/2025</t>
  </si>
  <si>
    <t>71094475244 310-836-8000
ABC*ICONFIT
LOS ANGELES
CA
310-836-8000</t>
  </si>
  <si>
    <t>DELTA JACO          PUNTARENAS          PU</t>
  </si>
  <si>
    <t>GAS STATION
DELTA JACO
PUNTARENAS
PU
GAS STATIONForeign Spend Amount: 25652.00 COSTA RICAN COLON Commission Amount:  Currency Exchange Rate: null</t>
  </si>
  <si>
    <t>DNH*GODADDY#38756335Tempe               AZ</t>
  </si>
  <si>
    <t>3875633574 4805058855
Business Professional  - Renewal - month
Email - Archiving - Renewal
Microsoft 365 Email Backup - Renewal
DNH*GODADDY#3875633574
Tempe
AZ
Business Professional  - Renewal - month
Email - Archiving - Renewal
Microsoft 365 Email Backup - Renewal
4805058855</t>
  </si>
  <si>
    <t>CH_3S2Y6YD0 +16780000000
LOOM SUBSCRIPTION
AUSTIN
TX
+16780000000</t>
  </si>
  <si>
    <t>TSUNAMI SUSHI JACO  PUNTARENAS          PU</t>
  </si>
  <si>
    <t>RESTAURANT
TSUNAMI SUSHI JACO
PUNTARENAS
PU
RESTAURANTForeign Spend Amount: 57018.85 COSTA RICAN COLON Commission Amount:  Currency Exchange Rate: null</t>
  </si>
  <si>
    <t>08/31/2025</t>
  </si>
  <si>
    <t>4           ALASKA AIR
PASSENGER TICKET
ALASKA AIRLINES
SEATTLE
WA
Carrier : ALASKA AIRLINES
Passenger Name : DUNNING/JOHN
Ticket Number : 0272116020077
Departure Day : 09/06
Additional Info : PASSENGER TICKET
From : SAN JOSE JUAN SANT
To : LOS ANGELES INTERN
Class : X</t>
  </si>
  <si>
    <t>FARMACIA LA ECONOMICPUNTARENAS          PU</t>
  </si>
  <si>
    <t>DRUG STORE/PHARMACY
FARMACIA LA ECONOMICA
PUNTARENAS
PU
DRUG STORE/PHARMACYForeign Spend Amount: 13487.69 COSTA RICAN COLON Commission Amount:  Currency Exchange Rate: null</t>
  </si>
  <si>
    <t>CH_3S2LATB7 +13854834872
SPONSORCLOUD (SYNPRO)
SALT LAKE CITY
UT
+13854834872</t>
  </si>
  <si>
    <t>08/30/2025</t>
  </si>
  <si>
    <t>THRIFTY CAR RENTAL
ALAMO RENT A CAR RIO SEGUNDO
HEREDIA
HE
Foreign Spend Amount: 359964.06 COSTA RICAN COLON Commission Amount:  Currency Exchange Rate: null</t>
  </si>
  <si>
    <t>COPA AIRLINES COPA APANAMA              PA</t>
  </si>
  <si>
    <t>A0IRNG:1374 COPA AIR
PASSENGER TICKET
COPA AIRLINES COPA AIRLINES
PANAMA
PA
Carrier : COPAAIRLINES
Passenger Name : JOHNBARKER DUNNING
Ticket Number : 2300051812638
Departure Day : 08/30
Additional Info : PASSENGER TICKET
From : LOS ANGELES INTERN
To : PANAMA CITY TOCUME
Class : X</t>
  </si>
  <si>
    <t>EXPEDIA 732251210120EXPEDIA.COM         WA</t>
  </si>
  <si>
    <t>Z00O0W82M   TRAVEL
EXPEDIA 73225121012032
EXPEDIA.COM
WA
TRAVEL</t>
  </si>
  <si>
    <t>TST* THE BUTCHER'S DVENICE              CA</t>
  </si>
  <si>
    <t>99999995242 3109813004
TST* THE BUTCHER'S DAUGHT 300523174
VENICE
CA
Description : RESTAURANTS Price : 2.0284
3109813004</t>
  </si>
  <si>
    <t>Umami Burger TBIT LALos Angeles         CA</t>
  </si>
  <si>
    <t>6342       6342             90045
Umami Burger TBIT LAX
Los Angeles
CA
6342             90045</t>
  </si>
  <si>
    <t>6334       6334             90045
Umami Burger TBIT LAX
Los Angeles
CA
6334             90045</t>
  </si>
  <si>
    <t>ZARPE O QUE GUACIMA ALAJUELA            AL</t>
  </si>
  <si>
    <t>LIQUOR STORE
ZARPE O QUE GUACIMA 2
ALAJUELA
AL
LIQUOR STOREForeign Spend Amount: 7250.00 COSTA RICAN COLON Commission Amount:  Currency Exchange Rate: null</t>
  </si>
  <si>
    <t>08/29/2025</t>
  </si>
  <si>
    <t>COPAARP</t>
  </si>
  <si>
    <t>090409      ddelaguardia@copaair.
AGENCY PASSENGER TICKET
COPA AIRLINES EXPEDIA.COM TRA
UNITED STATES OF AMER
Carrier : COPA AIRLINES
Passenger Name : DUNNING/JOHN BARKER
Ticket Number : 2307317335257
Departure Day : 08/30
Additional Info : AGENCY PASSENGER TICKET
From : LOS ANGELES INTERN
To : PANAMA CITY TOCUME
Class : T
From : PANAMA CITY TOCUME
To : SAN JOSE JUAN SANT
Class : T</t>
  </si>
  <si>
    <t>COPA AIRLINES EXPEDIUNITED STATES OF AME</t>
  </si>
  <si>
    <t>COPA WEB CHECK IN   PANAMÁ              PA</t>
  </si>
  <si>
    <t>AIRLINE/AIR CARRIER
PASSENGER TICKET
COPA WEB CHECK IN         (AX)
PANAMÁ
PA
Carrier : COPA WEB CHECK IN
Ticket Number : UNAVAILABLE
Departure Day : 08/29
Additional Info : PASSENGER TICKET</t>
  </si>
  <si>
    <t>EXPEDIA 732247548380EXPEDIA.COM         WA</t>
  </si>
  <si>
    <t>V9L1A2R0A   TRAVEL
EXPEDIA 73224754838081
EXPEDIA.COM
WA
TRAVEL</t>
  </si>
  <si>
    <t>MOON JUICE          Venice              CA</t>
  </si>
  <si>
    <t>lQbKElxWWr6 squareup.com/receipts
MOON JUICE
Venice
CA
squareup.com/receipts</t>
  </si>
  <si>
    <t>CH_3S1YGIC6 +14158799686
OPENAI *CHATGPT SUBSCR
SAN FRANCISCO
CA
+14158799686</t>
  </si>
  <si>
    <t>CH_3S1ZGSQS +18339462075
SP BILLY REID - LEAP
CHICAGO
IL
+18339462075</t>
  </si>
  <si>
    <t>99999995241 4242318000
TST* CAFE GRATITUDE - VEN 300545147
VENICE
CA
Description : RESTAURANTS Price : 1.4336
4242318000</t>
  </si>
  <si>
    <t>08/28/2025</t>
  </si>
  <si>
    <t>08/27/2025</t>
  </si>
  <si>
    <t>CH_3S0KT4CF 3235775423
SPLICE.COM
NEW YORK
NY
3235775423</t>
  </si>
  <si>
    <t>08/26/2025</t>
  </si>
  <si>
    <t>######EXiOk MISC/SPECIALTY RETAIL
VITO RESTAURANT
SANTA MONICA
CA
MISC/SPECIALTY RETAIL</t>
  </si>
  <si>
    <t>08/25/2025</t>
  </si>
  <si>
    <t>6S7T4VYHE81 MERCHANDISE
AMAZON.COM
AMZN.COM/BILL
WA
MERCHANDISE</t>
  </si>
  <si>
    <t>CH_3S02IOGE +14352443532
FUND LAUNCH
LEHI
UT
+14352443532</t>
  </si>
  <si>
    <t>108C3ZM72S4 DIGITAL
PRIME VIDEO CHANNELS
AMZN.COM/BILL
WA
DIGITAL</t>
  </si>
  <si>
    <t>85544025238 310-927-6589
THE MV GRAB AND GO
LOS ANGELES
CA
310-927-6589</t>
  </si>
  <si>
    <t>TST* BRENNAN'S 30066MARINA DEL RE       CA</t>
  </si>
  <si>
    <t>99999995237 4244435119
TST* BRENNAN'S 300661258
MARINA DEL RE
CA
Description : BARS Price : 0.1977
4244435119</t>
  </si>
  <si>
    <t>08/24/2025</t>
  </si>
  <si>
    <t>TST* THE LOCAL YOLK MANHATTAN BEACH     CA</t>
  </si>
  <si>
    <t>21105175237 RESTAURANT
TST* THE LOCAL YOLK 00048650
MANHATTAN BEACH
CA
RESTAURANT</t>
  </si>
  <si>
    <t>08/23/2025</t>
  </si>
  <si>
    <t>30640160    310-850-1336
PACOS TACOS 0755
LOS ANGELES
CA
Description : FOOD/BEVERAGE Price : 0.00
310-850-1336</t>
  </si>
  <si>
    <t>PAYA THAI LA LLC. BLLOS ANGELES         CA</t>
  </si>
  <si>
    <t>1W6a0LqirMv squareup.com/receipts
PAYA THAI LA LLC. BLUE LOTUS MASSAGE.
LOS ANGELES
CA
squareup.com/receipts</t>
  </si>
  <si>
    <t>21105175236 RESTAURANT
TST* BLUEYS KITCHEN MAR V 00098618
LOS ANGELES
CA
RESTAURANT</t>
  </si>
  <si>
    <t>08/22/2025</t>
  </si>
  <si>
    <t>6129 MOLLER RETAIL 6CULVER CITY         CA</t>
  </si>
  <si>
    <t>10156320250 5755423315
6129 MOLLER RETAIL 650000012216944
CULVER CITY
CA
"Description : FUEL DISPENSER, AUT Price : 0.5868"
5755423315</t>
  </si>
  <si>
    <t>L3jRsLDnmdj squareup.com/receipts
PAYA THAI LA LLC. BLUE LOTUS MASSAGE.
LOS ANGELES
CA
squareup.com/receipts</t>
  </si>
  <si>
    <t>08/21/2025</t>
  </si>
  <si>
    <t>20250820    AMERICAN AIR
PREFERRED SEAT UPGRADE
AMERICAN AIRLINES
800-433-7300
TX
Carrier : American Airlines
Passenger Name : DUNNING/JOHN BARKER
Ticket Number : 0010633388310
Departure Day : 08/21
Additional Info : PREFERRED SEAT UPGRADE
From : DALLAS/FORT WORTH
To : LOS ANGELES INTERN
Class : L</t>
  </si>
  <si>
    <t>20250821    AMERICAN AIR
EXCESS BAGGAGE
American Airlines
FORT WORTH
TX
Carrier : American Airlines Inc
Passenger Name : DUNNING/JOHN BARKER
Ticket Number : 0010275428054
Departure Day : 08/21
Additional Info : EXCESS BAGGAGE
From : DALLAS/FORT WORTH
To : LOS ANGELES INTERN
Class : L</t>
  </si>
  <si>
    <t>DNH*GODADDY#38617066Tempe               AZ</t>
  </si>
  <si>
    <t>3861706616 4805058855
COM Domain Name Renewal - 1 Year recur
Full Domain Protection - Renewal
DNH*GODADDY#3861706616
Tempe
AZ
COM Domain Name Renewal - 1 Year recur
Full Domain Protection - Renewal
4805058855</t>
  </si>
  <si>
    <t>999999952344698651300
PAR*SMOOTHIE KING SK2288 000007858
DALLAS
TX
4698651300</t>
  </si>
  <si>
    <t>TARGET              WEATHERFORD         TX</t>
  </si>
  <si>
    <t>001579190   612-3044357
TARGET
WEATHERFORD
TX
Description : SEE INVOICE Price : 0.2041
612-3044357</t>
  </si>
  <si>
    <t>08/20/2025</t>
  </si>
  <si>
    <t>34188632    EMAIL MARKET
CAMPAIGNER SVC
888-845-4544
CA
EMAIL MARKET</t>
  </si>
  <si>
    <t>CFW PARKING METER   FORT WORTH          TX</t>
  </si>
  <si>
    <t>528657     20100031506002169761022
CFW PARKING METER
FORT WORTH
TX
20100031506002169761022</t>
  </si>
  <si>
    <t>014392      303-595-4000
CHIPOTLE 2250 2250
WEATHERFORD
TX
Description : FAST FOOD RESTAURAN Price : 0.00
303-595-4000</t>
  </si>
  <si>
    <t>SILVER LEAF CIGAR LOFORT WORTH          TX</t>
  </si>
  <si>
    <t>99999995233 6027250097
SILVER LEAF CIGAR LOUN 000000001
FORT WORTH
TX
6027250097</t>
  </si>
  <si>
    <t>08/19/2025</t>
  </si>
  <si>
    <t>20250819    AMERICAN AIR
PASSENGER TICKET
AMERICAN AIRLINES
800-433-7300
TX
Carrier : American Airlines
Passenger Name : DUNNING/JOHN BARKER
Ticket Number : 0012267709408
Departure Day : 08/21
Additional Info : PASSENGER TICKET
From : DALLAS/FORT WORTH
To : LOS ANGELES INTERN
Class : L</t>
  </si>
  <si>
    <t>08/18/2025</t>
  </si>
  <si>
    <t>JABOY PRODUCTIONS LLDallas              TX</t>
  </si>
  <si>
    <t>582forlO5bf squareup.com/receipts
JABOY PRODUCTIONS LLC
Dallas
TX
squareup.com/receipts</t>
  </si>
  <si>
    <t>08/17/2025</t>
  </si>
  <si>
    <t>r7HoVTdDXV9 squareup.com/receipts
BOULEVARD OF GREENS
Fort Worth
TX
squareup.com/receipts</t>
  </si>
  <si>
    <t>rjZ3f8dkZQJ squareup.com/receipts
BOULEVARD OF GREENS
Fort Worth
TX
squareup.com/receipts</t>
  </si>
  <si>
    <t>HEALTHCARE PROSOFT NLAS VEGAS           NV</t>
  </si>
  <si>
    <t>73011005229 SHANE@HYDREIGHT.COM
HEALTHCARE PROSOFT NE PRO 580400000067
LAS VEGAS
NV
SHANE@HYDREIGHT.COM</t>
  </si>
  <si>
    <t>20181570307102747           01701
DISCOUNT STORES
HOMEGOODS #1084 000001084
WEATHERFORD
TX
DISCOUNT STORES
102747           01701</t>
  </si>
  <si>
    <t>99999995230 8002892273
WALGREENS
WEATHERFORD
TX
Description : PHARMACIES Price : 0.0619
8002892273</t>
  </si>
  <si>
    <t>61600002    817-550-6688
WEATHERFORD MASSAGE 0000
WEATHERFORD
TX
Description : MASSAGE PARLOR Price : 0.00
817-550-6688</t>
  </si>
  <si>
    <t>WORLD MARKET  #135 0FT. WORTH           TX</t>
  </si>
  <si>
    <t>00014211    817-737-8370
WORLD MARKET  #135 0000
FT. WORTH
TX
Description : HOME SUPPLIES Price : 0.00
817-737-8370</t>
  </si>
  <si>
    <t>08/16/2025</t>
  </si>
  <si>
    <t>CH_3RWTD7DL +18884827768
LEV INC
NEW YORK
NY
+18884827768</t>
  </si>
  <si>
    <t>CH_2RWOCZ04 +14154506060
SOCIALPILOT
LEWES
DE
+14154506060</t>
  </si>
  <si>
    <t>08/14/2025</t>
  </si>
  <si>
    <t>DNH*GODADDY#38528650Tempe               AZ</t>
  </si>
  <si>
    <t>3852865024 4805058855
Online Business Essentials  - monthly
Email - Archiving
DNH*GODADDY#3852865024
Tempe
AZ
Online Business Essentials  - monthly
Email - Archiving
4805058855</t>
  </si>
  <si>
    <t>MOVIETAVERN W 7TH STFORT WORTH          TX</t>
  </si>
  <si>
    <t>0003010035  800-274-0099
MOVIETAVERN W 7TH ST F&amp;B 0000
FORT WORTH
TX
Description : FOOD/BEVERAGE Price : 0.00
800-274-0099</t>
  </si>
  <si>
    <t>TST* SPIRAL DINER FOFORT WORTH          TX</t>
  </si>
  <si>
    <t>21105175227 RESTAURANT
TST* SPIRAL DINER FORT WO 00102030
FORT WORTH
TX
RESTAURANT</t>
  </si>
  <si>
    <t>08/13/2025</t>
  </si>
  <si>
    <t>ALAMO RENT-A-C030105MIAMI               FL</t>
  </si>
  <si>
    <t xml:space="preserve">R/A# 787608993   844-8910547
ALAMO RENT-A-C030105 06050030105
MIAMI
FL
</t>
  </si>
  <si>
    <t>20250813    AMERICAN AIR
EXCESS BAGGAGE
American Airlines
FORT WORTH
TX
Carrier : American Airlines Inc
Passenger Name : DUNNING/JOHN
Ticket Number : 0010275082146
Departure Day : 08/13
Additional Info : EXCESS BAGGAGE
From : MIAMI INTERNATIONA
To : DALLAS/FORT WORTH
Class : V</t>
  </si>
  <si>
    <t>808898      PARKING LOT &amp; GARAGE
DFW AIRPORT PARKING
DFW AIRPORT
TX
PARKING LOT &amp; GARAGE</t>
  </si>
  <si>
    <t>DNH*GODADDY#38528637480-505-8855        AZ</t>
  </si>
  <si>
    <t>3852863776 0000000000000003885281
BUSINESS SERVICES
DNH*GODADDY#3852863776 0000
480-505-8855
AZ
BUSINESS SERVICES
0000000000000003885281</t>
  </si>
  <si>
    <t>KWIK STOP 3135 0000 MIAMI               FL</t>
  </si>
  <si>
    <t>86300224    305-446-3473
KWIK STOP 3135 0000
MIAMI
FL
Description : GROCERIES/SUNDRIES Price : 0.00
305-446-3473</t>
  </si>
  <si>
    <t>MARATHON 171140 0000MIAMI               FL</t>
  </si>
  <si>
    <t>0149210     305-541-5574
MARATHON 171140 0000
MIAMI
FL
Description : GAS/SERVICES Price : 0.00
305-541-5574</t>
  </si>
  <si>
    <t>MAYFAIR HOUSE CRES  COCONUT GROVE       FL</t>
  </si>
  <si>
    <t xml:space="preserve">00596507    305-441-0000
LODGING
MAYFAIR HOUSE CRES
COCONUT GROVE
FL
</t>
  </si>
  <si>
    <t xml:space="preserve">00596506    305-441-0000
LODGING
MAYFAIR HOUSE CRES
COCONUT GROVE
FL
</t>
  </si>
  <si>
    <t xml:space="preserve">00596505    305-441-0000
LODGING
MAYFAIR HOUSE CRES
COCONUT GROVE
FL
</t>
  </si>
  <si>
    <t>10156320250 8175995335
ROSA'S CAFE
WEATHERFORD
TX
8175995335</t>
  </si>
  <si>
    <t>STARBUCKS D15       MIAMI               FL</t>
  </si>
  <si>
    <t>260784     260784           33122
STARBUCKS D15
MIAMI
FL
260784           33122</t>
  </si>
  <si>
    <t>SUNGLASS HUT        MIAMI               FL</t>
  </si>
  <si>
    <t>16501901    800-767-0990
SUNGLASS HUT
MIAMI
FL
Description : SPECIALTY RETAIL Price : 0.00
800-767-0990</t>
  </si>
  <si>
    <t>Sugar               Miami               FL</t>
  </si>
  <si>
    <t>24755283   24755283         33131
Sugar
Miami
FL
24755283         33131</t>
  </si>
  <si>
    <t>24842807   24842807         33131
Sugar
Miami
FL
24842807         33131</t>
  </si>
  <si>
    <t>TST* GBH BAYSHORE CLMIAMI               FL</t>
  </si>
  <si>
    <t>00083738027 RESTAURANT
TST* GBH BAYSHORE CLUB 00083738
MIAMI
FL
RESTAURANT</t>
  </si>
  <si>
    <t>99999995226 8002892273
WALGREENS
WEATHERFORD
TX
Description : PHARMACIES Price : 0.1799
8002892273</t>
  </si>
  <si>
    <t>08/12/2025</t>
  </si>
  <si>
    <t>20250812    AMERICAN AIR
EXCESS BAGGAGE
AMERICAN AIRLINES
800-433-7300
TX
Carrier : American Airlines
Passenger Name : MEGAN ORTEGO
Ticket Number : 0014468695943
Departure Day : 08/13
Additional Info : EXCESS BAGGAGE
From : MIAMI INTERNATIONA
To : DALLAS/FORT WORTH
Class : V</t>
  </si>
  <si>
    <t>20250812    AMERICAN AIR
PREFERRED SEAT UPGRADE
AMERICAN AIRLINES
800-433-7300
TX
Carrier : American Airlines
Passenger Name : DUNNING/JOHN
Ticket Number : 0010632875347
Departure Day : 08/13
Additional Info : PREFERRED SEAT UPGRADE
From : MIAMI INTERNATIONA
To : DALLAS/FORT WORTH
Class : V</t>
  </si>
  <si>
    <t>20250812    AMERICAN AIR
PREFERRED SEAT UPGRADE
AMERICAN AIRLINES
800-433-7300
TX
Carrier : American Airlines
Passenger Name : PAYTONJIAN/MICHAEL
Ticket Number : 0010632875348
Departure Day : 08/13
Additional Info : PREFERRED SEAT UPGRADE
From : MIAMI INTERNATIONA
To : DALLAS/FORT WORTH
Class : V</t>
  </si>
  <si>
    <t>20250812    AMERICAN AIR
PASSENGER TICKET
AMERICAN AIRLINES
800-433-7300
TX
Carrier : American Airlines
Passenger Name : PAYTONJIAN/MICHAEL
Ticket Number : 0012265855169
Departure Day : 08/13
Additional Info : PASSENGER TICKET
From : MIAMI INTERNATIONA
To : DALLAS/FORT WORTH
Class : V</t>
  </si>
  <si>
    <t>20250812    AMERICAN AIR
PASSENGER TICKET
AMERICAN AIRLINES
800-433-7300
TX
Carrier : American Airlines
Passenger Name : DUNNING/JOHN
Ticket Number : 0012265854398
Departure Day : 08/13
Additional Info : PASSENGER TICKET
From : MIAMI INTERNATIONA
To : DALLAS/FORT WORTH
Class : V</t>
  </si>
  <si>
    <t>SPOTIFY P397A56271 6NEW YORK            NY</t>
  </si>
  <si>
    <t>P397A56271  SUPPORT@SPOTIFY.COM
SPOTIFY P397A56271 685603
NEW YORK
NY
SUPPORT@SPOTIFY.COM</t>
  </si>
  <si>
    <t>TST* SIPSIP - MAYFAIMIAMI               FL</t>
  </si>
  <si>
    <t>21105175225 RESTAURANT
TST* SIPSIP - MAYFAIR HOU 00254215
MIAMI
FL
RESTAURANT</t>
  </si>
  <si>
    <t>08/11/2025</t>
  </si>
  <si>
    <t>BOUCHER BROTHERS MANMiami Beach         FL</t>
  </si>
  <si>
    <t>dyw99T0xsI4 squareup.com/receipts
BOUCHER BROTHERS MANAGEMENT INC
Miami Beach
FL
squareup.com/receipts</t>
  </si>
  <si>
    <t>DNH*GODADDY#38494948Tempe               AZ</t>
  </si>
  <si>
    <t>3849494867 4805058855
Email Essentials  - Renewal - monthly
Email - Archiving - Renewal
DNH*GODADDY#3849494867
Tempe
AZ
Email Essentials  - Renewal - monthly
Email - Archiving - Renewal
4805058855</t>
  </si>
  <si>
    <t>FedEx Office 0083   Plano               TX</t>
  </si>
  <si>
    <t>226117549342261175493414620175024
NF FS CLR DS Business Cards 100lb QC 100
NF FS CLR DS Executive 32lb E32 8.5x11
FedEx Office 0083
Plano
TX
NF FS CLR DS Business Cards 100lb QC 100
NF FS CLR DS Executive 32lb E32 8.5x11
2261175493414620175024</t>
  </si>
  <si>
    <t>LEVEL 6             COCONUT GROVE       FL</t>
  </si>
  <si>
    <t>85363835224786-369-0846
LEVEL 6
COCONUT GROVE
FL
786-369-0846</t>
  </si>
  <si>
    <t>LOEWS MIAMI BEACH FBMIAMI BEACH         FL</t>
  </si>
  <si>
    <t>999278075   888-320-6065
LOEWS MIAMI BEACH FB LOEWS MIAMI BEA
MIAMI BEACH
FL
888-320-6065</t>
  </si>
  <si>
    <t>TST* PURA VIDA COCONMIAMI               FL</t>
  </si>
  <si>
    <t>99999995223 3055354142
TST* PURA VIDA COCONUT GR 300685797
MIAMI
FL
Description : RESTAURANTS Price : 0.7887
3055354142</t>
  </si>
  <si>
    <t>08/10/2025</t>
  </si>
  <si>
    <t>AA WIFI SALES       FORT WORTH          TX</t>
  </si>
  <si>
    <t>AA001000AE2 COMPUTER NETWORK/INFO
WIFI
AA WIFI SALES
FORT WORTH
TX
Carrier : American Airlines
Passenger Name : John Dunning
Ticket Number : AA001000AE2XN
Departure Day : 12/31
Additional Info : WIFI</t>
  </si>
  <si>
    <t>20250809    AMERICAN AIR
EXCESS BAGGAGE
AMERICAN AIRLINES
800-433-7300
TX
Carrier : American Airlines
Passenger Name : MEGAN ORTEGO
Ticket Number : 0014468462254
Departure Day : 08/10
Additional Info : EXCESS BAGGAGE
From : DALLAS/FORT WORTH
To : MIAMI INTERNATIONA
Class : L</t>
  </si>
  <si>
    <t>20250810    AMERICAN AIR
EXCESS BAGGAGE
American Airlines
FORT WORTH
TX
Carrier : American Airlines Inc
Passenger Name : DUNNING/JOHN BARKER
Ticket Number : 0010274945071
Departure Day : 08/10
Additional Info : EXCESS BAGGAGE
From : LOS ANGELES INTERN
To : MIAMI INTERNATIONA
Class : N</t>
  </si>
  <si>
    <t>DNH*GODADDY#38489838Tempe               AZ</t>
  </si>
  <si>
    <t>3848983811 4805058855
Business Professional  - Renewal - month
Email - Archiving - Renewal
DNH*GODADDY#3848983811
Tempe
AZ
Business Professional  - Renewal - month
Email - Archiving - Renewal
4805058855</t>
  </si>
  <si>
    <t>LAX AIRP THE MARKET LOS ANGELES         CA</t>
  </si>
  <si>
    <t>078060866   305-267-8510
LAX AIRP THE MARKET LAX T4 LAX AIRP TH
LOS ANGELES
CA
305-267-8510</t>
  </si>
  <si>
    <t>002058824   305-267-8510
LAX AIRP THE MARKET LAX T4 LAX AIRP TH
LOS ANGELES
CA
305-267-8510</t>
  </si>
  <si>
    <t>941311051   305-267-8510
STARBUCKS 85549 STARBUCKS 85549
LOS ANGELES
CA
305-267-8510</t>
  </si>
  <si>
    <t>TST* BOMBAY DARBAR CCOCOUNT GROVE       FL</t>
  </si>
  <si>
    <t>21105175223 RESTAURANT
TST* BOMBAY DARBAR COCONU 00228919
COCOUNT GROVE
FL
RESTAURANT</t>
  </si>
  <si>
    <t>P-04869640  MEMBERSHIP
VIMEO PRO
212-625-0668
NY
MEMBERSHIP</t>
  </si>
  <si>
    <t>08/09/2025</t>
  </si>
  <si>
    <t>DNH*GODADDY#38476075Tempe               AZ</t>
  </si>
  <si>
    <t>3847607534 4805058855
Conversations Deluxe - 1 Month - Renewal
DNH*GODADDY#3847607534
Tempe
AZ
Conversations Deluxe - 1 Month - Renewal
4805058855</t>
  </si>
  <si>
    <t>08/08/2025</t>
  </si>
  <si>
    <t>10069777   8007467287
PHARMACIES
CVS PHARMACY
LOS ANGELES
CA
PHARMACIES
8007467287</t>
  </si>
  <si>
    <t>DICE.FM             NEW YORK            NY</t>
  </si>
  <si>
    <t>CH_3RU5EWAS +12125747999
DICE.FM
NEW YORK
NY
+12125747999</t>
  </si>
  <si>
    <t>DNH*GODADDY#38467500Tempe               AZ</t>
  </si>
  <si>
    <t>3846750030 4805058855
Microsoft 365 Business Professional- Ren
Email - Archiving - Renewal
Microsoft 365 Email Backup - Renewal
DNH*GODADDY#3846750030
Tempe
AZ
Microsoft 365 Business Professional- Ren
Email - Archiving - Renewal
Microsoft 365 Email Backup - Renewal
4805058855</t>
  </si>
  <si>
    <t>CH_3RU061C6 +14158799686
OPENAI *CHATGPT SUBSCR
SAN FRANCISCO
CA
+14158799686</t>
  </si>
  <si>
    <t>99999995220 4242318000
TST* CAFE GRATITUDE - VEN 300545147
VENICE
CA
Description : RESTAURANTS Price : 1.1683
4242318000</t>
  </si>
  <si>
    <t>TST* LITTLE FATTY 00LOS ANGELES         CA</t>
  </si>
  <si>
    <t>21105175221 RESTAURANT
TST* LITTLE FATTY 00029630
LOS ANGELES
CA
RESTAURANT</t>
  </si>
  <si>
    <t>08/07/2025</t>
  </si>
  <si>
    <t>DNH*GODADDY#38448348Tempe               AZ</t>
  </si>
  <si>
    <t>3844834878 4805058855
Microsoft 365 Email Plus- Renewal - mont
DNH*GODADDY#3844834878
Tempe
AZ
Microsoft 365 Email Plus- Renewal - mont
4805058855</t>
  </si>
  <si>
    <t>EXPEDIA 732005579674EXPEDIA.COM         WA</t>
  </si>
  <si>
    <t xml:space="preserve">MAYFAIR HOU TRAVEL
LODGING
EXPEDIA 73200557967460
EXPEDIA.COM
WA
</t>
  </si>
  <si>
    <t>INFUSE  DR. BULL    WEST HOLLYWOOD      CA</t>
  </si>
  <si>
    <t>CH_3RTERCJN +13104500600
INFUSE  DR. BULL
WEST HOLLYWOOD
CA
+13104500600</t>
  </si>
  <si>
    <t>081009      AIRLINE/AIR CARRIER
PASSENGER TICKET
PwP    AMERICAN EXPRESS TRAVEL
SEATTLE
WA
Carrier : AMERICAN AIRLINES
Passenger Name : DUNNING/JOHN BARKER
Ticket Number : 00172803227376
Departure Day : 08/10
Additional Info : PASSENGER TICKET
From : LOS ANGELES INTERN
To : MIAMI INTERNATIONA
Class : N</t>
  </si>
  <si>
    <t>081009      AIRLINE/AIR CARRIER
PASSENGER TICKET
PwP    AMERICAN EXPRESS TRAVEL
SEATTLE
WA
Carrier : AMERICAN AIRLINES
Passenger Name : PAYTONJIAN/MICHAEL
Ticket Number : 00172803333861
Departure Day : 08/10
Additional Info : PASSENGER TICKET
From : LOS ANGELES INTERN
To : MIAMI INTERNATIONA
Class : N</t>
  </si>
  <si>
    <t>CH_3RTALAKE +12066576177
READ - MEETING MANAGER
SEATTLE
WA
+12066576177</t>
  </si>
  <si>
    <t>VERSAILLES CUBAN FOOLos Angeles         CA</t>
  </si>
  <si>
    <t>t2ISncBA4ft squareup.com/receipts
VERSAILLES CUBAN FOOD
Los Angeles
CA
squareup.com/receipts</t>
  </si>
  <si>
    <t>08/06/2025</t>
  </si>
  <si>
    <t>AMAZON PRIME*949626YAMZN.COM/BILL       WA</t>
  </si>
  <si>
    <t>6JITRRPYCZ9 DIGITAL
AMAZON PRIME*949626YU3
AMZN.COM/BILL
WA
DIGITAL</t>
  </si>
  <si>
    <t>20250806    AMERICAN AIR
PREFERRED SEAT UPGRADE
AMERICAN AIRLINES
800-433-7300
TX
Carrier : American Airlines
Passenger Name : ORTEGO/MEGAN
Ticket Number : 0010632541292
Departure Day : 08/10
Additional Info : PREFERRED SEAT UPGRADE
From : DALLAS/FORT WORTH
To : MIAMI INTERNATIONA
Class : L
From : MIAMI INTERNATIONA
To : DALLAS/FORT WORTH
Class : L</t>
  </si>
  <si>
    <t>20250806    AMERICAN AIR
PASSENGER TICKET
AMERICAN AIRLINES
800-433-7300
TX
Carrier : American Airlines
Passenger Name : ORTEGO/MEGAN
Ticket Number : 0012264427419
Departure Day : 08/10
Additional Info : PASSENGER TICKET
From : DALLAS/FORT WORTH
To : MIAMI INTERNATIONA
Class : L
From : MIAMI INTERNATIONA
To : DALLAS/FORT WORTH
Class : L</t>
  </si>
  <si>
    <t>1G4G0KK312Z SUBSCRIPTION
Amazon Prime
Amazon.com
WA
SUBSCRIPTION</t>
  </si>
  <si>
    <t>CH_3RT2K4BS +16502003351
BRAVE.COM
SAN FRANCISCO
CA
+16502003351</t>
  </si>
  <si>
    <t>CH_3RT3F1JL +18882730423
CREXI
LOS ANGELES
CA
+18882730423</t>
  </si>
  <si>
    <t>EXPEDIA 731993134406EXPEDIA.COM         WA</t>
  </si>
  <si>
    <t>LUFC9BBEX   TRAVEL
EXPEDIA 73199313440650
EXPEDIA.COM
WA
TRAVEL</t>
  </si>
  <si>
    <t>POINTS FOR AMEX TRVL</t>
  </si>
  <si>
    <t xml:space="preserve">POINTS FOR AMEX TRVL
</t>
  </si>
  <si>
    <t>PwP    AMEXTRAVEL.CO800-297-2977        WA</t>
  </si>
  <si>
    <t xml:space="preserve">MAYFAIR HOU TRAVEL
LODGING
PwP    AMEXTRAVEL.COM
800-297-2977
WA
</t>
  </si>
  <si>
    <t>21105175219 RESTAURANT
TST* BLUEYS KITCHEN MAR V 00098618
LOS ANGELES
CA
RESTAURANT</t>
  </si>
  <si>
    <t>08/05/2025</t>
  </si>
  <si>
    <t>DNH*GODADDY#38430409Tempe               AZ</t>
  </si>
  <si>
    <t>3843040906 4805058855
Email Essentials  - Renewal - monthly
Email - Archiving - Renewal
Microsoft 365 Email Backup - Renewal
DNH*GODADDY#3843040906
Tempe
AZ
Email Essentials  - Renewal - monthly
Email - Archiving - Renewal
Microsoft 365 Email Backup - Renewal
4805058855</t>
  </si>
  <si>
    <t>EXPEDIA.COM TRAVEL  SEATTLE             WA</t>
  </si>
  <si>
    <t>080809      AIRLINE/AIR CARRIER
PASSENGER TICKET
EXPEDIA.COM TRAVEL
SEATTLE
WA
Carrier : AMERICAN AIRLINES
Passenger Name : PAYTONJIAN/MICHAEL
Ticket Number : 00173157711145
Departure Day : 08/13
Additional Info : PASSENGER TICKET
From : MIAMI INTERNATIONA
To : LOS ANGELES INTERN
Class : S</t>
  </si>
  <si>
    <t>080809      AIRLINE/AIR CARRIER
PASSENGER TICKET
EXPEDIA.COM TRAVEL
SEATTLE
WA
Carrier : AMERICAN AIRLINES
Passenger Name : DUNNING/JOHN
Ticket Number : 00173157711134
Departure Day : 08/13
Additional Info : PASSENGER TICKET
From : MIAMI INTERNATIONA
To : LOS ANGELES INTERN
Class : S</t>
  </si>
  <si>
    <t>08/04/2025</t>
  </si>
  <si>
    <t>BOB'S WATCHES       NEWPORT BEACH       CA</t>
  </si>
  <si>
    <t>8004943708
BOB'S WATCHES
NEWPORT BEACH
CA
8004943708</t>
  </si>
  <si>
    <t>10144091   8007467287
PHARMACIES
CVS PHARMACY
LOS ANGELES
CA
PHARMACIES
8007467287</t>
  </si>
  <si>
    <t>08/03/2025</t>
  </si>
  <si>
    <t>CH_2RS8N23T +18004304095
CONTACTS+
HUNTINGTON BEACH
CA
+18004304095</t>
  </si>
  <si>
    <t>CREDIT - DISTRIBUTION OF PAYMENT</t>
  </si>
  <si>
    <t xml:space="preserve">CREDIT - DISTRIBUTION OF PAYMENT
</t>
  </si>
  <si>
    <t>DEBIT - DISTRIBUTION OF PAYMENT</t>
  </si>
  <si>
    <t xml:space="preserve">DEBIT - DISTRIBUTION OF PAYMENT
</t>
  </si>
  <si>
    <t>EXPEDIA 731961053002EXPEDIA.COM         WA</t>
  </si>
  <si>
    <t>Y0V5T1K8L   TRAVEL
EXPEDIA 73196105300201
EXPEDIA.COM
WA
TRAVEL</t>
  </si>
  <si>
    <t>RENEWAL MEMBERSHIP FEE</t>
  </si>
  <si>
    <t xml:space="preserve">RENEWAL MEMBERSHIP FEE
</t>
  </si>
  <si>
    <t>CH_3RSFZNCY +18884092298
SALESMESSAGE.COM
DELRAY BEACH
FL
+18884092298</t>
  </si>
  <si>
    <t>08/02/2025</t>
  </si>
  <si>
    <t>DNH*GODADDY#38397437Tempe               AZ</t>
  </si>
  <si>
    <t>3839743791 4805058855
Microsoft 365 Email Essentials - Renewal
Email - Archiving - Renewal
DNH*GODADDY#3839743791
Tempe
AZ
Microsoft 365 Email Essentials - Renewal
Email - Archiving - Renewal
4805058855</t>
  </si>
  <si>
    <t>08/01/2025</t>
  </si>
  <si>
    <t>71094475213 310-836-8000
ABC*ICONFIT
LOS ANGELES
CA
310-836-8000</t>
  </si>
  <si>
    <t>DNH*GODADDY#38385677Tempe               AZ</t>
  </si>
  <si>
    <t>3838567765 4805058855
Business Professional  - Renewal - month
Email - Archiving - Renewal
Microsoft 365 Email Backup - Renewal
DNH*GODADDY#3838567765
Tempe
AZ
Business Professional  - Renewal - month
Email - Archiving - Renewal
Microsoft 365 Email Backup - Renewal
4805058855</t>
  </si>
  <si>
    <t>CH_3RRJMED0 +16780000000
LOOM SUBSCRIPTION
AUSTIN
TX
+16780000000</t>
  </si>
  <si>
    <t>07/31/2025</t>
  </si>
  <si>
    <t>10034132   8007467287
PHARMACIES
CVS PHARMACY
LOS ANGELES
CA
PHARMACIES
8007467287</t>
  </si>
  <si>
    <t>CH_3RR2K2QS +18339462075
SP BILLY REID - LEAP
CHICAGO
IL
+18339462075</t>
  </si>
  <si>
    <t>CH_3RR6OSB7 +13854834872
SPONSORCLOUD (SYNPRO)
SALT LAKE CITY
UT
+13854834872</t>
  </si>
  <si>
    <t>TST* THE CLOVERFIELDSANTA MONICA        CA</t>
  </si>
  <si>
    <t>21105175212 RESTAURANT
TST* THE CLOVERFIELD 00047247
SANTA MONICA
CA
RESTAURANT</t>
  </si>
  <si>
    <t>07/30/2025</t>
  </si>
  <si>
    <t>21105175212 RESTAURANT
TST* BLUEYS KITCHEN MAR V 00098618
LOS ANGELES
CA
RESTAURANT</t>
  </si>
  <si>
    <t>07/29/2025</t>
  </si>
  <si>
    <t>7 FOR ALL MANKIND   CABAZON             CA</t>
  </si>
  <si>
    <t>21197       MEN'S/WOMEN'S CLOTHNG
7 FOR ALL MANKIND
CABAZON
CA
Description : SPORTS/RIDING APPAR Price : 0.00
MEN'S/WOMEN'S CLOTHNG</t>
  </si>
  <si>
    <t>ARCO #42311 AMPM ARCCLAREMONT           CA</t>
  </si>
  <si>
    <t>501000048   0000000000
ARCO #42311 AMPM ARCO13301701
CLAREMONT
CA
Description : GAS/OIL Price : 0.4759
0000000000</t>
  </si>
  <si>
    <t>CH_3RQJUEC6 +14158799686
OPENAI *CHATGPT SUBSCR
SAN FRANCISCO
CA
+14158799686</t>
  </si>
  <si>
    <t>07/27/2025</t>
  </si>
  <si>
    <t>CH_3RPVH5CF 3235775423
SPLICE.COM
NEW YORK
NY
3235775423</t>
  </si>
  <si>
    <t>07/25/2025</t>
  </si>
  <si>
    <t>Q4AU32T9MHS DIGITAL
PRIME VIDEO CHANNELS
AMZN.COM/BILL
WA
DIGITAL</t>
  </si>
  <si>
    <t>07/21/2025</t>
  </si>
  <si>
    <t>10066392   8007467287
PHARMACIES
CVS PHARMACY
LOS ANGELES
CA
PHARMACIES
8007467287</t>
  </si>
  <si>
    <t>SAFETY PARK CORPORATMARINA DEL RE       CA</t>
  </si>
  <si>
    <t>38500034    310-899-0480
SAFETY PARK CORPORATION 0000
MARINA DEL RE
CA
Description : PARKING FEES Price : 0.00
310-899-0480</t>
  </si>
  <si>
    <t>07/20/2025</t>
  </si>
  <si>
    <t>7-ELEVEN 39095 00073LOS ANGELES         CA</t>
  </si>
  <si>
    <t>730460721 7 310-398-4711
7-ELEVEN 39095 00073909501
LOS ANGELES
CA
Description : GAS/MSC97  73469501 Price : 0.4117
310-398-4711</t>
  </si>
  <si>
    <t>34185808    EMAIL MARKET
CAMPAIGNER SVC
888-845-4544
CA
EMAIL MARKET</t>
  </si>
  <si>
    <t>VCA ANIMAL HOSPITALSLOS ANGELES         CA</t>
  </si>
  <si>
    <t>CH_3RN3Z4JN +13104427264
VCA ANIMAL HOSPITALS
LOS ANGELES
CA
+13104427264</t>
  </si>
  <si>
    <t>07/19/2025</t>
  </si>
  <si>
    <t>26911084    913-213-2160
2418 AMC AMC MARINA 6 2418
MARINA DEL RE
CA
Description : ADMISSION/TICKETS Price : 0.00
913-213-2160</t>
  </si>
  <si>
    <t>07/18/2025</t>
  </si>
  <si>
    <t>TST* AE BH 00124454 BEVERLY HILLS       CA</t>
  </si>
  <si>
    <t>00124454026 RESTAURANT
TST* AE BH 00124454
BEVERLY HILLS
CA
RESTAURANT</t>
  </si>
  <si>
    <t>21105175200 RESTAURANT
TST* BLUEYS KITCHEN MAR V 00098618
LOS ANGELES
CA
RESTAURANT</t>
  </si>
  <si>
    <t>ZG VALET (AVRA BH)  Beverly Hills       CA</t>
  </si>
  <si>
    <t>bhegvSXQKTX squareup.com/receipts
ZG VALET (AVRA BH)
Beverly Hills
CA
squareup.com/receipts</t>
  </si>
  <si>
    <t>07/17/2025</t>
  </si>
  <si>
    <t>CH_3RM1LUJN +13104500600
INFUSE  DR. BULL
WEST HOLLYWOOD
CA
+13104500600</t>
  </si>
  <si>
    <t>07/16/2025</t>
  </si>
  <si>
    <t>13087011    6509684018
EGNYTE INC 000000001
MOUNTAIN VIEW
CA
Description : REFER TO RECEIPT Price : 0.00
6509684018</t>
  </si>
  <si>
    <t>CH_3RLER8DL +18884827768
LEV INC
NEW YORK
NY
+18884827768</t>
  </si>
  <si>
    <t>CH_2RLZR004 +14154506060
SOCIALPILOT
LEWES
DE
+14154506060</t>
  </si>
  <si>
    <t>07/14/2025</t>
  </si>
  <si>
    <t>AMAZON MARKETPLACE NAMZN.COM/BILL       WA</t>
  </si>
  <si>
    <t>546J1FU4IKL MERCHANDISE
AMAZON MARKETPLACE NA PA
AMZN.COM/BILL
WA
MERCHANDISE</t>
  </si>
  <si>
    <t>07/13/2025</t>
  </si>
  <si>
    <t>392U4UMTVGA MERCHANDISE
AMAZON.COM
AMZN.COM/BILL
WA
MERCHANDISE</t>
  </si>
  <si>
    <t>07/12/2025</t>
  </si>
  <si>
    <t xml:space="preserve">AMAZON MARKETPLACE NA PA
AMZN.COM/BILL
WA
</t>
  </si>
  <si>
    <t>AMAZON MARKEPLACE NA PA</t>
  </si>
  <si>
    <t>2F6HO9ZIYNB MERCHANDISE
AMAZON MARKETPLACE NA PA
AMZN.COM/BILL
WA
MERCHANDISE</t>
  </si>
  <si>
    <t>P3886E4C2C  CABLE &amp; PAY TV
SPOTIFY USA
NEW YORK
NY
CABLE &amp; PAY TV</t>
  </si>
  <si>
    <t>07/11/2025</t>
  </si>
  <si>
    <t>5J1UERMTRBG MERCHANDISE
AMAZON MARKETPLACE NA PA
AMZN.COM/BILL
WA
MERCHANDISE</t>
  </si>
  <si>
    <t>9K7W3KO02UA MERCHANDISE
AMAZON MARKETPLACE NA PA
AMZN.COM/BILL
WA
MERCHANDISE</t>
  </si>
  <si>
    <t>DNH*GODADDY#38140784Tempe               AZ</t>
  </si>
  <si>
    <t>3814078480 4805058855
Online Business Essentials  - monthly
Email - Archiving
DNH*GODADDY#3814078480
Tempe
AZ
Online Business Essentials  - monthly
Email - Archiving
4805058855</t>
  </si>
  <si>
    <t>GODADDY.COM         SCOTTSDALE          AZ</t>
  </si>
  <si>
    <t>3813361632 (480)505-8855
GODADDY.COM
SCOTTSDALE
AZ
(480)505-8855</t>
  </si>
  <si>
    <t>ONSTAR, LLC         DETROIT             MI</t>
  </si>
  <si>
    <t>ANGELA LISA DUNNING</t>
  </si>
  <si>
    <t>-03016</t>
  </si>
  <si>
    <t>######bkab8 DIGITAL GOODS: APPS
ONSTAR, LLC
DETROIT
MI
DIGITAL GOODS: APPS</t>
  </si>
  <si>
    <t>07/10/2025</t>
  </si>
  <si>
    <t>NJZZT15XFV3 MERCHANDISE
AMAZON MARKETPLACE NA PA
AMZN.COM/BILL
WA
MERCHANDISE</t>
  </si>
  <si>
    <t>6VNY3UML8LW MERCHANDISE
AMAZON MARKETPLACE NA PA
AMZN.COM/BILL
WA
MERCHANDISE</t>
  </si>
  <si>
    <t>7KCQL3W5WRW MERCHANDISE
AMAZON MARKETPLACE NA PA
AMZN.COM/BILL
WA
MERCHANDISE</t>
  </si>
  <si>
    <t>BEACON GRAND 00-0803SAN FRANCISCO       CA</t>
  </si>
  <si>
    <t>31099535191 415-3927755
BEACON GRAND 00-08039634376
SAN FRANCISCO
CA
415-3927755</t>
  </si>
  <si>
    <t>LAZY DOG RESTAURANT NEWARK              CA</t>
  </si>
  <si>
    <t>25071032001 510-925-2424
LAZY DOG RESTAURANT 29 0000
NEWARK
CA
Description : FOOD/BEVERAGE Price : 0.00
510-925-2424</t>
  </si>
  <si>
    <t>VALERO 7 ELEVEN 3794KING CITY           CA</t>
  </si>
  <si>
    <t>000061754   8313857572
VALERO 7 ELEVEN 37945 000000000335640
KING CITY
CA
8313857572</t>
  </si>
  <si>
    <t>P-04511245  MEMBERSHIP
VIMEO PRO
212-625-0668
NY
MEMBERSHIP</t>
  </si>
  <si>
    <t>07/09/2025</t>
  </si>
  <si>
    <t>43FGA9MV2CU MERCHANDISE
AMAZON MARKETPLACE NA PA
AMZN.COM/BILL
WA
MERCHANDISE</t>
  </si>
  <si>
    <t>COONEY'S AT THE MARKSANTA BARBARA       CA</t>
  </si>
  <si>
    <t xml:space="preserve">48265420    805-448-9910
COONEY'S AT THE MARKET
SANTA BARBARA
CA
</t>
  </si>
  <si>
    <t>EXPEDIA 731687770784EXPEDIA.COM         WA</t>
  </si>
  <si>
    <t xml:space="preserve">HOTEL G SAN TRAVEL
LODGING
EXPEDIA 73168777078435
EXPEDIA.COM
WA
</t>
  </si>
  <si>
    <t>00059864    800-325-3265
FAARHA INC #43159 8869
LOS ANGELES
CA
Description : GAS/SERVICES Price : 0.00
800-325-3265</t>
  </si>
  <si>
    <t>CH_3RJ4A1JN +13104500600
INFUSE  DR. BULL
WEST HOLLYWOOD
CA
+13104500600</t>
  </si>
  <si>
    <t>RVA *SVC CHAIN      ATLANTA             GA</t>
  </si>
  <si>
    <t>98771834    602-255-3381
RVA *SVC CHAIN
ATLANTA
GA
Description : BUSINESS SERVICES Price : 0.00
602-255-3381</t>
  </si>
  <si>
    <t>RVA AZ DEPT OF REVENPHOENIX             AZ</t>
  </si>
  <si>
    <t>52071833    602-255-3381
RVA AZ DEPT OF REVENUE
PHOENIX
AZ
Description : BUSINESS SERVICES Price : 0.00
602-255-3381</t>
  </si>
  <si>
    <t>STAPLES 01299       FREMONT             CA</t>
  </si>
  <si>
    <t>006009045  01299006009045   94538
CUSTOM UNBOUND DOCUMENT
STAPLES 01299
FREMONT
CA
CUSTOM UNBOUND DOCUMENT
01299006009045   94538</t>
  </si>
  <si>
    <t>TST* CORAZON COCINA SANTA BARBARA       CA</t>
  </si>
  <si>
    <t>21105175191 RESTAURANT
TST* CORAZON COCINA 00152733
SANTA BARBARA
CA
RESTAURANT</t>
  </si>
  <si>
    <t>07/08/2025</t>
  </si>
  <si>
    <t>2XYFT3RUF8V MERCHANDISE
AMAZON MARKETPLACE NA PA
AMZN.COM/BILL
WA
MERCHANDISE</t>
  </si>
  <si>
    <t>71XXPCXDVYA MERCHANDISE
AMAZON.COM
AMZN.COM/BILL
WA
MERCHANDISE</t>
  </si>
  <si>
    <t>BT*BREVITAS         SAN FRANCISCO       CA</t>
  </si>
  <si>
    <t>KWA0YENP    4159938886
BT*BREVITAS
SAN FRANCISCO
CA
4159938886</t>
  </si>
  <si>
    <t>CH_3RILL0C6 +14158799686
OPENAI *CHATGPT SUBSCR
SAN FRANCISCO
CA
+14158799686</t>
  </si>
  <si>
    <t>SAFELITE AUTO GLASS COLUMBUS            OH</t>
  </si>
  <si>
    <t>97421954   01570786420      43235
AUTO PARTS/ACCESSORIES
SAFELITE AUTO GLASS
COLUMBUS
OH
AUTO PARTS/ACCESSORIES
01570786420      43235</t>
  </si>
  <si>
    <t>XL TECHNOLOGIES LLC SARASOTA            FL</t>
  </si>
  <si>
    <t>74940036    800-955-6821
XL TECHNOLOGIES LLC
SARASOTA
FL
Description : COMPUTER DATA PROCE Price : 0.00
800-955-6821</t>
  </si>
  <si>
    <t>07/07/2025</t>
  </si>
  <si>
    <t>DNH*GODADDY#38092984Tempe               AZ</t>
  </si>
  <si>
    <t>3809298464 4805058855
Microsoft 365 Email Plus- Renewal - mont
DNH*GODADDY#3809298464
Tempe
AZ
Microsoft 365 Email Plus- Renewal - mont
4805058855</t>
  </si>
  <si>
    <t>73011545188 APPLE619@AOL.COM
GRANDVIEW CLEANERS 545500001455021
LOS ANGELES
CA
APPLE619@AOL.COM</t>
  </si>
  <si>
    <t>CH_3RILB9KE +12066576177
READ - MEETING MANAGER
SEATTLE
WA
+12066576177</t>
  </si>
  <si>
    <t>TST* GREENLEAF - VENLOS ANGELES         CA</t>
  </si>
  <si>
    <t>21105175189 RESTAURANT
TST* GREENLEAF - VENICE 00120488
LOS ANGELES
CA
RESTAURANT</t>
  </si>
  <si>
    <t>07/06/2025</t>
  </si>
  <si>
    <t>2VMYLKDPWGM MERCHANDISE
AMAZON MARKETPLACE NA PA
AMZN.COM/BILL
WA
MERCHANDISE</t>
  </si>
  <si>
    <t>714F5LBMVSZ MERCHANDISE
AMAZON MARKETPLACE NA PA
AMZN.COM/BILL
WA
MERCHANDISE</t>
  </si>
  <si>
    <t>78NW7DJX54V MERCHANDISE
AMAZON MARKETPLACE NA PA
AMZN.COM/BILL
WA
MERCHANDISE</t>
  </si>
  <si>
    <t>AMAZON PRIME*N31RK8IAMZN.COM/BILL       WA</t>
  </si>
  <si>
    <t>5TZFN6VKG2I DIGITAL
AMAZON PRIME*N31RK8IF0
AMZN.COM/BILL
WA
DIGITAL</t>
  </si>
  <si>
    <t>50349VBACDA MERCHANDISE
AMAZON.COM
AMZN.COM/BILL
WA
MERCHANDISE</t>
  </si>
  <si>
    <t>NCYQBQR1S0V SUBSCRIPTION
Amazon Prime
Amazon.com
WA
SUBSCRIPTION</t>
  </si>
  <si>
    <t>CH_3RHNYWBS +16502003351
BRAVE.COM
SAN FRANCISCO
CA
+16502003351</t>
  </si>
  <si>
    <t>CH_3RHPSIJL +18882730423
CREXI
LOS ANGELES
CA
+18882730423</t>
  </si>
  <si>
    <t>DNH*GODADDY#38079792Tempe               AZ</t>
  </si>
  <si>
    <t>3807979201 4805058855
Microsoft 365 Business Professional- Ren
Email - Archiving - Renewal
Microsoft 365 Email Backup - Renewal
DNH*GODADDY#3807979201
Tempe
AZ
Microsoft 365 Business Professional- Ren
Email - Archiving - Renewal
Microsoft 365 Email Backup - Renewal
4805058855</t>
  </si>
  <si>
    <t>RAHEL VEGAN, INC. 00CENTRAL LA          CA</t>
  </si>
  <si>
    <t>94800011    314-749-8864
RAHEL VEGAN, INC. 0000
CENTRAL LA
CA
Description : FOOD/BEVERAGE Price : 0.00
314-749-8864</t>
  </si>
  <si>
    <t>21105175188 RESTAURANT
TST* BLUEYS KITCHEN MAR V 00098618
LOS ANGELES
CA
RESTAURANT</t>
  </si>
  <si>
    <t>07/05/2025</t>
  </si>
  <si>
    <t>5LT37BONZPA MERCHANDISE
AMAZON MARKETPLACE NA PA
AMZN.COM/BILL
WA
MERCHANDISE</t>
  </si>
  <si>
    <t>DNH*GODADDY#38070961Tempe               AZ</t>
  </si>
  <si>
    <t>3807096116 4805058855
Email Essentials  - Renewal - monthly
Email - Archiving - Renewal
Microsoft 365 Email Backup - Renewal
DNH*GODADDY#3807096116
Tempe
AZ
Email Essentials  - Renewal - monthly
Email - Archiving - Renewal
Microsoft 365 Email Backup - Renewal
4805058855</t>
  </si>
  <si>
    <t>10156320250 4106882489
HOLLYWOOD BOWL 650000012611805
LOS ANGELES
CA
Description : MISCL FOOD STORES Price : 0.1976
4106882489</t>
  </si>
  <si>
    <t>10156320250 4106882489
HOLLYWOOD BOWL 650000012611805
LOS ANGELES
CA
Description : MISCL FOOD STORES Price : 0.6201
4106882489</t>
  </si>
  <si>
    <t>513188     100003767737467  90012
LADOT METER PARKING
LOS ANGELES
CA
100003767737467  90012</t>
  </si>
  <si>
    <t>07/04/2025</t>
  </si>
  <si>
    <t>2UIBNX3FYX2 MERCHANDISE
AMAZON MARKETPLACE NA PA
AMZN.COM/BILL
WA
MERCHANDISE</t>
  </si>
  <si>
    <t>DNH*GODADDY#38054724Tempe               AZ</t>
  </si>
  <si>
    <t>3805472443 4805058855
Business Enterprise - Renewal - 1 month
Email - Archiving - Renewal
Microsoft 365 Email Backup - Renewal
DNH*GODADDY#3805472443
Tempe
AZ
Business Enterprise - Renewal - 1 month
Email - Archiving - Renewal
Microsoft 365 Email Backup - Renewal
4805058855</t>
  </si>
  <si>
    <t>EVITE, INC.         LOS ANGELES         CA</t>
  </si>
  <si>
    <t>CH_2RHG8G2Y 2136995005
EVITE, INC.
LOS ANGELES
CA
2136995005</t>
  </si>
  <si>
    <t>73011545187 CARLOS@LACABANAVENICE
CARLOS@LACABANAVENICE.COM
LA CABANA - VENICE 545500001823608
877-8144102
CA
CARLOS@LACABANAVENICE.COM</t>
  </si>
  <si>
    <t>99999995185 4242318000
TST* CAFE GRATITUDE - VEN 300545147
VENICE
CA
Description : RESTAURANTS Price : 0.5628
4242318000</t>
  </si>
  <si>
    <t>07/03/2025</t>
  </si>
  <si>
    <t>5UE8KD3LOES MERCHANDISE
AMAZON MARKETPLACE NA PA
AMZN.COM/BILL
WA
MERCHANDISE</t>
  </si>
  <si>
    <t>N4BAGZMLA1Y MERCHANDISE
AMAZON MARKETPLACE NA PA
AMZN.COM/BILL
WA
MERCHANDISE</t>
  </si>
  <si>
    <t>B0P2E2NUBRH MERCHANDISE
AMAZON MARKETPLACE NA PA
AMZN.COM/BILL
WA
MERCHANDISE</t>
  </si>
  <si>
    <t>CH_2RGTCT3T +18004304095
CONTACTS+
HUNTINGTON BEACH
CA
+18004304095</t>
  </si>
  <si>
    <t>rtIMlFCI32z squareup.com/receipts
PAYA THAI LA LLC. BLUE LOTUS MASSAGE.
LOS ANGELES
CA
squareup.com/receipts</t>
  </si>
  <si>
    <t>CH_3RGXX3A8 +15125374087
RESTORE.COM
AUSTIN
TX
+15125374087</t>
  </si>
  <si>
    <t>CH_3RH1HPCY +18884092298
SALESMESSAGE.COM
DELRAY BEACH
FL
+18884092298</t>
  </si>
  <si>
    <t>21105175185 RESTAURANT
TST* BLUEYS KITCHEN MAR V 00098618
LOS ANGELES
CA
RESTAURANT</t>
  </si>
  <si>
    <t>07/02/2025</t>
  </si>
  <si>
    <t>DzHr8pNSumv squareup.com/receipts
ALANA'S COFFEE ROASTERS
Los Angeles
CA
squareup.com/receipts</t>
  </si>
  <si>
    <t>6WAMD0QO9BW MERCHANDISE
AMAZON MARKETPLACE NA PA
AMZN.COM/BILL
WA
MERCHANDISE</t>
  </si>
  <si>
    <t>6NLQAMOYSSS MERCHANDISE
AMAZON MARKETPLACE NA PA
AMZN.COM/BILL
WA
MERCHANDISE</t>
  </si>
  <si>
    <t>4BMYN9O9VR9 MERCHANDISE
AMAZON MARKETPLACE NA PA
AMZN.COM/BILL
WA
MERCHANDISE</t>
  </si>
  <si>
    <t>214NN7SO775 MERCHANDISE
AMAZON.COM
AMZN.COM/BILL
WA
MERCHANDISE</t>
  </si>
  <si>
    <t>07/01/2025</t>
  </si>
  <si>
    <t>71094475182 310-836-8000
ABC*ICONFIT
LOS ANGELES
CA
310-836-8000</t>
  </si>
  <si>
    <t>blUqDWoHqu9 squareup.com/receipts
ALANA'S COFFEE ROASTERS
Los Angeles
CA
squareup.com/receipts</t>
  </si>
  <si>
    <t>DNH*GODADDY#38026734Tempe               AZ</t>
  </si>
  <si>
    <t>3802673483 4805058855
Business Professional  - Renewal - month
Email - Archiving - Renewal
Microsoft 365 Email Backup - Renewal
DNH*GODADDY#3802673483
Tempe
AZ
Business Professional  - Renewal - month
Email - Archiving - Renewal
Microsoft 365 Email Backup - Renewal
4805058855</t>
  </si>
  <si>
    <t>EXPEDIA 731602238354EXPEDIA.COM         WA</t>
  </si>
  <si>
    <t>R62L91SYX   TRAVEL
EXPEDIA 73160223835497
EXPEDIA.COM
WA
TRAVEL</t>
  </si>
  <si>
    <t>070109      AIRLINE/AIR CARRIER
PASSENGER TICKET
EXPEDIA.COM TRAVEL
SEATTLE
WA
Carrier : UNITED AIRLINES
Passenger Name : PAYTONJIAN/MICHAEL J
Ticket Number : 01672985848111
Departure Day : 07/02
Additional Info : PASSENGER TICKET
From : NEW YORK LA GUARDI
To : HOUSTON INTERCONTI
Class : Q
From : HOUSTON INTERCONTI
To : LOS ANGELES INTERN
Class : Q</t>
  </si>
  <si>
    <t>CH_3RG4JTD0 +16780000000
LOOM SUBSCRIPTION
AUSTIN
TX
+16780000000</t>
  </si>
  <si>
    <t>06/30/2025</t>
  </si>
  <si>
    <t>45XTW93491S MERCHANDISE
AMAZON MARKETPLACE NA PA
AMZN.COM/BILL
WA
MERCHANDISE</t>
  </si>
  <si>
    <t>CH_3RFRCTB7 +13854834872
SPONSORCLOUD (SYNPRO)
SALT LAKE CITY
UT
+13854834872</t>
  </si>
  <si>
    <t>TST* KINDRED 3005768SAN DIEGO           CA</t>
  </si>
  <si>
    <t>99999995181 6195469653
TST* KINDRED 300576877
SAN DIEGO
CA
Description : BARS Price : 0.4017
6195469653</t>
  </si>
  <si>
    <t>06/29/2025</t>
  </si>
  <si>
    <t>6VRLNIXLAOH MERCHANDISE
AMAZON MARKETPLACE NA PA
AMZN.COM/BILL
WA
MERCHANDISE</t>
  </si>
  <si>
    <t>MUA80XSF8B4 MERCHANDISE
AMAZON MARKETPLACE NA PA
AMZN.COM/BILL
WA
MERCHANDISE</t>
  </si>
  <si>
    <t>4WGLXU77G0U MERCHANDISE
AMAZON MARKETPLACE NA PA
AMZN.COM/BILL
WA
MERCHANDISE</t>
  </si>
  <si>
    <t>4EYE6E875TJ MERCHANDISE
AMAZON MARKETPLACE NA PA
AMZN.COM/BILL
WA
MERCHANDISE</t>
  </si>
  <si>
    <t>DONNA JEAN          SAN DIEGO           CA</t>
  </si>
  <si>
    <t>85347015181 619-299-5500
DONNA JEAN
SAN DIEGO
CA
619-299-5500</t>
  </si>
  <si>
    <t>EXPEDIA 731574954754EXPEDIA.COM         WA</t>
  </si>
  <si>
    <t xml:space="preserve">ORLI LA JOL TRAVEL
LODGING
EXPEDIA 73157495475498
EXPEDIA.COM
WA
</t>
  </si>
  <si>
    <t>LA VALENCIA - H LODGLA JOLLA            CA</t>
  </si>
  <si>
    <t xml:space="preserve">0000001392  8584540771
LODGING
LA VALENCIA - H LODGIN
LA JOLLA
CA
</t>
  </si>
  <si>
    <t>CH_3RFRCWC6 +14158799686
OPENAI *CHATGPT SUBSCR
SAN FRANCISCO
CA
+14158799686</t>
  </si>
  <si>
    <t>SHELL SERVICE STATIOSAN DIEGO           CA</t>
  </si>
  <si>
    <t>00000009652 6192378836
SHELL SERVICE STATION 10008225004
SAN DIEGO
CA
6192378836</t>
  </si>
  <si>
    <t>SP TOTEM TRILOGY BOUSAN DIEGO           CA</t>
  </si>
  <si>
    <t>CH_3RFRVUJP +18586333893
SP TOTEM TRILOGY BOU
SAN DIEGO
CA
+18586333893</t>
  </si>
  <si>
    <t>CH_3RFRBHJP +18586333893
SP TOTEM TRILOGY BOU
SAN DIEGO
CA
+18586333893</t>
  </si>
  <si>
    <t>TRILOGY SANCTUARY   La Jolla            CA</t>
  </si>
  <si>
    <t>ViME4BRkcRd squareup.com/receipts
TRILOGY SANCTUARY
La Jolla
CA
squareup.com/receipts</t>
  </si>
  <si>
    <t>TRILOGY SANCTUARY   SAN DIEGO           CA</t>
  </si>
  <si>
    <t>CH_3RFQZLCL +18586333893
TRILOGY SANCTUARY
SAN DIEGO
CA
+18586333893</t>
  </si>
  <si>
    <t>CH_3RFQWOCL +18586333893
TRILOGY SANCTUARY
SAN DIEGO
CA
+18586333893</t>
  </si>
  <si>
    <t>TST* QUIXOTE 0012789SAN DIEGO           CA</t>
  </si>
  <si>
    <t>00127898026 RESTAURANT
TST* QUIXOTE 00127898
SAN DIEGO
CA
RESTAURANT</t>
  </si>
  <si>
    <t>06/28/2025</t>
  </si>
  <si>
    <t>535195     100003763814050  90401
CITY OF SANTA MONICA
SANTA MONICA
CA
100003763814050  90401</t>
  </si>
  <si>
    <t>MAINLY MOZART INC   SAN DIEGO           CA</t>
  </si>
  <si>
    <t>CH_3RF8WNFS +12122714328
MAINLY MOZART INC
SAN DIEGO
CA
+12122714328</t>
  </si>
  <si>
    <t>06/27/2025</t>
  </si>
  <si>
    <t>3B50EZ9G0CV MERCHANDISE
AMAZON MARKETPLACE NA PA
AMZN.COM/BILL
WA
MERCHANDISE</t>
  </si>
  <si>
    <t>1Q5HUIKQ90X MERCHANDISE
AMAZON.COM
AMZN.COM/BILL
WA
MERCHANDISE</t>
  </si>
  <si>
    <t>DNH*GODADDY#37979925Tempe               AZ</t>
  </si>
  <si>
    <t>3797992513 4805058855
Hosting - Web - Economy - Linux cPanel -
DNH*GODADDY#3797992513
Tempe
AZ
Hosting - Web - Economy - Linux cPanel -
4805058855</t>
  </si>
  <si>
    <t>LAGARDERE TR AND PARATLANTA             GA</t>
  </si>
  <si>
    <t>######be2zJ MISC/SPECIALTY RETAIL
LAGARDERE TR AND PARTNERS, LLC
ATLANTA
GA
MISC/SPECIALTY RETAIL</t>
  </si>
  <si>
    <t>CH_3REH1MAC +14158799686
OPENAI *CHATGPT SUBSCR
SAN FRANCISCO
CA
+14158799686</t>
  </si>
  <si>
    <t>RIDEYELLOW          Los Angeles         CA</t>
  </si>
  <si>
    <t>7x6aXtC1ea2 squareup.com/receipts
RIDEYELLOW
Los Angeles
CA
squareup.com/receipts</t>
  </si>
  <si>
    <t>CH_3REDOBCF 3235775423
SPLICE.COM
NEW YORK
NY
3235775423</t>
  </si>
  <si>
    <t>21105175179 RESTAURANT
TST* BLUEYS KITCHEN MAR V 00098618
LOS ANGELES
CA
RESTAURANT</t>
  </si>
  <si>
    <t>WILDFLOWER BREAD CO PHOENIX             AZ</t>
  </si>
  <si>
    <t>GQxRqJevf00 6022752300
WILDFLOWER BREAD CO
PHOENIX
AZ
Description : RESTAURANTS Price : 0.0974
6022752300</t>
  </si>
  <si>
    <t>06/26/2025</t>
  </si>
  <si>
    <t>BEST BUY            CULVER CITY         CA</t>
  </si>
  <si>
    <t>007103094   888BESTBUY
BEST BUY
CULVER CITY
CA
Description : ELEC SLS Price : 0.00
888BESTBUY</t>
  </si>
  <si>
    <t>DEPARTMENT OF REAL ESACRAMENTO          CA</t>
  </si>
  <si>
    <t>10409021    877-373-4542
DEPARTMENT OF REAL ESTATE DEPARTMENT O
SACRAMENTO
CA
877-373-4542</t>
  </si>
  <si>
    <t>06/25/2025</t>
  </si>
  <si>
    <t>3FL92GKYXCO MERCHANDISE
AMAZON MARKETPLACE NA PA
AMZN.COM/BILL
WA
MERCHANDISE</t>
  </si>
  <si>
    <t>1T5MKAO8AX0 MERCHANDISE
AMAZON MARKETPLACE NA PA
AMZN.COM/BILL
WA
MERCHANDISE</t>
  </si>
  <si>
    <t>7DJ4VU5ZLSN MERCHANDISE
AMAZON.COM
AMZN.COM/BILL
WA
MERCHANDISE</t>
  </si>
  <si>
    <t>20250624    AMERICAN AIR
PREFERRED SEAT UPGRADE
AMERICAN AIRLINES
800-433-7300
TX
Carrier : American Airlines
Passenger Name : DUNNING/JOHN BARKER
Ticket Number : 0010629495287
Departure Day : 06/25
Additional Info : PREFERRED SEAT UPGRADE
From : LOS ANGELES INTERN
To : PHOENIX SKY HARBOR
Class : V</t>
  </si>
  <si>
    <t>DNH*GODADDY#37958647Tempe               AZ</t>
  </si>
  <si>
    <t>3795864715 4805058855
Email Plus  - Renewal - monthly
Email - Archiving - Renewal
DNH*GODADDY#3795864715
Tempe
AZ
Email Plus  - Renewal - monthly
Email - Archiving - Renewal
4805058855</t>
  </si>
  <si>
    <t>2A93WAN5T1J DIGITAL
PRIME VIDEO CHANNELS
AMZN.COM/BILL
WA
DIGITAL</t>
  </si>
  <si>
    <t>RAINRETAIL*MARTY PATFORT WORTH          TX</t>
  </si>
  <si>
    <t>######7jO94 MISC/SPECIALTY RETAIL
RAINRETAIL*MARTY PATS FRAME SHOPP
FORT WORTH
TX
MISC/SPECIALTY RETAIL</t>
  </si>
  <si>
    <t>06/24/2025</t>
  </si>
  <si>
    <t>062909      AIRLINE/AIR CARRIER
PASSENGER TICKET
PwP    AMERICAN EXPRESS TRAVEL
SEATTLE
WA
Carrier : AMERICAN AIRLINES
Passenger Name : DUNNING/JOHN BARKER
Ticket Number : 00172697910475
Departure Day : 06/25
Additional Info : PASSENGER TICKET
From : LOS ANGELES INTERN
To : PHOENIX SKY HARBOR
Class : V</t>
  </si>
  <si>
    <t>RE RENEWAL 760325333PALM SPRINGS        CA</t>
  </si>
  <si>
    <t>65500004    760-325-3334
RE RENEWAL 7603253334 0000
PALM SPRINGS
CA
Description : TUITION/FEES Price : 0.00
760-325-3334</t>
  </si>
  <si>
    <t>06/23/2025</t>
  </si>
  <si>
    <t>5XAYFW8N8O1 MERCHANDISE
AMAZON MARKETPLACE NA PA
AMZN.COM/BILL
WA
MERCHANDISE</t>
  </si>
  <si>
    <t>5F3CTLLDNS7 MERCHANDISE
AMAZON MARKETPLACE NA PA
AMZN.COM/BILL
WA
MERCHANDISE</t>
  </si>
  <si>
    <t>CORPORATE FILINGS LLSHERIDAN            WY</t>
  </si>
  <si>
    <t>31099535174 888-7898466
CORPORATE FILINGS LLC 00-08029641761
SHERIDAN
WY
888-7898466</t>
  </si>
  <si>
    <t>DNH*GODADDY#37933846Tempe               AZ</t>
  </si>
  <si>
    <t>3793384624 4805058855
Business Enterprise - Renewal - 1 month
Email - Archiving - Renewal
Microsoft 365 Email Backup - Renewal
DNH*GODADDY#3793384624
Tempe
AZ
Business Enterprise - Renewal - 1 month
Email - Archiving - Renewal
Microsoft 365 Email Backup - Renewal
4805058855</t>
  </si>
  <si>
    <t>06/22/2025</t>
  </si>
  <si>
    <t>11Q4CIM54LT MERCHANDISE
AMAZON MARKETPLACE NA PA
AMZN.COM/BILL
WA
MERCHANDISE</t>
  </si>
  <si>
    <t>DNH*GODADDY#37914390Tempe               AZ</t>
  </si>
  <si>
    <t>3791439012 4805058855
COM Domain Name Registration - 1 Year
DNH*GODADDY#3791439012
Tempe
AZ
COM Domain Name Registration - 1 Year
4805058855</t>
  </si>
  <si>
    <t>06/21/2025</t>
  </si>
  <si>
    <t>61HTHKAQ28N MERCHANDISE
AMAZON MARKETPLACE NA PA
AMZN.COM/BILL
WA
MERCHANDISE</t>
  </si>
  <si>
    <t>76WXZRVT3AB MERCHANDISE
AMAZON MARKETPLACE NA PA
AMZN.COM/BILL
WA
MERCHANDISE</t>
  </si>
  <si>
    <t>6R0ESLJ1SS6 MERCHANDISE
AMAZON.COM
AMZN.COM/BILL
WA
MERCHANDISE</t>
  </si>
  <si>
    <t>LA VAPE &amp; SMOKE SHOPLOS ANGELES         CA</t>
  </si>
  <si>
    <t>73093175173 LASMOKESHOP6@GMAIL.CO
LASMOKESHOP6@GMAIL.COM
LA VAPE &amp; SMOKE SHOP 931799980004978
LOS ANGELES
CA
LASMOKESHOP6@GMAIL.COM</t>
  </si>
  <si>
    <t>PRIME VIDEO *NO03I71888-802-3080        WA</t>
  </si>
  <si>
    <t>H6UP51SMWVH DIGITAL
PRIME VIDEO *NO03I71W0
888-802-3080
WA
DIGITAL</t>
  </si>
  <si>
    <t>PRIME VIDEO *NQ2JH1F888-802-3080        WA</t>
  </si>
  <si>
    <t>1X8D1V06AU5 DIGITAL
PRIME VIDEO *NQ2JH1F12
888-802-3080
WA
DIGITAL</t>
  </si>
  <si>
    <t>SP BEIGE SAMPLE     SAN DIMAS           CA</t>
  </si>
  <si>
    <t>CH_3RCCEBR1 +13109687923
SP BEIGE SAMPLE
SAN DIMAS
CA
+13109687923</t>
  </si>
  <si>
    <t>06/20/2025</t>
  </si>
  <si>
    <t>2KQO8W7BGRB MERCHANDISE
AMAZON MARKETPLACE NA PA
AMZN.COM/BILL
WA
MERCHANDISE</t>
  </si>
  <si>
    <t>34182987    EMAIL MARKET
CAMPAIGNER SVC
888-845-4544
CA
EMAIL MARKET</t>
  </si>
  <si>
    <t>DNH*GODADDY#37898466Tempe               AZ</t>
  </si>
  <si>
    <t>3789846643 4805058855
Microsoft 365 Email Essentials - Renewal
Email - Archiving - Renewal
Microsoft 365 Email Backup - Renewal
DNH*GODADDY#3789846643
Tempe
AZ
Microsoft 365 Email Essentials - Renewal
Email - Archiving - Renewal
Microsoft 365 Email Backup - Renewal
4805058855</t>
  </si>
  <si>
    <t>06/19/2025</t>
  </si>
  <si>
    <t>F6OSKX04CK4 MERCHANDISE
AMAZON MARKETPLACE NA PA
AMZN.COM/BILL
WA
MERCHANDISE</t>
  </si>
  <si>
    <t>4NXENVNRBY9 MERCHANDISE
AMAZON MARKETPLACE NA PA
AMZN.COM/BILL
WA
MERCHANDISE</t>
  </si>
  <si>
    <t>3FYQ70V454I MERCHANDISE
AMAZON MARKETPLACE NA PA
AMZN.COM/BILL
WA
MERCHANDISE</t>
  </si>
  <si>
    <t>6C2K7D8HYOX MERCHANDISE
AMAZON MARKETPLACE NA PA
AMZN.COM/BILL
WA
MERCHANDISE</t>
  </si>
  <si>
    <t>2S77UKRRLGI MERCHANDISE
AMAZON.COM
AMZN.COM/BILL
WA
MERCHANDISE</t>
  </si>
  <si>
    <t>296HRBLBAOX MERCHANDISE
AMAZON.COM
AMZN.COM/BILL
WA
MERCHANDISE</t>
  </si>
  <si>
    <t>06/18/2025</t>
  </si>
  <si>
    <t>ALPHAGRAPHICS US 607WEATHERFORD         TX</t>
  </si>
  <si>
    <t>99999995169 8177278939
ALPHAGRAPHICS US 607 000000001
WEATHERFORD
TX
Description : REFER TO RECEIPT Price : 0.00
8177278939</t>
  </si>
  <si>
    <t>SOYUJPVXY2P MERCHANDISE
AMAZON MARKETPLACE NA PA
AMZN.COM/BILL
WA
MERCHANDISE</t>
  </si>
  <si>
    <t>CARMO COMPANIES     NEW YORK            NY</t>
  </si>
  <si>
    <t>CH_3RBY2TBR +16466883375
CARMO COMPANIES
NEW YORK
NY
+16466883375</t>
  </si>
  <si>
    <t>DNH*GODADDY#37875102Tempe               AZ</t>
  </si>
  <si>
    <t>3787510222 4805058855
Microsoft 365 Email Plus- Renewal - mont
Email - Archiving - Renewal
DNH*GODADDY#3787510222
Tempe
AZ
Microsoft 365 Email Plus- Renewal - mont
Email - Archiving - Renewal
4805058855</t>
  </si>
  <si>
    <t>06/17/2025</t>
  </si>
  <si>
    <t>33Q5GHRS4HS MERCHANDISE
AMAZON MARKETPLACE NA PA
AMZN.COM/BILL
WA
MERCHANDISE</t>
  </si>
  <si>
    <t>1MA8OMLE75H MERCHANDISE
AMAZON MARKETPLACE NA PA
AMZN.COM/BILL
WA
MERCHANDISE</t>
  </si>
  <si>
    <t>5B727BW3GW8 MERCHANDISE
AMAZON.COM
AMZN.COM/BILL
WA
MERCHANDISE</t>
  </si>
  <si>
    <t>GZ3M1F4IQYY MERCHANDISE
AMAZON.COM
AMZN.COM/BILL
WA
MERCHANDISE</t>
  </si>
  <si>
    <t>DNH*GODADDY#37865867Tempe               AZ</t>
  </si>
  <si>
    <t>3786586701 4805058855
Email Essentials  - Renewal - monthly
Email - Archiving - Renewal
DNH*GODADDY#3786586701
Tempe
AZ
Email Essentials  - Renewal - monthly
Email - Archiving - Renewal
4805058855</t>
  </si>
  <si>
    <t>06/16/2025</t>
  </si>
  <si>
    <t>18USENSBOID MERCHANDISE
AMAZON MARKETPLACE NA PA
AMZN.COM/BILL
WA
MERCHANDISE</t>
  </si>
  <si>
    <t>62PTQM25ELM MERCHANDISE
AMAZON MARKETPLACE NA PA
AMZN.COM/BILL
WA
MERCHANDISE</t>
  </si>
  <si>
    <t>5FAQUSH22PP MERCHANDISE
AMAZON.COM
AMZN.COM/BILL
WA
MERCHANDISE</t>
  </si>
  <si>
    <t>363R2MI5XA2 MERCHANDISE
AMAZON.COM
AMZN.COM/BILL
WA
MERCHANDISE</t>
  </si>
  <si>
    <t>2W4SZR25MPW MERCHANDISE
AMAZON.COM
AMZN.COM/BILL
WA
MERCHANDISE</t>
  </si>
  <si>
    <t>CH_3RAMYFDL +18884827768
LEV INC
NEW YORK
NY
+18884827768</t>
  </si>
  <si>
    <t>CH_2RAHYX04 +14154506060
SOCIALPILOT
LEWES
DE
+14154506060</t>
  </si>
  <si>
    <t>06/15/2025</t>
  </si>
  <si>
    <t>JOGVMKWGUSB MERCHANDISE
AMAZON MARKETPLACE NA PA
AMZN.COM/BILL
WA
MERCHANDISE</t>
  </si>
  <si>
    <t>4CAEJ2WH8SZ MERCHANDISE
AMAZON MARKETPLACE NA PA
AMZN.COM/BILL
WA
MERCHANDISE</t>
  </si>
  <si>
    <t>DNH*GODADDY#37842445Tempe               AZ</t>
  </si>
  <si>
    <t>3784244567 4805058855
Email Essentials  - Renewal - monthly
DNH*GODADDY#3784244567
Tempe
AZ
Email Essentials  - Renewal - monthly
4805058855</t>
  </si>
  <si>
    <t>STAPLES.COM         800-333-3330        MA</t>
  </si>
  <si>
    <t>369741203  9930707562       900663
ORD 9930707562      ;REQ JUDD DUNNING
IT1 LAZBOY ABER;UPI     421.5900;QTY1
IT2            ;UPI       0.0000;QTY
FRT         0.00;HDL         0.00;ITM1
STAPLES.COM
800-333-3330
MA
ORD 9930707562      ;REQ JUDD DUNNING
IT1 LAZBOY ABER;UPI     421.5900;QTY1
IT2            ;UPI       0.0000;QTY
FRT         0.00;HDL         0.00;ITM1
9930707562       900663</t>
  </si>
  <si>
    <t>06/14/2025</t>
  </si>
  <si>
    <t>3QWQDPBTEPM MERCHANDISE
AMAZON MARKETPLACE NA PA
AMZN.COM/BILL
WA
MERCHANDISE</t>
  </si>
  <si>
    <t>1IXY48SD2O1 MERCHANDISE
AMAZON MARKETPLACE NA PA
AMZN.COM/BILL
WA
MERCHANDISE</t>
  </si>
  <si>
    <t>3W6UJXHPQHT MERCHANDISE
AMAZON MARKETPLACE NA PA
AMZN.COM/BILL
WA
MERCHANDISE</t>
  </si>
  <si>
    <t>5LEP5ML8CC0 MERCHANDISE
AMAZON.COM
AMZN.COM/BILL
WA
MERCHANDISE</t>
  </si>
  <si>
    <t>DNH*GODADDY#37832922Tempe               AZ</t>
  </si>
  <si>
    <t>3783292240 4805058855
Microsoft 365 Business Professional- Ren
Email - Archiving - Renewal
Microsoft 365 Email Backup - Renewal
DNH*GODADDY#3783292240
Tempe
AZ
Microsoft 365 Business Professional- Ren
Email - Archiving - Renewal
Microsoft 365 Email Backup - Renewal
4805058855</t>
  </si>
  <si>
    <t>TCKTWEB*ACEFREHLEYTHSAN FRANCISCO       CA</t>
  </si>
  <si>
    <t>589520177   800-965-4827
TCKTWEB*ACEFREHLEYTHEH Ticketweb
SAN FRANCISCO
CA
800-965-4827</t>
  </si>
  <si>
    <t>WI SPA              LOS ANGELES         CA</t>
  </si>
  <si>
    <t>2134872700
WI SPA
LOS ANGELES
CA
2134872700</t>
  </si>
  <si>
    <t>06/13/2025</t>
  </si>
  <si>
    <t>4N1EKDAMC4J MERCHANDISE
AMAZON MARKETPLACE NA PA
AMZN.COM/BILL
WA
MERCHANDISE</t>
  </si>
  <si>
    <t>DNH*GODADDY#37821790Tempe               AZ</t>
  </si>
  <si>
    <t>3782179092 4805058855
Business Professional  - Renewal - month
Email - Archiving - Renewal
Microsoft 365 Email Backup - Renewal
DNH*GODADDY#3782179092
Tempe
AZ
Business Professional  - Renewal - month
Email - Archiving - Renewal
Microsoft 365 Email Backup - Renewal
4805058855</t>
  </si>
  <si>
    <t>IKEA.COM            BALTIMORE           MD</t>
  </si>
  <si>
    <t>477061419  477061419        21236
FURNITURE/LAMP/LIGHTING
IKEA.COM
BALTIMORE
MD
FURNITURE/LAMP/LIGHTING
477061419        21236</t>
  </si>
  <si>
    <t>85189935164800-418-4452
PROPERTYBLAST.COM
800-418-4452
FL
800-418-4452</t>
  </si>
  <si>
    <t>06/12/2025</t>
  </si>
  <si>
    <t>H09Z2UZUXRM MERCHANDISE
AMAZON MARKETPLACE NA PA
AMZN.COM/BILL
WA
MERCHANDISE</t>
  </si>
  <si>
    <t>P37A1A0A4A  CABLE &amp; PAY TV
SPOTIFY USA
NEW YORK
NY
CABLE &amp; PAY TV</t>
  </si>
  <si>
    <t>06/11/2025</t>
  </si>
  <si>
    <t>DNH*GODADDY#37796865Tempe               AZ</t>
  </si>
  <si>
    <t>3779686562 4805058855
Email Essentials  - Renewal - monthly
Email - Archiving - Renewal
DNH*GODADDY#3779686562
Tempe
AZ
Email Essentials  - Renewal - monthly
Email - Archiving - Renewal
4805058855</t>
  </si>
  <si>
    <t>######SOayr DIGITAL GOODS: APPS
ONSTAR, LLC
DETROIT
MI
DIGITAL GOODS: APPS</t>
  </si>
  <si>
    <t>06/10/2025</t>
  </si>
  <si>
    <t>99999995161 3109813004
TST* THE BUTCHER'S DAUGHT 300523174
VENICE
CA
Description : RESTAURANTS Price : 1.274
3109813004</t>
  </si>
  <si>
    <t>P-04125451  MEMBERSHIP
VIMEO PRO
212-625-0668
NY
MEMBERSHIP</t>
  </si>
  <si>
    <t>06/09/2025</t>
  </si>
  <si>
    <t>CH_3RYCEXJN +13104500600
INFUSE  DR. BULL
WEST HOLLYWOOD
CA
+13104500600</t>
  </si>
  <si>
    <t>99999995160 3109813004
TST* THE BUTCHER'S DAUGHT 300523174
VENICE
CA
Description : RESTAURANTS Price : 0.4986
3109813004</t>
  </si>
  <si>
    <t>06/08/2025</t>
  </si>
  <si>
    <t>10045517   8007467287
PHARMACIES
CVS PHARMACY
LOS ANGELES
CA
PHARMACIES
8007467287</t>
  </si>
  <si>
    <t>M&amp;B PHO SHOW INC 000CULVER CITY         CA</t>
  </si>
  <si>
    <t>41800044    310-398-5200
M&amp;B PHO SHOW INC 0000
CULVER CITY
CA
Description : FOOD/BEVERAGE Price : 0.00
310-398-5200</t>
  </si>
  <si>
    <t>CH_3RXT1RC6 +14158799686
OPENAI *CHATGPT SUBSCR
SAN FRANCISCO
CA
+14158799686</t>
  </si>
  <si>
    <t>99999995159 4242318000
TST* CAFE GRATITUDE - VEN 300545147
VENICE
CA
Description : RESTAURANTS Price : 1.8258
4242318000</t>
  </si>
  <si>
    <t>88348181    800-955-6821
XL TECHNOLOGIES LLC
SARASOTA
FL
Description : COMPUTER DATA PROCE Price : 0.00
800-955-6821</t>
  </si>
  <si>
    <t>06/07/2025</t>
  </si>
  <si>
    <t>DNH*GODADDY#37749193Tempe               AZ</t>
  </si>
  <si>
    <t>3774919352 4805058855
Microsoft 365 Email Plus- Renewal - mont
DNH*GODADDY#3774919352
Tempe
AZ
Microsoft 365 Email Plus- Renewal - mont
4805058855</t>
  </si>
  <si>
    <t>HANDY J CAR WASH 650LOS ANGELES         CA</t>
  </si>
  <si>
    <t>10156320250 3103986211
HANDY J CAR WASH 650000013216208
LOS ANGELES
CA
Description : CAR WASHES Price : 0.68
3103986211</t>
  </si>
  <si>
    <t>5IQ18GVU2G2 squareup.com/receipts
MOON JUICE
Venice
CA
squareup.com/receipts</t>
  </si>
  <si>
    <t>HBj6GHsbZgP squareup.com/receipts
PAYA THAI LA LLC. BLUE LOTUS MASSAGE.
LOS ANGELES
CA
squareup.com/receipts</t>
  </si>
  <si>
    <t>CH_3RXTGMKE +12066576177
READ - MEETING MANAGER
SEATTLE
WA
+12066576177</t>
  </si>
  <si>
    <t>10156320250 3103914148
VENICE LIQUOR 650000012414564
LOS ANGELES
CA
Description : PACKAGE STORE-BEER/ Price : 0.1275
3103914148</t>
  </si>
  <si>
    <t>10156320250 3103914148
VENICE LIQUOR 650000012414564
LOS ANGELES
CA
Description : PACKAGE STORE-BEER/ Price : 0.1512
3103914148</t>
  </si>
  <si>
    <t>06/06/2025</t>
  </si>
  <si>
    <t>zla2MdosNPl squareup.com/receipts
ALANA'S COFFEE ROASTERS
Los Angeles
CA
squareup.com/receipts</t>
  </si>
  <si>
    <t>600MO09Y3B6 MERCHANDISE
AMAZON MARKETPLACE NA PA
AMZN.COM/BILL
WA
MERCHANDISE</t>
  </si>
  <si>
    <t>AMAZON PRIME*N62MH49AMZN.COM/BILL       WA</t>
  </si>
  <si>
    <t>4E8QUGGD5IH DIGITAL
AMAZON PRIME*N62MH49U0
AMZN.COM/BILL
WA
DIGITAL</t>
  </si>
  <si>
    <t>1CBQQ94TU7X SUBSCRIPTION
Amazon Prime
Amazon.com
WA
SUBSCRIPTION</t>
  </si>
  <si>
    <t>CH_3RWVFEBS +16502003351
BRAVE.COM
SAN FRANCISCO
CA
+16502003351</t>
  </si>
  <si>
    <t>CH_3RWXSPJL +18882730423
CREXI
LOS ANGELES
CA
+18882730423</t>
  </si>
  <si>
    <t>DNH*GODADDY#37736901Tempe               AZ</t>
  </si>
  <si>
    <t>3773690190 4805058855
Microsoft 365 Business Professional- Ren
Email - Archiving - Renewal
Microsoft 365 Email Backup - Renewal
DNH*GODADDY#3773690190
Tempe
AZ
Microsoft 365 Business Professional- Ren
Email - Archiving - Renewal
Microsoft 365 Email Backup - Renewal
4805058855</t>
  </si>
  <si>
    <t>LARES RESTAURANT    SANTA MONICA        CA</t>
  </si>
  <si>
    <t>85197015159 310-829-4550
LARES RESTAURANT
SANTA MONICA
CA
310-829-4550</t>
  </si>
  <si>
    <t>STARBUCKS STORE 2264LOS ANGELES         CA</t>
  </si>
  <si>
    <t>077A60281C9 FAST FOOD RESTAURANT
STARBUCKS STORE 2264
LOS ANGELES
CA
FAST FOOD RESTAURANT</t>
  </si>
  <si>
    <t>06/05/2025</t>
  </si>
  <si>
    <t>99999995156 8177278939
ALPHAGRAPHICS US 607 000000001
WEATHERFORD
TX
Description : REFER TO RECEIPT Price : 0.00
8177278939</t>
  </si>
  <si>
    <t>2BY3G704POI MERCHANDISE
AMAZON MARKETPLACE NA PA
AMZN.COM/BILL
WA
MERCHANDISE</t>
  </si>
  <si>
    <t xml:space="preserve">R/A# 147528404   800-621-2844
BUDGET RENT A CAR
COLUMBUS
OH
</t>
  </si>
  <si>
    <t>DNH*GODADDY#37723686Tempe               AZ</t>
  </si>
  <si>
    <t>3772368661 4805058855
Email Essentials  - Renewal - monthly
Email - Archiving - Renewal
Microsoft 365 Email Backup - Renewal
DNH*GODADDY#3772368661
Tempe
AZ
Email Essentials  - Renewal - monthly
Email - Archiving - Renewal
Microsoft 365 Email Backup - Renewal
4805058855</t>
  </si>
  <si>
    <t>DRURY PLAZA HOTEL CLCLEVELAND           OH</t>
  </si>
  <si>
    <t xml:space="preserve">HNN95K7BZ   216-357-3100
LODGING
DRURY PLAZA HOTEL CLEVELAND DRURY PLAZ
CLEVELAND
OH
</t>
  </si>
  <si>
    <t xml:space="preserve">GX6PFSCWX   216-357-3100
LODGING
DRURY PLAZA HOTEL CLEVELAND DRURY PLAZ
CLEVELAND
OH
</t>
  </si>
  <si>
    <t xml:space="preserve">56888       803-779-7779
LODGING
GRADUATE COLUMBUS GRADUATE COLUMB
COLUMBUS
OH
</t>
  </si>
  <si>
    <t>20660      20660            44135
STARBUCKS C
CLEVELAND
OH
20660            44135</t>
  </si>
  <si>
    <t>TST* DONS LIGHTHOUSECLEVELAND           OH</t>
  </si>
  <si>
    <t>21105175157 RESTAURANT
TST* DONS LIGHTHOUSE 00183339
CLEVELAND
OH
RESTAURANT</t>
  </si>
  <si>
    <t>TST* DRURY HOTELS  CCLEVELAND           OH</t>
  </si>
  <si>
    <t>99999995156 2163573100
TST* DRURY HOTELS  CLV  C 300605112
CLEVELAND
OH
Description : BARS Price : 0.0859
2163573100</t>
  </si>
  <si>
    <t>99999995156 6144841900
TST* GRADUATE HOTELS - CO 300563283
COLUMBUS
OH
Description : RESTAURANTS Price : 0.0576
6144841900</t>
  </si>
  <si>
    <t>21105175157 RESTAURANT
TST* TAVERNA AT THE MAR V 00207350
LOS ANGELES
CA
RESTAURANT</t>
  </si>
  <si>
    <t>10156320250 3103914148
VENICE LIQUOR 650000012414564
LOS ANGELES
CA
Description : PACKAGE STORE-BEER/ Price : 0.2063
3103914148</t>
  </si>
  <si>
    <t>06/04/2025</t>
  </si>
  <si>
    <t>BLUE AGAVE 0000     CLEVELAND           OH</t>
  </si>
  <si>
    <t>48700083    216-677-2832
BLUE AGAVE 0000
CLEVELAND
OH
Description : FOOD/BEVERAGE Price : 0.00
216-677-2832</t>
  </si>
  <si>
    <t>BP#8989931SANDUSKY CFOSTORIA            OH</t>
  </si>
  <si>
    <t>00005890   00005890         44830
General Merchandise
BP#8989931SANDUSKY CARRY 8989
FOSTORIA
OH
General Merchandise
00005890         44830</t>
  </si>
  <si>
    <t>DNH*GODADDY#37711192Tempe               AZ</t>
  </si>
  <si>
    <t>3771119276 4805058855
Business Enterprise - Renewal - 1 month
Email - Archiving - Renewal
Microsoft 365 Email Backup - Renewal
DNH*GODADDY#3771119276
Tempe
AZ
Business Enterprise - Renewal - 1 month
Email - Archiving - Renewal
Microsoft 365 Email Backup - Renewal
4805058855</t>
  </si>
  <si>
    <t>NATIVE COLD PRESSED Columbus            OH</t>
  </si>
  <si>
    <t>PvSDKEhUlFJ squareup.com/receipts
NATIVE COLD PRESSED
Columbus
OH
squareup.com/receipts</t>
  </si>
  <si>
    <t>RIO FRESH CAFE II LLColumbus            OH</t>
  </si>
  <si>
    <t>f5DTq8YJ0sv squareup.com/receipts
RIO FRESH CAFE II LLC
Columbus
OH
squareup.com/receipts</t>
  </si>
  <si>
    <t>SOUTH VILLAGE GRILLECOLUMBUS            OH</t>
  </si>
  <si>
    <t>730110051561                43206
SOUTH VILLAGE GRILLE 068880021813893
COLUMBUS
OH
1                43206</t>
  </si>
  <si>
    <t>SPEEDWAY            1-800-643-1949      OH</t>
  </si>
  <si>
    <t>00045236001 4192212262
SPEEDWAY
1-800-643-1949
OH
Description : AUTOMATED FUEL Price : 0.2606
4192212262</t>
  </si>
  <si>
    <t>UNITED AIRLINES     HOUSTON             TX</t>
  </si>
  <si>
    <t>15686084    WWW.UNITED.COM
PREFERRED SEAT UPGRADE
UNITED AIRLINES
HOUSTON
TX
Carrier : UNITED AIRLINES
Passenger Name : DUNNING   /ECONOMY PLUS S
Ticket Number : 01643023824002
Departure Day : 06/05
Additional Info : PREFERRED SEAT UPGRADE
"From : CLEVELAND, OHIO,US"
To : LOS ANGELES INTERN</t>
  </si>
  <si>
    <t>06/03/2025</t>
  </si>
  <si>
    <t>ALAMO TOLL          MESA                AZ</t>
  </si>
  <si>
    <t>T197236512  877-860-1284
ALAMO TOLL
MESA
AZ
Description : ALAMOTOLL 960855278 Price : 0.00
877-860-1284</t>
  </si>
  <si>
    <t>NUGA1M2LJKN MERCHANDISE
AMAZON MARKETPLACE NA PA
AMZN.COM/BILL
WA
MERCHANDISE</t>
  </si>
  <si>
    <t>MAHKM4U3WJY MERCHANDISE
AMAZON MARKETPLACE NA PA
AMZN.COM/BILL
WA
MERCHANDISE</t>
  </si>
  <si>
    <t>CH_2RW1K23T +18004304095
CONTACTS+
HUNTINGTON BEACH
CA
+18004304095</t>
  </si>
  <si>
    <t>LS SAMSON MENS EMPORCOLUMBUS            OH</t>
  </si>
  <si>
    <t>CH_3RW3WBFF +16145048038
LS SAMSON MENS EMPORI
COLUMBUS
OH
+16145048038</t>
  </si>
  <si>
    <t>CH_3RW3YEFF +16145048038
LS SAMSON MENS EMPORI
COLUMBUS
OH
+16145048038</t>
  </si>
  <si>
    <t>CH_3RW8ZZCY +18884092298
SALESMESSAGE.COM
DELRAY BEACH
FL
+18884092298</t>
  </si>
  <si>
    <t>941239368   305-267-8510
STARBUCKS 85549 STARBUCKS 85549
LOS ANGELES
CA
305-267-8510</t>
  </si>
  <si>
    <t>Starbucks PS CMH    Columbus            OH</t>
  </si>
  <si>
    <t>14213      14213            43219
Starbucks PS CMH
Columbus
OH
14213            43219</t>
  </si>
  <si>
    <t>TST* LAUGH FACTORY -LOS ANGELES         CA</t>
  </si>
  <si>
    <t>99999995154 3238482800
TST* LAUGH FACTORY - HOLL 300525726
LOS ANGELES
CA
Description : BARS Price : 1.3745
3238482800</t>
  </si>
  <si>
    <t>UEP*THE 698 RESTAURACOLUMBUS            OH</t>
  </si>
  <si>
    <t>99999995154 6145560627
UEP*THE 698 RESTAURANT 000005535
COLUMBUS
OH
Description : RESTAURANTS Price : 0.80
6145560627</t>
  </si>
  <si>
    <t>06/02/2025</t>
  </si>
  <si>
    <t>3JMBZD3OY07 MERCHANDISE
AMAZON MARKETPLACE NA PA
AMZN.COM/BILL
WA
MERCHANDISE</t>
  </si>
  <si>
    <t>K6JWPY84OX0 MERCHANDISE
AMAZON MARKETPLACE NA PA
AMZN.COM/BILL
WA
MERCHANDISE</t>
  </si>
  <si>
    <t>748GBZRFRXO MERCHANDISE
AMAZON.COM
AMZN.COM/BILL
WA
MERCHANDISE</t>
  </si>
  <si>
    <t>6AL3NN6NDXV MERCHANDISE
AMAZON.COM
AMZN.COM/BILL
WA
MERCHANDISE</t>
  </si>
  <si>
    <t>060709      AIRLINE/AIR CARRIER
PASSENGER TICKET
PwP    AMERICAN EXPRESS TRAVEL
SEATTLE
WA
Carrier : AMERICAN AIRLINES
Passenger Name : DUNNING/JOHN BARKER
Ticket Number : 00172645960664
Departure Day : 06/03
Additional Info : PASSENGER TICKET
From : LOS ANGELES INTERN
To : COLUMBUS PORT COLU
Class : S</t>
  </si>
  <si>
    <t>060709      AIRLINE/AIR CARRIER
PASSENGER TICKET
PwP    AMERICAN EXPRESS TRAVEL
SEATTLE
WA
Carrier : UNITED AIRLINES
Passenger Name : DUNNING/JOHN BARKER
Ticket Number : 01672646000185
Departure Day : 06/05
Additional Info : PASSENGER TICKET
"From : CLEVELAND, OHIO,US"
To : LOS ANGELES INTERN
Class : U</t>
  </si>
  <si>
    <t xml:space="preserve">GRADUATE BY TRAVEL
LODGING
PwP    AMEXTRAVEL.COM
800-297-2977
WA
</t>
  </si>
  <si>
    <t>06/01/2025</t>
  </si>
  <si>
    <t>71094475152 310-836-8000
ABC*ICONFIT
LOS ANGELES
CA
310-836-8000</t>
  </si>
  <si>
    <t>tCCUHGz1KHs squareup.com/receipts
ALANA'S COFFEE ROASTERS
Los Angeles
CA
squareup.com/receipts</t>
  </si>
  <si>
    <t>3FDXT233WUU MERCHANDISE
AMAZON MARKETPLACE NA PA
AMZN.COM/BILL
WA
MERCHANDISE</t>
  </si>
  <si>
    <t>4B0ZP4R6GFE MERCHANDISE
AMAZON MARKETPLACE NA PA
AMZN.COM/BILL
WA
MERCHANDISE</t>
  </si>
  <si>
    <t>4N16BZLURWO MERCHANDISE
AMAZON.COM
AMZN.COM/BILL
WA
MERCHANDISE</t>
  </si>
  <si>
    <t>DNH*GODADDY#37675720Tempe               AZ</t>
  </si>
  <si>
    <t>3767572079 4805058855
Business Professional  - Renewal - month
Email - Archiving - Renewal
Microsoft 365 Email Backup - Renewal
DNH*GODADDY#3767572079
Tempe
AZ
Business Professional  - Renewal - month
Email - Archiving - Renewal
Microsoft 365 Email Backup - Renewal
4805058855</t>
  </si>
  <si>
    <t>EVERLANE* R256818126SAN FRANCISCO       CA</t>
  </si>
  <si>
    <t>CH_3RVK1Q2Y +18587358007
EVERLANE* R256818126
SAN FRANCISCO
CA
+18587358007</t>
  </si>
  <si>
    <t>CH_3RVCGID0 +16780000000
LOOM SUBSCRIPTION
AUSTIN
TX
+16780000000</t>
  </si>
  <si>
    <t>SP AVIATOR NATION   VENICE              CA</t>
  </si>
  <si>
    <t>CH_3RVJKAIA +13103969100
SP AVIATOR NATION
VENICE
CA
+13103969100</t>
  </si>
  <si>
    <t>21105175153 RESTAURANT
TST* BLUEYS KITCHEN MAR V 00098618
LOS ANGELES
CA
RESTAURANT</t>
  </si>
  <si>
    <t>05/31/2025</t>
  </si>
  <si>
    <t>5484MMV5CL9 MERCHANDISE
AMAZON.COM
AMZN.COM/BILL
WA
MERCHANDISE</t>
  </si>
  <si>
    <t>CH_3RUZK0B7 +13854834872
SPONSORCLOUD (SYNPRO)
SALT LAKE CITY
UT
+13854834872</t>
  </si>
  <si>
    <t>05/30/2025</t>
  </si>
  <si>
    <t>13I3QG4G2DI MERCHANDISE
AMAZON MARKETPLACE NA PA
AMZN.COM/BILL
WA
MERCHANDISE</t>
  </si>
  <si>
    <t>21105175151 RESTAURANT
TST* TAVERNA AT THE MAR V 00207350
LOS ANGELES
CA
RESTAURANT</t>
  </si>
  <si>
    <t>VENICE SMOKES 580400LOS ANGELES         CA</t>
  </si>
  <si>
    <t>73011005150 VENICESMOKES@GMAIL.CO
VENICESMOKES@GMAIL.COM
VENICE SMOKES 580400000008003
LOS ANGELES
CA
VENICESMOKES@GMAIL.COM</t>
  </si>
  <si>
    <t>05/29/2025</t>
  </si>
  <si>
    <t>T196639899  877-860-1284
ALAMO TOLL
MESA
AZ
Description : ALAMOTOLL 960710014 Price : 0.00
877-860-1284</t>
  </si>
  <si>
    <t>503OFDNSWD4 MERCHANDISE
AMAZON.COM
AMZN.COM/BILL
WA
MERCHANDISE</t>
  </si>
  <si>
    <t>GREEN TEMPE         TEMPE               AZ</t>
  </si>
  <si>
    <t>V4jOsGrX8Fq squareup.com/receipts
GREEN TEMPE
TEMPE
AZ
squareup.com/receipts</t>
  </si>
  <si>
    <t>HILLSIDE SPOT 650000PHOENIX             AZ</t>
  </si>
  <si>
    <t>10156320250 4807057768
HILLSIDE SPOT 650000012499649
PHOENIX
AZ
4807057768</t>
  </si>
  <si>
    <t>NATURAL LIFE 6905501TEMPE               AZ</t>
  </si>
  <si>
    <t>73011695149 NL1023@NATURALLIFEFRA
NL1023@NATURALLIFEFRANCHI
NATURAL LIFE 690550110127639
TEMPE
AZ
NL1023@NATURALLIFEFRANCHI</t>
  </si>
  <si>
    <t>CH_3RUCQKC6 +14158799686
OPENAI *CHATGPT SUBSCR
SAN FRANCISCO
CA
+14158799686</t>
  </si>
  <si>
    <t>QT 1402 OUTSIDE/QUIKPHOENIX             AZ</t>
  </si>
  <si>
    <t>014020384SQ FUEL OUTSIDE
QT 1402 OUTSIDE/QUIKTRIP 554201402
PHOENIX
AZ
Description : QUIKTRIP Price : 0.4575
Description : TAX Price : 0.1708
FUEL OUTSIDE</t>
  </si>
  <si>
    <t>TST* MAD HATTER KAVAPHOENIX             AZ</t>
  </si>
  <si>
    <t>21105175150 RESTAURANT
TST* MAD HATTER KAVA- PHO 00214044
PHOENIX
AZ
RESTAURANT</t>
  </si>
  <si>
    <t>05/28/2025</t>
  </si>
  <si>
    <t>564HQGANQ1A MERCHANDISE
AMAZON MARKETPLACE NA PA
AMZN.COM/BILL
WA
MERCHANDISE</t>
  </si>
  <si>
    <t>17ZRYEKJET0 MERCHANDISE
AMAZON MARKETPLACE NA PA
AMZN.COM/BILL
WA
MERCHANDISE</t>
  </si>
  <si>
    <t>AMERICAN AIRLINES 45DALLAS              TX</t>
  </si>
  <si>
    <t>20250529    AA.COM
MISCELLANEOUS TAX(S)/FEE(S)
AMERICAN AIRLINES 45105104
DALLAS
TX
Carrier : AMERICAN AIRLINES
Passenger Name : DUNNING/JOHNBARK
Ticket Number : 0010627466809
Departure Day : 05/28
Additional Info : MISCELLANEOUS TAX(S)/FEE(S)</t>
  </si>
  <si>
    <t>DNH*GODADDY#37634142Tempe               AZ</t>
  </si>
  <si>
    <t>3763414252 4805058855
Professional Email -Team - 1 years
DNH*GODADDY#3763414252
Tempe
AZ
Professional Email -Team - 1 years
4805058855</t>
  </si>
  <si>
    <t>DUNKIN DONUT GROVE DDALLAS              TX</t>
  </si>
  <si>
    <t>1806432    1806432          75261
RESTAURANT
DUNKIN DONUT GROVE DFW 0925
DALLAS
TX
RESTAURANT
1806432          75261</t>
  </si>
  <si>
    <t>GROVE DFW RED MANGO DALLAS              TX</t>
  </si>
  <si>
    <t>1738614    1738614          75261
RESTAURANT
GROVE DFW RED MANGO 0925
DALLAS
TX
RESTAURANT
1738614          75261</t>
  </si>
  <si>
    <t>05/27/2025</t>
  </si>
  <si>
    <t>ALAMO RENT-A-C036110DALLAS              TX</t>
  </si>
  <si>
    <t xml:space="preserve">R/A# 960855278   833-6350437
ALAMO RENT-A-C036110 06050036110
DALLAS
TX
</t>
  </si>
  <si>
    <t>1S2NBVJEV25 MERCHANDISE
AMAZON MARKETPLACE NA PA
AMZN.COM/BILL
WA
MERCHANDISE</t>
  </si>
  <si>
    <t>56F9PMAK3GS MERCHANDISE
AMAZON.COM
AMZN.COM/BILL
WA
MERCHANDISE</t>
  </si>
  <si>
    <t>DNH*GODADDY#37629810Tempe               AZ</t>
  </si>
  <si>
    <t>3762981023 4805058855
Hosting - Web - Economy - Linux cPanel -
DNH*GODADDY#3762981023
Tempe
AZ
Hosting - Web - Economy - Linux cPanel -
4805058855</t>
  </si>
  <si>
    <t>GIBSONS ACE HARDWAREWEATHERFORD         TX</t>
  </si>
  <si>
    <t>34400129    817-594-8711
GIBSONS ACE HARDWARE 0000
WEATHERFORD
TX
Description : HARDWARE/TOOLS Price : 0.00
817-594-8711</t>
  </si>
  <si>
    <t>MALAI KITCHEN  FORT FORT WORTH          TX</t>
  </si>
  <si>
    <t>3015        2145997857
MALAI KITCHEN  FORT WORTH
FORT WORTH
TX
Description : N/A Price : 0.00
2145997857</t>
  </si>
  <si>
    <t>MR PUFF SMOKE SHOP  WEATHERFORD         TX</t>
  </si>
  <si>
    <t>85189935148832-898-4804
MR PUFF SMOKE SHOP
WEATHERFORD
TX
832-898-4804</t>
  </si>
  <si>
    <t>CH_3RTSG0AC +14158799686
OPENAI *CHATGPT SUBSCR
SAN FRANCISCO
CA
+14158799686</t>
  </si>
  <si>
    <t>CH_3RTOCCCF 3235775423
SPLICE.COM
NEW YORK
NY
3235775423</t>
  </si>
  <si>
    <t>05/26/2025</t>
  </si>
  <si>
    <t>5TPH42WX0X0 MERCHANDISE
AMAZON MARKETPLACE NA PA
AMZN.COM/BILL
WA
MERCHANDISE</t>
  </si>
  <si>
    <t>4EIH4LFYJT8 MERCHANDISE
AMAZON MARKETPLACE NA PA
AMZN.COM/BILL
WA
MERCHANDISE</t>
  </si>
  <si>
    <t>DNH*GODADDY#37615579Tempe               AZ</t>
  </si>
  <si>
    <t>3761557916 4805058855
COM Domain Name Renewal - 1 Year recur
Full Domain Protection - Renewal
DNH*GODADDY#3761557916
Tempe
AZ
COM Domain Name Renewal - 1 Year recur
Full Domain Protection - Renewal
4805058855</t>
  </si>
  <si>
    <t>EXXONMOBIL 4758     WEATHERFORD         TX</t>
  </si>
  <si>
    <t>00040605    817-613-9437
EXXONMOBIL 4758
WEATHERFORD
TX
Description : 001 Price : 0.00
817-613-9437</t>
  </si>
  <si>
    <t>THE HOME DEPOT      WEATHERFORD         TX</t>
  </si>
  <si>
    <t>05260651558 800-654-0688
THE HOME DEPOT
WEATHERFORD
TX
800-654-0688</t>
  </si>
  <si>
    <t>05/25/2025</t>
  </si>
  <si>
    <t>3OAV7A1DKI1 MERCHANDISE
AMAZON MARKETPLACE NA PA
AMZN.COM/BILL
WA
MERCHANDISE</t>
  </si>
  <si>
    <t>BEARCAT CAFE        JEFFERSON           LA</t>
  </si>
  <si>
    <t xml:space="preserve">85133315145 504-940-8735
BEARCAT CAFE
JEFFERSON
LA
</t>
  </si>
  <si>
    <t>DNH*GODADDY#37606538Tempe               AZ</t>
  </si>
  <si>
    <t>3760653867 4805058855
Email Plus  - Renewal - monthly
Email - Archiving - Renewal
DNH*GODADDY#3760653867
Tempe
AZ
Email Plus  - Renewal - monthly
Email - Archiving - Renewal
4805058855</t>
  </si>
  <si>
    <t>ENTERPRISE REN190049KENNER              LA</t>
  </si>
  <si>
    <t xml:space="preserve">R/A# 786298781   833-7890983
ENTERPRISE REN190049 06010190049
KENNER
LA
</t>
  </si>
  <si>
    <t>MAC MSY             Kenner              LA</t>
  </si>
  <si>
    <t>DR6JcG3xQqq squareup.com/receipts
MAC MSY
Kenner
LA
squareup.com/receipts</t>
  </si>
  <si>
    <t>PEPPERONIS CAFE 0688NEW ORLEANS         LA</t>
  </si>
  <si>
    <t>730110051450525010000022    70118
PEPPERONIS CAFE 068880021389690
NEW ORLEANS
LA
0525010000022    70118</t>
  </si>
  <si>
    <t>2ZGYJ6NOJTZ DIGITAL
PRIME VIDEO CHANNELS
AMZN.COM/BILL
WA
DIGITAL</t>
  </si>
  <si>
    <t>Starbucks B West MSYKenner              LA</t>
  </si>
  <si>
    <t>133711     133711           70062
Starbucks B West MSY
Kenner
LA
133711           70062</t>
  </si>
  <si>
    <t>05/24/2025</t>
  </si>
  <si>
    <t>AIRBOAT ADVENTURES  Lafitte             LA</t>
  </si>
  <si>
    <t>jlo32N5QhXP squareup.com/receipts
AIRBOAT ADVENTURES
Lafitte
LA
squareup.com/receipts</t>
  </si>
  <si>
    <t>TST* SABA - NEW ORLENEW ORLEANS         LA</t>
  </si>
  <si>
    <t>21105175145 RESTAURANT
TST* SABA - NEW ORLEANS 00045486
NEW ORLEANS
LA
RESTAURANT</t>
  </si>
  <si>
    <t>YVONNE LAFLEUR YOU BNEW ORLEANS         LA</t>
  </si>
  <si>
    <t>73011565145 DESIGNER@YVONNELAFLEU
DESIGNER@YVONNELAFLEUR.CO
YVONNE LAFLEUR YOU BOUTIQ 056317093655
NEW ORLEANS
LA
DESIGNER@YVONNELAFLEUR.CO</t>
  </si>
  <si>
    <t>05/23/2025</t>
  </si>
  <si>
    <t>AAA RELAXING STATIONNEW ORLEANS         LA</t>
  </si>
  <si>
    <t>00013281    626-475-3358
AAA RELAXING STATION LLC 0001
NEW ORLEANS
LA
Description : GENERAL MERCH Price : 0.00
626-475-3358</t>
  </si>
  <si>
    <t>74GL4O7KR1Z MERCHANDISE
AMAZON MARKETPLACE NA PA
AMZN.COM/BILL
WA
MERCHANDISE</t>
  </si>
  <si>
    <t>22D512M4ANG MERCHANDISE
AMAZON MARKETPLACE NA PA
AMZN.COM/BILL
WA
MERCHANDISE</t>
  </si>
  <si>
    <t>BACKATOWN           NEW ORLEANS         LA</t>
  </si>
  <si>
    <t>XNfbC2xnPJv squareup.com/receipts
BACKATOWN
NEW ORLEANS
LA
squareup.com/receipts</t>
  </si>
  <si>
    <t>DNH*GODADDY#37577243Tempe               AZ</t>
  </si>
  <si>
    <t>3757724392 4805058855
Business Enterprise - Renewal - 1 month
Email - Archiving - Renewal
Microsoft 365 Email Backup - Renewal
DNH*GODADDY#3757724392
Tempe
AZ
Business Enterprise - Renewal - 1 month
Email - Archiving - Renewal
Microsoft 365 Email Backup - Renewal
4805058855</t>
  </si>
  <si>
    <t>HEAVENS MOISTURE    New Orleans         LA</t>
  </si>
  <si>
    <t>jbTjEJqrck0 squareup.com/receipts
HEAVENS MOISTURE
New Orleans
LA
squareup.com/receipts</t>
  </si>
  <si>
    <t>TST* ANTOINES RESTAUNEW ORLEANS         LA</t>
  </si>
  <si>
    <t>00097087025 RESTAURANT
TST* ANTOINES RESTAURANT 00097087
NEW ORLEANS
LA
RESTAURANT</t>
  </si>
  <si>
    <t>TST* MEALS FROM THE NEW ORLEANS         LA</t>
  </si>
  <si>
    <t>99999995143 5042509691
TST* MEALS FROM THE HEART 300526831
NEW ORLEANS
LA
Description : RESTAURANTS Price : 1.2661
5042509691</t>
  </si>
  <si>
    <t>VOODOO AUTHENTICA INNEW ORLEANS         LA</t>
  </si>
  <si>
    <t>73011005143 (504)522-2111
VOODOO AUTHENTICA INC 948907146005447
NEW ORLEANS
LA
(504)522-2111</t>
  </si>
  <si>
    <t>05/22/2025</t>
  </si>
  <si>
    <t>ADMIRAL ENFORCEMENT NEW ORLEANS         LA</t>
  </si>
  <si>
    <t>CH_3RRLTBJO +18554657800
ADMIRAL ENFORCEMENT
NEW ORLEANS
LA
+18554657800</t>
  </si>
  <si>
    <t xml:space="preserve">R/A# 960710014   833-6350437
ALAMO RENT-A-C036110 06050036110
DALLAS
TX
</t>
  </si>
  <si>
    <t>20250521    AMERICAN AIR
EXCESS BAGGAGE
AMERICAN AIRLINES
800-433-7300
TX
Carrier : American Airlines
Passenger Name : ANGELA LISA DUNNING
Ticket Number : 0014461336889
Departure Day : 05/22
Additional Info : EXCESS BAGGAGE
From : DALLAS/FORT WORTH
To : NEW ORLEANS INTERN
Class : G
From : NEW ORLEANS INTERN
To : DALLAS/FORT WORTH
Class : G</t>
  </si>
  <si>
    <t>20250521    AMERICAN AIR
EXCESS BAGGAGE
AMERICAN AIRLINES
800-433-7300
TX
Carrier : American Airlines
Passenger Name : ANGELA LISA DUNNING
Ticket Number : 0014461336888
Departure Day : 05/22
Additional Info : EXCESS BAGGAGE
From : DALLAS/FORT WORTH
To : NEW ORLEANS INTERN
Class : G
From : NEW ORLEANS INTERN
To : DALLAS/FORT WORTH
Class : G</t>
  </si>
  <si>
    <t>DNH*GODADDY#37567776Tempe               AZ</t>
  </si>
  <si>
    <t>3756777689 4805058855
Professional Email - Individual - 1 year
DNH*GODADDY#3756777689
Tempe
AZ
Professional Email - Individual - 1 year
4805058855</t>
  </si>
  <si>
    <t>DNH*GODADDY#37568861Tempe               AZ</t>
  </si>
  <si>
    <t>3756886195 4805058855
Websites  Marketing Basic vNext Intl -
DNH*GODADDY#3756886195
Tempe
AZ
Websites  Marketing Basic vNext Intl -
4805058855</t>
  </si>
  <si>
    <t>HAPPY HOOKAH 631 650NEW ORLEANS         LA</t>
  </si>
  <si>
    <t>10156320250 5042962203
HAPPY HOOKAH 631 650000012639319
NEW ORLEANS
LA
Description : CIGAR STORES AND ST Price : 0.1145
5042962203</t>
  </si>
  <si>
    <t>OLD ABSINTHE HOUSE 2504-5240114         LA</t>
  </si>
  <si>
    <t>73011925143 MOURAD@RUEBOURBON.COM
OLD ABSINTHE HOUSE 221000000061580
504-5240114
LA
MOURAD@RUEBOURBON.COM</t>
  </si>
  <si>
    <t>PY *DKB GROUP LLC 00NEW ORLEANS         LA</t>
  </si>
  <si>
    <t>99999995143 8008001234
PY *DKB GROUP LLC 000002354
NEW ORLEANS
LA
8008001234</t>
  </si>
  <si>
    <t>05/21/2025</t>
  </si>
  <si>
    <t>637AHXX314K MERCHANDISE
AMAZON MARKETPLACE NA PA
AMZN.COM/BILL
WA
MERCHANDISE</t>
  </si>
  <si>
    <t>4DXW5J1M5CE MERCHANDISE
AMAZON MARKETPLACE NA PA
AMZN.COM/BILL
WA
MERCHANDISE</t>
  </si>
  <si>
    <t>AMERICAN AIRLINES 45800-433-7300        TX</t>
  </si>
  <si>
    <t>20250522    AA.COM
ADDITIONAL COLLECTION
AMERICAN AIRLINES 45107392
800-433-7300
TX
Carrier : AMERICAN AIRLINES
Passenger Name : SAUNDERS/TIMOTHY PHI
Ticket Number : 0010626996693
Departure Day : 05/21
Additional Info : ADDITIONAL COLLECTION</t>
  </si>
  <si>
    <t>20250522    AA.COM
ADDITIONAL COLLECTION
AMERICAN AIRLINES 45107392
800-433-7300
TX
Carrier : AMERICAN AIRLINES
Passenger Name : PEREZ/AVA YEMNA
Ticket Number : 0010626996691
Departure Day : 05/21
Additional Info : ADDITIONAL COLLECTION</t>
  </si>
  <si>
    <t>20250522    AA.COM
ADDITIONAL COLLECTION
AMERICAN AIRLINES 45107392
800-433-7300
TX
Carrier : AMERICAN AIRLINES
Passenger Name : DUNNING/JOHN BARKER
Ticket Number : 0010626996690
Departure Day : 05/21
Additional Info : ADDITIONAL COLLECTION</t>
  </si>
  <si>
    <t>20250522    AA.COM
ADDITIONAL COLLECTION
AMERICAN AIRLINES 45107392
800-433-7300
TX
Carrier : AMERICAN AIRLINES
Passenger Name : DUNNING/ANGELA LISA
Ticket Number : 0010626996689
Departure Day : 05/21
Additional Info : ADDITIONAL COLLECTION</t>
  </si>
  <si>
    <t>20250522    AA.COM
ADDITIONAL COLLECTION
AMERICAN AIRLINES 45107392
800-433-7300
TX
Carrier : AMERICAN AIRLINES
Passenger Name : SAUNDERS/JOE THOMAS
Ticket Number : 0010626996692
Departure Day : 05/21
Additional Info : ADDITIONAL COLLECTION</t>
  </si>
  <si>
    <t>05/20/2025</t>
  </si>
  <si>
    <t>R37FB9KIH51 MERCHANDISE
AMAZON MARKETPLACE NA PA
AMZN.COM/BILL
WA
MERCHANDISE</t>
  </si>
  <si>
    <t>BLU JASMINE 0000    HUDSON OAKS         TX</t>
  </si>
  <si>
    <t>39800032    817-599-3303
BLU JASMINE 0000
HUDSON OAKS
TX
Description : FOOD/BEVERAGE Price : 0.00
817-599-3303</t>
  </si>
  <si>
    <t>34179967    EMAIL MARKET
CAMPAIGNER SVC
888-845-4544
CA
EMAIL MARKET</t>
  </si>
  <si>
    <t>DNH*GODADDY#37538909Tempe               AZ</t>
  </si>
  <si>
    <t>3753890939 4805058855
Microsoft 365 Email Essentials - Renewal
Email - Archiving - Renewal
Microsoft 365 Email Backup - Renewal
DNH*GODADDY#3753890939
Tempe
AZ
Microsoft 365 Email Essentials - Renewal
Email - Archiving - Renewal
Microsoft 365 Email Backup - Renewal
4805058855</t>
  </si>
  <si>
    <t>05/19/2025</t>
  </si>
  <si>
    <t>XL8G77MYD0J MERCHANDISE
AMAZON MARKETPLACE NA PA
AMZN.COM/BILL
WA
MERCHANDISE</t>
  </si>
  <si>
    <t>PY *LAS PALMAS LUNCHDALLAS              TX</t>
  </si>
  <si>
    <t>99999995139 2145986419
PY *LAS PALMAS LUNCH AND 000015072
DALLAS
TX
2145986419</t>
  </si>
  <si>
    <t>99999995139 2148249933
TST* GRANADA THEATER 300569169
DALLAS
TX
Description : BARS Price : 0.5364
2148249933</t>
  </si>
  <si>
    <t>05/18/2025</t>
  </si>
  <si>
    <t>48KAH0Y8DUN MERCHANDISE
AMAZON MARKETPLACE NA PA
AMZN.COM/BILL
WA
MERCHANDISE</t>
  </si>
  <si>
    <t>7301CRNMKZ0 MERCHANDISE
AMAZON MARKETPLACE NA PA
AMZN.COM/BILL
WA
MERCHANDISE</t>
  </si>
  <si>
    <t>CHEVRON 0203569/CHEVDALLAS              TX</t>
  </si>
  <si>
    <t>00203569 69 SERVICE STN
CHEVRON 0203569/CHEVRON
DALLAS
TX
Description : CHEVRON Price : 0.00
Description : TAX Price : 0.00
SERVICE STN</t>
  </si>
  <si>
    <t>DNH*GODADDY#37515664Tempe               AZ</t>
  </si>
  <si>
    <t>3751566421 4805058855
Microsoft 365 Email Plus- Renewal - mont
Email - Archiving - Renewal
DNH*GODADDY#3751566421
Tempe
AZ
Microsoft 365 Email Plus- Renewal - mont
Email - Archiving - Renewal
4805058855</t>
  </si>
  <si>
    <t>THE DAMNED (COR)    NEW YORK            NY</t>
  </si>
  <si>
    <t>CH_3RQII9H4 +16502396947
THE DAMNED (COR)
NEW YORK
NY
+16502396947</t>
  </si>
  <si>
    <t>73056715139 TRXVANDC@GMAIL.COM
TRX VAPE AND CIGAR 567140115129713
DALLAS
TX
TRXVANDC@GMAIL.COM</t>
  </si>
  <si>
    <t>05/17/2025</t>
  </si>
  <si>
    <t>4VBHG2D0R0K MERCHANDISE
AMAZON MARKETPLACE NA PA
AMZN.COM/BILL
WA
MERCHANDISE</t>
  </si>
  <si>
    <t>DNH*GODADDY#37506600Tempe               AZ</t>
  </si>
  <si>
    <t>3750660027 4805058855
Email Essentials  - Renewal - monthly
Email - Archiving - Renewal
DNH*GODADDY#3750660027
Tempe
AZ
Email Essentials  - Renewal - monthly
Email - Archiving - Renewal
4805058855</t>
  </si>
  <si>
    <t>730110051380000061370       76164
HOTEL DROVER - CATERING 06888002166791
FORT WORTH
TX
0000061370       76164</t>
  </si>
  <si>
    <t xml:space="preserve">M13884      AUTOGRAPH
LODGING
HOTEL DROVER AUTOGRA
FORT WORTH
TX
</t>
  </si>
  <si>
    <t>MAVERICK FINE WESTERFORT WORTH          TX</t>
  </si>
  <si>
    <t>10156320250 8176261129
MAVERICK FINE WESTERN WEAR 65000001322
FORT WORTH
TX
Description : DEPARTMENT STORES Price : 3.6171
8176261129</t>
  </si>
  <si>
    <t>THE BRANDON LAW FIRMLANTANA             TX</t>
  </si>
  <si>
    <t>######RQYFS PROFESSIONAL SERVICE
THE BRANDON LAW FIRM PLL
LANTANA
TX
PROFESSIONAL SERVICE</t>
  </si>
  <si>
    <t>05/16/2025</t>
  </si>
  <si>
    <t>BEST BUY            WEATHERFORD         TX</t>
  </si>
  <si>
    <t>004701152   888BESTBUY
BEST BUY
WEATHERFORD
TX
Description : ELEC SLS Price : 0.00
888BESTBUY</t>
  </si>
  <si>
    <t>004701153   888BESTBUY
BEST BUY
WEATHERFORD
TX
Description : ELEC SLS Price : 0.00
888BESTBUY</t>
  </si>
  <si>
    <t>CH_3RPXMGDL +18884827768
LEV INC
NEW YORK
NY
+18884827768</t>
  </si>
  <si>
    <t>NORTHSIDE REMEDY 000WEATHERFORD         TX</t>
  </si>
  <si>
    <t>86100025    RESTAURANT
NORTHSIDE REMEDY 0000
WEATHERFORD
TX
Description : NORTHSIDE REMEDY Price : 0.00
RESTAURANT</t>
  </si>
  <si>
    <t>CH_2RPSMW04 +14154506060
SOCIALPILOT
LEWES
DE
+14154506060</t>
  </si>
  <si>
    <t>001575259   612-3044357
TARGET
WEATHERFORD
TX
Description : SEE INVOICE Price : 0.1267
612-3044357</t>
  </si>
  <si>
    <t>TST* BYBLOS MEDITERRFORT WORTH          TX</t>
  </si>
  <si>
    <t>21105175137 RESTAURANT
TST* BYBLOS MEDITERRANEAN 00210237
FORT WORTH
TX
RESTAURANT</t>
  </si>
  <si>
    <t>05/15/2025</t>
  </si>
  <si>
    <t>007105876   888BESTBUY
BEST BUY
WEATHERFORD
TX
Description : ELEC SLS Price : 0.00
888BESTBUY</t>
  </si>
  <si>
    <t>DNH*GODADDY#37480942Tempe               AZ</t>
  </si>
  <si>
    <t>3748094203 4805058855
Email Essentials  - Renewal - monthly
DNH*GODADDY#3748094203
Tempe
AZ
Email Essentials  - Renewal - monthly
4805058855</t>
  </si>
  <si>
    <t>######6f1gf MISC/SPECIALTY RETAIL
RAINRETAIL*MARTY PATS FRAME SHOPP
FORT WORTH
TX
MISC/SPECIALTY RETAIL</t>
  </si>
  <si>
    <t>71512CB5A58 FAST FOOD RESTAURANT
STARBUCKS STORE 6932
WEATHERFORD
TX
FAST FOOD RESTAURANT</t>
  </si>
  <si>
    <t>05/14/2025</t>
  </si>
  <si>
    <t>DNH*GODADDY#37471468Tempe               AZ</t>
  </si>
  <si>
    <t>3747146834 4805058855
Microsoft 365 Business Professional- Ren
Email - Archiving - Renewal
Microsoft 365 Email Backup - Renewal
DNH*GODADDY#3747146834
Tempe
AZ
Microsoft 365 Business Professional- Ren
Email - Archiving - Renewal
Microsoft 365 Email Backup - Renewal
4805058855</t>
  </si>
  <si>
    <t>05/13/2025</t>
  </si>
  <si>
    <t>847DLSNKUL7 MERCHANDISE
AMAZON MARKETPLACE NA PA
AMZN.COM/BILL
WA
MERCHANDISE</t>
  </si>
  <si>
    <t>DNH*GODADDY#37457237Tempe               AZ</t>
  </si>
  <si>
    <t>3745723771 4805058855
Business Professional  - Renewal - month
Email - Archiving - Renewal
Microsoft 365 Email Backup - Renewal
DNH*GODADDY#3745723771
Tempe
AZ
Business Professional  - Renewal - month
Email - Archiving - Renewal
Microsoft 365 Email Backup - Renewal
4805058855</t>
  </si>
  <si>
    <t>HARBOR FREIGHT TOOLSWEATHERFORD         TX</t>
  </si>
  <si>
    <t>00357863911 818-836-5000
HARBOR FREIGHT TOOLS 698 0000
WEATHERFORD
TX
Description : HARDWARE/TOOLS Price : 0.00
818-836-5000</t>
  </si>
  <si>
    <t>05130651547 800-654-0688
THE HOME DEPOT
WEATHERFORD
TX
800-654-0688</t>
  </si>
  <si>
    <t>05/12/2025</t>
  </si>
  <si>
    <t>AA LAX CURB         LOS ANGELES         CA</t>
  </si>
  <si>
    <t>xe9NoAAfDKd squareup.com/receipts
AA LAX CURB
LOS ANGELES
CA
squareup.com/receipts</t>
  </si>
  <si>
    <t>1kvduHpA7SQ squareup.com/receipts
ALANA'S COFFEE ROASTERS
Los Angeles
CA
squareup.com/receipts</t>
  </si>
  <si>
    <t>50CVTYVIA1O MERCHANDISE
AMAZON MARKETPLACE NA PA
AMZN.COM/BILL
WA
MERCHANDISE</t>
  </si>
  <si>
    <t>AMERICAN AIRLINES 05LOS ANGELES         CA</t>
  </si>
  <si>
    <t>20250513    AA.COM
EXCESS BAGGAGE
AMERICAN AIRLINES 05101106
LOS ANGELES
CA
Carrier : AMERICAN AIRLINES
Passenger Name : DUNNING/ANGELA LISA
Ticket Number : 0010270404187
Departure Day : 05/12
Additional Info : EXCESS BAGGAGE</t>
  </si>
  <si>
    <t>20250513    AA.COM
EXCESS BAGGAGE
AMERICAN AIRLINES 05101106
LOS ANGELES
CA
Carrier : AMERICAN AIRLINES
Passenger Name : DUNNING/JOHN BARKER
Ticket Number : 0010270404196
Departure Day : 05/12
Additional Info : EXCESS BAGGAGE</t>
  </si>
  <si>
    <t>20250513    AA.COM
EXCESS BAGGAGE
AMERICAN AIRLINES 05101106
LOS ANGELES
CA
Carrier : AMERICAN AIRLINES
Passenger Name : PEREZ/AVA YEMNA
Ticket Number : 0010270404210
Departure Day : 05/12
Additional Info : EXCESS BAGGAGE</t>
  </si>
  <si>
    <t>20250513    AA.COM
EXCESS BAGGAGE
AMERICAN AIRLINES 05101106
LOS ANGELES
CA
Carrier : AMERICAN AIRLINES
Passenger Name : SAUNDERS/JOE THOMAS
Ticket Number : 0010270404214
Departure Day : 05/12
Additional Info : EXCESS BAGGAGE</t>
  </si>
  <si>
    <t>LAX AIRP CROWNS LAX LOS ANGELES         CA</t>
  </si>
  <si>
    <t>000014433   305-267-8510
LAX AIRP CROWNS LAX T4 LAX AIRP CROWNS
LOS ANGELES
CA
305-267-8510</t>
  </si>
  <si>
    <t>99999995133 2145986419
PY *LAS PALMAS LUNCH AND 000015072
DALLAS
TX
2145986419</t>
  </si>
  <si>
    <t>P36BBBC39D  CABLE &amp; PAY TV
SPOTIFY USA
NEW YORK
NY
CABLE &amp; PAY TV</t>
  </si>
  <si>
    <t>99999995132 4242318000
TST* CAFE GRATITUDE - VEN 300545147
VENICE
CA
Description : RESTAURANTS Price : 1.1551
4242318000</t>
  </si>
  <si>
    <t>05/11/2025</t>
  </si>
  <si>
    <t>63U6AWNLH0K MERCHANDISE
AMAZON MARKETPLACE NA PA
AMZN.COM/BILL
WA
MERCHANDISE</t>
  </si>
  <si>
    <t>20250512    AA.COM
ADDITIONAL COLLECTION
AMERICAN AIRLINES 45107392
800-433-7300
TX
Carrier : AMERICAN AIRLINES
Passenger Name : SAUNDERS/JOE THOMAS
Ticket Number : 0010626216758
Departure Day : 05/11
Additional Info : ADDITIONAL COLLECTION</t>
  </si>
  <si>
    <t>20250512    AA.COM
MISCELLANEOUS TAX(S)/FEE(S)
AMERICAN AIRLINES 45107392
800-433-7300
TX
Carrier : AMERICAN AIRLINES
Passenger Name : DUNNING/ANGELA LISA
Ticket Number : 0010626216755
Departure Day : 05/11
Additional Info : MISCELLANEOUS TAX(S)/FEE(S)</t>
  </si>
  <si>
    <t>20250512    AA.COM
MISCELLANEOUS TAX(S)/FEE(S)
AMERICAN AIRLINES 45107392
800-433-7300
TX
Carrier : AMERICAN AIRLINES
Passenger Name : PEREZ/AVA YEMNA
Ticket Number : 0010626216757
Departure Day : 05/11
Additional Info : MISCELLANEOUS TAX(S)/FEE(S)</t>
  </si>
  <si>
    <t>20250512    AA.COM
MISCELLANEOUS TAX(S)/FEE(S)
AMERICAN AIRLINES 45107392
800-433-7300
TX
Carrier : AMERICAN AIRLINES
Passenger Name : DUNNING/JOHN BARKER
Ticket Number : 0010626216756
Departure Day : 05/11
Additional Info : MISCELLANEOUS TAX(S)/FEE(S)</t>
  </si>
  <si>
    <t>10058300   8007467287
PHARMACIES
CVS PHARMACY
LOS ANGELES
CA
PHARMACIES
8007467287</t>
  </si>
  <si>
    <t>DNH*GODADDY#37433965Tempe               AZ</t>
  </si>
  <si>
    <t>3743396569 4805058855
Email Essentials  - Renewal - monthly
Email - Archiving - Renewal
DNH*GODADDY#3743396569
Tempe
AZ
Email Essentials  - Renewal - monthly
Email - Archiving - Renewal
4805058855</t>
  </si>
  <si>
    <t>L FLIPPIN VINTAGE RESANTA MONICA        CA</t>
  </si>
  <si>
    <t>57000001    310-418-2227
L FLIPPIN VINTAGE RETRO 0000
SANTA MONICA
CA
Description : APPAREL/ACCESSORIES Price : 0.00
310-418-2227</t>
  </si>
  <si>
    <t>######BdqYP DIGITAL GOODS: APPS
ONSTAR, LLC
DETROIT
MI
DIGITAL GOODS: APPS</t>
  </si>
  <si>
    <t>NOGxgc2sb8G squareup.com/receipts
THE HANGAR
Santa Monica
CA
squareup.com/receipts</t>
  </si>
  <si>
    <t>VONS #2270 2270     LOS ANGELES         CA</t>
  </si>
  <si>
    <t>22700001    800-898-4027
VONS #2270 2270
LOS ANGELES
CA
Description : GROCERIES/SUNDRIES Price : 0.00
800-898-4027</t>
  </si>
  <si>
    <t>05/10/2025</t>
  </si>
  <si>
    <t>1B3H4ORBKLK MERCHANDISE
AMAZON MARKETPLACE NA PA
AMZN.COM/BILL
WA
MERCHANDISE</t>
  </si>
  <si>
    <t>2PGMPQQNV3K MERCHANDISE
AMAZON MARKETPLACE NA PA
AMZN.COM/BILL
WA
MERCHANDISE</t>
  </si>
  <si>
    <t>Dt8rcmiKQwa squareup.com/receipts
PAYA THAI LA LLC
LOS ANGELES
CA
squareup.com/receipts</t>
  </si>
  <si>
    <t>P-03736630  MEMBERSHIP
VIMEO PRO
212-625-0668
NY
MEMBERSHIP</t>
  </si>
  <si>
    <t>05/09/2025</t>
  </si>
  <si>
    <t>7EOVXM2UBCM MERCHANDISE
AMAZON MARKETPLACE NA PA
AMZN.COM/BILL
WA
MERCHANDISE</t>
  </si>
  <si>
    <t>99999995129 4242318000
TST* CAFE GRATITUDE - VEN 300545147
VENICE
CA
Description : RESTAURANTS Price : 1.2758
4242318000</t>
  </si>
  <si>
    <t>05/08/2025</t>
  </si>
  <si>
    <t>55GQW4M3C8K MERCHANDISE
AMAZON MARKETPLACE NA PA
AMZN.COM/BILL
WA
MERCHANDISE</t>
  </si>
  <si>
    <t>CH_3RMEFUC6 +14158799686
OPENAI *CHATGPT SUBSCR
SAN FRANCISCO
CA
+14158799686</t>
  </si>
  <si>
    <t>83767199    800-955-6821
XL TECHNOLOGIES LLC
SARASOTA
FL
Description : COMPUTER DATA PROCE Price : 0.00
800-955-6821</t>
  </si>
  <si>
    <t>05/07/2025</t>
  </si>
  <si>
    <t>AIRBNB * HMMNAMP8KM SAN FRANCISCO       CA</t>
  </si>
  <si>
    <t>71MNTQY0    4158005959
AIRBNB * HMMNAMP8KM
SAN FRANCISCO
CA
4158005959</t>
  </si>
  <si>
    <t>5M4U6LFOYSP MERCHANDISE
AMAZON MARKETPLACE NA PA
AMZN.COM/BILL
WA
MERCHANDISE</t>
  </si>
  <si>
    <t>7E9EAKYUJ3E MERCHANDISE
AMAZON MARKETPLACE NA PA
AMZN.COM/BILL
WA
MERCHANDISE</t>
  </si>
  <si>
    <t>5CUNTZEW2EH MERCHANDISE
AMAZON MARKETPLACE NA PA
AMZN.COM/BILL
WA
MERCHANDISE</t>
  </si>
  <si>
    <t>DNH*GODADDY#37387975Tempe               AZ</t>
  </si>
  <si>
    <t>3738797547 4805058855
Microsoft 365 Email Plus- Renewal - mont
DNH*GODADDY#3738797547
Tempe
AZ
Microsoft 365 Email Plus- Renewal - mont
4805058855</t>
  </si>
  <si>
    <t>CH_3RMETUKE +12066576177
READ - MEETING MANAGER
SEATTLE
WA
+12066576177</t>
  </si>
  <si>
    <t>21105175128 RESTAURANT
TST* BLUEYS KITCHEN MAR V 00098618
LOS ANGELES
CA
RESTAURANT</t>
  </si>
  <si>
    <t>05/06/2025</t>
  </si>
  <si>
    <t>ALLAN JEFFRIES FRAMISANTA MONICA        CA</t>
  </si>
  <si>
    <t>30059392    310-453-1512
ALLAN JEFFRIES FRAMING S
SANTA MONICA
CA
Description : BUSINESS SERVICES Price : 0.00
310-453-1512</t>
  </si>
  <si>
    <t>AMAZON PRIME*NB2FR2DAMZN.COM/BILL       WA</t>
  </si>
  <si>
    <t>53SQZM1I454 DIGITAL
AMAZON PRIME*NB2FR2DM0
AMZN.COM/BILL
WA
DIGITAL</t>
  </si>
  <si>
    <t>6STA414CICE SUBSCRIPTION
Amazon Prime
Amazon.com
WA
SUBSCRIPTION</t>
  </si>
  <si>
    <t>CH_3RLGTNBS +16502003351
BRAVE.COM
SAN FRANCISCO
CA
+16502003351</t>
  </si>
  <si>
    <t>CH_3RLI4OJL +18882730423
CREXI
LOS ANGELES
CA
+18882730423</t>
  </si>
  <si>
    <t>DNH*GODADDY#37374988Tempe               AZ</t>
  </si>
  <si>
    <t>3737498879 4805058855
Microsoft 365 Business Professional- Ren
Email - Archiving - Renewal
Microsoft 365 Email Backup - Renewal
DNH*GODADDY#3737498879
Tempe
AZ
Microsoft 365 Business Professional- Ren
Email - Archiving - Renewal
Microsoft 365 Email Backup - Renewal
4805058855</t>
  </si>
  <si>
    <t>GDP=Universal Art Gavenice              CA</t>
  </si>
  <si>
    <t>31099535126 MISC/SPECIALTY RETAIL
GDP=Universal Art Gallery 00-080410688
venice
CA
MISC/SPECIALTY RETAIL</t>
  </si>
  <si>
    <t>05/05/2025</t>
  </si>
  <si>
    <t>3OGWIZPWTH0 MERCHANDISE
AMAZON MARKETPLACE NA PA
AMZN.COM/BILL
WA
MERCHANDISE</t>
  </si>
  <si>
    <t>10069545   8007467287
PHARMACIES
CVS PHARMACY
MARINA DEL REY
CA
PHARMACIES
8007467287</t>
  </si>
  <si>
    <t>DNH*GODADDY#37358457Tempe               AZ</t>
  </si>
  <si>
    <t>3735845717 4805058855
Email Essentials  - Renewal - monthly
Email - Archiving - Renewal
Microsoft 365 Email Backup - Renewal
DNH*GODADDY#3735845717
Tempe
AZ
Email Essentials  - Renewal - monthly
Email - Archiving - Renewal
Microsoft 365 Email Backup - Renewal
4805058855</t>
  </si>
  <si>
    <t>05/04/2025</t>
  </si>
  <si>
    <t>1QCPDZ34LHB MERCHANDISE
AMAZON MARKETPLACE NA PA
AMZN.COM/BILL
WA
MERCHANDISE</t>
  </si>
  <si>
    <t>1EYAFGPTQ9J MERCHANDISE
AMAZON.COM
AMZN.COM/BILL
WA
MERCHANDISE</t>
  </si>
  <si>
    <t>DNH*GODADDY#37351667Tempe               AZ</t>
  </si>
  <si>
    <t>3735166713 4805058855
Business Enterprise - Renewal - 1 month
Email - Archiving - Renewal
Microsoft 365 Email Backup - Renewal
DNH*GODADDY#3735166713
Tempe
AZ
Business Enterprise - Renewal - 1 month
Email - Archiving - Renewal
Microsoft 365 Email Backup - Renewal
4805058855</t>
  </si>
  <si>
    <t>######PTKu3 SPORTS CLOTHING
ON INC
PORTLAND
OR
SPORTS CLOTHING</t>
  </si>
  <si>
    <t>21105175125 RESTAURANT
TST* BLUEYS KITCHEN MAR V 00098618
LOS ANGELES
CA
RESTAURANT</t>
  </si>
  <si>
    <t>99999995124 4242318000
TST* CAFE GRATITUDE - VEN 300545147
VENICE
CA
Description : RESTAURANTS Price : 1.3139
4242318000</t>
  </si>
  <si>
    <t>05/03/2025</t>
  </si>
  <si>
    <t>75CVHIPNO1A MERCHANDISE
AMAZON MARKETPLACE NA PA
AMZN.COM/BILL
WA
MERCHANDISE</t>
  </si>
  <si>
    <t>CH_2RKMXY3T +18004304095
CONTACTS+
HUNTINGTON BEACH
CA
+18004304095</t>
  </si>
  <si>
    <t>30620155    310-850-1336
PACOS TACOS 0755
LOS ANGELES
CA
Description : FOOD/BEVERAGE Price : 0.00
310-850-1336</t>
  </si>
  <si>
    <t>CH_3RKUBJCY +18884092298
SALESMESSAGE.COM
DELRAY BEACH
FL
+18884092298</t>
  </si>
  <si>
    <t>STAPLES 00127       VENICE              CA</t>
  </si>
  <si>
    <t>000711875  00127000711875   90291
PUFFS ULT SFT FACIAL 3PK 124CT
SPLS 6OL POWERSTRIP 3FT BLACK
PHILIPS 6OL 1080J 10FT SURGE
IOTTIE ITAP3 MGSF VENT MOUNT
STAPLES 00127
VENICE
CA
PUFFS ULT SFT FACIAL 3PK 124CT
SPLS 6OL POWERSTRIP 3FT BLACK
PHILIPS 6OL 1080J 10FT SURGE
IOTTIE ITAP3 MGSF VENT MOUNT
00127000711875   90291</t>
  </si>
  <si>
    <t>000711874  00127000711874   90291
STAPLES FUNDED COUPON
THE DOTCOM SKU
STAPLES 00127
VENICE
CA
STAPLES FUNDED COUPON
THE DOTCOM SKU
00127000711874   90291</t>
  </si>
  <si>
    <t>30AC1EFDE29 FAST FOOD RESTAURANT
STARBUCKS STORE 0566
SANTA MONICA
CA
FAST FOOD RESTAURANT</t>
  </si>
  <si>
    <t>21105175123 RESTAURANT
TST* TAVERNA AT THE MAR V 00207350
LOS ANGELES
CA
RESTAURANT</t>
  </si>
  <si>
    <t>05/02/2025</t>
  </si>
  <si>
    <t>1MKJ2XHSK9Q MERCHANDISE
AMAZON MARKETPLACE NA PA
AMZN.COM/BILL
WA
MERCHANDISE</t>
  </si>
  <si>
    <t>5R0TOQ4IQVG MERCHANDISE
AMAZON.COM
AMZN.COM/BILL
WA
MERCHANDISE</t>
  </si>
  <si>
    <t>2W7RLTJF76D MERCHANDISE
AMAZON.COM
AMZN.COM/BILL
WA
MERCHANDISE</t>
  </si>
  <si>
    <t>5T2LB51NB65 MERCHANDISE
AMAZON.COM
AMZN.COM/BILL
WA
MERCHANDISE</t>
  </si>
  <si>
    <t>05/01/2025</t>
  </si>
  <si>
    <t>71094475121 310-836-8000
ABC*ICONFIT
LOS ANGELES
CA
310-836-8000</t>
  </si>
  <si>
    <t>63BZAVZBUON MERCHANDISE
AMAZON MARKETPLACE NA PA
AMZN.COM/BILL
WA
MERCHANDISE</t>
  </si>
  <si>
    <t>DNH*GODADDY#37318642Tempe               AZ</t>
  </si>
  <si>
    <t>3731864283 4805058855
Business Professional  - Renewal - month
Email - Archiving - Renewal
Microsoft 365 Email Backup - Renewal
DNH*GODADDY#3731864283
Tempe
AZ
Business Professional  - Renewal - month
Email - Archiving - Renewal
Microsoft 365 Email Backup - Renewal
4805058855</t>
  </si>
  <si>
    <t>LOOM SUBSCRIPTION   SAN FRANCISCO       CA</t>
  </si>
  <si>
    <t>CH_3RJXU1D0 +16780000000
LOOM SUBSCRIPTION
SAN FRANCISCO
CA
+16780000000</t>
  </si>
  <si>
    <t>TST* LIBERTY MARKET GILBERT             AZ</t>
  </si>
  <si>
    <t>21105175122 RESTAURANT
TST* LIBERTY MARKET - GIL 00061216
GILBERT
AZ
RESTAURANT</t>
  </si>
  <si>
    <t>TST* THAI SPICES 000MESA                AZ</t>
  </si>
  <si>
    <t>21105175122 RESTAURANT
TST* THAI SPICES 00069689
MESA
AZ
RESTAURANT</t>
  </si>
  <si>
    <t>04/30/2025</t>
  </si>
  <si>
    <t>1TS06WO9G2I MERCHANDISE
AMAZON MARKETPLACE NA PA
AMZN.COM/BILL
WA
MERCHANDISE</t>
  </si>
  <si>
    <t>6H0IX55K748 MERCHANDISE
AMAZON.COM
AMZN.COM/BILL
WA
MERCHANDISE</t>
  </si>
  <si>
    <t>CHEVRON 0388242/CHEVTEMPE               AZ</t>
  </si>
  <si>
    <t>00388242 42 CONVENIENCE STORE
CHEVRON 0388242/CHEVRON
TEMPE
AZ
Description : CHEVRON Price : 0.00
Description : TAX Price : 0.00
CONVENIENCE STORE</t>
  </si>
  <si>
    <t>CTLP*Funky Photo BooCHANDLER            AZ</t>
  </si>
  <si>
    <t>70400044    480-332-7555
CTLP*Funky Photo Booth 0000
CHANDLER
AZ
Description : FAST FOOD RESTAURAN Price : 0.00
480-332-7555</t>
  </si>
  <si>
    <t>MASSAGE 90210 565500CHANDLER            AZ</t>
  </si>
  <si>
    <t>73011565121 4805285201@ZBSSOLUTIO
4805285201@ZBSSOLUTIONS.C
MASSAGE 90210 565500000864583
CHANDLER
AZ
4805285201@ZBSSOLUTIONS.C</t>
  </si>
  <si>
    <t>MERCEDES BENZ OF AUSAUSTIN              TX</t>
  </si>
  <si>
    <t>CH_3RJDPCFZ 5122200940
MERCEDES BENZ OF AUSTI
AUSTIN
TX
5122200940</t>
  </si>
  <si>
    <t>THE NILE            Mesa                AZ</t>
  </si>
  <si>
    <t>vbgrGI3wYIj squareup.com/receipts
THE NILE
Mesa
AZ
squareup.com/receipts</t>
  </si>
  <si>
    <t>04/29/2025</t>
  </si>
  <si>
    <t>AXS.COM*TICKET RESALLOS ANGELES         CA</t>
  </si>
  <si>
    <t>90000000641 8889297849
AXS.COM*TICKET RESALE
LOS ANGELES
CA
8889297849</t>
  </si>
  <si>
    <t>CH_3RJKYDC6 +14158799686
OPENAI *CHATGPT SUBSCR
SAN FRANCISCO
CA
+14158799686</t>
  </si>
  <si>
    <t>04/28/2025</t>
  </si>
  <si>
    <t>04/27/2025</t>
  </si>
  <si>
    <t>4RL1I292ZUZ MERCHANDISE
AMAZON MARKETPLACE NA PA
AMZN.COM/BILL
WA
MERCHANDISE</t>
  </si>
  <si>
    <t>DNH*GODADDY#37270277Tempe               AZ</t>
  </si>
  <si>
    <t>3727027757 4805058855
Hosting - Web - Economy - Linux cPanel -
DNH*GODADDY#3727027757
Tempe
AZ
Hosting - Web - Economy - Linux cPanel -
4805058855</t>
  </si>
  <si>
    <t>CH_3RIZXEAC +14158799686
OPENAI *CHATGPT SUBSCR
SAN FRANCISCO
CA
+14158799686</t>
  </si>
  <si>
    <t>SPLICE.COM          NEW YORK CITY       NY</t>
  </si>
  <si>
    <t>CH_3RIWKACF 3235775423
SPLICE.COM
NEW YORK CITY
NY
3235775423</t>
  </si>
  <si>
    <t>04/26/2025</t>
  </si>
  <si>
    <t>JJKTL4Q240H MERCHANDISE
AMAZON MARKETPLACE NA PA
AMZN.COM/BILL
WA
MERCHANDISE</t>
  </si>
  <si>
    <t>04/25/2025</t>
  </si>
  <si>
    <t>DNH*GODADDY#37244423Tempe               AZ</t>
  </si>
  <si>
    <t>3724442338 4805058855
Business Enterprise - Renewal - 1 years
Email - Archiving - Renewal
Microsoft 365 Email Backup - Renewal
Email Plus  - Renewal - monthly
DNH*GODADDY#3724442338
Tempe
AZ
Business Enterprise - Renewal - 1 years
Email - Archiving - Renewal
Microsoft 365 Email Backup - Renewal
Email Plus  - Renewal - monthly
4805058855</t>
  </si>
  <si>
    <t>04/24/2025</t>
  </si>
  <si>
    <t>47G00SY2F7S MERCHANDISE
AMAZON MARKETPLACE NA PA
AMZN.COM/BILL
WA
MERCHANDISE</t>
  </si>
  <si>
    <t>29D4159BK55 MERCHANDISE
AMAZON MARKETPLACE NA PA
AMZN.COM/BILL
WA
MERCHANDISE</t>
  </si>
  <si>
    <t>PAYPAL *BIGBOYSBLAS 7275437907          FL</t>
  </si>
  <si>
    <t>10178567664 7275437907
PAYPAL *BIGBOYSBLAS
7275437907
FL
"Description : MANAGEMENT, CONSULT Price : 0.00"
7275437907</t>
  </si>
  <si>
    <t>85189935114800-418-4452
PROPERTYBLAST.COM
800-418-4452
FL
800-418-4452</t>
  </si>
  <si>
    <t>04/23/2025</t>
  </si>
  <si>
    <t>39GBYAGQK0T MERCHANDISE
AMAZON MARKETPLACE NA PA
AMZN.COM/BILL
WA
MERCHANDISE</t>
  </si>
  <si>
    <t>434PA8BDTEO MERCHANDISE
AMAZON MARKETPLACE NA PA
AMZN.COM/BILL
WA
MERCHANDISE</t>
  </si>
  <si>
    <t>DNH*GODADDY#37224430Tempe               AZ</t>
  </si>
  <si>
    <t>3722443006 4805058855
CO Domain Name Renewal - 1 Year recurr
COM Domain Name Renewal - 1 Year recur
Business Enterprise - Renewal - 1 month
Email - Archiving - Renewal
DNH*GODADDY#3722443006
Tempe
AZ
CO Domain Name Renewal - 1 Year recurr
COM Domain Name Renewal - 1 Year recur
Business Enterprise - Renewal - 1 month
Email - Archiving - Renewal
4805058855</t>
  </si>
  <si>
    <t>04/22/2025</t>
  </si>
  <si>
    <t>4ZNM0VX2PVI MERCHANDISE
AMAZON MARKETPLACE NA PA
AMZN.COM/BILL
WA
MERCHANDISE</t>
  </si>
  <si>
    <t>DNH*GODADDY#37212709Tempe               AZ</t>
  </si>
  <si>
    <t>3721270907 4805058855
COM Domain Name Renewal - 1 Year recur
Email Essentials  Email - Renewal - 1 Ye
Email - Archiving - Renewal
DNH*GODADDY#3721270907
Tempe
AZ
COM Domain Name Renewal - 1 Year recur
Email Essentials  Email - Renewal - 1 Ye
Email - Archiving - Renewal
4805058855</t>
  </si>
  <si>
    <t>04/21/2025</t>
  </si>
  <si>
    <t>VEUQBCZCRME MERCHANDISE
AMAZON MARKETPLACE NA PA
AMZN.COM/BILL
WA
MERCHANDISE</t>
  </si>
  <si>
    <t>DNH*GODADDY#37196458Tempe               AZ</t>
  </si>
  <si>
    <t>3719645814 4805058855
Email Essentials  - Renewal - 1 Year
Email - Archiving - Renewal
DNH*GODADDY#3719645814
Tempe
AZ
Email Essentials  - Renewal - 1 Year
Email - Archiving - Renewal
4805058855</t>
  </si>
  <si>
    <t>04/20/2025</t>
  </si>
  <si>
    <t>34176999    EMAIL MARKET
CAMPAIGNER SVC
888-845-4544
CA
EMAIL MARKET</t>
  </si>
  <si>
    <t>DNH*GODADDY#37189241Tempe               AZ</t>
  </si>
  <si>
    <t>3718924152 4805058855
COM Domain Name Renewal - 1 Year recur
Full Domain Privacy and Protection - Ren
Microsoft 365 Email Essentials - Renewal
Email - Archiving - Renewal
DNH*GODADDY#3718924152
Tempe
AZ
COM Domain Name Renewal - 1 Year recur
Full Domain Privacy and Protection - Ren
Microsoft 365 Email Essentials - Renewal
Email - Archiving - Renewal
4805058855</t>
  </si>
  <si>
    <t>04/19/2025</t>
  </si>
  <si>
    <t>DNH*GODADDY#37168869Tempe               AZ</t>
  </si>
  <si>
    <t>3716886957 4805058855
Email Essentials  - Renewal - 1 Year
DNH*GODADDY#3716886957
Tempe
AZ
Email Essentials  - Renewal - 1 Year
4805058855</t>
  </si>
  <si>
    <t>SUMUP*RIM TOURS SOC.FREGENE             IT</t>
  </si>
  <si>
    <t>8323531213  +393930393938
SUMUP*RIM TOURS SOC. COOP. A.R.L.
FREGENE
IT
+393930393938Foreign Spend Amount: 250.00 EURO Commission Amount:  Currency Exchange Rate: null</t>
  </si>
  <si>
    <t>04/18/2025</t>
  </si>
  <si>
    <t>DNH*GODADDY#37155844Tempe               AZ</t>
  </si>
  <si>
    <t>3715584468 4805058855
COM Domain Name Renewal - 1 Year recur
Full Domain Protection - Renewal
DNH*GODADDY#3715584468
Tempe
AZ
COM Domain Name Renewal - 1 Year recur
Full Domain Protection - Renewal
4805058855</t>
  </si>
  <si>
    <t>04/17/2025</t>
  </si>
  <si>
    <t>2P0LKTY6Q0K MERCHANDISE
AMAZON MARKETPLACE NA PA
AMZN.COM/BILL
WA
MERCHANDISE</t>
  </si>
  <si>
    <t>DNH*GODADDY#37132108Tempe               AZ</t>
  </si>
  <si>
    <t>3713210825 4805058855
COM Domain Name Renewal - 1 Year recur
Full Domain Protection - Renewal
Email Essentials  - Renewal - monthly
Email - Archiving - Renewal
DNH*GODADDY#3713210825
Tempe
AZ
COM Domain Name Renewal - 1 Year recur
Full Domain Protection - Renewal
Email Essentials  - Renewal - monthly
Email - Archiving - Renewal
4805058855</t>
  </si>
  <si>
    <t>04/16/2025</t>
  </si>
  <si>
    <t>3SR7V4UK181 MERCHANDISE
AMAZON MARKETPLACE NA PA
AMZN.COM/BILL
WA
MERCHANDISE</t>
  </si>
  <si>
    <t>DNH*GODADDY#37107736Tempe               AZ</t>
  </si>
  <si>
    <t>3710773643 4805058855
Websites  Marketing with Email Renewal
DNH*GODADDY#3710773643
Tempe
AZ
Websites  Marketing with Email Renewal
4805058855</t>
  </si>
  <si>
    <t>CH_3REFUEDL +18884827768
LEV INC
NEW YORK
NY
+18884827768</t>
  </si>
  <si>
    <t>CH_2REAU604 +14154506060
SOCIALPILOT
LEWES
DE
+14154506060</t>
  </si>
  <si>
    <t>04/15/2025</t>
  </si>
  <si>
    <t>DNH*GODADDY#37094343Tempe               AZ</t>
  </si>
  <si>
    <t>3709434315 4805058855
Email Essentials  - Renewal - monthly
DNH*GODADDY#3709434315
Tempe
AZ
Email Essentials  - Renewal - monthly
4805058855</t>
  </si>
  <si>
    <t>04/14/2025</t>
  </si>
  <si>
    <t>3OPJMUU9XSZ MERCHANDISE
AMAZON MARKETPLACE NA PA
AMZN.COM/BILL
WA
MERCHANDISE</t>
  </si>
  <si>
    <t>DNH*GODADDY#37077503Tempe               AZ</t>
  </si>
  <si>
    <t>3707750390 4805058855
Microsoft 365 Business Professional- Ren
Email - Archiving - Renewal
Microsoft 365 Email Backup - Renewal
DNH*GODADDY#3707750390
Tempe
AZ
Microsoft 365 Business Professional- Ren
Email - Archiving - Renewal
Microsoft 365 Email Backup - Renewal
4805058855</t>
  </si>
  <si>
    <t>KINDLE UNLTD*JX9J200888-802-3080        WA</t>
  </si>
  <si>
    <t>2F043WLO36G DIGITAL
KINDLE UNLTD*JX9J20073
888-802-3080
WA
DIGITAL</t>
  </si>
  <si>
    <t>04/13/2025</t>
  </si>
  <si>
    <t>DNH*GODADDY#37054811Tempe               AZ</t>
  </si>
  <si>
    <t>3705481188 4805058855
Search Engine Optimization - Renewal - 1
Business Professional  - Renewal - month
Email - Archiving - Renewal
Microsoft 365 Email Backup - Renewal
DNH*GODADDY#3705481188
Tempe
AZ
Search Engine Optimization - Renewal - 1
Business Professional  - Renewal - month
Email - Archiving - Renewal
Microsoft 365 Email Backup - Renewal
4805058855</t>
  </si>
  <si>
    <t>04/12/2025</t>
  </si>
  <si>
    <t>7ED2AN5OBKC MERCHANDISE
AMAZON MARKETPLACE NA PA
AMZN.COM/BILL
WA
MERCHANDISE</t>
  </si>
  <si>
    <t>DNH*GODADDY#37029190Tempe               AZ</t>
  </si>
  <si>
    <t>3702919014 4805058855
Websites  Marketing Premium  - Renewal
DNH*GODADDY#3702919014
Tempe
AZ
Websites  Marketing Premium  - Renewal
4805058855</t>
  </si>
  <si>
    <t>P35CD86BBC  CABLE &amp; PAY TV
SPOTIFY USA
NEW YORK
NY
CABLE &amp; PAY TV</t>
  </si>
  <si>
    <t>04/11/2025</t>
  </si>
  <si>
    <t>BAR MY ACCADEMIA    FIRENZE</t>
  </si>
  <si>
    <t>BAR/NIGHTCLUB
BAR MY ACCADEMIA
FIRENZE
BAR/NIGHTCLUBForeign Spend Amount: 9.00 EURO Commission Amount:  Currency Exchange Rate: null</t>
  </si>
  <si>
    <t>CORTESE CAFE        FIRENZE</t>
  </si>
  <si>
    <t>BAR/NIGHTCLUB
CORTESE CAFE
FIRENZE
BAR/NIGHTCLUBForeign Spend Amount: 28.00 EURO Commission Amount:  Currency Exchange Rate: null</t>
  </si>
  <si>
    <t>3701640250 (480)505-8855
GODADDY.COM
SCOTTSDALE
AZ
(480)505-8855</t>
  </si>
  <si>
    <t>######AoX89 DIGITAL GOODS: APPS
ONSTAR, LLC
DETROIT
MI
DIGITAL GOODS: APPS</t>
  </si>
  <si>
    <t>PITTI               FIRENZE</t>
  </si>
  <si>
    <t>FAST FOOD RESTAURANT
PITTI
FIRENZE
FAST FOOD RESTAURANTForeign Spend Amount: 90.00 EURO Commission Amount:  Currency Exchange Rate: null</t>
  </si>
  <si>
    <t>04/10/2025</t>
  </si>
  <si>
    <t>IMB0PL5JLZT MERCHANDISE
AMAZON MARKETPLACE NA PA
AMZN.COM/BILL
WA
MERCHANDISE</t>
  </si>
  <si>
    <t>P-03353793  MEMBERSHIP
VIMEO PRO
212-625-0668
NY
MEMBERSHIP</t>
  </si>
  <si>
    <t>04/08/2025</t>
  </si>
  <si>
    <t>54B0GWWPH1P MERCHANDISE
AMAZON MARKETPLACE NA PA
AMZN.COM/BILL
WA
MERCHANDISE</t>
  </si>
  <si>
    <t>2H4I78FVTIP MERCHANDISE
AMAZON MARKETPLACE NA PA
AMZN.COM/BILL
WA
MERCHANDISE</t>
  </si>
  <si>
    <t>BAR MANGANELLI      SIENA</t>
  </si>
  <si>
    <t>BAR/NIGHTCLUB
BAR MANGANELLI
SIENA
BAR/NIGHTCLUBForeign Spend Amount: 147.30 EURO Commission Amount:  Currency Exchange Rate: null</t>
  </si>
  <si>
    <t>CAFFETTERIA BATTISTESIENA</t>
  </si>
  <si>
    <t>RESTAURANT
CAFFETTERIA BATTISTERO
SIENA
RESTAURANTForeign Spend Amount: 6.00 EURO Commission Amount:  Currency Exchange Rate: null</t>
  </si>
  <si>
    <t>CH_3RBLXZC6 +14158799686
OPENAI *CHATGPT SUBSCR
SAN FRANCISCO
CA
+14158799686</t>
  </si>
  <si>
    <t>04/07/2025</t>
  </si>
  <si>
    <t>2OY9K34PHLW MERCHANDISE
AMAZON MARKETPLACE NA PA
AMZN.COM/BILL
WA
MERCHANDISE</t>
  </si>
  <si>
    <t>37T3CYAHSDW MERCHANDISE
AMAZON MARKETPLACE NA PA
AMZN.COM/BILL
WA
MERCHANDISE</t>
  </si>
  <si>
    <t>DNH*GODADDY#36931670Tempe               AZ</t>
  </si>
  <si>
    <t>3693167015 4805058855
Microsoft 365 Email Plus- Renewal - mont
DNH*GODADDY#3693167015
Tempe
AZ
Microsoft 365 Email Plus- Renewal - mont
4805058855</t>
  </si>
  <si>
    <t>CH_3RBMCHKE +12066576177
READ - MEETING MANAGER
SEATTLE
WA
+12066576177</t>
  </si>
  <si>
    <t>04/06/2025</t>
  </si>
  <si>
    <t>W4DEC4W4L92 MERCHANDISE
AMAZON MARKETPLACE NA PA
AMZN.COM/BILL
WA
MERCHANDISE</t>
  </si>
  <si>
    <t>AMAZON PRIME*FO78Q42AMZN.COM/BILL       WA</t>
  </si>
  <si>
    <t>2WPYBPXJNFF DIGITAL
AMAZON PRIME*FO78Q42B3
AMZN.COM/BILL
WA
DIGITAL</t>
  </si>
  <si>
    <t>57V9X9NJA4A SUBSCRIPTION
Amazon Prime
Amazon.com
WA
SUBSCRIPTION</t>
  </si>
  <si>
    <t>CH_3RAOBRBS +16502003351
BRAVE.COM
SAN FRANCISCO
CA
+16502003351</t>
  </si>
  <si>
    <t>CH_3RAOSJJL +18882730423
CREXI
LOS ANGELES
CA
+18882730423</t>
  </si>
  <si>
    <t>DNH*GODADDY#36910162Tempe               AZ</t>
  </si>
  <si>
    <t>3691016272 4805058855
Microsoft 365 Business Professional- Ren
Email - Archiving - Renewal
Microsoft 365 Email Backup - Renewal
DNH*GODADDY#3691016272
Tempe
AZ
Microsoft 365 Business Professional- Ren
Email - Archiving - Renewal
Microsoft 365 Email Backup - Renewal
4805058855</t>
  </si>
  <si>
    <t>04/05/2025</t>
  </si>
  <si>
    <t>DNH*GODADDY#36889334Tempe               AZ</t>
  </si>
  <si>
    <t>3688933440 4805058855
COM Domain Name Renewal - 1 Year recur
Full Domain Privacy and Protection - Ren
Email Essentials  - Renewal - monthly
DNH*GODADDY#3688933440
Tempe
AZ
COM Domain Name Renewal - 1 Year recur
Full Domain Privacy and Protection - Ren
Email Essentials  - Renewal - monthly
4805058855</t>
  </si>
  <si>
    <t>04/04/2025</t>
  </si>
  <si>
    <t>2EIJ1RWWM5I MERCHANDISE
AMAZON MARKETPLACE NA PA
AMZN.COM/BILL
WA
MERCHANDISE</t>
  </si>
  <si>
    <t>5QL7E3VAD60 MERCHANDISE
AMAZON MARKETPLACE NA PA
AMZN.COM/BILL
WA
MERCHANDISE</t>
  </si>
  <si>
    <t>2VCDECNMK94 MERCHANDISE
AMAZON MARKETPLACE NA PA
AMZN.COM/BILL
WA
MERCHANDISE</t>
  </si>
  <si>
    <t>DNH*GODADDY#36869901Tempe               AZ</t>
  </si>
  <si>
    <t>3686990109 4805058855
Business Enterprise - Renewal - 1 month
Email - Archiving - Renewal
Microsoft 365 Email Backup - Renewal
DNH*GODADDY#3686990109
Tempe
AZ
Business Enterprise - Renewal - 1 month
Email - Archiving - Renewal
Microsoft 365 Email Backup - Renewal
4805058855</t>
  </si>
  <si>
    <t>RISTORANTE LA CUCINAROMA</t>
  </si>
  <si>
    <t>FAST FOOD RESTAURANT
RISTORANTE LA CUCINA NAZIONALE
ROMA
FAST FOOD RESTAURANTForeign Spend Amount: 46.00 EURO Commission Amount:  Currency Exchange Rate: null</t>
  </si>
  <si>
    <t>THE GELATIST        ROMA</t>
  </si>
  <si>
    <t>BAR/NIGHTCLUB
THE GELATIST
ROMA
BAR/NIGHTCLUBForeign Spend Amount: 8.00 EURO Commission Amount:  Currency Exchange Rate: null</t>
  </si>
  <si>
    <t>04/03/2025</t>
  </si>
  <si>
    <t>COCO CAFE           ROMA</t>
  </si>
  <si>
    <t>BAR/NIGHTCLUB
COCO CAFE
ROMA
BAR/NIGHTCLUBForeign Spend Amount: 3.00 EURO Commission Amount:  Currency Exchange Rate: null</t>
  </si>
  <si>
    <t>CH_2R9UFH3T +18004304095
CONTACTS+
HUNTINGTON BEACH
CA
+18004304095</t>
  </si>
  <si>
    <t>CH_3RA1OFCY +18884092298
SALESMESSAGE.COM
DELRAY BEACH
FL
+18884092298</t>
  </si>
  <si>
    <t>04/02/2025</t>
  </si>
  <si>
    <t>2XJPZRXACJA MERCHANDISE
AMAZON MARKETPLACE NA PA
AMZN.COM/BILL
WA
MERCHANDISE</t>
  </si>
  <si>
    <t>44PWFE8X1AW MERCHANDISE
AMAZON MARKETPLACE NA PA
AMZN.COM/BILL
WA
MERCHANDISE</t>
  </si>
  <si>
    <t>RADIOTAXI PS 41 0016ROMA                IT</t>
  </si>
  <si>
    <t>50921743590 TAXICAB &amp; LIMOUSINE
RADIOTAXI PS 41 00166
ROMA
IT
TAXICAB &amp; LIMOUSINEForeign Spend Amount: 16.00 EURO Commission Amount:  Currency Exchange Rate: null</t>
  </si>
  <si>
    <t>04/01/2025</t>
  </si>
  <si>
    <t>71094475091 310-836-8000
ABC*ICONFIT
LOS ANGELES
CA
310-836-8000</t>
  </si>
  <si>
    <t>1F911VG7I6S MERCHANDISE
AMAZON MARKETPLACE NA PA
AMZN.COM/BILL
WA
MERCHANDISE</t>
  </si>
  <si>
    <t>6D8ZGP7LOVE MERCHANDISE
AMAZON MARKETPLACE NA PA
AMZN.COM/BILL
WA
MERCHANDISE</t>
  </si>
  <si>
    <t>4WE8DNGY0Y9 MERCHANDISE
AMAZON MARKETPLACE NA PA
AMZN.COM/BILL
WA
MERCHANDISE</t>
  </si>
  <si>
    <t>DNH*GODADDY#36817264Tempe               AZ</t>
  </si>
  <si>
    <t>3681726418 4805058855
NET Domain Name Renewal - 1 Year recur
Full Domain Protection - Renewal
ORG Domain Name Renewal - 1 Year recur
DNH*GODADDY#3681726418
Tempe
AZ
NET Domain Name Renewal - 1 Year recur
Full Domain Protection - Renewal
ORG Domain Name Renewal - 1 Year recur
4805058855</t>
  </si>
  <si>
    <t>CH_3R95BTD0 +16780000000
LOOM SUBSCRIPTION
SAN FRANCISCO
CA
+16780000000</t>
  </si>
  <si>
    <t>03/31/2025</t>
  </si>
  <si>
    <t>2RLYVI03S6B MERCHANDISE
AMAZON MARKETPLACE NA PA
AMZN.COM/BILL
WA
MERCHANDISE</t>
  </si>
  <si>
    <t>99999995090 4242318000
TST* CAFE GRATITUDE - VEN 300545147
VENICE
CA
Description : RESTAURANTS Price : 1.758
4242318000</t>
  </si>
  <si>
    <t>03/30/2025</t>
  </si>
  <si>
    <t>ITA AIRWAYS         FIUMICINO           IT</t>
  </si>
  <si>
    <t>27U75Y_9310 AIRLINE/AIR CARRIER
PASSENGER TICKET
ITA AIRWAYS
FIUMICINO
IT
Carrier : Alitalia
Passenger Name : DUNNING/ANGELA LISA
Ticket Number : 0554205479506
Departure Day : 03/31
Additional Info : PASSENGER TICKET
From : LOS ANGELES INTERN
To : ROME LEONARDO DA V
Class : F
From : ROME LEONARDO DA V
To : LOS ANGELES INTERN
Class : FForeign Spend Amount: 165.52 EURO Commission Amount:  Currency Exchange Rate: null</t>
  </si>
  <si>
    <t>27U75Y_9310 AIRLINE/AIR CARRIER
PASSENGER TICKET
ITA AIRWAYS
FIUMICINO
IT
Carrier : Alitalia
Passenger Name : DUNNING/ANGELA LISA
Ticket Number : 0554205479508
Departure Day : 03/31
Additional Info : PASSENGER TICKET
From : LOS ANGELES INTERN
To : ROME LEONARDO DA V
Class : F
From : ROME LEONARDO DA V
To : LOS ANGELES INTERN
Class : FForeign Spend Amount: 165.52 EURO Commission Amount:  Currency Exchange Rate: null</t>
  </si>
  <si>
    <t>27U75Y_9310 AIRLINE/AIR CARRIER
PASSENGER TICKET
ITA AIRWAYS
FIUMICINO
IT
Carrier : Alitalia
Passenger Name : DUNNING/ANGELA LISA
Ticket Number : 0554205479509
Departure Day : 03/31
Additional Info : PASSENGER TICKET
From : LOS ANGELES INTERN
To : ROME LEONARDO DA V
Class : F
From : ROME LEONARDO DA V
To : LOS ANGELES INTERN
Class : FForeign Spend Amount: 165.52 EURO Commission Amount:  Currency Exchange Rate: null</t>
  </si>
  <si>
    <t>27U75Y_9310 AIRLINE/AIR CARRIER
PASSENGER TICKET
ITA AIRWAYS
FIUMICINO
IT
Carrier : Alitalia
Passenger Name : DUNNING/ANGELA LISA
Ticket Number : 0554205479507
Departure Day : 03/31
Additional Info : PASSENGER TICKET
From : LOS ANGELES INTERN
To : ROME LEONARDO DA V
Class : F
From : ROME LEONARDO DA V
To : LOS ANGELES INTERN
Class : FForeign Spend Amount: 165.52 EURO Commission Amount:  Currency Exchange Rate: null</t>
  </si>
  <si>
    <t>ByZepT7FTWz squareup.com/receipts
MOON JUICE
Venice
CA
squareup.com/receipts</t>
  </si>
  <si>
    <t>PICKLED BY SHRED LLCRedondo Beach       CA</t>
  </si>
  <si>
    <t>NoRIAysNd4v squareup.com/receipts
PICKLED BY SHRED LLC
Redondo Beach
CA
squareup.com/receipts</t>
  </si>
  <si>
    <t>VALLEY CENTER GROWERValley Center       CA</t>
  </si>
  <si>
    <t>ZoKcb45alys squareup.com/receipts
VALLEY CENTER GROWERS
Valley Center
CA
squareup.com/receipts</t>
  </si>
  <si>
    <t>VITA JUICE          DOWNEY              CA</t>
  </si>
  <si>
    <t>XT4G4bw1Vnp squareup.com/receipts
VITA JUICE
DOWNEY
CA
squareup.com/receipts</t>
  </si>
  <si>
    <t>03/29/2025</t>
  </si>
  <si>
    <t>CH_3R85LDC6 +14158799686
OPENAI *CHATGPT SUBSCR
SAN FRANCISCO
CA
+14158799686</t>
  </si>
  <si>
    <t>30640095    310-850-1336
PACOS TACOS 0755
LOS ANGELES
CA
Description : FOOD/BEVERAGE Price : 0.00
310-850-1336</t>
  </si>
  <si>
    <t>XfmGefqJKri squareup.com/receipts
PAYA THAI LA LLC. BLUE LOTUS MASSAGE.
LOS ANGELES
CA
squareup.com/receipts</t>
  </si>
  <si>
    <t>03/28/2025</t>
  </si>
  <si>
    <t>376104456   866-803-1777
MED*CEDARS SINAI MEDICAL 6082000000120
LOS ANGELES
CA
866-803-1777</t>
  </si>
  <si>
    <t>21105175088 RESTAURANT
TST* BLUEYS KITCHEN MAR V 00098618
LOS ANGELES
CA
RESTAURANT</t>
  </si>
  <si>
    <t>03/27/2025</t>
  </si>
  <si>
    <t>DELTA AIR LINES     ATLANTA</t>
  </si>
  <si>
    <t>18002211212
EXCESS BAGGAGE
DELTA AIR LINES
ATLANTA
Carrier : DELTA AIR LINES
Passenger Name : DUNNING/JOHNBARKER
Ticket Number : 00642366802162
Additional Info : EXCESS BAGGAGE</t>
  </si>
  <si>
    <t>DNH*GODADDY#36756254Tempe               AZ</t>
  </si>
  <si>
    <t>3675625434 4805058855
Hosting - Web - Economy - Linux cPanel -
DNH*GODADDY#3675625434
Tempe
AZ
Hosting - Web - Economy - Linux cPanel -
4805058855</t>
  </si>
  <si>
    <t>CH_3R7KXZJN +13104500600
INFUSE  DR. BULL
WEST HOLLYWOOD
CA
+13104500600</t>
  </si>
  <si>
    <t>CH_3R7LAEAC +14158799686
OPENAI *CHATGPT SUBSCR
SAN FRANCISCO
CA
+14158799686</t>
  </si>
  <si>
    <t>CH_3R7HYBCF 3235775423
SPLICE.COM
NEW YORK CITY
NY
3235775423</t>
  </si>
  <si>
    <t>21105175087 RESTAURANT
TST* BLUEYS KITCHEN MAR V 00098618
LOS ANGELES
CA
RESTAURANT</t>
  </si>
  <si>
    <t>99999995086 4242318000
TST* CAFE GRATITUDE - VEN 300545147
VENICE
CA
Description : RESTAURANTS Price : 2.1435
4242318000</t>
  </si>
  <si>
    <t>03/26/2025</t>
  </si>
  <si>
    <t>HOTEL HAMPTON INN ANALAJUELA            AL</t>
  </si>
  <si>
    <t xml:space="preserve">LODGING
HOTEL HAMPTON INN AND SUITES
ALAJUELA
AL
</t>
  </si>
  <si>
    <t>03/25/2025</t>
  </si>
  <si>
    <t>445HYRMT1XU MERCHANDISE
AMAZON MARKETPLACE NA PA
AMZN.COM/BILL
WA
MERCHANDISE</t>
  </si>
  <si>
    <t>DNH*GODADDY#36697726Tempe               AZ</t>
  </si>
  <si>
    <t>3669772676 4805058855
Email Plus  - Renewal - monthly
Email - Archiving - Renewal
DNH*GODADDY#3669772676
Tempe
AZ
Email Plus  - Renewal - monthly
Email - Archiving - Renewal
4805058855</t>
  </si>
  <si>
    <t>EC RENTA CAR        ALAJUELA            AL</t>
  </si>
  <si>
    <t xml:space="preserve">TRUCK RENTAL
EC RENTA CAR
ALAJUELA
AL
</t>
  </si>
  <si>
    <t>HOTEL RANCHO CORAL  PUNTARENAS          PU</t>
  </si>
  <si>
    <t xml:space="preserve">LODGING
HOTEL RANCHO CORAL
PUNTARENAS
PU
</t>
  </si>
  <si>
    <t>08480653    WWW.UNITED.COM
PASSENGER TICKET
UNITED AIRLINES
HOUSTON
TX
Carrier : UNITED AIRLINES
Passenger Name : CORDOVA/NATALIEMARIE
Ticket Number : 01624721783656
Departure Day : 05/22
Additional Info : PASSENGER TICKET
From : DENVER INTL APT
To : NEW ORLEANS INTERN
From : NEW ORLEANS INTERN
To : DENVER INTL APT</t>
  </si>
  <si>
    <t>03/24/2025</t>
  </si>
  <si>
    <t>4VKLPBDVXF1 MERCHANDISE
AMAZON MARKETPLACE NA PA
AMZN.COM/BILL
WA
MERCHANDISE</t>
  </si>
  <si>
    <t>78NHAPBF8FE MERCHANDISE
AMAZON MARKETPLACE NA PA
AMZN.COM/BILL
WA
MERCHANDISE</t>
  </si>
  <si>
    <t>6AT1H73Y0ZS MERCHANDISE
AMAZON MARKETPLACE NA PA
AMZN.COM/BILL
WA
MERCHANDISE</t>
  </si>
  <si>
    <t>3LGUBAPP9J9 MERCHANDISE
AMAZON MARKETPLACE NA PA
AMZN.COM/BILL
WA
MERCHANDISE</t>
  </si>
  <si>
    <t>GAS STATION
DELTA JACO
PUNTARENAS
PU
GAS STATIONForeign Spend Amount: 32798.00 COSTA RICAN COLON Commission Amount:  Currency Exchange Rate: null</t>
  </si>
  <si>
    <t>RESTAURANT
RESTAURANTE LOS ALMENDROS
PUNTARENAS
PU
RESTAURANTForeign Spend Amount: 24750.00 COSTA RICAN COLON Commission Amount:  Currency Exchange Rate: null</t>
  </si>
  <si>
    <t>03/23/2025</t>
  </si>
  <si>
    <t>6NFV05NLO0N MERCHANDISE
AMAZON MARKETPLACE NA PA
AMZN.COM/BILL
WA
MERCHANDISE</t>
  </si>
  <si>
    <t>1A2C059W8IG MERCHANDISE
AMAZON MARKETPLACE NA PA
AMZN.COM/BILL
WA
MERCHANDISE</t>
  </si>
  <si>
    <t>UAES9O90FVI MERCHANDISE
AMAZON MARKETPLACE NA PA
AMZN.COM/BILL
WA
MERCHANDISE</t>
  </si>
  <si>
    <t>2R8JKNK0GT0 MERCHANDISE
AMAZON.COM
AMZN.COM/BILL
WA
MERCHANDISE</t>
  </si>
  <si>
    <t>DNH*GODADDY#36643383Tempe               AZ</t>
  </si>
  <si>
    <t>3664338322 4805058855
Business Enterprise - Renewal - 1 month
Email - Archiving - Renewal
Microsoft 365 Email Backup - Renewal
DNH*GODADDY#3664338322
Tempe
AZ
Business Enterprise - Renewal - 1 month
Email - Archiving - Renewal
Microsoft 365 Email Backup - Renewal
4805058855</t>
  </si>
  <si>
    <t>RESTAURANT
RESTAURANTE LOS ALMENDROS
PUNTARENAS
PU
RESTAURANT</t>
  </si>
  <si>
    <t>03/21/2025</t>
  </si>
  <si>
    <t>AMERICAN EXPRESS TVLPHOENIX             AZ</t>
  </si>
  <si>
    <t>032509      AIRLINE/AIR CARRIER
PASSENGER TICKET
AMERICAN EXPRESS TVL SVC
PHOENIX
AZ
Carrier : DELTA AIR LINES
Passenger Name : DUNNING/JOHN BARKER
Ticket Number : 00672464064705
Departure Day : 03/24
Additional Info : PASSENGER TICKET
From : SAN JOSE JUAN SANT
To : LOS ANGELES INTERN
Class : T</t>
  </si>
  <si>
    <t>ITA AIRWAYS ITA AIRWUNITED STATES</t>
  </si>
  <si>
    <t>27U75Y_4025 AIRLINE/AIR CARRIER
PASSENGER TICKET
ITA AIRWAYS ITA AIRWAYS
UNITED STATES
Carrier : AZ
Passenger Name : DUNNING ANGELA LISA
Ticket Number : 0554205416523
Departure Day : 03/31
Additional Info : PASSENGER TICKET
From : LOS ANGELES INTERN
To : ROME LEONARDO DA V
Class : F
From : ROME LEONARDO DA V
To : LOS ANGELES INTERN
Class : F</t>
  </si>
  <si>
    <t>27U75Y_4025 AIRLINE/AIR CARRIER
PASSENGER TICKET
ITA AIRWAYS ITA AIRWAYS
UNITED STATES
Carrier : AZ
Passenger Name : DUNNING ANGELA LISA
Ticket Number : 0554205416524
Departure Day : 03/31
Additional Info : PASSENGER TICKET
From : LOS ANGELES INTERN
To : ROME LEONARDO DA V
Class : F
From : ROME LEONARDO DA V
To : LOS ANGELES INTERN
Class : F</t>
  </si>
  <si>
    <t>27U75Y_4025 AIRLINE/AIR CARRIER
PASSENGER TICKET
ITA AIRWAYS ITA AIRWAYS
UNITED STATES
Carrier : AZ
Passenger Name : DUNNING ANGELA LISA
Ticket Number : 0554205416526
Departure Day : 03/31
Additional Info : PASSENGER TICKET
From : LOS ANGELES INTERN
To : ROME LEONARDO DA V
Class : F
From : ROME LEONARDO DA V
To : LOS ANGELES INTERN
Class : F</t>
  </si>
  <si>
    <t>27U75Y_4025 AIRLINE/AIR CARRIER
PASSENGER TICKET
ITA AIRWAYS ITA AIRWAYS
UNITED STATES
Carrier : AZ
Passenger Name : DUNNING ANGELA LISA
Ticket Number : 0554205416525
Departure Day : 03/31
Additional Info : PASSENGER TICKET
From : LOS ANGELES INTERN
To : ROME LEONARDO DA V
Class : F
From : ROME LEONARDO DA V
To : LOS ANGELES INTERN
Class : F</t>
  </si>
  <si>
    <t>LAPHIL HWBOWL WEB   LOS ANGELES         CA</t>
  </si>
  <si>
    <t>00174353444 CONCERT &amp; EV
LAPHIL HWBOWL WEB
LOS ANGELES
CA
CONCERT &amp; EV</t>
  </si>
  <si>
    <t>03/20/2025</t>
  </si>
  <si>
    <t>34173854    EMAIL MARKET
CAMPAIGNER SVC
888-845-4544
CA
EMAIL MARKET</t>
  </si>
  <si>
    <t>DNH*GODADDY#36573027Tempe               AZ</t>
  </si>
  <si>
    <t>3657302726 4805058855
Microsoft 365 Email Essentials - Renewal
Email - Archiving - Renewal
Microsoft 365 Email Backup - Renewal
DNH*GODADDY#3657302726
Tempe
AZ
Microsoft 365 Email Essentials - Renewal
Email - Archiving - Renewal
Microsoft 365 Email Backup - Renewal
4805058855</t>
  </si>
  <si>
    <t>03/19/2025</t>
  </si>
  <si>
    <t>3XTQCG6YJLD MERCHANDISE
AMAZON MARKETPLACE NA PA
AMZN.COM/BILL
WA
MERCHANDISE</t>
  </si>
  <si>
    <t>BM DE PALMAR        PUNTARENAS          PU</t>
  </si>
  <si>
    <t>GROCERY STORE
BM DE PALMAR
PUNTARENAS
PU
GROCERY STOREForeign Spend Amount: 83649.45 COSTA RICAN COLON Commission Amount:  Currency Exchange Rate: null</t>
  </si>
  <si>
    <t>EXPEDIA 730583187648EXPEDIA.COM         WA</t>
  </si>
  <si>
    <t>600019YBIHF TRAVEL AGENCY
EXPEDIA 73058318764838
EXPEDIA.COM
WA
TRAVEL AGENCY</t>
  </si>
  <si>
    <t>PARADIES-LOS ANGELESATLANTA             GA</t>
  </si>
  <si>
    <t>######Q1Vex MISC/SPECIALTY RETAIL
PARADIES-LOS ANGELES II
ATLANTA
GA
MISC/SPECIALTY RETAIL</t>
  </si>
  <si>
    <t>03/18/2025</t>
  </si>
  <si>
    <t>DNH*GODADDY#36541635Tempe               AZ</t>
  </si>
  <si>
    <t>3654163548 4805058855
Microsoft 365 Email Plus- Renewal - mont
Email - Archiving - Renewal
DNH*GODADDY#3654163548
Tempe
AZ
Microsoft 365 Email Plus- Renewal - mont
Email - Archiving - Renewal
4805058855</t>
  </si>
  <si>
    <t>30640074    310-850-1336
PACOS TACOS 0755
LOS ANGELES
CA
Description : FOOD/BEVERAGE Price : 0.00
310-850-1336</t>
  </si>
  <si>
    <t>RAINBOW ACRES       LOS ANGELES         CA</t>
  </si>
  <si>
    <t>00027469    310-306-8330
RAINBOW ACRES
LOS ANGELES
CA
Description : GROCERIES/SUNDRIES Price : 0.00
310-306-8330</t>
  </si>
  <si>
    <t>RIDER SHACK         LOS ANGELES         CA</t>
  </si>
  <si>
    <t>65461586    310-821-7873
RIDER SHACK
LOS ANGELES
CA
Description : BUSINESS SERVICES Price : 0.00
310-821-7873</t>
  </si>
  <si>
    <t>96460813    310-821-7873
RIDER SHACK
LOS ANGELES
CA
Description : BUSINESS SERVICES Price : 0.00
310-821-7873</t>
  </si>
  <si>
    <t>03/17/2025</t>
  </si>
  <si>
    <t>AMERICAN EXPRESS TRAPHOENIX             AZ</t>
  </si>
  <si>
    <t>032109      AIRLINE/AIR CARRIER
PASSENGER TICKET
AMERICAN EXPRESS TRAVEL
PHOENIX
AZ
Carrier : DELTA AIR LINES
Passenger Name : DUNNING/JOHN BARKER
Ticket Number : 00672451141305
Departure Day : 03/18
Additional Info : PASSENGER TICKET
From : LOS ANGELES INTERN
To : SAN JOSE JUAN SANT
Class : I</t>
  </si>
  <si>
    <t>DNH*GODADDY#36510163Tempe               AZ</t>
  </si>
  <si>
    <t>3651016357 4805058855
Email Essentials  - Renewal - monthly
Email - Archiving - Renewal
DNH*GODADDY#3651016357
Tempe
AZ
Email Essentials  - Renewal - monthly
Email - Archiving - Renewal
4805058855</t>
  </si>
  <si>
    <t>EVERLANE* R363160565SAN FRANCISCO       CA</t>
  </si>
  <si>
    <t>CH_3R3M242Y +18587358007
EVERLANE* R363160565
SAN FRANCISCO
CA
+18587358007</t>
  </si>
  <si>
    <t>032109      AIRLINE/AIR CARRIER
OPTIONAL SERVICES FEE
EXPEDIA.COM TRAVEL
SEATTLE
WA
Carrier : AMERICAN AIRLINES
Passenger Name : SAUNDERS/JOE THOMAS
Ticket Number : 00183166606350
Departure Day : 05/12
Additional Info : OPTIONAL SERVICES FEE
From : LOS ANGELES INTERN
To : DALLAS/FORT WORTH
From : DALLAS/FORT WORTH
To : LOS ANGELES INTERN</t>
  </si>
  <si>
    <t>032109      AIRLINE/AIR CARRIER
OPTIONAL SERVICES FEE
EXPEDIA.COM TRAVEL
SEATTLE
WA
Carrier : AMERICAN AIRLINES
Passenger Name : PEREZ/AVA YEMNA
Ticket Number : 00183166606346
Departure Day : 05/12
Additional Info : OPTIONAL SERVICES FEE
From : LOS ANGELES INTERN
To : DALLAS/FORT WORTH
From : DALLAS/FORT WORTH
To : LOS ANGELES INTERN</t>
  </si>
  <si>
    <t>032109      AIRLINE/AIR CARRIER
OPTIONAL SERVICES FEE
EXPEDIA.COM TRAVEL
SEATTLE
WA
Carrier : AMERICAN AIRLINES
Passenger Name : DUNNING/JOHN BARKER
Ticket Number : 00183166606335
Departure Day : 05/12
Additional Info : OPTIONAL SERVICES FEE
From : LOS ANGELES INTERN
To : DALLAS/FORT WORTH
From : DALLAS/FORT WORTH
To : LOS ANGELES INTERN</t>
  </si>
  <si>
    <t>032109      AIRLINE/AIR CARRIER
OPTIONAL SERVICES FEE
EXPEDIA.COM TRAVEL
SEATTLE
WA
Carrier : AMERICAN AIRLINES
Passenger Name : DUNNING/ANGELA LISA
Ticket Number : 00183166606324
Departure Day : 05/12
Additional Info : OPTIONAL SERVICES FEE
From : LOS ANGELES INTERN
To : DALLAS/FORT WORTH
From : DALLAS/FORT WORTH
To : LOS ANGELES INTERN</t>
  </si>
  <si>
    <t>032109      AIRLINE/AIR CARRIER
PASSENGER TICKET
EXPEDIA.COM TRAVEL
SEATTLE
WA
Carrier : AMERICAN AIRLINES
Passenger Name : DUNNING/ANGELA LISA
Ticket Number : 00172233640935
Departure Day : 05/22
Additional Info : PASSENGER TICKET
From : DALLAS/FORT WORTH
To : NEW ORLEANS INTERN
Class : G
From : NEW ORLEANS INTERN
To : DALLAS/FORT WORTH
Class : G</t>
  </si>
  <si>
    <t>032109      AIRLINE/AIR CARRIER
PASSENGER TICKET
EXPEDIA.COM TRAVEL
SEATTLE
WA
Carrier : AMERICAN AIRLINES
Passenger Name : SAUNDERS/JOE THOMAS
Ticket Number : 00172233641005
Departure Day : 05/22
Additional Info : PASSENGER TICKET
From : DALLAS/FORT WORTH
To : NEW ORLEANS INTERN
Class : G
From : NEW ORLEANS INTERN
To : DALLAS/FORT WORTH
Class : G</t>
  </si>
  <si>
    <t>032109      AIRLINE/AIR CARRIER
PASSENGER TICKET
EXPEDIA.COM TRAVEL
SEATTLE
WA
Carrier : AMERICAN AIRLINES
Passenger Name : DUNNING/JOHN BARKER
Ticket Number : 00172233640950
Departure Day : 05/22
Additional Info : PASSENGER TICKET
From : DALLAS/FORT WORTH
To : NEW ORLEANS INTERN
Class : G
From : NEW ORLEANS INTERN
To : DALLAS/FORT WORTH
Class : G</t>
  </si>
  <si>
    <t>032109      AIRLINE/AIR CARRIER
PASSENGER TICKET
EXPEDIA.COM TRAVEL
SEATTLE
WA
Carrier : AMERICAN AIRLINES
Passenger Name : SAUNDERS/TIMOTHY PHI
Ticket Number : 00172233641016
Departure Day : 05/22
Additional Info : PASSENGER TICKET
From : DALLAS/FORT WORTH
To : NEW ORLEANS INTERN
Class : G
From : NEW ORLEANS INTERN
To : DALLAS/FORT WORTH
Class : G</t>
  </si>
  <si>
    <t>032109      AIRLINE/AIR CARRIER
PASSENGER TICKET
EXPEDIA.COM TRAVEL
SEATTLE
WA
Carrier : AMERICAN AIRLINES
Passenger Name : PEREZ/AVA YEMNA
Ticket Number : 00172233640994
Departure Day : 05/22
Additional Info : PASSENGER TICKET
From : DALLAS/FORT WORTH
To : NEW ORLEANS INTERN
Class : G
From : NEW ORLEANS INTERN
To : DALLAS/FORT WORTH
Class : G</t>
  </si>
  <si>
    <t>032109      AIRLINE/AIR CARRIER
PASSENGER TICKET
EXPEDIA.COM TRAVEL
SEATTLE
WA
Carrier : AMERICAN AIRLINES
Passenger Name : SAUNDERS/JOE THOMAS
Ticket Number : 00172233618502
Departure Day : 05/12
Additional Info : PASSENGER TICKET
From : LOS ANGELES INTERN
To : DALLAS/FORT WORTH
Class : O
From : DALLAS/FORT WORTH
To : LOS ANGELES INTERN
Class : O</t>
  </si>
  <si>
    <t>032109      AIRLINE/AIR CARRIER
PASSENGER TICKET
EXPEDIA.COM TRAVEL
SEATTLE
WA
Carrier : AMERICAN AIRLINES
Passenger Name : DUNNING/JOHN BARKER
Ticket Number : 00172233618480
Departure Day : 05/12
Additional Info : PASSENGER TICKET
From : LOS ANGELES INTERN
To : DALLAS/FORT WORTH
Class : O
From : DALLAS/FORT WORTH
To : LOS ANGELES INTERN
Class : O</t>
  </si>
  <si>
    <t>032109      AIRLINE/AIR CARRIER
PASSENGER TICKET
EXPEDIA.COM TRAVEL
SEATTLE
WA
Carrier : AMERICAN AIRLINES
Passenger Name : DUNNING/ANGELA LISA
Ticket Number : 00172233618454
Departure Day : 05/12
Additional Info : PASSENGER TICKET
From : LOS ANGELES INTERN
To : DALLAS/FORT WORTH
Class : O
From : DALLAS/FORT WORTH
To : LOS ANGELES INTERN
Class : O</t>
  </si>
  <si>
    <t>032109      AIRLINE/AIR CARRIER
PASSENGER TICKET
EXPEDIA.COM TRAVEL
SEATTLE
WA
Carrier : AMERICAN AIRLINES
Passenger Name : PEREZ/AVA YEMNA
Ticket Number : 00172233618491
Departure Day : 05/12
Additional Info : PASSENGER TICKET
From : LOS ANGELES INTERN
To : DALLAS/FORT WORTH
Class : O
From : DALLAS/FORT WORTH
To : LOS ANGELES INTERN
Class : O</t>
  </si>
  <si>
    <t>######PyB7l SPORTS CLOTHING
ON INC
PORTLAND
OR
SPORTS CLOTHING</t>
  </si>
  <si>
    <t>ZGfdCITEFm3 squareup.com/receipts
PAYA THAI LA LLC
LOS ANGELES
CA
squareup.com/receipts</t>
  </si>
  <si>
    <t>SANDS CHIROPRACTIC  Redondo Beach       CA</t>
  </si>
  <si>
    <t>1gZDQiyl5k0 squareup.com/receipts
SANDS CHIROPRACTIC
Redondo Beach
CA
squareup.com/receipts</t>
  </si>
  <si>
    <t>TST* INTELLIGENTSIA VENICE              CA</t>
  </si>
  <si>
    <t>00027059023 RESTAURANT
TST* INTELLIGENTSIA - VEN 00027059
VENICE
CA
RESTAURANT</t>
  </si>
  <si>
    <t>TST* THE BUTCHERS DAVENICE              CA</t>
  </si>
  <si>
    <t>21105175077 RESTAURANT
TST* THE BUTCHERS DAUGHT 00041847
VENICE
CA
RESTAURANT</t>
  </si>
  <si>
    <t>03/16/2025</t>
  </si>
  <si>
    <t>Z4O4K4MCH0C MERCHANDISE
AMAZON MARKETPLACE NA PA
AMZN.COM/BILL
WA
MERCHANDISE</t>
  </si>
  <si>
    <t>7K08P13SQOG MERCHANDISE
AMAZON MARKETPLACE NA PA
AMZN.COM/BILL
WA
MERCHANDISE</t>
  </si>
  <si>
    <t>EVERLANE* R087774467SAN FRANCISCO       CA</t>
  </si>
  <si>
    <t>CH_3R3PFV2Y +18587358007
EVERLANE* R087774467
SAN FRANCISCO
CA
+18587358007</t>
  </si>
  <si>
    <t>CH_3R3QIEDL +18884827768
LEV INC
NEW YORK
NY
+18884827768</t>
  </si>
  <si>
    <t>T7rZ4iWCyYB squareup.com/receipts
PAYA THAI LA LLC
LOS ANGELES
CA
squareup.com/receipts</t>
  </si>
  <si>
    <t>CH_2R3LI604 +14154506060
SOCIALPILOT
LEWES
DE
+14154506060</t>
  </si>
  <si>
    <t>21105175076 RESTAURANT
TST* THE BUTCHERS DAUGHT 00041847
VENICE
CA
RESTAURANT</t>
  </si>
  <si>
    <t>03/15/2025</t>
  </si>
  <si>
    <t>AMAI COFFEE SANTA MOSanta Monica        CA</t>
  </si>
  <si>
    <t>vLM5y9NiqOE squareup.com/receipts
AMAI COFFEE SANTA MONICA
Santa Monica
CA
squareup.com/receipts</t>
  </si>
  <si>
    <t>DNH*GODADDY#36472659Tempe               AZ</t>
  </si>
  <si>
    <t>3647265972 4805058855
Business Professional  - Renewal - 1 yea
Email - Archiving - Renewal
Microsoft 365 Email Backup - Renewal
Email Essentials  - Renewal - monthly
DNH*GODADDY#3647265972
Tempe
AZ
Business Professional  - Renewal - 1 yea
Email - Archiving - Renewal
Microsoft 365 Email Backup - Renewal
Email Essentials  - Renewal - monthly
4805058855</t>
  </si>
  <si>
    <t>03/14/2025</t>
  </si>
  <si>
    <t>191IL9T67IY MERCHANDISE
AMAZON MARKETPLACE NA PA
AMZN.COM/BILL
WA
MERCHANDISE</t>
  </si>
  <si>
    <t>DNH*GODADDY#36451205Tempe               AZ</t>
  </si>
  <si>
    <t>3645120569 4805058855
Microsoft 365 Business Professional- Ren
Email - Archiving - Renewal
Microsoft 365 Email Backup - Renewal
DNH*GODADDY#3645120569
Tempe
AZ
Microsoft 365 Business Professional- Ren
Email - Archiving - Renewal
Microsoft 365 Email Backup - Renewal
4805058855</t>
  </si>
  <si>
    <t>GELSON'S MARKET #29 SANTA MONICA        CA</t>
  </si>
  <si>
    <t>000049050   3105816450
GELSON'S MARKET #29 000000000098932
SANTA MONICA
CA
3105816450</t>
  </si>
  <si>
    <t>GELSON'S MARKETS    MARINA DEL REY      CA</t>
  </si>
  <si>
    <t>000011487   3103062952
GELSON'S MARKETS
MARINA DEL REY
CA
3103062952</t>
  </si>
  <si>
    <t>000072054   3103062952
GELSON'S MARKETS
MARINA DEL REY
CA
3103062952</t>
  </si>
  <si>
    <t>KINDLE UNLTD*KI1N92L888-802-3080        WA</t>
  </si>
  <si>
    <t>40G51ZWIYON DIGITAL
KINDLE UNLTD*KI1N92LW3
888-802-3080
WA
DIGITAL</t>
  </si>
  <si>
    <t>TLF=EDELWEISS FLOWERSANTA MONICA        CA</t>
  </si>
  <si>
    <t>31099535073 310-4521378
TLF=EDELWEISS FLOWER BOUT 00-080208673
SANTA MONICA
CA
310-4521378</t>
  </si>
  <si>
    <t>21105175074 RESTAURANT
TST* TAVERNA AT THE MAR V 00207350
LOS ANGELES
CA
RESTAURANT</t>
  </si>
  <si>
    <t>03/13/2025</t>
  </si>
  <si>
    <t>ti8vonI5KZ6 squareup.com/receipts
ALANA'S COFFEE ROASTERS
Los Angeles
CA
squareup.com/receipts</t>
  </si>
  <si>
    <t>D3z0mBX1xud squareup.com/receipts
ALANA'S COFFEE ROASTERS
Los Angeles
CA
squareup.com/receipts</t>
  </si>
  <si>
    <t>2ZAMAZTEWVW MERCHANDISE
AMAZON MARKETPLACE NA PA
AMZN.COM/BILL
WA
MERCHANDISE</t>
  </si>
  <si>
    <t>DNH*GODADDY#36430405Tempe               AZ</t>
  </si>
  <si>
    <t>3643040518 4805058855
Business Professional  - Renewal - month
Email - Archiving - Renewal
Microsoft 365 Email Backup - Renewal
DNH*GODADDY#3643040518
Tempe
AZ
Business Professional  - Renewal - month
Email - Archiving - Renewal
Microsoft 365 Email Backup - Renewal
4805058855</t>
  </si>
  <si>
    <t>OFFICEMAX/DEPOT 6684WEATHERFORD         TX</t>
  </si>
  <si>
    <t>500106175918004633768
Subscription Billing For Contract - 1169
OFFICEMAX/DEPOT 6684 000006684
WEATHERFORD
TX
Subscription Billing For Contract - 1169
8004633768</t>
  </si>
  <si>
    <t>SANDS CHIROPRACTIC  Los Angeles         CA</t>
  </si>
  <si>
    <t>3fk1G8qYzew squareup.com/receipts
SANDS CHIROPRACTIC
Los Angeles
CA
squareup.com/receipts</t>
  </si>
  <si>
    <t>22700004    800-898-4027
VONS #2270 2270
LOS ANGELES
CA
Description : GROCERIES/SUNDRIES Price : 0.00
800-898-4027</t>
  </si>
  <si>
    <t>03/12/2025</t>
  </si>
  <si>
    <t>6OHW1WNY6JQ MERCHANDISE
AMAZON MARKETPLACE NA PA
AMZN.COM/BILL
WA
MERCHANDISE</t>
  </si>
  <si>
    <t>P34DF320DB  CABLE &amp; PAY TV
SPOTIFY USA
NEW YORK
NY
CABLE &amp; PAY TV</t>
  </si>
  <si>
    <t>03/11/2025</t>
  </si>
  <si>
    <t>1G09ONY2NND MERCHANDISE
AMAZON MARKETPLACE NA PA
AMZN.COM/BILL
WA
MERCHANDISE</t>
  </si>
  <si>
    <t>DNH*GODADDY#36395435Tempe               AZ</t>
  </si>
  <si>
    <t>3639543547 4805058855
Email Essentials  - Renewal - monthly
Email - Archiving - Renewal
DNH*GODADDY#3639543547
Tempe
AZ
Email Essentials  - Renewal - monthly
Email - Archiving - Renewal
4805058855</t>
  </si>
  <si>
    <t>######PhkZN DIGITAL GOODS: APPS
ONSTAR, LLC
DETROIT
MI
DIGITAL GOODS: APPS</t>
  </si>
  <si>
    <t>99999995070 4242318000
TST* CAFE GRATITUDE - VEN 300545147
VENICE
CA
Description : RESTAURANTS Price : 1.0625
4242318000</t>
  </si>
  <si>
    <t>03/10/2025</t>
  </si>
  <si>
    <t>69WSHGDXJGO MERCHANDISE
AMAZON MARKETPLACE NA PA
AMZN.COM/BILL
WA
MERCHANDISE</t>
  </si>
  <si>
    <t>5T1VRT3WM1E MERCHANDISE
AMAZON MARKETPLACE NA PA
AMZN.COM/BILL
WA
MERCHANDISE</t>
  </si>
  <si>
    <t>XFTppfMIOws squareup.com/receipts
MOON JUICE
Venice
CA
squareup.com/receipts</t>
  </si>
  <si>
    <t>FIZpxLzLChO squareup.com/receipts
MOON JUICE
Venice
CA
squareup.com/receipts</t>
  </si>
  <si>
    <t>ORGANIC TREE JUICE BDANA POINT          CA</t>
  </si>
  <si>
    <t>85189935070949-276-7202
ORGANIC TREE JUICE BAR
DANA POINT
CA
949-276-7202</t>
  </si>
  <si>
    <t>P-02996369  MEMBERSHIP
VIMEO PRO
212-625-0668
NY
MEMBERSHIP</t>
  </si>
  <si>
    <t>03/09/2025</t>
  </si>
  <si>
    <t>ALESSA 6500000120973NEWPORT COAST       CA</t>
  </si>
  <si>
    <t xml:space="preserve">10156320250 9494978222
ALESSA 650000012097351
NEWPORT COAST
CA
</t>
  </si>
  <si>
    <t>MOZAMBIQUE RESTAURANFOUNTAIN VLY        CA</t>
  </si>
  <si>
    <t>84765795069 949-715-7777
MOZAMBIQUE RESTAURANTS
FOUNTAIN VLY
CA
949-715-7777</t>
  </si>
  <si>
    <t>03/08/2025</t>
  </si>
  <si>
    <t>TJwQSp03sWb squareup.com/receipts
ALANA'S COFFEE ROASTERS
Los Angeles
CA
squareup.com/receipts</t>
  </si>
  <si>
    <t>7SKQDOBWUFJ MERCHANDISE
AMAZON MARKETPLACE NA PA
AMZN.COM/BILL
WA
MERCHANDISE</t>
  </si>
  <si>
    <t>007008606   888BESTBUY
BEST BUY
CULVER CITY
CA
Description : ELEC SLS Price : 0.00
888BESTBUY</t>
  </si>
  <si>
    <t>DNH*GODADDY#36334882Tempe               AZ</t>
  </si>
  <si>
    <t>3633488290 4805058855
Business Professional  - Renewal - 1 yea
Email - Archiving - Renewal
DNH*GODADDY#3633488290
Tempe
AZ
Business Professional  - Renewal - 1 yea
Email - Archiving - Renewal
4805058855</t>
  </si>
  <si>
    <t>031209      AIRLINE/AIR CARRIER
OPTIONAL SERVICES FEE
EXPEDIA.COM TRAVEL
SEATTLE
WA
Carrier : AMERICAN AIRLINES
Passenger Name : FRANKEL/AARON
Ticket Number : 00183165816481
Departure Day : 03/12
Additional Info : OPTIONAL SERVICES FEE
From : ALBANY COUNTY APT
To : PHILADELPHIA INTER
From : PHILADELPHIA INTER
To : LOS ANGELES INTERN</t>
  </si>
  <si>
    <t>031209      AIRLINE/AIR CARRIER
PASSENGER TICKET
EXPEDIA.COM TRAVEL
SEATTLE
WA
Carrier : AMERICAN AIRLINES
Passenger Name : FRANKEL/AARON
Ticket Number : 00172227751636
Departure Day : 03/12
Additional Info : PASSENGER TICKET
From : ALBANY COUNTY APT
To : PHILADELPHIA INTER
Class : V
From : PHILADELPHIA INTER
To : LOS ANGELES INTERN
Class : V</t>
  </si>
  <si>
    <t>NT_RULTAORK +14158799686
OPENAI *CHATGPT SUBSCR
SAN FRANCISCO
CA
+14158799686</t>
  </si>
  <si>
    <t>######PcZD3 PROFESSIONAL SERVICE
THE BRANDON LAW FIRM PLL
LANTANA
TX
PROFESSIONAL SERVICE</t>
  </si>
  <si>
    <t>TST* DOOMIES HOME COLOS ANGELES         CA</t>
  </si>
  <si>
    <t>21105175067 RESTAURANT
TST* DOOMIES HOME COOKIN 00040850
LOS ANGELES
CA
RESTAURANT</t>
  </si>
  <si>
    <t>03/07/2025</t>
  </si>
  <si>
    <t>6FGQNHRA3Y0 MERCHANDISE
AMAZON.COM
AMZN.COM/BILL
WA
MERCHANDISE</t>
  </si>
  <si>
    <t>31099535066 888-7898466
CORPORATE FILINGS LLC 00-08029641761
SHERIDAN
WY
888-7898466</t>
  </si>
  <si>
    <t>DNH*GODADDY#36312528Tempe               AZ</t>
  </si>
  <si>
    <t>3631252854 4805058855
Microsoft 365 Email Plus- Renewal - mont
DNH*GODADDY#3631252854
Tempe
AZ
Microsoft 365 Email Plus- Renewal - mont
4805058855</t>
  </si>
  <si>
    <t>031109      AIRLINE/AIR CARRIER
PASSENGER TICKET
EXPEDIA.COM TRAVEL
SEATTLE
WA
Carrier : AMERICAN AIRLINES
Passenger Name : MILLER/KEEGAN LOVE
Ticket Number : 00172227152915
Departure Day : 03/14
Additional Info : PASSENGER TICKET
From : DALLAS/FORT WORTH
To : LOS ANGELES INTERN
Class : V
From : LOS ANGELES INTERN
To : DALLAS/FORT WORTH
Class : V</t>
  </si>
  <si>
    <t>HOLLYWOOD PALLADIUM LOS ANGELES         CA</t>
  </si>
  <si>
    <t>00663817414 213-389-3472
HOLLYWOOD PALLADIUM HOLLYWOOD PALLA
LOS ANGELES
CA
213-389-3472</t>
  </si>
  <si>
    <t>CH_3R07Q0KE +12066576177
READ - MEETING MANAGER
SEATTLE
WA
+12066576177</t>
  </si>
  <si>
    <t>21105175067 RESTAURANT
TST* BLUEYS KITCHEN MAR V 00098618
LOS ANGELES
CA
RESTAURANT</t>
  </si>
  <si>
    <t>03/06/2025</t>
  </si>
  <si>
    <t>010B2V82    4158005959
AIRBNB * HMMNAMP8KM
SAN FRANCISCO
CA
4158005959</t>
  </si>
  <si>
    <t>1YDVMPS8PJ9 MERCHANDISE
AMAZON MARKETPLACE NA PA
AMZN.COM/BILL
WA
MERCHANDISE</t>
  </si>
  <si>
    <t>AMAZON PRIME*YB2WL5SAMZN.COM/BILL       WA</t>
  </si>
  <si>
    <t>5O5FT8OM5SO DIGITAL
AMAZON PRIME*YB2WL5S63
AMZN.COM/BILL
WA
DIGITAL</t>
  </si>
  <si>
    <t>12976046    913-213-2160
AMC MARINA MARKETPL
MARINA DEL REY
CA
Description : ADMISSION/TICKETS Price : 0.00
913-213-2160</t>
  </si>
  <si>
    <t>BERRY FLASH PHOTO LALos Angeles         CA</t>
  </si>
  <si>
    <t>R2vuJy3BFOW squareup.com/receipts
BERRY FLASH PHOTO LAB
Los Angeles
CA
squareup.com/receipts</t>
  </si>
  <si>
    <t>CH_3QZZPCBS +16502003351
BRAVE.COM
SAN FRANCISCO
CA
+16502003351</t>
  </si>
  <si>
    <t>898154      FAST FOOD RESTAURANT
COFFEE BEAN &amp; TEA
MARINA DEL RE
CA
FAST FOOD RESTAURANT</t>
  </si>
  <si>
    <t>CH_3QZCOJJL +18882730423
CREXI
LOS ANGELES
CA
+18882730423</t>
  </si>
  <si>
    <t>DNH*GODADDY#36295073Tempe               AZ</t>
  </si>
  <si>
    <t>3629507330 4805058855
Microsoft 365 Business Professional- Ren
Email - Archiving - Renewal
Microsoft 365 Email Backup - Renewal
DNH*GODADDY#3629507330
Tempe
AZ
Microsoft 365 Business Professional- Ren
Email - Archiving - Renewal
Microsoft 365 Email Backup - Renewal
4805058855</t>
  </si>
  <si>
    <t>365680408   HOSPITAL
MED*CEDARS SINAI MEDICAL 6082000000120
LOS ANGELES
CA
HOSPITAL</t>
  </si>
  <si>
    <t>31099535065 FLORIST
TLF=EDELWEISS FLOWER BOUT 00-080208673
SANTA MONICA
CA
FLORIST</t>
  </si>
  <si>
    <t>03/05/2025</t>
  </si>
  <si>
    <t>L8ZYZ671AQU MERCHANDISE
AMAZON MARKETPLACE NA PA
AMZN.COM/BILL
WA
MERCHANDISE</t>
  </si>
  <si>
    <t>3U2PFOADI6M MERCHANDISE
AMAZON.COM
AMZN.COM/BILL
WA
MERCHANDISE</t>
  </si>
  <si>
    <t>25NFYPH3I0O SUBSCRIPTION
Amazon Prime
Amazon.com
WA
SUBSCRIPTION</t>
  </si>
  <si>
    <t>DNH*GODADDY#36277461Tempe               AZ</t>
  </si>
  <si>
    <t>3627746187 4805058855
Email Essentials  - Renewal - monthly
Email - Archiving - Renewal
Microsoft 365 Email Backup - Renewal
DNH*GODADDY#3627746187
Tempe
AZ
Email Essentials  - Renewal - monthly
Email - Archiving - Renewal
Microsoft 365 Email Backup - Renewal
4805058855</t>
  </si>
  <si>
    <t>03/04/2025</t>
  </si>
  <si>
    <t>AplPay AA WIFI SALESFORT WORTH          TX</t>
  </si>
  <si>
    <t>AA0010006YW COMPUTER NETWORK/INFO
WIFI
AplPay AA WIFI SALES
FORT WORTH
TX
Carrier : American Airlines
Passenger Name : John  Dunning
Ticket Number : AA0010006YWEY
Departure Day : 12/31
Additional Info : WIFI</t>
  </si>
  <si>
    <t>AplPay BESTBUY.COM 2RICHFIELD           MN</t>
  </si>
  <si>
    <t>80703823961 888-237-8289
AplPay BESTBUY.COM 2300
RICHFIELD
MN
Description : BESTBUY.COM Price : 0.00
888-237-8289</t>
  </si>
  <si>
    <t>DNH*GODADDY#36253733Tempe               AZ</t>
  </si>
  <si>
    <t>3625373307 4805058855
Business Enterprise - Renewal - 1 month
Email - Archiving - Renewal
Microsoft 365 Email Backup - Renewal
DNH*GODADDY#3625373307
Tempe
AZ
Business Enterprise - Renewal - 1 month
Email - Archiving - Renewal
Microsoft 365 Email Backup - Renewal
4805058855</t>
  </si>
  <si>
    <t>03/03/2025</t>
  </si>
  <si>
    <t>47BKD9Z9K99 MERCHANDISE
AMAZON MARKETPLACE NA PA
AMZN.COM/BILL
WA
MERCHANDISE</t>
  </si>
  <si>
    <t>ZGKE3GOZ0WX MERCHANDISE
AMAZON MARKETPLACE NA PA
AMZN.COM/BILL
WA
MERCHANDISE</t>
  </si>
  <si>
    <t>CH_2QYFUJ3T +18004304095
CONTACTS+
HUNTINGTON BEACH
CA
+18004304095</t>
  </si>
  <si>
    <t>FOUND:RE PHOENIX 068PHOENIX             AZ</t>
  </si>
  <si>
    <t xml:space="preserve">0000003777  RGONZALES@FOUNDREHOTE
LODGING
RGONZALES@FOUNDREHOTELS.C
FOUND:RE PHOENIX 068880021649278
PHOENIX
AZ
</t>
  </si>
  <si>
    <t xml:space="preserve">0000003613  RGONZALES@FOUNDREHOTE
LODGING
RGONZALES@FOUNDREHOTELS.C
FOUND:RE PHOENIX 068880021649278
PHOENIX
AZ
</t>
  </si>
  <si>
    <t>NT_RSYHG43O +18884092298
SALESMESSAGE.COM
DELRAY BEACH
FL
+18884092298</t>
  </si>
  <si>
    <t>03/02/2025</t>
  </si>
  <si>
    <t>APPLE STORE R026 R02CHANDLER            AZ</t>
  </si>
  <si>
    <t>02610503410 ELECTRONICS STORE
APPLE STORE R026 R026
CHANDLER
AZ
ELECTRONICS STORE</t>
  </si>
  <si>
    <t>EXPEDIA 730444063450EXPEDIA.COM         WA</t>
  </si>
  <si>
    <t>40001BRBC8T TRAVEL AGENCY
EXPEDIA 73044406345034
EXPEDIA.COM
WA
TRAVEL AGENCY</t>
  </si>
  <si>
    <t>000025604   305-267-8510
LAX AIRP CROWNS LAX T4 LAX AIRP CROWNS
LOS ANGELES
CA
305-267-8510</t>
  </si>
  <si>
    <t>00311006622 999-000-0000
ROSS DRESS FOR LESS
VENICE
CA
999-000-0000</t>
  </si>
  <si>
    <t>03/01/2025</t>
  </si>
  <si>
    <t>71094475060 310-836-8000
ABC*ICONFIT
LOS ANGELES
CA
310-836-8000</t>
  </si>
  <si>
    <t>4K6XWUA0P66 MERCHANDISE
AMAZON MARKETPLACE NA PA
AMZN.COM/BILL
WA
MERCHANDISE</t>
  </si>
  <si>
    <t>030509      AIRLINE/AIR CARRIER
PASSENGER TICKET
AMERICAN EXPRESS TVL SVC
PHOENIX
AZ
Carrier : AMERICAN AIRLINES
Passenger Name : DUNNING/JOHN BARKER
Ticket Number : 00171840894794
Departure Day : 03/02
Additional Info : PASSENGER TICKET
From : LOS ANGELES INTERN
To : PHOENIX SKY HARBOR
Class : L
From : PHOENIX SKY HARBOR
To : LOS ANGELES INTERN
Class : L</t>
  </si>
  <si>
    <t>030509      AIRLINE/AIR CARRIER
PASSENGER TICKET
AMERICAN EXPRESS TVL SVC
PHOENIX
AZ
Carrier : AMERICAN AIRLINES
Passenger Name : CERVANTES/ANGEL DE J
Ticket Number : 00171840895166
Departure Day : 03/02
Additional Info : PASSENGER TICKET
From : DALLAS/FORT WORTH
To : PHOENIX SKY HARBOR
Class : M
From : PHOENIX SKY HARBOR
To : DALLAS/FORT WORTH
Class : M</t>
  </si>
  <si>
    <t>AMEX TRAVEL PURCHASE WITH MR POINTS CREDIT</t>
  </si>
  <si>
    <t xml:space="preserve">AMEX TRAVEL PURCHASE WITH MR POINTS CREDIT
</t>
  </si>
  <si>
    <t>DNH*GODADDY#36173425Tempe               AZ</t>
  </si>
  <si>
    <t>3617342551 4805058855
Business Professional  - Renewal - month
Email - Archiving - Renewal
Microsoft 365 Email Backup - Renewal
DNH*GODADDY#3617342551
Tempe
AZ
Business Professional  - Renewal - month
Email - Archiving - Renewal
Microsoft 365 Email Backup - Renewal
4805058855</t>
  </si>
  <si>
    <t>NT_RRZYAHDN +16780000000
LOOM SUBSCRIPTION
SAN FRANCISCO
CA
+16780000000</t>
  </si>
  <si>
    <t>02/28/2025</t>
  </si>
  <si>
    <t>5LIJKDGA0VV MERCHANDISE
AMAZON MARKETPLACE NA PA
AMZN.COM/BILL
WA
MERCHANDISE</t>
  </si>
  <si>
    <t>6V1V0TS9SEP MERCHANDISE
AMAZON MARKETPLACE NA PA
AMZN.COM/BILL
WA
MERCHANDISE</t>
  </si>
  <si>
    <t>NT_RRIYPHZQ +14158799686
OPENAI *CHATGPT SUBSCR
SAN FRANCISCO
CA
+14158799686</t>
  </si>
  <si>
    <t>02/27/2025</t>
  </si>
  <si>
    <t>34SPVB0P0KU MERCHANDISE
AMAZON MARKETPLACE NA PA
AMZN.COM/BILL
WA
MERCHANDISE</t>
  </si>
  <si>
    <t>1FH4YZGGDBA MERCHANDISE
AMAZON MARKETPLACE NA PA
AMZN.COM/BILL
WA
MERCHANDISE</t>
  </si>
  <si>
    <t>5N9W6Z1DXMY MERCHANDISE
AMAZON MARKETPLACE NA PA
AMZN.COM/BILL
WA
MERCHANDISE</t>
  </si>
  <si>
    <t>4CPVEHKZZAM MERCHANDISE
AMAZON MARKETPLACE NA PA
AMZN.COM/BILL
WA
MERCHANDISE</t>
  </si>
  <si>
    <t>5AG8CUDB5XF MERCHANDISE
AMAZON.COM
AMZN.COM/BILL
WA
MERCHANDISE</t>
  </si>
  <si>
    <t>DNH*GODADDY#36122905Tempe               AZ</t>
  </si>
  <si>
    <t>3612290567 4805058855
Hosting - Web - Economy - Linux cPanel -
DNH*GODADDY#3612290567
Tempe
AZ
Hosting - Web - Economy - Linux cPanel -
4805058855</t>
  </si>
  <si>
    <t>NT_RQTCL1R4 +14158799686
OPENAI *CHATGPT SUBSCR
SAN FRANCISCO
CA
+14158799686</t>
  </si>
  <si>
    <t>10173905745 4029357733
PAYPAL *CREPUSHCOM
4029357733
FL
"Description : MANAGEMENT, CONSULT Price : 0.00"
4029357733</t>
  </si>
  <si>
    <t>NT_RQPSZMEN 3235775423
SPLICE.COM
NEW YORK CITY
NY
3235775423</t>
  </si>
  <si>
    <t>02/26/2025</t>
  </si>
  <si>
    <t>6WXA2XM02IW MERCHANDISE
AMAZON MARKETPLACE NA PA
AMZN.COM/BILL
WA
MERCHANDISE</t>
  </si>
  <si>
    <t>THE FALAFEL FACTORY PARAMOUNT           CA</t>
  </si>
  <si>
    <t>JUgccshWATZ squareup.com/receipts
THE FALAFEL FACTORY
PARAMOUNT
CA
squareup.com/receipts</t>
  </si>
  <si>
    <t>02/25/2025</t>
  </si>
  <si>
    <t>6IJO77WLCGD MERCHANDISE
AMAZON MARKETPLACE NA PA
AMZN.COM/BILL
WA
MERCHANDISE</t>
  </si>
  <si>
    <t>6N4ZLVUWYJ5 MERCHANDISE
AMAZON.COM
AMZN.COM/BILL
WA
MERCHANDISE</t>
  </si>
  <si>
    <t>DNH*GODADDY#36074509Tempe               AZ</t>
  </si>
  <si>
    <t>3607450998 4805058855
Email Plus  - Renewal - monthly
Email - Archiving - Renewal
DNH*GODADDY#3607450998
Tempe
AZ
Email Plus  - Renewal - monthly
Email - Archiving - Renewal
4805058855</t>
  </si>
  <si>
    <t>PLATINUM VALET PARKIGRANADA HILLS       CA</t>
  </si>
  <si>
    <t>265878142   8182030901
PLATINUM VALET PARKING INC
GRANADA HILLS
CA
Description : N/A Price : 0.00
8182030901</t>
  </si>
  <si>
    <t>02/24/2025</t>
  </si>
  <si>
    <t>BSDE321FM07 MERCHANDISE
AMAZON MARKETPLACE NA PA
AMZN.COM/BILL
WA
MERCHANDISE</t>
  </si>
  <si>
    <t>5YT9ATHWM4I MERCHANDISE
AMAZON MARKETPLACE NA PA
AMZN.COM/BILL
WA
MERCHANDISE</t>
  </si>
  <si>
    <t>02/23/2025</t>
  </si>
  <si>
    <t>DNH*GODADDY#36047083Tempe               AZ</t>
  </si>
  <si>
    <t>3604708357 4805058855
Business Enterprise - Renewal - 1 month
Email - Archiving - Renewal
Microsoft 365 Email Backup - Renewal
DNH*GODADDY#3604708357
Tempe
AZ
Business Enterprise - Renewal - 1 month
Email - Archiving - Renewal
Microsoft 365 Email Backup - Renewal
4805058855</t>
  </si>
  <si>
    <t>MERCEDES BENZ OF LAGLAGUNA NIGUEL       CA</t>
  </si>
  <si>
    <t>730110050550000050550167483192677
MERCEDES BENZ OF LAGUNA N 739292500305
LAGUNA NIGUEL
CA
0000050550167483192677</t>
  </si>
  <si>
    <t>02/21/2025</t>
  </si>
  <si>
    <t>26VGIVB89WW MERCHANDISE
AMAZON MARKETPLACE NA PA
AMZN.COM/BILL
WA
MERCHANDISE</t>
  </si>
  <si>
    <t>6FMWBZPQUDJ MERCHANDISE
AMAZON MARKETPLACE NA PA
AMZN.COM/BILL
WA
MERCHANDISE</t>
  </si>
  <si>
    <t>20250220    AMERICAN AIR
EXCESS BAGGAGE
AMERICAN AIRLINES
800-433-7300
TX
Carrier : American Airlines
Passenger Name : ANGELA LISA DUNNING
Ticket Number : 0014454505080
Departure Day : 02/21
Additional Info : EXCESS BAGGAGE
From : DALLAS/FORT WORTH
To : LOS ANGELES INTERN
Class : L</t>
  </si>
  <si>
    <t>20250220    AMERICAN AIR
EXCESS BAGGAGE
AMERICAN AIRLINES
800-433-7300
TX
Carrier : American Airlines
Passenger Name : ANGELA LISA DUNNING
Ticket Number : 0014454505082
Departure Day : 02/21
Additional Info : EXCESS BAGGAGE
From : DALLAS/FORT WORTH
To : LOS ANGELES INTERN
Class : L</t>
  </si>
  <si>
    <t>20250220    AMERICAN AIR
EXCESS BAGGAGE
AMERICAN AIRLINES
800-433-7300
TX
Carrier : American Airlines
Passenger Name : ANGELA LISA DUNNING
Ticket Number : 0014454505081
Departure Day : 02/21
Additional Info : EXCESS BAGGAGE
From : DALLAS/FORT WORTH
To : LOS ANGELES INTERN
Class : L</t>
  </si>
  <si>
    <t>02/20/2025</t>
  </si>
  <si>
    <t>6EJZA82RIBS MERCHANDISE
AMAZON MARKETPLACE NA PA
AMZN.COM/BILL
WA
MERCHANDISE</t>
  </si>
  <si>
    <t>6VMQM2JMVDH MERCHANDISE
AMAZON MARKETPLACE NA PA
AMZN.COM/BILL
WA
MERCHANDISE</t>
  </si>
  <si>
    <t>3JLMLWZ5GVA MERCHANDISE
AMAZON MARKETPLACE NA PA
AMZN.COM/BILL
WA
MERCHANDISE</t>
  </si>
  <si>
    <t>34170758    EMAIL MARKET
CAMPAIGNER SVC
888-845-4544
CA
EMAIL MARKET</t>
  </si>
  <si>
    <t>DNH*GODADDY#35980114Tempe               AZ</t>
  </si>
  <si>
    <t>3598011432 4805058855
Microsoft 365 Email Essentials - Renewal
Email - Archiving - Renewal
Microsoft 365 Email Backup - Renewal
DNH*GODADDY#3598011432
Tempe
AZ
Microsoft 365 Email Essentials - Renewal
Email - Archiving - Renewal
Microsoft 365 Email Backup - Renewal
4805058855</t>
  </si>
  <si>
    <t>02/19/2025</t>
  </si>
  <si>
    <t>5DMRJD4WBOH MERCHANDISE
AMAZON MARKETPLACE NA PA
AMZN.COM/BILL
WA
MERCHANDISE</t>
  </si>
  <si>
    <t>1GDF8SQFHYD MERCHANDISE
AMAZON MARKETPLACE NA PA
AMZN.COM/BILL
WA
MERCHANDISE</t>
  </si>
  <si>
    <t>10173268412 7275437907
PAYPAL *BIGBOYSBLAS
7275437907
FL
"Description : MANAGEMENT, CONSULT Price : 0.00"
7275437907</t>
  </si>
  <si>
    <t>02/18/2025</t>
  </si>
  <si>
    <t>DNH*GODADDY#35941836Tempe               AZ</t>
  </si>
  <si>
    <t>3594183613 4805058855
COM Domain Name Renewal - 1 Year recur
Microsoft 365 Email Plus- Renewal - mont
Email - Archiving - Renewal
DNH*GODADDY#3594183613
Tempe
AZ
COM Domain Name Renewal - 1 Year recur
Microsoft 365 Email Plus- Renewal - mont
Email - Archiving - Renewal
4805058855</t>
  </si>
  <si>
    <t>85189935049800-418-4452
PROPERTYBLAST.COM
800-418-4452
FL
800-418-4452</t>
  </si>
  <si>
    <t>02/17/2025</t>
  </si>
  <si>
    <t>22FE9XWTOHB MERCHANDISE
AMAZON MARKETPLACE NA PA
AMZN.COM/BILL
WA
MERCHANDISE</t>
  </si>
  <si>
    <t>DNH*GODADDY#35911509Tempe               AZ</t>
  </si>
  <si>
    <t>3591150977 4805058855
Email Essentials  - Renewal - monthly
Email - Archiving - Renewal
DNH*GODADDY#3591150977
Tempe
AZ
Email Essentials  - Renewal - monthly
Email - Archiving - Renewal
4805058855</t>
  </si>
  <si>
    <t>02/16/2025</t>
  </si>
  <si>
    <t>20250216    AMERICAN AIR
EXCESS BAGGAGE
AMERICAN AIRLINES
800-433-7300
TX
Carrier : American Airlines
Passenger Name : AVAYEMNA PEREZ
Ticket Number : 0014454149567
Departure Day : 02/17
Additional Info : EXCESS BAGGAGE
From : DALLAS/FORT WORTH
To : LOS ANGELES INTERN
Class : M</t>
  </si>
  <si>
    <t>20250216    AMERICAN AIR
EXCESS BAGGAGE
AMERICAN AIRLINES
800-433-7300
TX
Carrier : American Airlines
Passenger Name : AVAYEMNA PEREZ
Ticket Number : 0014454149568
Departure Day : 02/17
Additional Info : EXCESS BAGGAGE
From : DALLAS/FORT WORTH
To : LOS ANGELES INTERN
Class : M</t>
  </si>
  <si>
    <t>20250217    AA.COM
PREFERRED SEAT UPGRADE
AMERICAN AIRLINES 45107392
800-433-7300
TX
Carrier : AMERICAN AIRLINES
Passenger Name : PEREZ/AVAYEMNA
Ticket Number : 0010620109193
Departure Day : 02/16
Additional Info : PREFERRED SEAT UPGRADE</t>
  </si>
  <si>
    <t>NT_RMR5M0W8 +18884827768
LEV INC
NEW YORK
NY
+18884827768</t>
  </si>
  <si>
    <t>NT_RMLUBXN9 +14154506060
SOCIALPILOT
LEWES
DE
+14154506060</t>
  </si>
  <si>
    <t>04881990    WWW.UNITED.COM
PREFERRED SEAT UPGRADE
UNITED AIRLINES
HOUSTON
TX
Carrier : UNITED AIRLINES
Passenger Name : QUEZADA   /PREFERRED ZONE
Ticket Number : 01644731988664
Departure Day : 03/16
Additional Info : PREFERRED SEAT UPGRADE
From : LOS ANGELES INTERN
To : DENVER INTL APT</t>
  </si>
  <si>
    <t>04882017    WWW.UNITED.COM
PREFERRED SEAT UPGRADE
UNITED AIRLINES
HOUSTON
TX
Carrier : UNITED AIRLINES
Passenger Name : QUEZADA   /PREFERRED ZONE
Ticket Number : 01644731988653
Departure Day : 03/14
Additional Info : PREFERRED SEAT UPGRADE
From : DENVER INTL APT
To : LOS ANGELES INTERN</t>
  </si>
  <si>
    <t>04780878    WWW.UNITED.COM
PASSENGER TICKET
UNITED AIRLINES
HOUSTON
TX
Carrier : UNITED AIRLINES
Passenger Name : QUEZADA/DENISEMARIE
Ticket Number : 01624609050944
Departure Day : 03/14
Additional Info : PASSENGER TICKET
From : DENVER INTL APT
To : LOS ANGELES INTERN
From : LOS ANGELES INTERN
To : DENVER INTL APT</t>
  </si>
  <si>
    <t>02/15/2025</t>
  </si>
  <si>
    <t>DNH*GODADDY#35873619Tempe               AZ</t>
  </si>
  <si>
    <t>3587361908 4805058855
Email Essentials  - Renewal - monthly
DNH*GODADDY#3587361908
Tempe
AZ
Email Essentials  - Renewal - monthly
4805058855</t>
  </si>
  <si>
    <t>02/14/2025</t>
  </si>
  <si>
    <t>1KABH2NEMPS MERCHANDISE
AMAZON MARKETPLACE NA PA
AMZN.COM/BILL
WA
MERCHANDISE</t>
  </si>
  <si>
    <t>29L63UMSRIM MERCHANDISE
AMAZON MARKETPLACE NA PA
AMZN.COM/BILL
WA
MERCHANDISE</t>
  </si>
  <si>
    <t>YSQFSRRG335 MERCHANDISE
AMAZON MARKETPLACE NA PA
AMZN.COM/BILL
WA
MERCHANDISE</t>
  </si>
  <si>
    <t>DNH*GODADDY#35865148Tempe               AZ</t>
  </si>
  <si>
    <t>3586514856 4805058855
Microsoft 365 Business Professional- Ren
Email - Archiving - Renewal
Microsoft 365 Email Backup - Renewal
DNH*GODADDY#3586514856
Tempe
AZ
Microsoft 365 Business Professional- Ren
Email - Archiving - Renewal
Microsoft 365 Email Backup - Renewal
4805058855</t>
  </si>
  <si>
    <t>KINDLE UNLTD*BH2285U888-802-3080        WA</t>
  </si>
  <si>
    <t>28T2IVKLO8I DIGITAL
KINDLE UNLTD*BH2285U83
888-802-3080
WA
DIGITAL</t>
  </si>
  <si>
    <t>02/13/2025</t>
  </si>
  <si>
    <t>5VNJG7GV7FA MERCHANDISE
AMAZON MARKETPLACE NA PA
AMZN.COM/BILL
WA
MERCHANDISE</t>
  </si>
  <si>
    <t>45VAMQIU713 MERCHANDISE
AMAZON MARKETPLACE NA PA
AMZN.COM/BILL
WA
MERCHANDISE</t>
  </si>
  <si>
    <t>148866FJYOI MERCHANDISE
AMAZON.COM
AMZN.COM/BILL
WA
MERCHANDISE</t>
  </si>
  <si>
    <t>DNH*GODADDY#35846441Tempe               AZ</t>
  </si>
  <si>
    <t>3584644141 4805058855
Business Professional  - Renewal - month
Email - Archiving - Renewal
Microsoft 365 Email Backup - Renewal
DNH*GODADDY#3584644141
Tempe
AZ
Business Professional  - Renewal - month
Email - Archiving - Renewal
Microsoft 365 Email Backup - Renewal
4805058855</t>
  </si>
  <si>
    <t>02/12/2025</t>
  </si>
  <si>
    <t>21JALAD4CRW MERCHANDISE
AMAZON MARKETPLACE NA PA
AMZN.COM/BILL
WA
MERCHANDISE</t>
  </si>
  <si>
    <t>021707      AIRLINE/AIR CARRIER
PASSENGER TICKET
EXPEDIA.COM TRAVEL
SEATTLE
WA
Carrier : AMERICAN AIRLINES
Passenger Name : PEREZ/AVAYEMNA
Ticket Number : 00172211866315
Departure Day : 02/15
Additional Info : PASSENGER TICKET
From : DALLAS/FORT WORTH
To : LOS ANGELES INTERN
Class : M</t>
  </si>
  <si>
    <t>P3402D5ACB  CABLE &amp; PAY TV
SPOTIFY USA
NEW YORK
NY
CABLE &amp; PAY TV</t>
  </si>
  <si>
    <t>02/11/2025</t>
  </si>
  <si>
    <t>3VNLEWP6789 MERCHANDISE
AMAZON MARKETPLACE NA PA
AMZN.COM/BILL
WA
MERCHANDISE</t>
  </si>
  <si>
    <t>2OZNMEK3FF8 MERCHANDISE
AMAZON.COM
AMZN.COM/BILL
WA
MERCHANDISE</t>
  </si>
  <si>
    <t>4Q3XV1GCMQ9 MERCHANDISE
AMAZON.COM
AMZN.COM/BILL
WA
MERCHANDISE</t>
  </si>
  <si>
    <t>OYK3RDIVIF0 SUBSCRIPTION
Amazon Prime
Amazon.com
WA
SUBSCRIPTION</t>
  </si>
  <si>
    <t>DNH*GODADDY#35807373Tempe               AZ</t>
  </si>
  <si>
    <t>3580737351 4805058855
Email Essentials  - Renewal - monthly
Email - Archiving - Renewal
DNH*GODADDY#3580737351
Tempe
AZ
Email Essentials  - Renewal - monthly
Email - Archiving - Renewal
4805058855</t>
  </si>
  <si>
    <t>######YGpYo DIGITAL GOODS: APPS
ONSTAR, LLC
DETROIT
MI
DIGITAL GOODS: APPS</t>
  </si>
  <si>
    <t>PREMIER IV WEATHERFOWEATHERFORD         TX</t>
  </si>
  <si>
    <t>######OTLXL BEAUTY/BARBER SHOP
PREMIER IV WEATHERFORD
WEATHERFORD
TX
BEAUTY/BARBER SHOP</t>
  </si>
  <si>
    <t>######OTMl9 BEAUTY/BARBER SHOP
PREMIER IV WEATHERFORD
WEATHERFORD
TX
BEAUTY/BARBER SHOP</t>
  </si>
  <si>
    <t>02/10/2025</t>
  </si>
  <si>
    <t>3WBUAHTQQ1A MERCHANDISE
AMAZON MARKETPLACE NA PA
AMZN.COM/BILL
WA
MERCHANDISE</t>
  </si>
  <si>
    <t>BT*GIG*THE BAYOU BUMSPRINGFIELD         MO</t>
  </si>
  <si>
    <t>KJMD9Y9T    8667884447
BT*GIG*THE BAYOU BUMP
SPRINGFIELD
MO
8667884447</t>
  </si>
  <si>
    <t>021409      AIRLINE/AIR CARRIER
OPTIONAL SERVICES FEE
EXPEDIA.COM TRAVEL
SEATTLE
WA
Carrier : AMERICAN AIRLINES
Passenger Name : DUNNING/ANGELA LISA
Ticket Number : 00183163551804
Departure Day : 02/21
Additional Info : OPTIONAL SERVICES FEE
From : DALLAS/FORT WORTH
To : LOS ANGELES INTERN</t>
  </si>
  <si>
    <t>021409      AIRLINE/AIR CARRIER
OPTIONAL SERVICES FEE
EXPEDIA.COM TRAVEL
SEATTLE
WA
Carrier : AMERICAN AIRLINES
Passenger Name : DUNNING/JOHN BARKER
Ticket Number : 00183163551815
Departure Day : 02/21
Additional Info : OPTIONAL SERVICES FEE
From : DALLAS/FORT WORTH
To : LOS ANGELES INTERN</t>
  </si>
  <si>
    <t>021409      AIRLINE/AIR CARRIER
PASSENGER TICKET
EXPEDIA.COM TRAVEL
SEATTLE
WA
Carrier : AMERICAN AIRLINES
Passenger Name : DUNNING/ANGELA LISA
Ticket Number : 00172210684726
Departure Day : 02/21
Additional Info : PASSENGER TICKET
From : DALLAS/FORT WORTH
To : LOS ANGELES INTERN
Class : L</t>
  </si>
  <si>
    <t>021409      AIRLINE/AIR CARRIER
PASSENGER TICKET
EXPEDIA.COM TRAVEL
SEATTLE
WA
Carrier : AMERICAN AIRLINES
Passenger Name : DUNNING/JOHN BARKER
Ticket Number : 00172210684730
Departure Day : 02/21
Additional Info : PASSENGER TICKET
From : DALLAS/FORT WORTH
To : LOS ANGELES INTERN
Class : L</t>
  </si>
  <si>
    <t>LONE STAR IV MEDICS/Weatherford         TX</t>
  </si>
  <si>
    <t>fPwkM5KXwee squareup.com/receipts
LONE STAR IV MEDICS/GUARDIAN MEDICAL
Weatherford
TX
squareup.com/receipts</t>
  </si>
  <si>
    <t>######OOXn9 PROFESSIONAL SERVICE
THE BRANDON LAW FIRM PLL
LANTANA
TX
PROFESSIONAL SERVICE</t>
  </si>
  <si>
    <t>P-02714368  MEMBERSHIP
VIMEO PRO
212-625-0668
NY
MEMBERSHIP</t>
  </si>
  <si>
    <t>02/09/2025</t>
  </si>
  <si>
    <t>3N0LV3H78K4 MERCHANDISE
AMAZON MARKETPLACE NA PA
AMZN.COM/BILL
WA
MERCHANDISE</t>
  </si>
  <si>
    <t>5O59WLJ4ZB9 MERCHANDISE
AMAZON MARKETPLACE NA PA
AMZN.COM/BILL
WA
MERCHANDISE</t>
  </si>
  <si>
    <t>36YCM0L8LPE MERCHANDISE
AMAZON MARKETPLACE NA PA
AMZN.COM/BILL
WA
MERCHANDISE</t>
  </si>
  <si>
    <t>438ZR7SSX7W MERCHANDISE
AMAZON.COM
AMZN.COM/BILL
WA
MERCHANDISE</t>
  </si>
  <si>
    <t>02/08/2025</t>
  </si>
  <si>
    <t>3CF0BUPJI3E MERCHANDISE
AMAZON MARKETPLACE NA PA
AMZN.COM/BILL
WA
MERCHANDISE</t>
  </si>
  <si>
    <t>ELME9B6VCBE MERCHANDISE
AMAZON.COM
AMZN.COM/BILL
WA
MERCHANDISE</t>
  </si>
  <si>
    <t>AZCENTRAL AIRPORT NEPHOENIX             AZ</t>
  </si>
  <si>
    <t>85179245040 602-257-8410
AZCENTRAL AIRPORT NEWS
PHOENIX
AZ
602-257-8410</t>
  </si>
  <si>
    <t>KINDLE SVCS*TR6Q65QQ888-802-3080        WA</t>
  </si>
  <si>
    <t>6SQGNHXO4GO DIGITAL
KINDLE SVCS*TR6Q65QQ3
888-802-3080
WA
DIGITAL</t>
  </si>
  <si>
    <t>NYX=VENDIBEAN 650000SAN DIEGO           CA</t>
  </si>
  <si>
    <t>10156320250 4106663800
NYX=VENDIBEAN 650000011929539
SAN DIEGO
CA
4106663800</t>
  </si>
  <si>
    <t>NT_RJRYIVAK +14158799686
OPENAI *CHATGPT SUBSCR
SAN FRANCISCO
CA
+14158799686</t>
  </si>
  <si>
    <t>ZIEGLER'S NEW YORK PPHOENIX             AZ</t>
  </si>
  <si>
    <t>560348      RESTAURANT
ZIEGLER'S NEW YORK PIZZIA DEPT
PHOENIX
AZ
RESTAURANT</t>
  </si>
  <si>
    <t>02/07/2025</t>
  </si>
  <si>
    <t>6CSXHQH7MQT MERCHANDISE
AMAZON MARKETPLACE NA PA
AMZN.COM/BILL
WA
MERCHANDISE</t>
  </si>
  <si>
    <t>2HW5CRHDKF8 MERCHANDISE
AMAZON MARKETPLACE NA PA
AMZN.COM/BILL
WA
MERCHANDISE</t>
  </si>
  <si>
    <t>73XTJU94874 MERCHANDISE
AMAZON MARKETPLACE NA PA
AMZN.COM/BILL
WA
MERCHANDISE</t>
  </si>
  <si>
    <t>1E7XZ1R1YCC MERCHANDISE
AMAZON MARKETPLACE NA PA
AMZN.COM/BILL
WA
MERCHANDISE</t>
  </si>
  <si>
    <t>5UZXSNW2791 MERCHANDISE
AMAZON MARKETPLACE NA PA
AMZN.COM/BILL
WA
MERCHANDISE</t>
  </si>
  <si>
    <t>DNH*GODADDY#35724869Tempe               AZ</t>
  </si>
  <si>
    <t>3572486968 4805058855
Microsoft 365 Email Plus- Renewal - mont
DNH*GODADDY#3572486968
Tempe
AZ
Microsoft 365 Email Plus- Renewal - mont
4805058855</t>
  </si>
  <si>
    <t>NT_RJQXLXVK +12066576177
READ - MEETING MANAGER
SEATTLE
WA
+12066576177</t>
  </si>
  <si>
    <t>NT_RJEYNSM7 +13854834872
SPONSORCLOUD (SYNPRO)
SALT LAKE CITY
UT
+13854834872</t>
  </si>
  <si>
    <t>02/06/2025</t>
  </si>
  <si>
    <t>AMAZON PRIME*6D3S52FAMZN.COM/BILL       WA</t>
  </si>
  <si>
    <t>6ZC1GYR4CJQ DIGITAL
AMAZON PRIME*6D3S52F03
AMZN.COM/BILL
WA
DIGITAL</t>
  </si>
  <si>
    <t>6SS25KAM7FR SUBSCRIPTION
Amazon Prime
Amazon.com
WA
SUBSCRIPTION</t>
  </si>
  <si>
    <t>20250206    AMERICAN AIR
EXCESS BAGGAGE
American Airlines
FORT WORTH
TX
Carrier : American Airlines Inc
Passenger Name : DUNNING/JOHN BARKER
Ticket Number : 0010265777558
Departure Day : 02/06
Additional Info : EXCESS BAGGAGE
From : LOS ANGELES INTERN
To : PHOENIX SKY HARBOR
Class : M</t>
  </si>
  <si>
    <t>NT_RIRME10F +16502003351
BRAVE.COM
SAN FRANCISCO
CA
+16502003351</t>
  </si>
  <si>
    <t>CMT PHOENIX   330016PHOENIX             AZ</t>
  </si>
  <si>
    <t>002778766   718-9374444
CMT PHOENIX   330016 09029330016
PHOENIX
AZ
Description : TAXICABS Price : 1.00
718-9374444</t>
  </si>
  <si>
    <t>NT_RIUHTGPX +18882730423
CREXI
LOS ANGELES
CA
+18882730423</t>
  </si>
  <si>
    <t>DNH*GODADDY#35692435Tempe               AZ</t>
  </si>
  <si>
    <t>3569243592 4805058855
Microsoft 365 Business Professional- Ren
Email - Archiving - Renewal
Microsoft 365 Email Backup - Renewal
DNH*GODADDY#3569243592
Tempe
AZ
Microsoft 365 Business Professional- Ren
Email - Archiving - Renewal
Microsoft 365 Email Backup - Renewal
4805058855</t>
  </si>
  <si>
    <t>FAIRMONT HOTEL SCOTTSCOTTSDALE          AZ</t>
  </si>
  <si>
    <t>92300232    480-585-4848
FAIRMONT HOTEL SCOTTS F&amp; 0000
SCOTTSDALE
AZ
Description : FOOD/BEVERAGE Price : 0.00
480-585-4848</t>
  </si>
  <si>
    <t>KINDLE SVCS*7C6HC7GH888-802-3080        WA</t>
  </si>
  <si>
    <t>3RANV1ZJA9Y DIGITAL
KINDLE SVCS*7C6HC7GH3
888-802-3080
WA
DIGITAL</t>
  </si>
  <si>
    <t>KINDLE SVCS*Z72669KS888-802-3080        WA</t>
  </si>
  <si>
    <t>TOG7E6EA3A5 DIGITAL
KINDLE SVCS*Z72669KS0
888-802-3080
WA
DIGITAL</t>
  </si>
  <si>
    <t>KINDLE SVCS*Z73BZ02Q888-802-3080        WA</t>
  </si>
  <si>
    <t>44A3EQONU2E DIGITAL
KINDLE SVCS*Z73BZ02Q0
888-802-3080
WA
DIGITAL</t>
  </si>
  <si>
    <t>KINDLE SVCS*Z73H04G4888-802-3080        WA</t>
  </si>
  <si>
    <t>QPO22HDXZSL DIGITAL
KINDLE SVCS*Z73H04G41
888-802-3080
WA
DIGITAL</t>
  </si>
  <si>
    <t>KINDLE SVCS*Z74NL0GU888-802-3080        WA</t>
  </si>
  <si>
    <t>60RZJMYZT2I DIGITAL
KINDLE SVCS*Z74NL0GU1
888-802-3080
WA
DIGITAL</t>
  </si>
  <si>
    <t>KINDLE SVCS*Z75BZ42L888-802-3080        WA</t>
  </si>
  <si>
    <t>TXS1XQYHB9B DIGITAL
KINDLE SVCS*Z75BZ42L0
888-802-3080
WA
DIGITAL</t>
  </si>
  <si>
    <t>Z0A45iZ56jc squareup.com/receipts
PAYA THAI LA LLC. BLUE LOTUS MASSAGE.
LOS ANGELES
CA
squareup.com/receipts</t>
  </si>
  <si>
    <t>941116173   305-267-8510
STARBUCKS 85549 STARBUCKS 85549
LOS ANGELES
CA
305-267-8510</t>
  </si>
  <si>
    <t>02/05/2025</t>
  </si>
  <si>
    <t>79OBJQ09HU9 MERCHANDISE
AMAZON MARKETPLACE NA PA
AMZN.COM/BILL
WA
MERCHANDISE</t>
  </si>
  <si>
    <t>DNH*GODADDY#35667693Tempe               AZ</t>
  </si>
  <si>
    <t>3566769366 4805058855
Email Essentials  - Renewal - monthly
Email - Archiving - Renewal
Microsoft 365 Email Backup - Renewal
DNH*GODADDY#3566769366
Tempe
AZ
Email Essentials  - Renewal - monthly
Email - Archiving - Renewal
Microsoft 365 Email Backup - Renewal
4805058855</t>
  </si>
  <si>
    <t>FATBURGER 0000      LOS ANGELES         CA</t>
  </si>
  <si>
    <t>85100037    310-390-7831
FATBURGER 0000
LOS ANGELES
CA
Description : FOOD/BEVERAGE Price : 0.00
310-390-7831</t>
  </si>
  <si>
    <t>30630097    310-850-1336
PACOS TACOS 0755
LOS ANGELES
CA
Description : FOOD/BEVERAGE Price : 0.00
310-850-1336</t>
  </si>
  <si>
    <t>000544499  00127000544499   90291
POSTCARDS ONLINE
BUSINESS CARDS ONLINE
STAPLES 00127
VENICE
CA
POSTCARDS ONLINE
BUSINESS CARDS ONLINE
00127000544499   90291</t>
  </si>
  <si>
    <t>02/04/2025</t>
  </si>
  <si>
    <t>31099535035 888-7898466
CORPORATE FILINGS LLC 00-08029641761
SHERIDAN
WY
888-7898466</t>
  </si>
  <si>
    <t>DNH*GODADDY#35650633Tempe               AZ</t>
  </si>
  <si>
    <t>3565063313 4805058855
Business Enterprise - Renewal - 1 month
Email - Archiving - Renewal
Microsoft 365 Email Backup - Renewal
DNH*GODADDY#3565063313
Tempe
AZ
Business Enterprise - Renewal - 1 month
Email - Archiving - Renewal
Microsoft 365 Email Backup - Renewal
4805058855</t>
  </si>
  <si>
    <t>FIRE ANT CONTROL OF.ALEDO               TX</t>
  </si>
  <si>
    <t>NT_RIIESQNK +18887211115
FIRE ANT CONTROL OF...
ALEDO
TX
+18887211115</t>
  </si>
  <si>
    <t>PAYPAL *INFANTSOLUT 3022504336          DE</t>
  </si>
  <si>
    <t>10172066776 3022504336
PAYPAL *INFANTSOLUT
3022504336
DE
Description : CONSULTING SERVICES Price : 0.00
3022504336</t>
  </si>
  <si>
    <t>21105175036 RESTAURANT
TST* BLUEYS KITCHEN MAR V 00098618
LOS ANGELES
CA
RESTAURANT</t>
  </si>
  <si>
    <t>02/03/2025</t>
  </si>
  <si>
    <t>13JPCIO10VJ MERCHANDISE
AMAZON MARKETPLACE NA PA
AMZN.COM/BILL
WA
MERCHANDISE</t>
  </si>
  <si>
    <t>4NCZ3DY4ECN MERCHANDISE
AMAZON MARKETPLACE NA PA
AMZN.COM/BILL
WA
MERCHANDISE</t>
  </si>
  <si>
    <t>NT_RHW0XDE7 +18004304095
CONTACTS+
HUNTINGTON BEACH
CA
+18004304095</t>
  </si>
  <si>
    <t>020709      AIRLINE/AIR CARRIER
OPTIONAL SERVICES FEE
EXPEDIA.COM TRAVEL
SEATTLE
WA
Carrier : AMERICAN AIRLINES
Passenger Name : PEREZ/AVAYEMNA
Ticket Number : 00183163000985
Departure Day : 02/13
Additional Info : OPTIONAL SERVICES FEE
From : DALLAS/FORT WORTH
To : LOS ANGELES INTERN</t>
  </si>
  <si>
    <t>020709      AIRLINE/AIR CARRIER
OPTIONAL SERVICES FEE
EXPEDIA.COM TRAVEL
SEATTLE
WA
Carrier : AMERICAN AIRLINES
Passenger Name : DUNNING/ANGELA LISA
Ticket Number : 00183163001346
Departure Day : 02/16
Additional Info : OPTIONAL SERVICES FEE
From : DALLAS/FORT WORTH
To : LOS ANGELES INTERN</t>
  </si>
  <si>
    <t>020709      AIRLINE/AIR CARRIER
PASSENGER TICKET
EXPEDIA.COM TRAVEL
SEATTLE
WA
Carrier : AMERICAN AIRLINES
Passenger Name : PEREZ/AVAYEMNA
Ticket Number : 00172206545276
Departure Day : 02/13
Additional Info : PASSENGER TICKET
From : DALLAS/FORT WORTH
To : LOS ANGELES INTERN
Class : L</t>
  </si>
  <si>
    <t>020709      AIRLINE/AIR CARRIER
PASSENGER TICKET
EXPEDIA.COM TRAVEL
SEATTLE
WA
Carrier : AMERICAN AIRLINES
Passenger Name : DUNNING/ANGELA LISA
Ticket Number : 00172206548931
Departure Day : 02/16
Additional Info : PASSENGER TICKET
From : DALLAS/FORT WORTH
To : LOS ANGELES INTERN
Class : L</t>
  </si>
  <si>
    <t>NT_RI3UMKYC +18884092298
SALESMESSAGE.COM
DELRAY BEACH
FL
+18884092298</t>
  </si>
  <si>
    <t>000544408  00127000544408   90291
STAPLES FUNDED COUPON
ESSAY/DOCUMENT-CUSTOM
EXPRESS GUARANTEE
STAPLES 00127
VENICE
CA
STAPLES FUNDED COUPON
ESSAY/DOCUMENT-CUSTOM
EXPRESS GUARANTEE
00127000544408   90291</t>
  </si>
  <si>
    <t>99999995034 4242318000
TST* CAFE GRATITUDE - VEN 300545147
VENICE
CA
Description : RESTAURANTS Price : 0.3156
4242318000</t>
  </si>
  <si>
    <t>02/02/2025</t>
  </si>
  <si>
    <t>6S9R02WYBGY MERCHANDISE
AMAZON MARKETPLACE NA PA
AMZN.COM/BILL
WA
MERCHANDISE</t>
  </si>
  <si>
    <t>1K0870DSVA2 MERCHANDISE
AMAZON MARKETPLACE NA PA
AMZN.COM/BILL
WA
MERCHANDISE</t>
  </si>
  <si>
    <t>KAIF FUSION INC     LOS ANGELES         CA</t>
  </si>
  <si>
    <t>21105175035 RESTAURANT
KAIF FUSION INC
LOS ANGELES
CA
RESTAURANT</t>
  </si>
  <si>
    <t>00311008436 999-000-0000
ROSS DRESS FOR LESS
VENICE
CA
999-000-0000</t>
  </si>
  <si>
    <t>02/01/2025</t>
  </si>
  <si>
    <t>71094475032 310-836-8000
ABC*ICONFIT
LOS ANGELES
CA
310-836-8000</t>
  </si>
  <si>
    <t>7JREG35ER3N MERCHANDISE
AMAZON MARKETPLACE NA PA
AMZN.COM/BILL
WA
MERCHANDISE</t>
  </si>
  <si>
    <t>3QEWGJ4X7R7 MERCHANDISE
AMAZON MARKETPLACE NA PA
AMZN.COM/BILL
WA
MERCHANDISE</t>
  </si>
  <si>
    <t>23LGU8WWR2Z MERCHANDISE
AMAZON MARKETPLACE NA PA
AMZN.COM/BILL
WA
MERCHANDISE</t>
  </si>
  <si>
    <t>3DJM1AIOYQL MERCHANDISE
AMAZON MARKETPLACE NA PA
AMZN.COM/BILL
WA
MERCHANDISE</t>
  </si>
  <si>
    <t>5WZA56U47HD MERCHANDISE
AMAZON.COM
AMZN.COM/BILL
WA
MERCHANDISE</t>
  </si>
  <si>
    <t>DNH*GODADDY#35586735Tempe               AZ</t>
  </si>
  <si>
    <t>3558673509 4805058855
Business Professional  - Renewal - month
Email - Archiving - Renewal
Microsoft 365 Email Backup - Renewal
DNH*GODADDY#3558673509
Tempe
AZ
Business Professional  - Renewal - month
Email - Archiving - Renewal
Microsoft 365 Email Backup - Renewal
4805058855</t>
  </si>
  <si>
    <t>NT_RH5EUT0Q +16780000000
LOOM SUBSCRIPTION
SAN FRANCISCO
CA
+16780000000</t>
  </si>
  <si>
    <t>01/31/2025</t>
  </si>
  <si>
    <t>5A3R3L1ERLU MERCHANDISE
AMAZON MARKETPLACE NA PA
AMZN.COM/BILL
WA
MERCHANDISE</t>
  </si>
  <si>
    <t>1J3Q89PH6V7 MERCHANDISE
AMAZON MARKETPLACE NA PA
AMZN.COM/BILL
WA
MERCHANDISE</t>
  </si>
  <si>
    <t>KA5L4NW7L06 MERCHANDISE
AMAZON MARKETPLACE NA PA
AMZN.COM/BILL
WA
MERCHANDISE</t>
  </si>
  <si>
    <t>20250130    AMERICAN AIR
EXCESS BAGGAGE
AMERICAN AIRLINES
800-433-7300
TX
Carrier : American Airlines
Passenger Name : ANGELA LISA DUNNING
Ticket Number : 0014453022335
Departure Day : 01/31
Additional Info : EXCESS BAGGAGE
From : LOS ANGELES INTERN
To : DALLAS/FORT WORTH
Class : M</t>
  </si>
  <si>
    <t>20250130    AMERICAN AIR
EXCESS BAGGAGE
AMERICAN AIRLINES
800-433-7300
TX
Carrier : American Airlines
Passenger Name : ANGELA LISA DUNNING
Ticket Number : 0014453022337
Departure Day : 01/31
Additional Info : EXCESS BAGGAGE
From : LOS ANGELES INTERN
To : DALLAS/FORT WORTH
Class : M</t>
  </si>
  <si>
    <t>20250130    AMERICAN AIR
EXCESS BAGGAGE
AMERICAN AIRLINES
800-433-7300
TX
Carrier : American Airlines
Passenger Name : ANGELA LISA DUNNING
Ticket Number : 0014453022338
Departure Day : 01/31
Additional Info : EXCESS BAGGAGE
From : LOS ANGELES INTERN
To : DALLAS/FORT WORTH
Class : M</t>
  </si>
  <si>
    <t>20250130    AMERICAN AIR
EXCESS BAGGAGE
AMERICAN AIRLINES
800-433-7300
TX
Carrier : American Airlines
Passenger Name : ANGELA LISA DUNNING
Ticket Number : 0014453022336
Departure Day : 01/31
Additional Info : EXCESS BAGGAGE
From : LOS ANGELES INTERN
To : DALLAS/FORT WORTH
Class : M</t>
  </si>
  <si>
    <t>KINDLE SVCS*Z795J8SJ888-802-3080        WA</t>
  </si>
  <si>
    <t>2V55M6INC8L DIGITAL
KINDLE SVCS*Z795J8SJ2
888-802-3080
WA
DIGITAL</t>
  </si>
  <si>
    <t>KINDLE SVCS*ZC1UV10K888-802-3080        WA</t>
  </si>
  <si>
    <t>1X4WXJ5GRJD DIGITAL
KINDLE SVCS*ZC1UV10K1
888-802-3080
WA
DIGITAL</t>
  </si>
  <si>
    <t>01/30/2025</t>
  </si>
  <si>
    <t>7E95L4MHCFC MERCHANDISE
AMAZON MARKETPLACE NA PA
AMZN.COM/BILL
WA
MERCHANDISE</t>
  </si>
  <si>
    <t>3E80BI23Z05 MERCHANDISE
AMAZON MARKETPLACE NA PA
AMZN.COM/BILL
WA
MERCHANDISE</t>
  </si>
  <si>
    <t>1HFFLMS8BK3 MERCHANDISE
AMAZON MARKETPLACE NA PA
AMZN.COM/BILL
WA
MERCHANDISE</t>
  </si>
  <si>
    <t>3U91AM7BULF MERCHANDISE
AMAZON MARKETPLACE NA PA
AMZN.COM/BILL
WA
MERCHANDISE</t>
  </si>
  <si>
    <t>D36M04ER3TS MERCHANDISE
AMAZON MARKETPLACE NA PA
AMZN.COM/BILL
WA
MERCHANDISE</t>
  </si>
  <si>
    <t>3ZQVR19D2QO MERCHANDISE
AMAZON MARKETPLACE NA PA
AMZN.COM/BILL
WA
MERCHANDISE</t>
  </si>
  <si>
    <t>341PAJONJAT MERCHANDISE
AMAZON MARKETPLACE NA PA
AMZN.COM/BILL
WA
MERCHANDISE</t>
  </si>
  <si>
    <t>5XMHAZQT81Y MERCHANDISE
AMAZON MARKETPLACE NA PA
AMZN.COM/BILL
WA
MERCHANDISE</t>
  </si>
  <si>
    <t>70LNONLTPPP MERCHANDISE
AMAZON MARKETPLACE NA PA
AMZN.COM/BILL
WA
MERCHANDISE</t>
  </si>
  <si>
    <t>5IYOYZCYYSG MERCHANDISE
AMAZON.COM
AMZN.COM/BILL
WA
MERCHANDISE</t>
  </si>
  <si>
    <t>20250131    AA.COM
MISCELLANEOUS TAX(S)/FEE(S)
AMERICAN AIRLINES 45107392
800-433-7300
TX
Carrier : AMERICAN AIRLINES
Passenger Name : DUNNING/ANGELA LISA
Ticket Number : 0010619036570
Departure Day : 01/30
Additional Info : MISCELLANEOUS TAX(S)/FEE(S)</t>
  </si>
  <si>
    <t>20250131    AA.COM
MISCELLANEOUS TAX(S)/FEE(S)
AMERICAN AIRLINES 45107392
800-433-7300
TX
Carrier : AMERICAN AIRLINES
Passenger Name : PEREZ/AVAYEMNA
Ticket Number : 0010619036571
Departure Day : 01/30
Additional Info : MISCELLANEOUS TAX(S)/FEE(S)</t>
  </si>
  <si>
    <t>KINDLE SVCS*Z70S336H888-802-3080        WA</t>
  </si>
  <si>
    <t>3EFU1PICB22 DIGITAL
KINDLE SVCS*Z70S336H2
888-802-3080
WA
DIGITAL</t>
  </si>
  <si>
    <t>KINDLE SVCS*Z75E34QD888-802-3080        WA</t>
  </si>
  <si>
    <t>3N9KA8DFKAG DIGITAL
KINDLE SVCS*Z75E34QD2
888-802-3080
WA
DIGITAL</t>
  </si>
  <si>
    <t>KINDLE SVCS*Z76S026M888-802-3080        WA</t>
  </si>
  <si>
    <t>4H49IXPX5HI DIGITAL
KINDLE SVCS*Z76S026M2
888-802-3080
WA
DIGITAL</t>
  </si>
  <si>
    <t>KINDLE SVCS*Z77662DS888-802-3080        WA</t>
  </si>
  <si>
    <t>2YZT9MHZ1P2 DIGITAL
KINDLE SVCS*Z77662DS2
888-802-3080
WA
DIGITAL</t>
  </si>
  <si>
    <t>KINDLE SVCS*Z79GH1DA888-802-3080        WA</t>
  </si>
  <si>
    <t>4U7368LNMTF DIGITAL
KINDLE SVCS*Z79GH1DA2
888-802-3080
WA
DIGITAL</t>
  </si>
  <si>
    <t>KINDLE SVCS*ZC0SA5KC888-802-3080        WA</t>
  </si>
  <si>
    <t>ED5QUXGK9XG DIGITAL
KINDLE SVCS*ZC0SA5KC0
888-802-3080
WA
DIGITAL</t>
  </si>
  <si>
    <t>KINDLE SVCS*ZC1956E3888-802-3080        WA</t>
  </si>
  <si>
    <t>5Z27MKJS4PU DIGITAL
KINDLE SVCS*ZC1956E31
888-802-3080
WA
DIGITAL</t>
  </si>
  <si>
    <t>KINDLE SVCS*ZC2XD6K0888-802-3080        WA</t>
  </si>
  <si>
    <t>6WBTRKPU1CP DIGITAL
KINDLE SVCS*ZC2XD6K00
888-802-3080
WA
DIGITAL</t>
  </si>
  <si>
    <t>KINDLE SVCS*ZC4JB9KH888-802-3080        WA</t>
  </si>
  <si>
    <t>3OQPNLECUMG DIGITAL
KINDLE SVCS*ZC4JB9KH0
888-802-3080
WA
DIGITAL</t>
  </si>
  <si>
    <t>KINDLE SVCS*ZC5XK8KO888-802-3080        WA</t>
  </si>
  <si>
    <t>1DQOIJIZFWX DIGITAL
KINDLE SVCS*ZC5XK8KO0
888-802-3080
WA
DIGITAL</t>
  </si>
  <si>
    <t>KINDLE SVCS*ZC6953ED888-802-3080        WA</t>
  </si>
  <si>
    <t>7EGKBU72M0G DIGITAL
KINDLE SVCS*ZC6953ED1
888-802-3080
WA
DIGITAL</t>
  </si>
  <si>
    <t>KINDLE SVCS*ZC6X18KK888-802-3080        WA</t>
  </si>
  <si>
    <t>4317BYIA6V1 DIGITAL
KINDLE SVCS*ZC6X18KK0
888-802-3080
WA
DIGITAL</t>
  </si>
  <si>
    <t>01/29/2025</t>
  </si>
  <si>
    <t>NT_RG3MDT3J +14158799686
OPENAI *CHATGPT SUBSCR
SAN FRANCISCO
CA
+14158799686</t>
  </si>
  <si>
    <t>01/28/2025</t>
  </si>
  <si>
    <t>01/27/2025</t>
  </si>
  <si>
    <t>3TJNLRE5Y4F MERCHANDISE
AMAZON MARKETPLACE NA PA
AMZN.COM/BILL
WA
MERCHANDISE</t>
  </si>
  <si>
    <t>DNH*GODADDY#35492039Tempe               AZ</t>
  </si>
  <si>
    <t>3549203951 4805058855
Hosting - Web - Economy - Linux cPanel -
DNH*GODADDY#3549203951
Tempe
AZ
Hosting - Web - Economy - Linux cPanel -
4805058855</t>
  </si>
  <si>
    <t>NT_RFHC9PQS +14158799686
OPENAI *CHATGPT SUBSCR
SAN FRANCISCO
CA
+14158799686</t>
  </si>
  <si>
    <t>NT_RFDSAHOU 3235775423
SPLICE.COM
NEW YORK CITY
NY
3235775423</t>
  </si>
  <si>
    <t>01/26/2025</t>
  </si>
  <si>
    <t>3NOO5BL7GHM MERCHANDISE
AMAZON MARKETPLACE NA PA
AMZN.COM/BILL
WA
MERCHANDISE</t>
  </si>
  <si>
    <t>01/25/2025</t>
  </si>
  <si>
    <t>5GFHHN8JW8P MERCHANDISE
AMAZON MARKETPLACE NA PA
AMZN.COM/BILL
WA
MERCHANDISE</t>
  </si>
  <si>
    <t>3MV1DZVZZS7 MERCHANDISE
AMAZON MARKETPLACE NA PA
AMZN.COM/BILL
WA
MERCHANDISE</t>
  </si>
  <si>
    <t>1K1KH64T1S6 MERCHANDISE
AMAZON.COM
AMZN.COM/BILL
WA
MERCHANDISE</t>
  </si>
  <si>
    <t>6VIYVWG57EY MERCHANDISE
AMAZON.COM
AMZN.COM/BILL
WA
MERCHANDISE</t>
  </si>
  <si>
    <t>DNH*GODADDY#35456975Tempe               AZ</t>
  </si>
  <si>
    <t>3545697577 4805058855
Email Plus  - Renewal - monthly
Email - Archiving - Renewal
DNH*GODADDY#3545697577
Tempe
AZ
Email Plus  - Renewal - monthly
Email - Archiving - Renewal
4805058855</t>
  </si>
  <si>
    <t>012609      AIRLINE/AIR CARRIER
OPTIONAL SERVICES FEE
EXPEDIA.COM TRAVEL
SEATTLE
WA
Carrier : AMERICAN AIRLINES
Passenger Name : PEREZ/AVAYEMNA
Ticket Number : 00183162282170
Departure Day : 01/31
Additional Info : OPTIONAL SERVICES FEE
From : LOS ANGELES INTERN
To : DALLAS/FORT WORTH</t>
  </si>
  <si>
    <t>012609      AIRLINE/AIR CARRIER
OPTIONAL SERVICES FEE
EXPEDIA.COM TRAVEL
SEATTLE
WA
Carrier : AMERICAN AIRLINES
Passenger Name : DUNNING/ANGELA LISA
Ticket Number : 00183162282166
Departure Day : 01/31
Additional Info : OPTIONAL SERVICES FEE
From : LOS ANGELES INTERN
To : DALLAS/FORT WORTH</t>
  </si>
  <si>
    <t>012609      AIRLINE/AIR CARRIER
PASSENGER TICKET
EXPEDIA.COM TRAVEL
SEATTLE
WA
Carrier : AMERICAN AIRLINES
Passenger Name : PEREZ/AVAYEMNA
Ticket Number : 00172201162593
Departure Day : 01/31
Additional Info : PASSENGER TICKET
From : LOS ANGELES INTERN
To : DALLAS/FORT WORTH
Class : M</t>
  </si>
  <si>
    <t>012609      AIRLINE/AIR CARRIER
PASSENGER TICKET
EXPEDIA.COM TRAVEL
SEATTLE
WA
Carrier : AMERICAN AIRLINES
Passenger Name : DUNNING/ANGELA LISA
Ticket Number : 00172201162582
Departure Day : 01/31
Additional Info : PASSENGER TICKET
From : LOS ANGELES INTERN
To : DALLAS/FORT WORTH
Class : M</t>
  </si>
  <si>
    <t>01/24/2025</t>
  </si>
  <si>
    <t>WFXRD6IF4OF MERCHANDISE
AMAZON MARKETPLACE NA PA
AMZN.COM/BILL
WA
MERCHANDISE</t>
  </si>
  <si>
    <t>621U2DTHMS0 MERCHANDISE
AMAZON.COM
AMZN.COM/BILL
WA
MERCHANDISE</t>
  </si>
  <si>
    <t>01/23/2025</t>
  </si>
  <si>
    <t>2MHYRIAAV79 MERCHANDISE
AMAZON MARKETPLACE NA PA
AMZN.COM/BILL
WA
MERCHANDISE</t>
  </si>
  <si>
    <t>DNH*GODADDY#35425314Tempe               AZ</t>
  </si>
  <si>
    <t>3542531442 4805058855
Business Enterprise - Renewal - 1 month
Email - Archiving - Renewal
Microsoft 365 Email Backup - Renewal
DNH*GODADDY#3542531442
Tempe
AZ
Business Enterprise - Renewal - 1 month
Email - Archiving - Renewal
Microsoft 365 Email Backup - Renewal
4805058855</t>
  </si>
  <si>
    <t>WHOLE FOODS CLV 1052866-216-1072        DE</t>
  </si>
  <si>
    <t>2TS2OCV9P00 GROCERY
WHOLE FOODS CLV 10523
866-216-1072
DE
GROCERY</t>
  </si>
  <si>
    <t>01/22/2025</t>
  </si>
  <si>
    <t>1V7NYAIY9DW MERCHANDISE
AMAZON MARKETPLACE NA PA
AMZN.COM/BILL
WA
MERCHANDISE</t>
  </si>
  <si>
    <t>1TL9P3T5VJ5 MERCHANDISE
AMAZON MARKETPLACE NA PA
AMZN.COM/BILL
WA
MERCHANDISE</t>
  </si>
  <si>
    <t>01/21/2025</t>
  </si>
  <si>
    <t>1ZLG2BJPNJR MERCHANDISE
AMAZON MARKETPLACE NA PA
AMZN.COM/BILL
WA
MERCHANDISE</t>
  </si>
  <si>
    <t>3UE4TX3BW4P MERCHANDISE
AMAZON MARKETPLACE NA PA
AMZN.COM/BILL
WA
MERCHANDISE</t>
  </si>
  <si>
    <t>EXPEDIATSPUS        EXPEDIA.COM         WA</t>
  </si>
  <si>
    <t>40001B8X0EL TRAVEL AGENCY
EXPEDIATSPUS
EXPEDIA.COM
WA
TRAVEL AGENCY</t>
  </si>
  <si>
    <t>01/20/2025</t>
  </si>
  <si>
    <t>4FJTMF8KT9A MERCHANDISE
AMAZON MARKETPLACE NA PA
AMZN.COM/BILL
WA
MERCHANDISE</t>
  </si>
  <si>
    <t>53GV3T4YUFA MERCHANDISE
AMAZON MARKETPLACE NA PA
AMZN.COM/BILL
WA
MERCHANDISE</t>
  </si>
  <si>
    <t>34167439    EMAIL MARKET
CAMPAIGNER SVC
888-845-4544
CA
EMAIL MARKET</t>
  </si>
  <si>
    <t>DNH*GODADDY#35363339Tempe               AZ</t>
  </si>
  <si>
    <t>3536333996 4805058855
Microsoft 365 Email Essentials - Renewal
Email - Archiving - Renewal
Microsoft 365 Email Backup - Renewal
DNH*GODADDY#3536333996
Tempe
AZ
Microsoft 365 Email Essentials - Renewal
Email - Archiving - Renewal
Microsoft 365 Email Backup - Renewal
4805058855</t>
  </si>
  <si>
    <t>EXPEDIA 730126380188EXPEDIA.COM         WA</t>
  </si>
  <si>
    <t>XU0AN8LA5  0                33139
ANGELA DUNNING
SONDER 17WEST,MIAMI BEACH
EXPEDIA 73012638018865
EXPEDIA.COM
WA
ANGELA DUNNING
"SONDER 17WEST,MIAMI BEACH"
0                33139</t>
  </si>
  <si>
    <t>EXPEDIA 730130585902EXPEDIA.COM         WA</t>
  </si>
  <si>
    <t>0ADDD658Z   TRAVEL
EXPEDIA 73013058590224
EXPEDIA.COM
WA
TRAVEL</t>
  </si>
  <si>
    <t>012109      AIRLINE/AIR CARRIER
OPTIONAL SERVICES FEE
EXPEDIA.COM TRAVEL
SEATTLE
WA
Carrier : AMERICAN AIRLINES
Passenger Name : DUNNING/JOHN BARKER
Ticket Number : 00183161838403
Departure Day : 01/21
Additional Info : OPTIONAL SERVICES FEE
From : LOS ANGELES INTERN
To : PHOENIX SKY HARBOR</t>
  </si>
  <si>
    <t>012109      AIRLINE/AIR CARRIER
PASSENGER TICKET
EXPEDIA.COM TRAVEL
SEATTLE
WA
Carrier : DELTA AIR LINES
Passenger Name : DUNNING/JOHN BARKER
Ticket Number : 00672021885043
Departure Day : 01/22
Additional Info : PASSENGER TICKET
From : PHOENIX SKY HARBOR
To : LOS ANGELES INTERN
Class : Q</t>
  </si>
  <si>
    <t>012109      AIRLINE/AIR CARRIER
PASSENGER TICKET
EXPEDIA.COM TRAVEL
SEATTLE
WA
Carrier : AMERICAN AIRLINES
Passenger Name : DUNNING/JOHN BARKER
Ticket Number : 00172197894805
Departure Day : 01/21
Additional Info : PASSENGER TICKET
From : LOS ANGELES INTERN
To : PHOENIX SKY HARBOR
Class : L</t>
  </si>
  <si>
    <t>01/19/2025</t>
  </si>
  <si>
    <t>1L98KYV2O2H MERCHANDISE
AMAZON.COM
AMZN.COM/BILL
WA
MERCHANDISE</t>
  </si>
  <si>
    <t>01/18/2025</t>
  </si>
  <si>
    <t>DNH*GODADDY#35317086Tempe               AZ</t>
  </si>
  <si>
    <t>3531708610 4805058855
Microsoft 365 Email Plus- Renewal - mont
Email - Archiving - Renewal
DNH*GODADDY#3531708610
Tempe
AZ
Microsoft 365 Email Plus- Renewal - mont
Email - Archiving - Renewal
4805058855</t>
  </si>
  <si>
    <t>01/17/2025</t>
  </si>
  <si>
    <t>17BO9NQBT6T MERCHANDISE
AMAZON MARKETPLACE NA PA
AMZN.COM/BILL
WA
MERCHANDISE</t>
  </si>
  <si>
    <t>DNH*GODADDY#35300941Tempe               AZ</t>
  </si>
  <si>
    <t>3530094133 4805058855
Email Essentials  - Renewal - monthly
Email - Archiving - Renewal
DNH*GODADDY#3530094133
Tempe
AZ
Email Essentials  - Renewal - monthly
Email - Archiving - Renewal
4805058855</t>
  </si>
  <si>
    <t>01/16/2025</t>
  </si>
  <si>
    <t>3XAEJ3NXI9N MERCHANDISE
AMAZON MARKETPLACE NA PA
AMZN.COM/BILL
WA
MERCHANDISE</t>
  </si>
  <si>
    <t>5VN4G9QDD4V MERCHANDISE
AMAZON MARKETPLACE NA PA
AMZN.COM/BILL
WA
MERCHANDISE</t>
  </si>
  <si>
    <t>28ZMLE34RGF MERCHANDISE
AMAZON MARKETPLACE NA PA
AMZN.COM/BILL
WA
MERCHANDISE</t>
  </si>
  <si>
    <t>NT_RBF4RBVU +18884827768
LEV INC
NEW YORK
NY
+18884827768</t>
  </si>
  <si>
    <t>NT_RB9U8SXQ +14154506060
SOCIALPILOT
LEWES
DE
+14154506060</t>
  </si>
  <si>
    <t>01/15/2025</t>
  </si>
  <si>
    <t>WD9L7UQQWUJ MERCHANDISE
AMAZON MARKETPLACE NA PA
AMZN.COM/BILL
WA
MERCHANDISE</t>
  </si>
  <si>
    <t>754HAMXVH0V MERCHANDISE
AMAZON MARKETPLACE NA PA
AMZN.COM/BILL
WA
MERCHANDISE</t>
  </si>
  <si>
    <t>AFOESL41TDB MERCHANDISE
AMAZON.COM
AMZN.COM/BILL
WA
MERCHANDISE</t>
  </si>
  <si>
    <t>DNH*GODADDY#35270646Tempe               AZ</t>
  </si>
  <si>
    <t>3527064690 4805058855
Email Essentials  - Renewal - monthly
DNH*GODADDY#3527064690
Tempe
AZ
Email Essentials  - Renewal - monthly
4805058855</t>
  </si>
  <si>
    <t>01/14/2025</t>
  </si>
  <si>
    <t>5ZE0QC3RNVW MERCHANDISE
AMAZON MARKETPLACE NA PA
AMZN.COM/BILL
WA
MERCHANDISE</t>
  </si>
  <si>
    <t>DNH*GODADDY#35249058Tempe               AZ</t>
  </si>
  <si>
    <t>3524905846 4805058855
Microsoft 365 Business Professional- Ren
Email - Archiving - Renewal
Microsoft 365 Email Backup - Renewal
DNH*GODADDY#3524905846
Tempe
AZ
Microsoft 365 Business Professional- Ren
Email - Archiving - Renewal
Microsoft 365 Email Backup - Renewal
4805058855</t>
  </si>
  <si>
    <t>KINDLE UNLTD*Z541A21888-802-3080        WA</t>
  </si>
  <si>
    <t>52QSD33FTH2 DIGITAL
KINDLE UNLTD*Z541A2170
888-802-3080
WA
DIGITAL</t>
  </si>
  <si>
    <t>01/13/2025</t>
  </si>
  <si>
    <t>2DJ39OOG27P MERCHANDISE
AMAZON MARKETPLACE NA PA
AMZN.COM/BILL
WA
MERCHANDISE</t>
  </si>
  <si>
    <t>1WLS3QW9MDO MERCHANDISE
AMAZON MARKETPLACE NA PA
AMZN.COM/BILL
WA
MERCHANDISE</t>
  </si>
  <si>
    <t>7FQ7I1IJCA2 MERCHANDISE
AMAZON MARKETPLACE NA PA
AMZN.COM/BILL
WA
MERCHANDISE</t>
  </si>
  <si>
    <t>28YTDCG2YWT MERCHANDISE
AMAZON MARKETPLACE NA PA
AMZN.COM/BILL
WA
MERCHANDISE</t>
  </si>
  <si>
    <t>78O4D6PK7D4 MERCHANDISE
AMAZON MARKETPLACE NA PA
AMZN.COM/BILL
WA
MERCHANDISE</t>
  </si>
  <si>
    <t>DHOSL1TTFJS MERCHANDISE
AMAZON MARKETPLACE NA PA
AMZN.COM/BILL
WA
MERCHANDISE</t>
  </si>
  <si>
    <t>5OX3GNGUL31 MERCHANDISE
AMAZON.COM
AMZN.COM/BILL
WA
MERCHANDISE</t>
  </si>
  <si>
    <t>DNH*GODADDY#35227918Tempe               AZ</t>
  </si>
  <si>
    <t>3522791801 4805058855
Search Engine Optimization - Renewal - 1
Business Professional  - Renewal - month
Email - Archiving - Renewal
Microsoft 365 Email Backup - Renewal
DNH*GODADDY#3522791801
Tempe
AZ
Search Engine Optimization - Renewal - 1
Business Professional  - Renewal - month
Email - Archiving - Renewal
Microsoft 365 Email Backup - Renewal
4805058855</t>
  </si>
  <si>
    <t>01/12/2025</t>
  </si>
  <si>
    <t>33RKXBO61N4 MERCHANDISE
AMAZON MARKETPLACE NA PA
AMZN.COM/BILL
WA
MERCHANDISE</t>
  </si>
  <si>
    <t>PAYPAL *GOFNDME  HEL8448964938          CA</t>
  </si>
  <si>
    <t>10170147977 8448964938
PAYPAL *GOFNDME  HELP LOW
8448964938
CA
Description : CHARITABLE AND SOCI Price : 0.00
8448964938</t>
  </si>
  <si>
    <t>P332D845AA  CABLE &amp; PAY TV
SPOTIFY USA
NEW YORK
NY
CABLE &amp; PAY TV</t>
  </si>
  <si>
    <t>01/11/2025</t>
  </si>
  <si>
    <t>1 HR PHOTO AVE 14500LOS ANGELES         CA</t>
  </si>
  <si>
    <t>73011005012 (323)465-0422
1 HR PHOTO AVE 145000007144975
LOS ANGELES
CA
(323)465-0422</t>
  </si>
  <si>
    <t>1AL1L10EI2Z MERCHANDISE
AMAZON MARKETPLACE NA PA
AMZN.COM/BILL
WA
MERCHANDISE</t>
  </si>
  <si>
    <t>DNH*GODADDY#35180809Tempe               AZ</t>
  </si>
  <si>
    <t>3518080928 4805058855
Email Essentials  - Renewal - monthly
Email - Archiving - Renewal
DNH*GODADDY#3518080928
Tempe
AZ
Email Essentials  - Renewal - monthly
Email - Archiving - Renewal
4805058855</t>
  </si>
  <si>
    <t>######Mrp24 DIGITAL GOODS: APPS
ONSTAR, LLC
DETROIT
MI
DIGITAL GOODS: APPS</t>
  </si>
  <si>
    <t>hOjchsTDYM7 squareup.com/receipts
PAYA THAI LA LLC
LOS ANGELES
CA
squareup.com/receipts</t>
  </si>
  <si>
    <t>STARBUCKS STORE 0546LOS ANGELES         CA</t>
  </si>
  <si>
    <t>1C169E550DF FAST FOOD RESTAURANT
STARBUCKS STORE 0546
LOS ANGELES
CA
FAST FOOD RESTAURANT</t>
  </si>
  <si>
    <t>21105175012 RESTAURANT
TST* DOOMIES HOME COOKIN 00040850
LOS ANGELES
CA
RESTAURANT</t>
  </si>
  <si>
    <t>01/10/2025</t>
  </si>
  <si>
    <t>44FV9KUSDD9 MERCHANDISE
AMAZON.COM
AMZN.COM/BILL
WA
MERCHANDISE</t>
  </si>
  <si>
    <t>340217605   HOSPITAL
MED*CEDARS SINAI MEDICAL 6082000000120
LOS ANGELES
CA
HOSPITAL</t>
  </si>
  <si>
    <t>TST* TUTS EGYPTIAN CLOS ANGELES         CA</t>
  </si>
  <si>
    <t>21105175011 RESTAURANT
TST* TUTS EGYPTIAN CUISIN 00015816
LOS ANGELES
CA
RESTAURANT</t>
  </si>
  <si>
    <t>P-02371516  MEMBERSHIP
VIMEO PRO
212-625-0668
NY
MEMBERSHIP</t>
  </si>
  <si>
    <t>01/09/2025</t>
  </si>
  <si>
    <t>10309613    877-373-4542
DEPARTMENT OF REAL ESTATE DEPARTMENT O
SACRAMENTO
CA
877-373-4542</t>
  </si>
  <si>
    <t>01/08/2025</t>
  </si>
  <si>
    <t>51S361XG1CW MERCHANDISE
AMAZON MARKETPLACE NA PA
AMZN.COM/BILL
WA
MERCHANDISE</t>
  </si>
  <si>
    <t>NT_RYFZTLYX +14158799686
OPENAI *CHATGPT SUBSCR
SAN FRANCISCO
CA
+14158799686</t>
  </si>
  <si>
    <t>01/07/2025</t>
  </si>
  <si>
    <t>3HXW5Q2Y339 MERCHANDISE
AMAZON MARKETPLACE NA PA
AMZN.COM/BILL
WA
MERCHANDISE</t>
  </si>
  <si>
    <t>DNH*GODADDY#35113323Tempe               AZ</t>
  </si>
  <si>
    <t>3511332346 4805058855
Microsoft 365 Email Plus- Renewal - mont
DNH*GODADDY#3511332346
Tempe
AZ
Microsoft 365 Email Plus- Renewal - mont
4805058855</t>
  </si>
  <si>
    <t>NT_RXOWDTZC +12066576177
READ - MEETING MANAGER
SEATTLE
WA
+12066576177</t>
  </si>
  <si>
    <t>01/06/2025</t>
  </si>
  <si>
    <t>DNH*GODADDY#35087567Tempe               AZ</t>
  </si>
  <si>
    <t>3508756734 4805058855
Microsoft 365 Business Professional- Ren
Email - Archiving - Renewal
Microsoft 365 Email Backup - Renewal
DNH*GODADDY#3508756734
Tempe
AZ
Microsoft 365 Business Professional- Ren
Email - Archiving - Renewal
Microsoft 365 Email Backup - Renewal
4805058855</t>
  </si>
  <si>
    <t>556HHDB97VF MERCHANDISE
AMAZON MARKETPLACE NA PA
AMZN.COM/BILL
WA
MERCHANDISE</t>
  </si>
  <si>
    <t>AMAZON PRIME*ZD2AV0FAMZN.COM/BILL       WA</t>
  </si>
  <si>
    <t>63XLY42CXJG DIGITAL
AMAZON PRIME*ZD2AV0F10
AMZN.COM/BILL
WA
DIGITAL</t>
  </si>
  <si>
    <t>1ONNRGXZX3C SUBSCRIPTION
Amazon Prime
Amazon.com
WA
SUBSCRIPTION</t>
  </si>
  <si>
    <t>NT_RXFMP6JX +16502003351
BRAVE.COM
SAN FRANCISCO
CA
+16502003351</t>
  </si>
  <si>
    <t>NT_RXGZP9VZ +18882730423
CREXI
LOS ANGELES
CA
+18882730423</t>
  </si>
  <si>
    <t>01/05/2025</t>
  </si>
  <si>
    <t>DNH*GODADDY#35060880Tempe               AZ</t>
  </si>
  <si>
    <t>3506088052 4805058855
Email Essentials  - Renewal - monthly
Email - Archiving - Renewal
Microsoft 365 Email Backup - Renewal
DNH*GODADDY#3506088052
Tempe
AZ
Email Essentials  - Renewal - monthly
Email - Archiving - Renewal
Microsoft 365 Email Backup - Renewal
4805058855</t>
  </si>
  <si>
    <t>21105175006 RESTAURANT
TST* THE BUTCHERS DAUGHT 00041847
VENICE
CA
RESTAURANT</t>
  </si>
  <si>
    <t>01/04/2025</t>
  </si>
  <si>
    <t>5WPRZ91SDEO MERCHANDISE
AMAZON MARKETPLACE NA PA
AMZN.COM/BILL
WA
MERCHANDISE</t>
  </si>
  <si>
    <t>7FZ5W896YIY MERCHANDISE
AMAZON MARKETPLACE NA PA
AMZN.COM/BILL
WA
MERCHANDISE</t>
  </si>
  <si>
    <t>010409      AIRLINE/AIR CARRIER
PASSENGER TICKET
AMERICAN EXPRESS TVL SVC
PHOENIX
AZ
Carrier : AMERICAN AIRLINES
Passenger Name : COREY/JASON RANDALL
Ticket Number : 00171695843410
Departure Day : 01/07
Additional Info : PASSENGER TICKET
"From : LOS ANGELES, CALIF"
To : DALLAS/FORT WORTH
Class : K
From : DALLAS/FORT WORTH
"To : LOS ANGELES, CALIF"
Class : K</t>
  </si>
  <si>
    <t>UBER</t>
  </si>
  <si>
    <t>7T14YCQA    8005928996
AplPay Uber Trip
help.uber.com
CA
8005928996</t>
  </si>
  <si>
    <t>AplPay Uber Trip    help.uber.com       CA</t>
  </si>
  <si>
    <t>DNH*GODADDY#35052430Tempe               AZ</t>
  </si>
  <si>
    <t>3505243010 4805058855
Business Enterprise - Renewal - 1 month
Email - Archiving - Renewal
Microsoft 365 Email Backup - Renewal
DNH*GODADDY#3505243010
Tempe
AZ
Business Enterprise - Renewal - 1 month
Email - Archiving - Renewal
Microsoft 365 Email Backup - Renewal
4805058855</t>
  </si>
  <si>
    <t>DRI*AVID TECHNOLOGY AVID.COM            MN</t>
  </si>
  <si>
    <t>9884120123 AVID.COM
DRI*AVID TECHNOLOGY
AVID.COM
MN
AVID.COM</t>
  </si>
  <si>
    <t>tq8XDGYG8F2 squareup.com/receipts
THE HANGAR
Santa Monica
CA
squareup.com/receipts</t>
  </si>
  <si>
    <t>21105175005 RESTAURANT
TST* BLUEYS KITCHEN MAR V 00098618
LOS ANGELES
CA
RESTAURANT</t>
  </si>
  <si>
    <t>www.TheEpochTimes.coNEW YORK            NY</t>
  </si>
  <si>
    <t>8P8AVM8A    8336991888
www.TheEpochTimes.com
NEW YORK
NY
8336991888</t>
  </si>
  <si>
    <t>01/03/2025</t>
  </si>
  <si>
    <t>3N9M1OTGZ9N MERCHANDISE
AMAZON MARKETPLACE NA PA
AMZN.COM/BILL
WA
MERCHANDISE</t>
  </si>
  <si>
    <t>NT_RWJZLPEF +18004304095
CONTACTS+
HUNTINGTON BEACH
CA
+18004304095</t>
  </si>
  <si>
    <t>NT_RWN2BGEE +18884092298
SALESMESSAGE.COM
DELRAY BEACH
FL
+18884092298</t>
  </si>
  <si>
    <t>01/02/2025</t>
  </si>
  <si>
    <t>ALAMO CANADA C487   RICHMOND            CA</t>
  </si>
  <si>
    <t>R/A# 182301925   833-619-3650
ALAMO CANADA C487
RICHMOND
CA
Foreign Spend Amount: 1628.81 CANADIAN DOLLAR Commission Amount:  Currency Exchange Rate: null</t>
  </si>
  <si>
    <t>6BYQ4O25J2B MERCHANDISE
AMAZON MARKETPLACE NA PA
AMZN.COM/BILL
WA
MERCHANDISE</t>
  </si>
  <si>
    <t>4I6OMG3TA49 MERCHANDISE
AMAZON MARKETPLACE NA PA
AMZN.COM/BILL
WA
MERCHANDISE</t>
  </si>
  <si>
    <t>5PRU8IW754K MERCHANDISE
AMAZON.COM
AMZN.COM/BILL
WA
MERCHANDISE</t>
  </si>
  <si>
    <t>KJ9KGGNV    8005928996
AplPay Uber Trip
help.uber.com
CA
8005928996</t>
  </si>
  <si>
    <t>AplPay WIFIONBOARD AVANCOUVER           CA</t>
  </si>
  <si>
    <t>409214985SU INFLIGHTWIFI
AplPay WIFIONBOARD AIR CANA
VANCOUVER
CA
INFLIGHTWIFIForeign Spend Amount: 14.44 CANADIAN DOLLAR Commission Amount:  Currency Exchange Rate: null</t>
  </si>
  <si>
    <t>INFUSE WELLNESS     SANTA MONICA        CA</t>
  </si>
  <si>
    <t>NT_RW14J3PU +18443105263
INFUSE WELLNESS
SANTA MONICA
CA
+18443105263</t>
  </si>
  <si>
    <t>65300013    760-325-3334
RE RENEWAL 7603253334 0000
PALM SPRINGS
CA
Description : TUITION/FEES Price : 0.00
760-325-3334</t>
  </si>
  <si>
    <t>01/01/2025</t>
  </si>
  <si>
    <t>71094475001 310-836-8000
ABC*ICONFIT
LOS ANGELES
CA
310-836-8000</t>
  </si>
  <si>
    <t>5AGV26X3XH2 MERCHANDISE
AMAZON.COM
AMZN.COM/BILL
WA
MERCHANDISE</t>
  </si>
  <si>
    <t>BCF - COASTAL RENAISVICTORIA            CA</t>
  </si>
  <si>
    <t>407399355   8882233779
BCF - COASTAL RENAISSANCE
VICTORIA
CA
8882233779Foreign Spend Amount: 56.14 CANADIAN DOLLAR Commission Amount:  Currency Exchange Rate: null</t>
  </si>
  <si>
    <t>BCF - DUKE POINT    VICTORIA            CA</t>
  </si>
  <si>
    <t>406141964   8882233779
BCF - DUKE POINT
VICTORIA
CA
8882233779Foreign Spend Amount: 106.10 CANADIAN DOLLAR Commission Amount:  Currency Exchange Rate: null</t>
  </si>
  <si>
    <t>CNN ST1528 CNN ST152RICHMOND            CA</t>
  </si>
  <si>
    <t>0101803     MEN'S/WOMEN'S CLOTHNG
CNN ST1528 CNN ST1528
RICHMOND
CA
MEN'S/WOMEN'S CLOTHNGForeign Spend Amount: 39.19 CANADIAN DOLLAR Commission Amount:  Currency Exchange Rate: null</t>
  </si>
  <si>
    <t>COYOTE COFFEE CORPORNanaimo             CA</t>
  </si>
  <si>
    <t>ULCC7Y      squareup.com/receipts
COYOTE COFFEE CORPORATION
Nanaimo
CA
squareup.com/receiptsForeign Spend Amount: 4.50 CANADIAN DOLLAR Commission Amount:  Currency Exchange Rate: null</t>
  </si>
  <si>
    <t>ULBPBS      squareup.com/receipts
COYOTE COFFEE CORPORATION
Nanaimo
CA
squareup.com/receiptsForeign Spend Amount: 11.50 CANADIAN DOLLAR Commission Amount:  Currency Exchange Rate: null</t>
  </si>
  <si>
    <t>DNH*GODADDY#34998459Tempe               AZ</t>
  </si>
  <si>
    <t>3499845908 4805058855
Business Professional  - Renewal - month
Email - Archiving - Renewal
Microsoft 365 Email Backup - Renewal
DNH*GODADDY#3499845908
Tempe
AZ
Business Professional  - Renewal - month
Email - Archiving - Renewal
Microsoft 365 Email Backup - Renewal
4805058855</t>
  </si>
  <si>
    <t>010207      AIRLINE/AIR CARRIER
PASSENGER TICKET
EXPEDIA.COM TRAVEL
SEATTLE
WA
Carrier : AMERICAN AIRLINES
Passenger Name : SAUNDERS/JOE THOMAS
Ticket Number : 00172186422601
Departure Day : 01/08
Additional Info : PASSENGER TICKET
From : DALLAS/FORT WORTH
To : LOS ANGELES INTERN
Class : M</t>
  </si>
  <si>
    <t>010207      AIRLINE/AIR CARRIER
PASSENGER TICKET
EXPEDIA.COM TRAVEL
SEATTLE
WA
Carrier : AMERICAN AIRLINES
Passenger Name : PEREZ/AVAYEMNA
Ticket Number : 00172186422306
Departure Day : 01/08
Additional Info : PASSENGER TICKET
From : DALLAS/FORT WORTH
To : LOS ANGELES INTERN
Class : M</t>
  </si>
  <si>
    <t>JOE &amp; THE JUICE ST20RICHMOND            CA</t>
  </si>
  <si>
    <t>0101902     DUTY-FREE STORE
JOE &amp; THE JUICE ST2039 JOE &amp; THE JUICE
RICHMOND
CA
DUTY-FREE STOREForeign Spend Amount: 24.80 CANADIAN DOLLAR Commission Amount:  Currency Exchange Rate: null</t>
  </si>
  <si>
    <t>0101901     DUTY-FREE STORE
JOE &amp; THE JUICE ST2039 JOE &amp; THE JUICE
RICHMOND
CA
DUTY-FREE STOREForeign Spend Amount: 42.10 CANADIAN DOLLAR Commission Amount:  Currency Exchange Rate: null</t>
  </si>
  <si>
    <t>NT_RVTFFYWK +16284003532
LOOM SUBSCRIPTION
SAN FRANCISCO
CA
+16284003532</t>
  </si>
  <si>
    <t>WICKANINNISH INN LTDTOFINO              CA</t>
  </si>
  <si>
    <t>0000132503  (250)725-3100
LODGING
WICKANINNISH INN LTD 669325
TOFINO
CA
Foreign Spend Amount: 1366.40 CANADIAN DOLLAR Commission Amount:  Currency Exchange Rate: null</t>
  </si>
  <si>
    <t>ACTIVITY BY CARD</t>
  </si>
  <si>
    <t>Payments &amp; Credits</t>
  </si>
  <si>
    <t>Charges</t>
  </si>
  <si>
    <t>Total</t>
  </si>
  <si>
    <t>AVA YEMNA PEREZ</t>
  </si>
  <si>
    <t>Deal Specific: Moab</t>
  </si>
  <si>
    <t>Family Trip</t>
  </si>
  <si>
    <t>Sponsor Cloud</t>
  </si>
  <si>
    <t>Go Daddy</t>
  </si>
  <si>
    <t>AI Subscriptions</t>
  </si>
  <si>
    <t>Online AMEX Payment</t>
  </si>
  <si>
    <t>Software &amp; Subscriptions</t>
  </si>
  <si>
    <t>DWG-RE Platform (Redirected)</t>
  </si>
  <si>
    <t>Personal - Health</t>
  </si>
  <si>
    <t>Personal - Food</t>
  </si>
  <si>
    <t>Personal - Car</t>
  </si>
  <si>
    <t>Personal - Entertainment</t>
  </si>
  <si>
    <t>Team Travel (Judd)</t>
  </si>
  <si>
    <t>DWG Development</t>
  </si>
  <si>
    <t>DWG Listing Platform</t>
  </si>
  <si>
    <t>Personal - Clothing</t>
  </si>
  <si>
    <t>TBD</t>
  </si>
  <si>
    <t>DWG Marketing</t>
  </si>
  <si>
    <t>Fort Worth Investor Dinner</t>
  </si>
  <si>
    <t>Late Fee</t>
  </si>
  <si>
    <t>Fund Launch</t>
  </si>
  <si>
    <t>Personal - House</t>
  </si>
  <si>
    <t>Personal - Family</t>
  </si>
  <si>
    <t>Amazon</t>
  </si>
  <si>
    <t>Denver Trip</t>
  </si>
  <si>
    <t>DWG Conference</t>
  </si>
  <si>
    <t>DWG Operations</t>
  </si>
  <si>
    <t>DWG Swag</t>
  </si>
  <si>
    <t>Costa Rica Trip</t>
  </si>
  <si>
    <t>Miami Investor Trip</t>
  </si>
  <si>
    <t>San Francisco Investor Meeting</t>
  </si>
  <si>
    <t>Deal Specific - 260 S Hibbert</t>
  </si>
  <si>
    <t>San Diego - Judd/Angela Trip</t>
  </si>
  <si>
    <t>Palm Spring Trip - Judd</t>
  </si>
  <si>
    <t>Ohio Site Visit</t>
  </si>
  <si>
    <t>Arizona Site Visit</t>
  </si>
  <si>
    <t>New Orleans Family Trip</t>
  </si>
  <si>
    <t>The Brandon Law Firm</t>
  </si>
  <si>
    <t>DWG Electronics</t>
  </si>
  <si>
    <t>Family Travel MISC</t>
  </si>
  <si>
    <t>Italy Trip (Judd/Angela)</t>
  </si>
  <si>
    <t>Team Travel (Angela)</t>
  </si>
  <si>
    <t>Donation</t>
  </si>
  <si>
    <t>2024/2025 Canada Family Trip</t>
  </si>
  <si>
    <t>Palm Springs Renewal</t>
  </si>
  <si>
    <t>Month #</t>
  </si>
  <si>
    <t>American Express — Business Platinum Card</t>
  </si>
  <si>
    <t>Statement Summary  |  Jan 1, 2025 – Dec 31, 2025</t>
  </si>
  <si>
    <t>Prepared For</t>
  </si>
  <si>
    <t>John Dunning</t>
  </si>
  <si>
    <t>Account</t>
  </si>
  <si>
    <t>Statement Period</t>
  </si>
  <si>
    <t>Jan 2025 – Dec 2025</t>
  </si>
  <si>
    <t>TOTALS</t>
  </si>
  <si>
    <t>Credits &amp; Payments</t>
  </si>
  <si>
    <t>Net Balance</t>
  </si>
  <si>
    <t>SPEND BY CATEGORY</t>
  </si>
  <si>
    <t>% of Charges</t>
  </si>
  <si>
    <t>DWG / Operating</t>
  </si>
  <si>
    <t>Subtotal — Operating</t>
  </si>
  <si>
    <t>Deal-Specific</t>
  </si>
  <si>
    <t>Subtotal — Deal-Specific</t>
  </si>
  <si>
    <t>Legal / Professional / Other</t>
  </si>
  <si>
    <t>AMEX Travel (PwP)</t>
  </si>
  <si>
    <t>Subtotal — Other</t>
  </si>
  <si>
    <t>Business Travel</t>
  </si>
  <si>
    <t>Subtotal — Business Travel</t>
  </si>
  <si>
    <t>Personal — Reimburse to Company</t>
  </si>
  <si>
    <t>Subtotal — Personal</t>
  </si>
  <si>
    <t>Unclassified</t>
  </si>
  <si>
    <t>Subtotal — Unclassified</t>
  </si>
  <si>
    <t>Adjustments &amp; Distributions (net ≈ $0)</t>
  </si>
  <si>
    <t>Subtotal — Adjustments</t>
  </si>
  <si>
    <t>Credits, Refunds &amp; Payments</t>
  </si>
  <si>
    <t>Subtotal — Credits/Payments</t>
  </si>
  <si>
    <t>GRAND TOTAL</t>
  </si>
  <si>
    <t>PwP AMEXTRAVEL.CO800-297-2977 WA</t>
  </si>
  <si>
    <t>SPEND BY MONTH</t>
  </si>
  <si>
    <t>Month</t>
  </si>
  <si>
    <t>Credits</t>
  </si>
  <si>
    <t>Net</t>
  </si>
  <si>
    <t>PAYMENTS &amp; CREDITS SUMMARY</t>
  </si>
  <si>
    <t>Type</t>
  </si>
  <si>
    <t>Count</t>
  </si>
  <si>
    <t>FRAUD CREDIT (former-employee fraud)</t>
  </si>
  <si>
    <t>Distributions (Debit/Credit, net $0)</t>
  </si>
  <si>
    <t>Redistribution Adjustments (net $0)</t>
  </si>
  <si>
    <t>Total Credits &amp; Payments</t>
  </si>
  <si>
    <t>Monthly Breakdown  |  Jan 1, 2025 – Dec 31, 2025</t>
  </si>
  <si>
    <t>Period</t>
  </si>
  <si>
    <t>% of Month Charges</t>
  </si>
  <si>
    <t>Total Charges</t>
  </si>
  <si>
    <t>Transaction Detail  |  Jan 1, 2025 – Dec 31, 2025</t>
  </si>
  <si>
    <t>Merchant</t>
  </si>
  <si>
    <t>Incorrect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</si>
</sst>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mmm\ yyyy"/>
    <numFmt numFmtId="168" formatCode="&quot;$&quot;#,##0.00;\(&quot;$&quot;#,##0.00\);\-"/>
    <numFmt numFmtId="169" formatCode="0.0%;\(0.0%\);\-"/>
  </numFmts>
  <fonts count="20" x14ac:knownFonts="1">
    <font>
      <sz val="11"/>
      <color indexed="8"/>
      <name val="Aptos Narrow"/>
      <family val="2"/>
      <scheme val="minor"/>
    </font>
    <font>
      <b/>
      <sz val="11"/>
      <color indexed="18"/>
      <name val="Calibri"/>
      <family val="2"/>
    </font>
    <font>
      <b/>
      <sz val="11"/>
      <color indexed="8"/>
      <name val="Calibri"/>
      <family val="2"/>
    </font>
    <font>
      <sz val="11"/>
      <color indexed="8"/>
      <name val="Calibri"/>
      <family val="2"/>
    </font>
    <font>
      <b/>
      <sz val="11"/>
      <color indexed="18"/>
      <name val="Calibri"/>
      <family val="2"/>
    </font>
    <font>
      <sz val="11"/>
      <color indexed="8"/>
      <name val="Calibri"/>
      <family val="2"/>
    </font>
    <font>
      <sz val="11"/>
      <color indexed="8"/>
      <name val="Calibri"/>
      <family val="2"/>
    </font>
    <font>
      <b/>
      <sz val="11"/>
      <color rgb="FFFFFFFF"/>
      <name val="Calibri"/>
      <family val="2"/>
    </font>
    <font>
      <sz val="11"/>
      <color rgb="FFFFFFFF"/>
      <name val="Aptos Narrow"/>
      <family val="2"/>
      <scheme val="minor"/>
    </font>
    <font>
      <b/>
      <sz val="11"/>
      <color rgb="FFFFFFFF"/>
      <name val="Aptos Narrow"/>
      <family val="2"/>
      <scheme val="minor"/>
    </font>
    <font>
      <b/>
      <sz val="11"/>
      <color indexed="8"/>
      <name val="Aptos Narrow"/>
      <family val="2"/>
      <scheme val="minor"/>
    </font>
    <font>
      <b/>
      <sz val="16"/>
      <color rgb="FFFFFFFF"/>
      <name val="Calibri"/>
      <family val="2"/>
    </font>
    <font>
      <b/>
      <sz val="16"/>
      <color rgb="FFFFFFFF"/>
      <name val="Aptos Narrow"/>
      <family val="2"/>
      <scheme val="minor"/>
    </font>
    <font>
      <i/>
      <sz val="11"/>
      <color rgb="FFFFFFFF"/>
      <name val="Calibri"/>
      <family val="2"/>
    </font>
    <font>
      <sz val="11"/>
      <color rgb="FFFFFFFF"/>
      <name val="Calibri"/>
      <family val="2"/>
    </font>
    <font>
      <b/>
      <sz val="9"/>
      <color rgb="FF6B6B6B"/>
      <name val="Calibri"/>
      <family val="2"/>
    </font>
    <font>
      <b/>
      <sz val="10"/>
      <color rgb="FF6B6B6B"/>
      <name val="Calibri"/>
      <family val="2"/>
    </font>
    <font>
      <b/>
      <sz val="9"/>
      <color rgb="FF6B6B6B"/>
      <name val="Aptos Narrow"/>
      <family val="2"/>
      <scheme val="minor"/>
    </font>
    <font>
      <b/>
      <sz val="10"/>
      <color indexed="8"/>
      <name val="Aptos Narrow"/>
      <family val="2"/>
      <scheme val="minor"/>
    </font>
    <font>
      <b/>
      <sz val="14"/>
      <color rgb="FFFFFFFF"/>
      <name val="Aptos Narrow"/>
      <family val="2"/>
      <scheme val="minor"/>
    </font>
  </fonts>
  <fills count="9">
    <fill>
      <patternFill patternType="none"/>
    </fill>
    <fill>
      <patternFill patternType="gray125"/>
    </fill>
    <fill>
      <patternFill patternType="solid">
        <fgColor indexed="9"/>
      </patternFill>
    </fill>
    <fill>
      <patternFill patternType="solid">
        <fgColor rgb="FFF2F2F2"/>
      </patternFill>
    </fill>
    <fill>
      <patternFill patternType="solid">
        <fgColor indexed="44"/>
      </patternFill>
    </fill>
    <fill>
      <patternFill patternType="solid">
        <fgColor rgb="FFEDEDED"/>
        <bgColor indexed="64"/>
      </patternFill>
    </fill>
    <fill>
      <patternFill patternType="solid">
        <fgColor rgb="FF2C2C2C"/>
        <bgColor indexed="64"/>
      </patternFill>
    </fill>
    <fill>
      <patternFill patternType="solid">
        <fgColor rgb="FFF5F5F5"/>
        <bgColor indexed="64"/>
      </patternFill>
    </fill>
    <fill>
      <patternFill patternType="solid">
        <fgColor rgb="FFE8E8E8"/>
        <bgColor indexed="64"/>
      </patternFill>
    </fill>
  </fills>
  <borders count="5">
    <border>
      <left/>
      <right/>
      <top/>
      <bottom/>
      <diagonal/>
    </border>
    <border>
      <left/>
      <right/>
      <top/>
      <bottom/>
      <diagonal/>
    </border>
    <border>
      <left/>
      <right/>
      <top/>
      <bottom style="thin">
        <color auto="1"/>
      </bottom>
      <diagonal/>
    </border>
    <border>
      <left style="medium">
        <color rgb="FFF2F2F2"/>
      </left>
      <right/>
      <top/>
      <bottom/>
      <diagonal/>
    </border>
    <border>
      <left/>
      <right/>
      <top style="thin">
        <color auto="1"/>
      </top>
      <bottom/>
      <diagonal/>
    </border>
  </borders>
  <cellStyleXfs count="1">
    <xf numFmtId="0" fontId="0" fillId="0" borderId="0"/>
  </cellStyleXfs>
  <cellXfs count="48">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left" wrapText="1"/>
    </xf>
    <xf numFmtId="0" fontId="3" fillId="2" borderId="1" xfId="0" applyFont="1" applyFill="1" applyBorder="1" applyAlignment="1">
      <alignment horizontal="left" wrapText="1"/>
    </xf>
    <xf numFmtId="0" fontId="4" fillId="4" borderId="2" xfId="0" applyFont="1" applyFill="1" applyBorder="1" applyAlignment="1">
      <alignment horizontal="center" wrapText="1"/>
    </xf>
    <xf numFmtId="2" fontId="5" fillId="3" borderId="3" xfId="0" applyNumberFormat="1" applyFont="1" applyFill="1" applyBorder="1" applyAlignment="1">
      <alignment horizontal="right" wrapText="1"/>
    </xf>
    <xf numFmtId="2" fontId="6" fillId="2" borderId="3" xfId="0" applyNumberFormat="1" applyFont="1" applyFill="1" applyBorder="1" applyAlignment="1">
      <alignment horizontal="right" wrapText="1"/>
    </xf>
    <xf numFmtId="0" fontId="3" fillId="3" borderId="3" xfId="0" applyFont="1" applyFill="1" applyBorder="1" applyAlignment="1">
      <alignment horizontal="left" wrapText="1"/>
    </xf>
    <xf numFmtId="0" fontId="3" fillId="2" borderId="3" xfId="0" applyFont="1" applyFill="1" applyBorder="1" applyAlignment="1">
      <alignment horizontal="left" wrapText="1"/>
    </xf>
    <xf numFmtId="0" fontId="1" fillId="4" borderId="1" xfId="0" applyFont="1" applyFill="1" applyBorder="1" applyAlignment="1">
      <alignment horizontal="center" wrapText="1"/>
    </xf>
    <xf numFmtId="0" fontId="10" fillId="0" borderId="0" xfId="0" applyFont="1"/>
    <xf numFmtId="166" fontId="0" fillId="0" borderId="0" xfId="0" applyNumberFormat="1"/>
    <xf numFmtId="1" fontId="0" fillId="0" borderId="0" xfId="0" applyNumberFormat="1"/>
    <xf numFmtId="0" fontId="10" fillId="5" borderId="0" xfId="0" applyFont="1" applyFill="1"/>
    <xf numFmtId="0" fontId="10" fillId="0" borderId="4" xfId="0" applyFont="1" applyBorder="1"/>
    <xf numFmtId="0" fontId="8" fillId="6" borderId="0" xfId="0" applyFont="1" applyFill="1"/>
    <xf numFmtId="0" fontId="9" fillId="6" borderId="0" xfId="0" applyFont="1" applyFill="1"/>
    <xf numFmtId="0" fontId="11" fillId="6" borderId="1" xfId="0" applyFont="1" applyFill="1" applyBorder="1" applyAlignment="1">
      <alignment horizontal="left" vertical="center" wrapText="1"/>
    </xf>
    <xf numFmtId="0" fontId="12" fillId="6" borderId="0" xfId="0" applyFont="1" applyFill="1"/>
    <xf numFmtId="0" fontId="13" fillId="6" borderId="1" xfId="0" applyFont="1" applyFill="1" applyBorder="1" applyAlignment="1">
      <alignment horizontal="left" wrapText="1"/>
    </xf>
    <xf numFmtId="0" fontId="14" fillId="6" borderId="1" xfId="0" applyFont="1" applyFill="1" applyBorder="1" applyAlignment="1">
      <alignment horizontal="left" wrapText="1"/>
    </xf>
    <xf numFmtId="0" fontId="15" fillId="0" borderId="1" xfId="0" applyFont="1" applyFill="1" applyBorder="1" applyAlignment="1">
      <alignment horizontal="left" wrapText="1"/>
    </xf>
    <xf numFmtId="0" fontId="7" fillId="6" borderId="2" xfId="0" applyFont="1" applyFill="1" applyBorder="1" applyAlignment="1">
      <alignment horizontal="center" wrapText="1"/>
    </xf>
    <xf numFmtId="0" fontId="16" fillId="7" borderId="3" xfId="0" applyFont="1" applyFill="1" applyBorder="1" applyAlignment="1">
      <alignment horizontal="left" wrapText="1"/>
    </xf>
    <xf numFmtId="0" fontId="17" fillId="0" borderId="0" xfId="0" applyFont="1"/>
    <xf numFmtId="0" fontId="17" fillId="0" borderId="0" xfId="0" applyFont="1" applyFill="1"/>
    <xf numFmtId="0" fontId="17" fillId="0" borderId="0" xfId="0" applyFont="1" applyFill="1" applyAlignment="1">
      <alignment horizontal="right"/>
    </xf>
    <xf numFmtId="0" fontId="18" fillId="8" borderId="4" xfId="0" applyFont="1" applyFill="1" applyBorder="1"/>
    <xf numFmtId="1" fontId="18" fillId="8" borderId="4" xfId="0" applyNumberFormat="1" applyFont="1" applyFill="1" applyBorder="1"/>
    <xf numFmtId="168" fontId="5" fillId="7" borderId="3" xfId="0" applyNumberFormat="1" applyFont="1" applyFill="1" applyBorder="1" applyAlignment="1">
      <alignment horizontal="right" wrapText="1"/>
    </xf>
    <xf numFmtId="168" fontId="2" fillId="7" borderId="3" xfId="0" applyNumberFormat="1" applyFont="1" applyFill="1" applyBorder="1" applyAlignment="1">
      <alignment horizontal="right" wrapText="1"/>
    </xf>
    <xf numFmtId="168" fontId="0" fillId="0" borderId="0" xfId="0" applyNumberFormat="1"/>
    <xf numFmtId="168" fontId="10" fillId="0" borderId="0" xfId="0" applyNumberFormat="1" applyFont="1"/>
    <xf numFmtId="168" fontId="18" fillId="8" borderId="4" xfId="0" applyNumberFormat="1" applyFont="1" applyFill="1" applyBorder="1"/>
    <xf numFmtId="168" fontId="10" fillId="5" borderId="0" xfId="0" applyNumberFormat="1" applyFont="1" applyFill="1"/>
    <xf numFmtId="168" fontId="9" fillId="6" borderId="0" xfId="0" applyNumberFormat="1" applyFont="1" applyFill="1"/>
    <xf numFmtId="169" fontId="0" fillId="0" borderId="0" xfId="0" applyNumberFormat="1"/>
    <xf numFmtId="169" fontId="18" fillId="8" borderId="4" xfId="0" applyNumberFormat="1" applyFont="1" applyFill="1" applyBorder="1"/>
    <xf numFmtId="169" fontId="10" fillId="5" borderId="0" xfId="0" applyNumberFormat="1" applyFont="1" applyFill="1"/>
    <xf numFmtId="169" fontId="9" fillId="6" borderId="0" xfId="0" applyNumberFormat="1" applyFont="1" applyFill="1"/>
    <xf numFmtId="0" fontId="19" fillId="6" borderId="0" xfId="0" applyFont="1" applyFill="1"/>
    <xf numFmtId="166" fontId="9" fillId="6" borderId="0" xfId="0" applyNumberFormat="1" applyFont="1" applyFill="1"/>
    <xf numFmtId="0" fontId="10" fillId="8" borderId="0" xfId="0" applyFont="1" applyFill="1"/>
    <xf numFmtId="168" fontId="17" fillId="0" borderId="0" xfId="0" applyNumberFormat="1" applyFont="1"/>
    <xf numFmtId="168" fontId="10" fillId="8" borderId="0" xfId="0" applyNumberFormat="1" applyFont="1" applyFill="1"/>
    <xf numFmtId="169" fontId="17" fillId="0" borderId="0" xfId="0" applyNumberFormat="1" applyFont="1"/>
    <xf numFmtId="169" fontId="10" fillId="8" borderId="0" xfId="0" applyNumberFormat="1" applyFont="1" applyFill="1"/>
    <xf numFmtId="169" fontId="10"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726CF1C-4D84-4364-94AC-3D9FE80B14C5}">
  <we:reference id="wa200009404" version="1.0.0.8" store="en-US" storeType="OMEX"/>
  <we:alternateReferences>
    <we:reference id="WA200009404" version="1.0.0.8" store="" storeType="OMEX"/>
  </we:alternateReferences>
  <we:properties>
    <we:property name="claude.fileId" value="&quot;4b644781-2d11-431d-b706-361a8230960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5"/>
  <sheetViews>
    <sheetView tabSelected="1" topLeftCell="A71" workbookViewId="0">
      <selection activeCell="D97" sqref="D97"/>
    </sheetView>
  </sheetViews>
  <sheetFormatPr defaultColWidth="26.28515625" defaultRowHeight="15" x14ac:dyDescent="0.25"/>
  <cols>
    <col min="1" max="1" width="47.5703125" customWidth="1"/>
    <col min="2" max="4" width="21.85546875" customWidth="1"/>
  </cols>
  <sheetData>
    <row r="1" spans="1:4" ht="42" x14ac:dyDescent="0.35">
      <c r="A1" s="17" t="s">
        <v>2670</v>
      </c>
      <c r="B1" s="17"/>
      <c r="C1" s="18"/>
      <c r="D1" s="18"/>
    </row>
    <row r="2" spans="1:4" x14ac:dyDescent="0.25">
      <c r="A2" s="19" t="s">
        <v>2671</v>
      </c>
      <c r="B2" s="20" t="s">
        <v>0</v>
      </c>
      <c r="C2" s="15"/>
      <c r="D2" s="15"/>
    </row>
    <row r="3" spans="1:4" x14ac:dyDescent="0.25">
      <c r="A3" s="3"/>
      <c r="B3" s="3" t="s">
        <v>0</v>
      </c>
    </row>
    <row r="4" spans="1:4" x14ac:dyDescent="0.25">
      <c r="A4" s="21" t="s">
        <v>2672</v>
      </c>
      <c r="B4" s="2" t="s">
        <v>2673</v>
      </c>
    </row>
    <row r="5" spans="1:4" x14ac:dyDescent="0.25">
      <c r="A5" s="21" t="s">
        <v>2674</v>
      </c>
      <c r="B5" s="3" t="s">
        <v>6</v>
      </c>
    </row>
    <row r="6" spans="1:4" x14ac:dyDescent="0.25">
      <c r="A6" s="21" t="s">
        <v>2675</v>
      </c>
      <c r="B6" s="2" t="s">
        <v>2676</v>
      </c>
      <c r="C6" s="2" t="s">
        <v>0</v>
      </c>
      <c r="D6" s="2" t="s">
        <v>0</v>
      </c>
    </row>
    <row r="7" spans="1:4" x14ac:dyDescent="0.25">
      <c r="A7" s="2"/>
      <c r="B7" s="2" t="s">
        <v>0</v>
      </c>
      <c r="C7" s="2" t="s">
        <v>0</v>
      </c>
      <c r="D7" s="2" t="s">
        <v>0</v>
      </c>
    </row>
    <row r="8" spans="1:4" x14ac:dyDescent="0.25">
      <c r="A8" s="22" t="s">
        <v>2677</v>
      </c>
      <c r="B8" s="22"/>
    </row>
    <row r="9" spans="1:4" x14ac:dyDescent="0.25">
      <c r="A9" s="23" t="s">
        <v>2621</v>
      </c>
      <c r="B9" s="29">
        <f>SUMIFS('Raw Data'!$F$8:$F$2052,'Raw Data'!$F$8:$F$2052,"&gt;0")</f>
        <v>347202.32999999897</v>
      </c>
    </row>
    <row r="10" spans="1:4" x14ac:dyDescent="0.25">
      <c r="A10" s="23" t="s">
        <v>2678</v>
      </c>
      <c r="B10" s="29">
        <f>SUMIFS('Raw Data'!$F$8:$F$2052,'Raw Data'!$F$8:$F$2052,"&lt;0")</f>
        <v>-354496.62000000005</v>
      </c>
    </row>
    <row r="11" spans="1:4" x14ac:dyDescent="0.25">
      <c r="A11" s="23" t="s">
        <v>2679</v>
      </c>
      <c r="B11" s="30">
        <f>B9+B10</f>
        <v>-7294.290000001085</v>
      </c>
    </row>
    <row r="13" spans="1:4" x14ac:dyDescent="0.25">
      <c r="A13" s="16" t="s">
        <v>2619</v>
      </c>
      <c r="B13" s="16"/>
      <c r="C13" s="16"/>
      <c r="D13" s="16"/>
    </row>
    <row r="14" spans="1:4" x14ac:dyDescent="0.25">
      <c r="A14" s="25" t="s">
        <v>10</v>
      </c>
      <c r="B14" s="26" t="s">
        <v>2620</v>
      </c>
      <c r="C14" s="26" t="s">
        <v>2621</v>
      </c>
      <c r="D14" s="26" t="s">
        <v>2622</v>
      </c>
    </row>
    <row r="15" spans="1:4" x14ac:dyDescent="0.25">
      <c r="A15" t="s">
        <v>4</v>
      </c>
      <c r="B15" s="31">
        <f>SUMIFS('Raw Data'!$F$8:$F$2052,'Raw Data'!$D$8:$D$2052,$A15,'Raw Data'!$F$8:$F$2052,"&lt;0")</f>
        <v>-351061.92000000004</v>
      </c>
      <c r="C15" s="31">
        <f>SUMIFS('Raw Data'!$F$8:$F$2052,'Raw Data'!$D$8:$D$2052,$A15,'Raw Data'!$F$8:$F$2052,"&gt;0")</f>
        <v>308718.71999999939</v>
      </c>
      <c r="D15" s="31">
        <f>B15+C15</f>
        <v>-42343.200000000652</v>
      </c>
    </row>
    <row r="16" spans="1:4" x14ac:dyDescent="0.25">
      <c r="A16" t="s">
        <v>1113</v>
      </c>
      <c r="B16" s="31">
        <f>SUMIFS('Raw Data'!$F$8:$F$2052,'Raw Data'!$D$8:$D$2052,$A16,'Raw Data'!$F$8:$F$2052,"&lt;0")</f>
        <v>-3434.7</v>
      </c>
      <c r="C16" s="31">
        <f>SUMIFS('Raw Data'!$F$8:$F$2052,'Raw Data'!$D$8:$D$2052,$A16,'Raw Data'!$F$8:$F$2052,"&gt;0")</f>
        <v>38483.610000000015</v>
      </c>
      <c r="D16" s="31">
        <f>B16+C16</f>
        <v>35048.910000000018</v>
      </c>
    </row>
    <row r="17" spans="1:4" x14ac:dyDescent="0.25">
      <c r="A17" t="s">
        <v>2623</v>
      </c>
      <c r="B17" s="31">
        <f>SUMIFS('Raw Data'!$F$8:$F$2052,'Raw Data'!$D$8:$D$2052,$A17,'Raw Data'!$F$8:$F$2052,"&lt;0")</f>
        <v>0</v>
      </c>
      <c r="C17" s="31">
        <f>SUMIFS('Raw Data'!$F$8:$F$2052,'Raw Data'!$D$8:$D$2052,$A17,'Raw Data'!$F$8:$F$2052,"&gt;0")</f>
        <v>0</v>
      </c>
      <c r="D17" s="31">
        <f>B17+C17</f>
        <v>0</v>
      </c>
    </row>
    <row r="18" spans="1:4" x14ac:dyDescent="0.25">
      <c r="A18" s="10" t="s">
        <v>2622</v>
      </c>
      <c r="B18" s="32">
        <f>SUMIFS('Raw Data'!$F$8:$F$2052,'Raw Data'!$F$8:$F$2052,"&lt;0")</f>
        <v>-354496.62000000005</v>
      </c>
      <c r="C18" s="32">
        <f>SUMIFS('Raw Data'!$F$8:$F$2052,'Raw Data'!$F$8:$F$2052,"&gt;0")</f>
        <v>347202.32999999897</v>
      </c>
      <c r="D18" s="32">
        <f>B18+C18</f>
        <v>-7294.290000001085</v>
      </c>
    </row>
    <row r="20" spans="1:4" x14ac:dyDescent="0.25">
      <c r="A20" s="16" t="s">
        <v>2680</v>
      </c>
      <c r="B20" s="16"/>
      <c r="C20" s="16"/>
    </row>
    <row r="21" spans="1:4" x14ac:dyDescent="0.25">
      <c r="A21" s="25" t="s">
        <v>15</v>
      </c>
      <c r="B21" s="26" t="s">
        <v>12</v>
      </c>
      <c r="C21" s="26" t="s">
        <v>2681</v>
      </c>
    </row>
    <row r="22" spans="1:4" x14ac:dyDescent="0.25">
      <c r="A22" s="25" t="s">
        <v>2682</v>
      </c>
      <c r="B22" s="13"/>
      <c r="C22" s="13"/>
    </row>
    <row r="23" spans="1:4" x14ac:dyDescent="0.25">
      <c r="A23" t="s">
        <v>2638</v>
      </c>
      <c r="B23" s="31">
        <f>SUMIF('Raw Data'!$I$8:$I$2052,$A23,'Raw Data'!$F$8:$F$2052)</f>
        <v>21635</v>
      </c>
      <c r="C23" s="36">
        <f>B23/$B$9</f>
        <v>6.2312369850743989E-2</v>
      </c>
    </row>
    <row r="24" spans="1:4" x14ac:dyDescent="0.25">
      <c r="A24" t="s">
        <v>2626</v>
      </c>
      <c r="B24" s="31">
        <f>SUMIF('Raw Data'!$I$8:$I$2052,$A24,'Raw Data'!$F$8:$F$2052)</f>
        <v>8690.84</v>
      </c>
      <c r="C24" s="36">
        <f>B24/$B$9</f>
        <v>2.5031053219026572E-2</v>
      </c>
    </row>
    <row r="25" spans="1:4" x14ac:dyDescent="0.25">
      <c r="A25" t="s">
        <v>2630</v>
      </c>
      <c r="B25" s="31">
        <f>SUMIF('Raw Data'!$I$8:$I$2052,$A25,'Raw Data'!$F$8:$F$2052)</f>
        <v>9932.6499999999942</v>
      </c>
      <c r="C25" s="36">
        <f>B25/$B$9</f>
        <v>2.8607670922024122E-2</v>
      </c>
    </row>
    <row r="26" spans="1:4" x14ac:dyDescent="0.25">
      <c r="A26" t="s">
        <v>2628</v>
      </c>
      <c r="B26" s="31">
        <f>SUMIF('Raw Data'!$I$8:$I$2052,$A26,'Raw Data'!$F$8:$F$2052)</f>
        <v>790.29</v>
      </c>
      <c r="C26" s="36">
        <f>B26/$B$9</f>
        <v>2.2761656006167999E-3</v>
      </c>
    </row>
    <row r="27" spans="1:4" x14ac:dyDescent="0.25">
      <c r="A27" t="s">
        <v>2627</v>
      </c>
      <c r="B27" s="31">
        <f>SUMIF('Raw Data'!$I$8:$I$2052,$A27,'Raw Data'!$F$8:$F$2052)</f>
        <v>8972.8699999999826</v>
      </c>
      <c r="C27" s="36">
        <f>B27/$B$9</f>
        <v>2.5843346154963906E-2</v>
      </c>
    </row>
    <row r="28" spans="1:4" x14ac:dyDescent="0.25">
      <c r="A28" t="s">
        <v>2650</v>
      </c>
      <c r="B28" s="31">
        <f>SUMIF('Raw Data'!$I$8:$I$2052,$A28,'Raw Data'!$F$8:$F$2052)</f>
        <v>7689.6599999999989</v>
      </c>
      <c r="C28" s="36">
        <f>B28/$B$9</f>
        <v>2.2147489620821442E-2</v>
      </c>
    </row>
    <row r="29" spans="1:4" x14ac:dyDescent="0.25">
      <c r="A29" t="s">
        <v>2649</v>
      </c>
      <c r="B29" s="31">
        <f>SUMIF('Raw Data'!$I$8:$I$2052,$A29,'Raw Data'!$F$8:$F$2052)</f>
        <v>6935</v>
      </c>
      <c r="C29" s="36">
        <f>B29/$B$9</f>
        <v>1.9973944299279386E-2</v>
      </c>
    </row>
    <row r="30" spans="1:4" x14ac:dyDescent="0.25">
      <c r="A30" t="s">
        <v>2641</v>
      </c>
      <c r="B30" s="31">
        <f>SUMIF('Raw Data'!$I$8:$I$2052,$A30,'Raw Data'!$F$8:$F$2052)</f>
        <v>3107</v>
      </c>
      <c r="C30" s="36">
        <f>B30/$B$9</f>
        <v>8.9486726658775852E-3</v>
      </c>
    </row>
    <row r="31" spans="1:4" x14ac:dyDescent="0.25">
      <c r="A31" t="s">
        <v>2662</v>
      </c>
      <c r="B31" s="31">
        <f>SUMIF('Raw Data'!$I$8:$I$2052,$A31,'Raw Data'!$F$8:$F$2052)</f>
        <v>2691.84</v>
      </c>
      <c r="C31" s="36">
        <f>B31/$B$9</f>
        <v>7.7529433630241134E-3</v>
      </c>
    </row>
    <row r="32" spans="1:4" x14ac:dyDescent="0.25">
      <c r="A32" t="s">
        <v>2637</v>
      </c>
      <c r="B32" s="31">
        <f>SUMIF('Raw Data'!$I$8:$I$2052,$A32,'Raw Data'!$F$8:$F$2052)</f>
        <v>194.85</v>
      </c>
      <c r="C32" s="36">
        <f>B32/$B$9</f>
        <v>5.6120015093216854E-4</v>
      </c>
    </row>
    <row r="33" spans="1:3" x14ac:dyDescent="0.25">
      <c r="A33" t="s">
        <v>2651</v>
      </c>
      <c r="B33" s="31">
        <f>SUMIF('Raw Data'!$I$8:$I$2052,$A33,'Raw Data'!$F$8:$F$2052)</f>
        <v>183.18</v>
      </c>
      <c r="C33" s="36">
        <f>B33/$B$9</f>
        <v>5.2758862534131199E-4</v>
      </c>
    </row>
    <row r="34" spans="1:3" x14ac:dyDescent="0.25">
      <c r="A34" t="s">
        <v>2631</v>
      </c>
      <c r="B34" s="31">
        <f>SUMIF('Raw Data'!$I$8:$I$2052,$A34,'Raw Data'!$F$8:$F$2052)</f>
        <v>584</v>
      </c>
      <c r="C34" s="36">
        <f>B34/$B$9</f>
        <v>1.68201636204458E-3</v>
      </c>
    </row>
    <row r="35" spans="1:3" x14ac:dyDescent="0.25">
      <c r="A35" t="s">
        <v>2644</v>
      </c>
      <c r="B35" s="31">
        <f>SUMIF('Raw Data'!$I$8:$I$2052,$A35,'Raw Data'!$F$8:$F$2052)</f>
        <v>2649</v>
      </c>
      <c r="C35" s="36">
        <f>B35/$B$9</f>
        <v>7.6295570942741305E-3</v>
      </c>
    </row>
    <row r="36" spans="1:3" x14ac:dyDescent="0.25">
      <c r="A36" t="s">
        <v>1042</v>
      </c>
      <c r="B36" s="31">
        <f>SUMIF('Raw Data'!$I$8:$I$2052,$A36,'Raw Data'!$F$8:$F$2052)</f>
        <v>695</v>
      </c>
      <c r="C36" s="36">
        <f>B36/$B$9</f>
        <v>2.0017146774331902E-3</v>
      </c>
    </row>
    <row r="37" spans="1:3" x14ac:dyDescent="0.25">
      <c r="A37" s="27" t="s">
        <v>2683</v>
      </c>
      <c r="B37" s="33">
        <f>SUM(B23:B36)</f>
        <v>74751.179999999964</v>
      </c>
      <c r="C37" s="37">
        <f>B37/$B$9</f>
        <v>0.21529573260640325</v>
      </c>
    </row>
    <row r="38" spans="1:3" x14ac:dyDescent="0.25">
      <c r="B38" s="31"/>
      <c r="C38" s="36"/>
    </row>
    <row r="39" spans="1:3" x14ac:dyDescent="0.25">
      <c r="A39" s="25" t="s">
        <v>2684</v>
      </c>
      <c r="B39" s="31"/>
      <c r="C39" s="36"/>
    </row>
    <row r="40" spans="1:3" x14ac:dyDescent="0.25">
      <c r="A40" t="s">
        <v>2624</v>
      </c>
      <c r="B40" s="31">
        <f>SUMIF('Raw Data'!$I$8:$I$2052,$A40,'Raw Data'!$F$8:$F$2052)</f>
        <v>72</v>
      </c>
      <c r="C40" s="36">
        <f>B40/$B$9</f>
        <v>2.0737188025207151E-4</v>
      </c>
    </row>
    <row r="41" spans="1:3" x14ac:dyDescent="0.25">
      <c r="A41" t="s">
        <v>2655</v>
      </c>
      <c r="B41" s="31">
        <f>SUMIF('Raw Data'!$I$8:$I$2052,$A41,'Raw Data'!$F$8:$F$2052)</f>
        <v>32</v>
      </c>
      <c r="C41" s="36">
        <f>B41/$B$9</f>
        <v>9.2165280112031778E-5</v>
      </c>
    </row>
    <row r="42" spans="1:3" x14ac:dyDescent="0.25">
      <c r="A42" s="27" t="s">
        <v>2685</v>
      </c>
      <c r="B42" s="33">
        <f>SUM(B40:B41)</f>
        <v>104</v>
      </c>
      <c r="C42" s="37">
        <f>B42/$B$9</f>
        <v>2.9953716036410329E-4</v>
      </c>
    </row>
    <row r="43" spans="1:3" x14ac:dyDescent="0.25">
      <c r="B43" s="31"/>
      <c r="C43" s="36"/>
    </row>
    <row r="44" spans="1:3" x14ac:dyDescent="0.25">
      <c r="A44" s="25" t="s">
        <v>2686</v>
      </c>
      <c r="B44" s="34"/>
      <c r="C44" s="38"/>
    </row>
    <row r="45" spans="1:3" x14ac:dyDescent="0.25">
      <c r="A45" t="s">
        <v>2661</v>
      </c>
      <c r="B45" s="31">
        <f>SUMIF('Raw Data'!$I$8:$I$2052,$A45,'Raw Data'!$F$8:$F$2052)</f>
        <v>4377.5</v>
      </c>
      <c r="C45" s="36">
        <f>B45/$B$9</f>
        <v>1.2607922302825597E-2</v>
      </c>
    </row>
    <row r="46" spans="1:3" x14ac:dyDescent="0.25">
      <c r="A46" t="s">
        <v>2666</v>
      </c>
      <c r="B46" s="31">
        <f>SUMIF('Raw Data'!$I$8:$I$2052,$A46,'Raw Data'!$F$8:$F$2052)</f>
        <v>330</v>
      </c>
      <c r="C46" s="36">
        <f>B46/$B$9</f>
        <v>9.5045445115532771E-4</v>
      </c>
    </row>
    <row r="47" spans="1:3" x14ac:dyDescent="0.25">
      <c r="A47" t="s">
        <v>207</v>
      </c>
      <c r="B47" s="31">
        <f>SUMIF('Raw Data'!$I$8:$I$2052,$A47,'Raw Data'!$F$8:$F$2052)</f>
        <v>694.13000000000011</v>
      </c>
      <c r="C47" s="36">
        <f>B47/$B$9</f>
        <v>1.9992089338801448E-3</v>
      </c>
    </row>
    <row r="48" spans="1:3" x14ac:dyDescent="0.25">
      <c r="A48" t="s">
        <v>2643</v>
      </c>
      <c r="B48" s="31">
        <f>SUMIF('Raw Data'!$I$8:$I$2052,$A48,'Raw Data'!$F$8:$F$2052)</f>
        <v>39</v>
      </c>
      <c r="C48" s="36">
        <f>B48/$B$9</f>
        <v>1.1232643513653873E-4</v>
      </c>
    </row>
    <row r="49" spans="1:3" x14ac:dyDescent="0.25">
      <c r="A49" t="s">
        <v>2647</v>
      </c>
      <c r="B49" s="31">
        <f>SUMIF('Raw Data'!$I$8:$I$2052,$A49,'Raw Data'!$F$8:$F$2052)</f>
        <v>4442.8199999999988</v>
      </c>
      <c r="C49" s="36">
        <f>B49/$B$9</f>
        <v>1.2796054680854279E-2</v>
      </c>
    </row>
    <row r="50" spans="1:3" x14ac:dyDescent="0.25">
      <c r="A50" t="s">
        <v>2687</v>
      </c>
      <c r="B50" s="31">
        <f>SUMIF('Raw Data'!$I$8:$I$2052,"*AMEXTRAVEL*",'Raw Data'!$F$8:$F$2052)</f>
        <v>349.18</v>
      </c>
      <c r="C50" s="36">
        <f>B50/$B$9</f>
        <v>1.0056960159224768E-3</v>
      </c>
    </row>
    <row r="51" spans="1:3" x14ac:dyDescent="0.25">
      <c r="A51" s="27" t="s">
        <v>2688</v>
      </c>
      <c r="B51" s="33">
        <f>SUM(B45:B50)</f>
        <v>10232.629999999999</v>
      </c>
      <c r="C51" s="37">
        <f>B51/$B$9</f>
        <v>2.9471662819774366E-2</v>
      </c>
    </row>
    <row r="52" spans="1:3" x14ac:dyDescent="0.25">
      <c r="B52" s="31"/>
      <c r="C52" s="36"/>
    </row>
    <row r="53" spans="1:3" x14ac:dyDescent="0.25">
      <c r="A53" s="25" t="s">
        <v>2689</v>
      </c>
      <c r="B53" s="34"/>
      <c r="C53" s="38"/>
    </row>
    <row r="54" spans="1:3" x14ac:dyDescent="0.25">
      <c r="A54" t="s">
        <v>2653</v>
      </c>
      <c r="B54" s="31">
        <f>SUMIF('Raw Data'!$I$8:$I$2052,$A54,'Raw Data'!$F$8:$F$2052)</f>
        <v>9209.3799999999974</v>
      </c>
      <c r="C54" s="36">
        <f>B54/$B$9</f>
        <v>2.6524533979941967E-2</v>
      </c>
    </row>
    <row r="55" spans="1:3" x14ac:dyDescent="0.25">
      <c r="A55" t="s">
        <v>2665</v>
      </c>
      <c r="B55" s="31">
        <f>SUMIF('Raw Data'!$I$8:$I$2052,$A55,'Raw Data'!$F$8:$F$2052)</f>
        <v>13483.709999999995</v>
      </c>
      <c r="C55" s="36">
        <f>B55/$B$9</f>
        <v>3.883530965935636E-2</v>
      </c>
    </row>
    <row r="56" spans="1:3" x14ac:dyDescent="0.25">
      <c r="A56" t="s">
        <v>2636</v>
      </c>
      <c r="B56" s="31">
        <f>SUMIF('Raw Data'!$I$8:$I$2052,$A56,'Raw Data'!$F$8:$F$2052)</f>
        <v>5816.5699999999988</v>
      </c>
      <c r="C56" s="36">
        <f>B56/$B$9</f>
        <v>1.6752681354413768E-2</v>
      </c>
    </row>
    <row r="57" spans="1:3" x14ac:dyDescent="0.25">
      <c r="A57" t="s">
        <v>2658</v>
      </c>
      <c r="B57" s="31">
        <f>SUMIF('Raw Data'!$I$8:$I$2052,$A57,'Raw Data'!$F$8:$F$2052)</f>
        <v>3281.9700000000003</v>
      </c>
      <c r="C57" s="36">
        <f>B57/$B$9</f>
        <v>9.4526151365401552E-3</v>
      </c>
    </row>
    <row r="58" spans="1:3" x14ac:dyDescent="0.25">
      <c r="A58" t="s">
        <v>2654</v>
      </c>
      <c r="B58" s="31">
        <f>SUMIF('Raw Data'!$I$8:$I$2052,$A58,'Raw Data'!$F$8:$F$2052)</f>
        <v>2113.34</v>
      </c>
      <c r="C58" s="36">
        <f>B58/$B$9</f>
        <v>6.0867679084987891E-3</v>
      </c>
    </row>
    <row r="59" spans="1:3" x14ac:dyDescent="0.25">
      <c r="A59" t="s">
        <v>2642</v>
      </c>
      <c r="B59" s="31">
        <f>SUMIF('Raw Data'!$I$8:$I$2052,$A59,'Raw Data'!$F$8:$F$2052)</f>
        <v>2000.81</v>
      </c>
      <c r="C59" s="36">
        <f>B59/$B$9</f>
        <v>5.7626629406548223E-3</v>
      </c>
    </row>
    <row r="60" spans="1:3" x14ac:dyDescent="0.25">
      <c r="A60" t="s">
        <v>2659</v>
      </c>
      <c r="B60" s="31">
        <f>SUMIF('Raw Data'!$I$8:$I$2052,$A60,'Raw Data'!$F$8:$F$2052)</f>
        <v>601.15</v>
      </c>
      <c r="C60" s="36">
        <f>B60/$B$9</f>
        <v>1.731411191854622E-3</v>
      </c>
    </row>
    <row r="61" spans="1:3" x14ac:dyDescent="0.25">
      <c r="A61" t="s">
        <v>2648</v>
      </c>
      <c r="B61" s="31">
        <f>SUMIF('Raw Data'!$I$8:$I$2052,$A61,'Raw Data'!$F$8:$F$2052)</f>
        <v>587.17000000000007</v>
      </c>
      <c r="C61" s="36">
        <f>B61/$B$9</f>
        <v>1.6911464851056784E-3</v>
      </c>
    </row>
    <row r="62" spans="1:3" x14ac:dyDescent="0.25">
      <c r="A62" s="27" t="s">
        <v>2690</v>
      </c>
      <c r="B62" s="33">
        <f>SUM(B54:B61)</f>
        <v>37094.099999999991</v>
      </c>
      <c r="C62" s="37">
        <f>B62/$B$9</f>
        <v>0.10683712865636616</v>
      </c>
    </row>
    <row r="63" spans="1:3" x14ac:dyDescent="0.25">
      <c r="B63" s="31"/>
      <c r="C63" s="36"/>
    </row>
    <row r="64" spans="1:3" x14ac:dyDescent="0.25">
      <c r="A64" s="25" t="s">
        <v>2691</v>
      </c>
      <c r="B64" s="34"/>
      <c r="C64" s="38"/>
    </row>
    <row r="65" spans="1:3" x14ac:dyDescent="0.25">
      <c r="A65" t="s">
        <v>2633</v>
      </c>
      <c r="B65" s="31">
        <f>SUMIF('Raw Data'!$I$8:$I$2052,$A65,'Raw Data'!$F$8:$F$2052)</f>
        <v>22725.900000000009</v>
      </c>
      <c r="C65" s="36">
        <f>B65/$B$9</f>
        <v>6.5454341853063244E-2</v>
      </c>
    </row>
    <row r="66" spans="1:3" x14ac:dyDescent="0.25">
      <c r="A66" t="s">
        <v>2645</v>
      </c>
      <c r="B66" s="31">
        <f>SUMIF('Raw Data'!$I$8:$I$2052,$A66,'Raw Data'!$F$8:$F$2052)</f>
        <v>21765.14</v>
      </c>
      <c r="C66" s="36">
        <f>B66/$B$9</f>
        <v>6.2687194524299605E-2</v>
      </c>
    </row>
    <row r="67" spans="1:3" x14ac:dyDescent="0.25">
      <c r="A67" t="s">
        <v>2639</v>
      </c>
      <c r="B67" s="31">
        <f>SUMIF('Raw Data'!$I$8:$I$2052,$A67,'Raw Data'!$F$8:$F$2052)</f>
        <v>16428.780000000002</v>
      </c>
      <c r="C67" s="36">
        <f>B67/$B$9</f>
        <v>4.7317597206217053E-2</v>
      </c>
    </row>
    <row r="68" spans="1:3" x14ac:dyDescent="0.25">
      <c r="A68" t="s">
        <v>2632</v>
      </c>
      <c r="B68" s="31">
        <f>SUMIF('Raw Data'!$I$8:$I$2052,$A68,'Raw Data'!$F$8:$F$2052)</f>
        <v>15264.000000000004</v>
      </c>
      <c r="C68" s="36">
        <f>B68/$B$9</f>
        <v>4.3962838613439172E-2</v>
      </c>
    </row>
    <row r="69" spans="1:3" x14ac:dyDescent="0.25">
      <c r="A69" t="s">
        <v>2634</v>
      </c>
      <c r="B69" s="31">
        <f>SUMIF('Raw Data'!$I$8:$I$2052,$A69,'Raw Data'!$F$8:$F$2052)</f>
        <v>7821.83</v>
      </c>
      <c r="C69" s="36">
        <f>B69/$B$9</f>
        <v>2.2528161029334172E-2</v>
      </c>
    </row>
    <row r="70" spans="1:3" x14ac:dyDescent="0.25">
      <c r="A70" t="s">
        <v>2635</v>
      </c>
      <c r="B70" s="31">
        <f>SUMIF('Raw Data'!$I$8:$I$2052,$A70,'Raw Data'!$F$8:$F$2052)</f>
        <v>5783.7999999999975</v>
      </c>
      <c r="C70" s="36">
        <f>B70/$B$9</f>
        <v>1.6658298347249037E-2</v>
      </c>
    </row>
    <row r="71" spans="1:3" x14ac:dyDescent="0.25">
      <c r="A71" t="s">
        <v>2646</v>
      </c>
      <c r="B71" s="31">
        <f>SUMIF('Raw Data'!$I$8:$I$2052,$A71,'Raw Data'!$F$8:$F$2052)</f>
        <v>255.71</v>
      </c>
      <c r="C71" s="36">
        <f>B71/$B$9</f>
        <v>7.3648699304523898E-4</v>
      </c>
    </row>
    <row r="72" spans="1:3" x14ac:dyDescent="0.25">
      <c r="A72" t="s">
        <v>2660</v>
      </c>
      <c r="B72" s="31">
        <f>SUMIF('Raw Data'!$I$8:$I$2052,$A72,'Raw Data'!$F$8:$F$2052)</f>
        <v>6941.32</v>
      </c>
      <c r="C72" s="36">
        <f>B72/$B$9</f>
        <v>1.9992146942101514E-2</v>
      </c>
    </row>
    <row r="73" spans="1:3" x14ac:dyDescent="0.25">
      <c r="A73" t="s">
        <v>2652</v>
      </c>
      <c r="B73" s="31">
        <f>SUMIF('Raw Data'!$I$8:$I$2052,$A73,'Raw Data'!$F$8:$F$2052)</f>
        <v>6166.9900000000007</v>
      </c>
      <c r="C73" s="36">
        <f>B73/$B$9</f>
        <v>1.776194877494059E-2</v>
      </c>
    </row>
    <row r="74" spans="1:3" x14ac:dyDescent="0.25">
      <c r="A74" t="s">
        <v>2625</v>
      </c>
      <c r="B74" s="31">
        <f>SUMIF('Raw Data'!$I$8:$I$2052,$A74,'Raw Data'!$F$8:$F$2052)</f>
        <v>2538.64</v>
      </c>
      <c r="C74" s="36">
        <f>B74/$B$9</f>
        <v>7.3117020844877612E-3</v>
      </c>
    </row>
    <row r="75" spans="1:3" x14ac:dyDescent="0.25">
      <c r="A75" t="s">
        <v>2664</v>
      </c>
      <c r="B75" s="31">
        <f>SUMIF('Raw Data'!$I$8:$I$2052,$A75,'Raw Data'!$F$8:$F$2052)</f>
        <v>3141.17</v>
      </c>
      <c r="C75" s="36">
        <f>B75/$B$9</f>
        <v>9.0470879040472144E-3</v>
      </c>
    </row>
    <row r="76" spans="1:3" x14ac:dyDescent="0.25">
      <c r="A76" t="s">
        <v>2667</v>
      </c>
      <c r="B76" s="31">
        <f>SUMIF('Raw Data'!$I$8:$I$2052,$A76,'Raw Data'!$F$8:$F$2052)</f>
        <v>2139.02</v>
      </c>
      <c r="C76" s="36">
        <f>B76/$B$9</f>
        <v>6.1607305457886943E-3</v>
      </c>
    </row>
    <row r="77" spans="1:3" x14ac:dyDescent="0.25">
      <c r="A77" t="s">
        <v>2656</v>
      </c>
      <c r="B77" s="31">
        <f>SUMIF('Raw Data'!$I$8:$I$2052,$A77,'Raw Data'!$F$8:$F$2052)</f>
        <v>1910.44</v>
      </c>
      <c r="C77" s="36">
        <f>B77/$B$9</f>
        <v>5.5023824292884374E-3</v>
      </c>
    </row>
    <row r="78" spans="1:3" x14ac:dyDescent="0.25">
      <c r="A78" t="s">
        <v>2668</v>
      </c>
      <c r="B78" s="31">
        <f>SUMIF('Raw Data'!$I$8:$I$2052,$A78,'Raw Data'!$F$8:$F$2052)</f>
        <v>599</v>
      </c>
      <c r="C78" s="36">
        <f>B78/$B$9</f>
        <v>1.7252188370970949E-3</v>
      </c>
    </row>
    <row r="79" spans="1:3" x14ac:dyDescent="0.25">
      <c r="A79" t="s">
        <v>2657</v>
      </c>
      <c r="B79" s="31">
        <f>SUMIF('Raw Data'!$I$8:$I$2052,$A79,'Raw Data'!$F$8:$F$2052)</f>
        <v>549</v>
      </c>
      <c r="C79" s="36">
        <f>B79/$B$9</f>
        <v>1.5812105869220452E-3</v>
      </c>
    </row>
    <row r="80" spans="1:3" x14ac:dyDescent="0.25">
      <c r="A80" t="s">
        <v>2663</v>
      </c>
      <c r="B80" s="31">
        <f>SUMIF('Raw Data'!$I$8:$I$2052,$A80,'Raw Data'!$F$8:$F$2052)</f>
        <v>4056.1</v>
      </c>
      <c r="C80" s="36">
        <f>B80/$B$9</f>
        <v>1.1682237270700379E-2</v>
      </c>
    </row>
    <row r="81" spans="1:4" x14ac:dyDescent="0.25">
      <c r="A81" s="27" t="s">
        <v>2692</v>
      </c>
      <c r="B81" s="33">
        <f>SUM(B65:B80)</f>
        <v>118086.84000000003</v>
      </c>
      <c r="C81" s="37">
        <f>B81/$B$9</f>
        <v>0.34010958394202129</v>
      </c>
    </row>
    <row r="82" spans="1:4" x14ac:dyDescent="0.25">
      <c r="B82" s="31"/>
      <c r="C82" s="36"/>
    </row>
    <row r="83" spans="1:4" x14ac:dyDescent="0.25">
      <c r="A83" s="25" t="s">
        <v>2693</v>
      </c>
      <c r="B83" s="34"/>
      <c r="C83" s="38"/>
    </row>
    <row r="84" spans="1:4" x14ac:dyDescent="0.25">
      <c r="A84" t="s">
        <v>2640</v>
      </c>
      <c r="B84" s="31">
        <f>SUMIF('Raw Data'!$I$8:$I$2052,$A84,'Raw Data'!$F$8:$F$2052)</f>
        <v>6326.7199999999984</v>
      </c>
      <c r="C84" s="36">
        <f>B84/$B$9</f>
        <v>1.8221997530949798E-2</v>
      </c>
    </row>
    <row r="85" spans="1:4" x14ac:dyDescent="0.25">
      <c r="A85" s="27" t="s">
        <v>2694</v>
      </c>
      <c r="B85" s="33">
        <f>B84</f>
        <v>6326.7199999999984</v>
      </c>
      <c r="C85" s="37">
        <f>B85/$B$9</f>
        <v>1.8221997530949798E-2</v>
      </c>
    </row>
    <row r="86" spans="1:4" x14ac:dyDescent="0.25">
      <c r="B86" s="31"/>
      <c r="C86" s="36"/>
    </row>
    <row r="87" spans="1:4" x14ac:dyDescent="0.25">
      <c r="A87" s="25" t="s">
        <v>2695</v>
      </c>
      <c r="B87" s="34"/>
      <c r="C87" s="38"/>
    </row>
    <row r="88" spans="1:4" x14ac:dyDescent="0.25">
      <c r="A88" t="s">
        <v>1038</v>
      </c>
      <c r="B88" s="31">
        <f>SUMIF('Raw Data'!$I$8:$I$2052,$A88,'Raw Data'!$F$8:$F$2052)</f>
        <v>26819.93</v>
      </c>
      <c r="C88" s="36">
        <f>B88/$B$9</f>
        <v>7.7245823782346387E-2</v>
      </c>
    </row>
    <row r="89" spans="1:4" x14ac:dyDescent="0.25">
      <c r="A89" t="s">
        <v>1036</v>
      </c>
      <c r="B89" s="31">
        <f>SUMIF('Raw Data'!$I$8:$I$2052,$A89,'Raw Data'!$F$8:$F$2052)</f>
        <v>-26819.93</v>
      </c>
      <c r="C89" s="36">
        <f>B89/$B$9</f>
        <v>-7.7245823782346387E-2</v>
      </c>
    </row>
    <row r="90" spans="1:4" x14ac:dyDescent="0.25">
      <c r="A90" t="s">
        <v>594</v>
      </c>
      <c r="B90" s="31">
        <f>SUMIF('Raw Data'!$I$8:$I$2052,$A90,'Raw Data'!$F$8:$F$2052)</f>
        <v>9765.86</v>
      </c>
      <c r="C90" s="36">
        <f>B90/$B$9</f>
        <v>2.8127288201090211E-2</v>
      </c>
    </row>
    <row r="91" spans="1:4" x14ac:dyDescent="0.25">
      <c r="A91" t="s">
        <v>591</v>
      </c>
      <c r="B91" s="31">
        <f>SUMIF('Raw Data'!$I$8:$I$2052,$A91,'Raw Data'!$F$8:$F$2052)</f>
        <v>-9765.86</v>
      </c>
      <c r="C91" s="36">
        <f>B91/$B$9</f>
        <v>-2.8127288201090211E-2</v>
      </c>
    </row>
    <row r="92" spans="1:4" x14ac:dyDescent="0.25">
      <c r="A92" s="27" t="s">
        <v>2696</v>
      </c>
      <c r="B92" s="33">
        <f>SUM(B88:B91)</f>
        <v>0</v>
      </c>
      <c r="C92" s="37">
        <f>B92/$B$9</f>
        <v>0</v>
      </c>
    </row>
    <row r="93" spans="1:4" x14ac:dyDescent="0.25">
      <c r="B93" s="31"/>
      <c r="C93" s="36"/>
    </row>
    <row r="94" spans="1:4" x14ac:dyDescent="0.25">
      <c r="A94" s="25" t="s">
        <v>2697</v>
      </c>
      <c r="B94" s="34"/>
      <c r="C94" s="38"/>
    </row>
    <row r="95" spans="1:4" x14ac:dyDescent="0.25">
      <c r="A95" t="s">
        <v>2629</v>
      </c>
      <c r="B95" s="31">
        <f>SUMIF('Raw Data'!$I$8:$I$2052,$A95,'Raw Data'!$F$8:$F$2052)</f>
        <v>-237662.31000000003</v>
      </c>
      <c r="C95" s="36">
        <f>B95/$B$9</f>
        <v>-0.68450666791320414</v>
      </c>
    </row>
    <row r="96" spans="1:4" x14ac:dyDescent="0.25">
      <c r="A96" t="s">
        <v>620</v>
      </c>
      <c r="B96" s="31">
        <f>SUMIF('Raw Data'!$I$8:$I$2052,$A96,'Raw Data'!$F$8:$F$2052)</f>
        <v>-14045.909999999991</v>
      </c>
      <c r="C96" s="36">
        <f>B96/$B$9</f>
        <v>-4.0454538424324608E-2</v>
      </c>
      <c r="D96" t="s">
        <v>2718</v>
      </c>
    </row>
    <row r="97" spans="1:4" x14ac:dyDescent="0.25">
      <c r="A97" t="s">
        <v>551</v>
      </c>
      <c r="B97" s="31">
        <f>SUMIF('Raw Data'!$I$8:$I$2052,$A97,'Raw Data'!$F$8:$F$2052)</f>
        <v>-2181.54</v>
      </c>
      <c r="C97" s="36">
        <f>B97/$B$9</f>
        <v>-6.2831951617375566E-3</v>
      </c>
    </row>
    <row r="98" spans="1:4" x14ac:dyDescent="0.25">
      <c r="A98" s="27" t="s">
        <v>2698</v>
      </c>
      <c r="B98" s="33">
        <f>SUM(B95:B97)</f>
        <v>-253889.76000000004</v>
      </c>
      <c r="C98" s="37">
        <f>B98/$B$9</f>
        <v>-0.73124440149926639</v>
      </c>
    </row>
    <row r="99" spans="1:4" x14ac:dyDescent="0.25">
      <c r="B99" s="31"/>
      <c r="C99" s="36"/>
    </row>
    <row r="100" spans="1:4" x14ac:dyDescent="0.25">
      <c r="A100" s="16" t="s">
        <v>2699</v>
      </c>
      <c r="B100" s="35">
        <f>B37+B42+B51+B62+B81+B85+B92+B98</f>
        <v>-7294.2900000000373</v>
      </c>
      <c r="C100" s="39">
        <f>B100/$B$9</f>
        <v>-2.1008758783387368E-2</v>
      </c>
    </row>
    <row r="102" spans="1:4" x14ac:dyDescent="0.25">
      <c r="A102" s="16" t="s">
        <v>2701</v>
      </c>
      <c r="B102" s="16"/>
      <c r="C102" s="16"/>
      <c r="D102" s="16"/>
    </row>
    <row r="103" spans="1:4" x14ac:dyDescent="0.25">
      <c r="A103" s="25" t="s">
        <v>2702</v>
      </c>
      <c r="B103" s="26" t="s">
        <v>2621</v>
      </c>
      <c r="C103" s="26" t="s">
        <v>2703</v>
      </c>
      <c r="D103" s="26" t="s">
        <v>2704</v>
      </c>
    </row>
    <row r="104" spans="1:4" x14ac:dyDescent="0.25">
      <c r="A104" s="11">
        <f>DATE(2025,1,1)</f>
        <v>45658</v>
      </c>
      <c r="B104" s="31">
        <f>SUMIFS('Raw Data'!$F$8:$F$2052,'Raw Data'!$K$8:$K$2052,MONTH($A104),'Raw Data'!$F$8:$F$2052,"&gt;0")</f>
        <v>24571.860000000011</v>
      </c>
      <c r="C104" s="31">
        <f>SUMIFS('Raw Data'!$F$8:$F$2052,'Raw Data'!$K$8:$K$2052,MONTH($A104),'Raw Data'!$F$8:$F$2052,"&lt;0")</f>
        <v>-39722.020000000004</v>
      </c>
      <c r="D104" s="31">
        <f>B104+C104</f>
        <v>-15150.159999999993</v>
      </c>
    </row>
    <row r="105" spans="1:4" x14ac:dyDescent="0.25">
      <c r="A105" s="11">
        <f>DATE(2025,2,1)</f>
        <v>45689</v>
      </c>
      <c r="B105" s="31">
        <f>SUMIFS('Raw Data'!$F$8:$F$2052,'Raw Data'!$K$8:$K$2052,MONTH($A105),'Raw Data'!$F$8:$F$2052,"&gt;0")</f>
        <v>37245.19999999999</v>
      </c>
      <c r="C105" s="31">
        <f>SUMIFS('Raw Data'!$F$8:$F$2052,'Raw Data'!$K$8:$K$2052,MONTH($A105),'Raw Data'!$F$8:$F$2052,"&lt;0")</f>
        <v>-58256.279999999984</v>
      </c>
      <c r="D105" s="31">
        <f>B105+C105</f>
        <v>-21011.079999999994</v>
      </c>
    </row>
    <row r="106" spans="1:4" x14ac:dyDescent="0.25">
      <c r="A106" s="11">
        <f>DATE(2025,3,1)</f>
        <v>45717</v>
      </c>
      <c r="B106" s="31">
        <f>SUMIFS('Raw Data'!$F$8:$F$2052,'Raw Data'!$K$8:$K$2052,MONTH($A106),'Raw Data'!$F$8:$F$2052,"&gt;0")</f>
        <v>41402.509999999995</v>
      </c>
      <c r="C106" s="31">
        <f>SUMIFS('Raw Data'!$F$8:$F$2052,'Raw Data'!$K$8:$K$2052,MONTH($A106),'Raw Data'!$F$8:$F$2052,"&lt;0")</f>
        <v>-18566.780000000002</v>
      </c>
      <c r="D106" s="31">
        <f>B106+C106</f>
        <v>22835.729999999992</v>
      </c>
    </row>
    <row r="107" spans="1:4" x14ac:dyDescent="0.25">
      <c r="A107" s="11">
        <f>DATE(2025,4,1)</f>
        <v>45748</v>
      </c>
      <c r="B107" s="31">
        <f>SUMIFS('Raw Data'!$F$8:$F$2052,'Raw Data'!$K$8:$K$2052,MONTH($A107),'Raw Data'!$F$8:$F$2052,"&gt;0")</f>
        <v>17276.729999999996</v>
      </c>
      <c r="C107" s="31">
        <f>SUMIFS('Raw Data'!$F$8:$F$2052,'Raw Data'!$K$8:$K$2052,MONTH($A107),'Raw Data'!$F$8:$F$2052,"&lt;0")</f>
        <v>-47599.85</v>
      </c>
      <c r="D107" s="31">
        <f>B107+C107</f>
        <v>-30323.120000000003</v>
      </c>
    </row>
    <row r="108" spans="1:4" x14ac:dyDescent="0.25">
      <c r="A108" s="11">
        <f>DATE(2025,5,1)</f>
        <v>45778</v>
      </c>
      <c r="B108" s="31">
        <f>SUMIFS('Raw Data'!$F$8:$F$2052,'Raw Data'!$K$8:$K$2052,MONTH($A108),'Raw Data'!$F$8:$F$2052,"&gt;0")</f>
        <v>41536.559999999983</v>
      </c>
      <c r="C108" s="31">
        <f>SUMIFS('Raw Data'!$F$8:$F$2052,'Raw Data'!$K$8:$K$2052,MONTH($A108),'Raw Data'!$F$8:$F$2052,"&lt;0")</f>
        <v>-33104.629999999983</v>
      </c>
      <c r="D108" s="31">
        <f>B108+C108</f>
        <v>8431.93</v>
      </c>
    </row>
    <row r="109" spans="1:4" x14ac:dyDescent="0.25">
      <c r="A109" s="11">
        <f>DATE(2025,6,1)</f>
        <v>45809</v>
      </c>
      <c r="B109" s="31">
        <f>SUMIFS('Raw Data'!$F$8:$F$2052,'Raw Data'!$K$8:$K$2052,MONTH($A109),'Raw Data'!$F$8:$F$2052,"&gt;0")</f>
        <v>31391.19</v>
      </c>
      <c r="C109" s="31">
        <f>SUMIFS('Raw Data'!$F$8:$F$2052,'Raw Data'!$K$8:$K$2052,MONTH($A109),'Raw Data'!$F$8:$F$2052,"&lt;0")</f>
        <v>-48224.69</v>
      </c>
      <c r="D109" s="31">
        <f>B109+C109</f>
        <v>-16833.500000000004</v>
      </c>
    </row>
    <row r="110" spans="1:4" x14ac:dyDescent="0.25">
      <c r="A110" s="11">
        <f>DATE(2025,7,1)</f>
        <v>45839</v>
      </c>
      <c r="B110" s="31">
        <f>SUMIFS('Raw Data'!$F$8:$F$2052,'Raw Data'!$K$8:$K$2052,MONTH($A110),'Raw Data'!$F$8:$F$2052,"&gt;0")</f>
        <v>16773.369999999995</v>
      </c>
      <c r="C110" s="31">
        <f>SUMIFS('Raw Data'!$F$8:$F$2052,'Raw Data'!$K$8:$K$2052,MONTH($A110),'Raw Data'!$F$8:$F$2052,"&lt;0")</f>
        <v>-4909.0800000000008</v>
      </c>
      <c r="D110" s="31">
        <f>B110+C110</f>
        <v>11864.289999999994</v>
      </c>
    </row>
    <row r="111" spans="1:4" x14ac:dyDescent="0.25">
      <c r="A111" s="11">
        <f>DATE(2025,8,1)</f>
        <v>45870</v>
      </c>
      <c r="B111" s="31">
        <f>SUMIFS('Raw Data'!$F$8:$F$2052,'Raw Data'!$K$8:$K$2052,MONTH($A111),'Raw Data'!$F$8:$F$2052,"&gt;0")</f>
        <v>72007.430000000008</v>
      </c>
      <c r="C111" s="31">
        <f>SUMIFS('Raw Data'!$F$8:$F$2052,'Raw Data'!$K$8:$K$2052,MONTH($A111),'Raw Data'!$F$8:$F$2052,"&lt;0")</f>
        <v>-37254.020000000004</v>
      </c>
      <c r="D111" s="31">
        <f>B111+C111</f>
        <v>34753.410000000003</v>
      </c>
    </row>
    <row r="112" spans="1:4" x14ac:dyDescent="0.25">
      <c r="A112" s="11">
        <f>DATE(2025,9,1)</f>
        <v>45901</v>
      </c>
      <c r="B112" s="31">
        <f>SUMIFS('Raw Data'!$F$8:$F$2052,'Raw Data'!$K$8:$K$2052,MONTH($A112),'Raw Data'!$F$8:$F$2052,"&gt;0")</f>
        <v>21910.070000000018</v>
      </c>
      <c r="C112" s="31">
        <f>SUMIFS('Raw Data'!$F$8:$F$2052,'Raw Data'!$K$8:$K$2052,MONTH($A112),'Raw Data'!$F$8:$F$2052,"&lt;0")</f>
        <v>-14268.419999999989</v>
      </c>
      <c r="D112" s="31">
        <f>B112+C112</f>
        <v>7641.6500000000287</v>
      </c>
    </row>
    <row r="113" spans="1:4" x14ac:dyDescent="0.25">
      <c r="A113" s="11">
        <f>DATE(2025,10,1)</f>
        <v>45931</v>
      </c>
      <c r="B113" s="31">
        <f>SUMIFS('Raw Data'!$F$8:$F$2052,'Raw Data'!$K$8:$K$2052,MONTH($A113),'Raw Data'!$F$8:$F$2052,"&gt;0")</f>
        <v>19777.619999999995</v>
      </c>
      <c r="C113" s="31">
        <f>SUMIFS('Raw Data'!$F$8:$F$2052,'Raw Data'!$K$8:$K$2052,MONTH($A113),'Raw Data'!$F$8:$F$2052,"&lt;0")</f>
        <v>-822.32</v>
      </c>
      <c r="D113" s="31">
        <f>B113+C113</f>
        <v>18955.299999999996</v>
      </c>
    </row>
    <row r="114" spans="1:4" x14ac:dyDescent="0.25">
      <c r="A114" s="11">
        <f>DATE(2025,11,1)</f>
        <v>45962</v>
      </c>
      <c r="B114" s="31">
        <f>SUMIFS('Raw Data'!$F$8:$F$2052,'Raw Data'!$K$8:$K$2052,MONTH($A114),'Raw Data'!$F$8:$F$2052,"&gt;0")</f>
        <v>8688.6799999999948</v>
      </c>
      <c r="C114" s="31">
        <f>SUMIFS('Raw Data'!$F$8:$F$2052,'Raw Data'!$K$8:$K$2052,MONTH($A114),'Raw Data'!$F$8:$F$2052,"&lt;0")</f>
        <v>-1484</v>
      </c>
      <c r="D114" s="31">
        <f>B114+C114</f>
        <v>7204.6799999999948</v>
      </c>
    </row>
    <row r="115" spans="1:4" x14ac:dyDescent="0.25">
      <c r="A115" s="11">
        <f>DATE(2025,12,1)</f>
        <v>45992</v>
      </c>
      <c r="B115" s="31">
        <f>SUMIFS('Raw Data'!$F$8:$F$2052,'Raw Data'!$K$8:$K$2052,MONTH($A115),'Raw Data'!$F$8:$F$2052,"&gt;0")</f>
        <v>14621.109999999993</v>
      </c>
      <c r="C115" s="31">
        <f>SUMIFS('Raw Data'!$F$8:$F$2052,'Raw Data'!$K$8:$K$2052,MONTH($A115),'Raw Data'!$F$8:$F$2052,"&lt;0")</f>
        <v>-50284.53</v>
      </c>
      <c r="D115" s="31">
        <f>B115+C115</f>
        <v>-35663.420000000006</v>
      </c>
    </row>
    <row r="116" spans="1:4" x14ac:dyDescent="0.25">
      <c r="A116" s="27" t="s">
        <v>2622</v>
      </c>
      <c r="B116" s="33">
        <f>SUM(B104:B115)</f>
        <v>347202.32999999996</v>
      </c>
      <c r="C116" s="33">
        <f>SUM(C104:C115)</f>
        <v>-354496.62</v>
      </c>
      <c r="D116" s="33">
        <f>SUM(D104:D115)</f>
        <v>-7294.2900000000009</v>
      </c>
    </row>
    <row r="118" spans="1:4" x14ac:dyDescent="0.25">
      <c r="A118" s="16" t="s">
        <v>2705</v>
      </c>
      <c r="B118" s="16"/>
      <c r="C118" s="16"/>
    </row>
    <row r="119" spans="1:4" x14ac:dyDescent="0.25">
      <c r="A119" s="25" t="s">
        <v>2706</v>
      </c>
      <c r="B119" s="26" t="s">
        <v>2707</v>
      </c>
      <c r="C119" s="26" t="s">
        <v>12</v>
      </c>
    </row>
    <row r="120" spans="1:4" x14ac:dyDescent="0.25">
      <c r="A120" t="s">
        <v>2629</v>
      </c>
      <c r="B120" s="12">
        <f>COUNTIF('Raw Data'!$I$8:$I$2052,$A120)</f>
        <v>13</v>
      </c>
      <c r="C120" s="31">
        <f>SUMIF('Raw Data'!$I$8:$I$2052,$A120,'Raw Data'!$F$8:$F$2052)</f>
        <v>-237662.31000000003</v>
      </c>
    </row>
    <row r="121" spans="1:4" x14ac:dyDescent="0.25">
      <c r="A121" t="s">
        <v>2708</v>
      </c>
      <c r="B121" s="12">
        <f>COUNTIF('Raw Data'!$I$8:$I$2052,"FRAUD CREDIT")</f>
        <v>157</v>
      </c>
      <c r="C121" s="31">
        <f>SUMIF('Raw Data'!$I$8:$I$2052,"FRAUD CREDIT",'Raw Data'!$F$8:$F$2052)</f>
        <v>-14045.909999999991</v>
      </c>
    </row>
    <row r="122" spans="1:4" x14ac:dyDescent="0.25">
      <c r="A122" t="s">
        <v>551</v>
      </c>
      <c r="B122" s="12">
        <f>COUNTIF('Raw Data'!$I$8:$I$2052,$A122)</f>
        <v>8</v>
      </c>
      <c r="C122" s="31">
        <f>SUMIF('Raw Data'!$I$8:$I$2052,$A122,'Raw Data'!$F$8:$F$2052)</f>
        <v>-2181.54</v>
      </c>
    </row>
    <row r="123" spans="1:4" x14ac:dyDescent="0.25">
      <c r="A123" t="s">
        <v>2709</v>
      </c>
      <c r="B123" s="12">
        <f>COUNTIF('Raw Data'!$I$8:$I$2052,"*DISTRIBUTION OF PAYMENT")</f>
        <v>2</v>
      </c>
      <c r="C123" s="31">
        <f>SUMIF('Raw Data'!$I$8:$I$2052,"*DISTRIBUTION OF PAYMENT",'Raw Data'!$F$8:$F$2052)</f>
        <v>0</v>
      </c>
    </row>
    <row r="124" spans="1:4" x14ac:dyDescent="0.25">
      <c r="A124" t="s">
        <v>2710</v>
      </c>
      <c r="B124" s="12">
        <f>COUNTIF('Raw Data'!$I$8:$I$2052,"DR ADJ REDIST CADV PRIN")+COUNTIF('Raw Data'!$I$8:$I$2052,"ADJ REDIST PURCHASE BAL")</f>
        <v>4</v>
      </c>
      <c r="C124" s="31">
        <f>SUMIF('Raw Data'!$I$8:$I$2052,"DR ADJ REDIST CADV PRIN",'Raw Data'!$F$8:$F$2052)+SUMIF('Raw Data'!$I$8:$I$2052,"ADJ REDIST PURCHASE BAL",'Raw Data'!$F$8:$F$2052)</f>
        <v>0</v>
      </c>
    </row>
    <row r="125" spans="1:4" x14ac:dyDescent="0.25">
      <c r="A125" s="27" t="s">
        <v>2711</v>
      </c>
      <c r="B125" s="28">
        <f>SUM(B120:B124)</f>
        <v>184</v>
      </c>
      <c r="C125" s="33">
        <f>SUM(C120:C124)</f>
        <v>-253889.76000000004</v>
      </c>
      <c r="D125"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26CD8-5CEF-42F6-B652-AAB2A89645D1}">
  <dimension ref="A1:C302"/>
  <sheetViews>
    <sheetView workbookViewId="0"/>
  </sheetViews>
  <sheetFormatPr defaultRowHeight="15" x14ac:dyDescent="0.25"/>
  <cols>
    <col min="1" max="1" width="43.85546875" customWidth="1"/>
    <col min="2" max="2" width="21" customWidth="1"/>
    <col min="3" max="3" width="22.85546875" customWidth="1"/>
  </cols>
  <sheetData>
    <row r="1" spans="1:3" ht="18.75" x14ac:dyDescent="0.3">
      <c r="A1" s="40" t="s">
        <v>2670</v>
      </c>
      <c r="B1" s="15"/>
      <c r="C1" s="15"/>
    </row>
    <row r="2" spans="1:3" x14ac:dyDescent="0.25">
      <c r="A2" s="15" t="s">
        <v>2712</v>
      </c>
      <c r="B2" s="15"/>
      <c r="C2" s="15"/>
    </row>
    <row r="4" spans="1:3" x14ac:dyDescent="0.25">
      <c r="A4" s="24" t="s">
        <v>2713</v>
      </c>
      <c r="B4" t="s">
        <v>2676</v>
      </c>
    </row>
    <row r="6" spans="1:3" x14ac:dyDescent="0.25">
      <c r="A6" s="41">
        <f>DATE(2025,1,1)</f>
        <v>45658</v>
      </c>
      <c r="B6" s="35"/>
      <c r="C6" s="39"/>
    </row>
    <row r="7" spans="1:3" x14ac:dyDescent="0.25">
      <c r="A7" s="24" t="s">
        <v>15</v>
      </c>
      <c r="B7" s="43" t="s">
        <v>12</v>
      </c>
      <c r="C7" s="45" t="s">
        <v>2714</v>
      </c>
    </row>
    <row r="8" spans="1:3" x14ac:dyDescent="0.25">
      <c r="A8" t="s">
        <v>2638</v>
      </c>
      <c r="B8" s="31">
        <f>SUMIFS('Raw Data'!$F$8:$F$2052,'Raw Data'!$I$8:$I$2052,$A8,'Raw Data'!$K$8:$K$2052,MONTH($A$6))</f>
        <v>2260</v>
      </c>
      <c r="C8" s="36">
        <f>IFERROR(B8/$B$25,0)</f>
        <v>9.1975129273892939E-2</v>
      </c>
    </row>
    <row r="9" spans="1:3" x14ac:dyDescent="0.25">
      <c r="A9" t="s">
        <v>2665</v>
      </c>
      <c r="B9" s="31">
        <f>SUMIFS('Raw Data'!$F$8:$F$2052,'Raw Data'!$I$8:$I$2052,$A9,'Raw Data'!$K$8:$K$2052,MONTH($A$6))</f>
        <v>2226.75</v>
      </c>
      <c r="C9" s="36">
        <f>IFERROR(B9/$B$25,0)</f>
        <v>9.0621955358690748E-2</v>
      </c>
    </row>
    <row r="10" spans="1:3" x14ac:dyDescent="0.25">
      <c r="A10" t="s">
        <v>2667</v>
      </c>
      <c r="B10" s="31">
        <f>SUMIFS('Raw Data'!$F$8:$F$2052,'Raw Data'!$I$8:$I$2052,$A10,'Raw Data'!$K$8:$K$2052,MONTH($A$6))</f>
        <v>2139.02</v>
      </c>
      <c r="C10" s="36">
        <f>IFERROR(B10/$B$25,0)</f>
        <v>8.7051611070549761E-2</v>
      </c>
    </row>
    <row r="11" spans="1:3" x14ac:dyDescent="0.25">
      <c r="A11" t="s">
        <v>2633</v>
      </c>
      <c r="B11" s="31">
        <f>SUMIFS('Raw Data'!$F$8:$F$2052,'Raw Data'!$I$8:$I$2052,$A11,'Raw Data'!$K$8:$K$2052,MONTH($A$6))</f>
        <v>977.84</v>
      </c>
      <c r="C11" s="36">
        <f>IFERROR(B11/$B$25,0)</f>
        <v>3.9795115225302422E-2</v>
      </c>
    </row>
    <row r="12" spans="1:3" x14ac:dyDescent="0.25">
      <c r="A12" t="s">
        <v>2630</v>
      </c>
      <c r="B12" s="31">
        <f>SUMIFS('Raw Data'!$F$8:$F$2052,'Raw Data'!$I$8:$I$2052,$A12,'Raw Data'!$K$8:$K$2052,MONTH($A$6))</f>
        <v>969.1</v>
      </c>
      <c r="C12" s="36">
        <f>IFERROR(B12/$B$25,0)</f>
        <v>3.943942379616356E-2</v>
      </c>
    </row>
    <row r="13" spans="1:3" x14ac:dyDescent="0.25">
      <c r="A13" t="s">
        <v>2632</v>
      </c>
      <c r="B13" s="31">
        <f>SUMIFS('Raw Data'!$F$8:$F$2052,'Raw Data'!$I$8:$I$2052,$A13,'Raw Data'!$K$8:$K$2052,MONTH($A$6))</f>
        <v>868.51</v>
      </c>
      <c r="C13" s="36">
        <f>IFERROR(B13/$B$25,0)</f>
        <v>3.534571660427821E-2</v>
      </c>
    </row>
    <row r="14" spans="1:3" x14ac:dyDescent="0.25">
      <c r="A14" t="s">
        <v>2647</v>
      </c>
      <c r="B14" s="31">
        <f>SUMIFS('Raw Data'!$F$8:$F$2052,'Raw Data'!$I$8:$I$2052,$A14,'Raw Data'!$K$8:$K$2052,MONTH($A$6))</f>
        <v>617.5</v>
      </c>
      <c r="C14" s="36">
        <f>IFERROR(B14/$B$25,0)</f>
        <v>2.5130372710897738E-2</v>
      </c>
    </row>
    <row r="15" spans="1:3" x14ac:dyDescent="0.25">
      <c r="A15" t="s">
        <v>2668</v>
      </c>
      <c r="B15" s="31">
        <f>SUMIFS('Raw Data'!$F$8:$F$2052,'Raw Data'!$I$8:$I$2052,$A15,'Raw Data'!$K$8:$K$2052,MONTH($A$6))</f>
        <v>599</v>
      </c>
      <c r="C15" s="36">
        <f>IFERROR(B15/$B$25,0)</f>
        <v>2.4377478953567198E-2</v>
      </c>
    </row>
    <row r="16" spans="1:3" x14ac:dyDescent="0.25">
      <c r="A16" t="s">
        <v>2635</v>
      </c>
      <c r="B16" s="31">
        <f>SUMIFS('Raw Data'!$F$8:$F$2052,'Raw Data'!$I$8:$I$2052,$A16,'Raw Data'!$K$8:$K$2052,MONTH($A$6))</f>
        <v>474.84999999999991</v>
      </c>
      <c r="C16" s="36">
        <f>IFERROR(B16/$B$25,0)</f>
        <v>1.9324951387481439E-2</v>
      </c>
    </row>
    <row r="17" spans="1:3" x14ac:dyDescent="0.25">
      <c r="A17" t="s">
        <v>2627</v>
      </c>
      <c r="B17" s="31">
        <f>SUMIFS('Raw Data'!$F$8:$F$2052,'Raw Data'!$I$8:$I$2052,$A17,'Raw Data'!$K$8:$K$2052,MONTH($A$6))</f>
        <v>412.37000000000012</v>
      </c>
      <c r="C17" s="36">
        <f>IFERROR(B17/$B$25,0)</f>
        <v>1.678220533569701E-2</v>
      </c>
    </row>
    <row r="18" spans="1:3" x14ac:dyDescent="0.25">
      <c r="A18" t="s">
        <v>2666</v>
      </c>
      <c r="B18" s="31">
        <f>SUMIFS('Raw Data'!$F$8:$F$2052,'Raw Data'!$I$8:$I$2052,$A18,'Raw Data'!$K$8:$K$2052,MONTH($A$6))</f>
        <v>330</v>
      </c>
      <c r="C18" s="36">
        <f>IFERROR(B18/$B$25,0)</f>
        <v>1.3429996752382597E-2</v>
      </c>
    </row>
    <row r="19" spans="1:3" x14ac:dyDescent="0.25">
      <c r="A19" t="s">
        <v>2645</v>
      </c>
      <c r="B19" s="31">
        <f>SUMIFS('Raw Data'!$F$8:$F$2052,'Raw Data'!$I$8:$I$2052,$A19,'Raw Data'!$K$8:$K$2052,MONTH($A$6))</f>
        <v>269.83999999999997</v>
      </c>
      <c r="C19" s="36">
        <f>IFERROR(B19/$B$25,0)</f>
        <v>1.0981667647463392E-2</v>
      </c>
    </row>
    <row r="20" spans="1:3" x14ac:dyDescent="0.25">
      <c r="A20" t="s">
        <v>2628</v>
      </c>
      <c r="B20" s="31">
        <f>SUMIFS('Raw Data'!$F$8:$F$2052,'Raw Data'!$I$8:$I$2052,$A20,'Raw Data'!$K$8:$K$2052,MONTH($A$6))</f>
        <v>60</v>
      </c>
      <c r="C20" s="36">
        <f>IFERROR(B20/$B$25,0)</f>
        <v>2.4418175913422904E-3</v>
      </c>
    </row>
    <row r="21" spans="1:3" x14ac:dyDescent="0.25">
      <c r="A21" t="s">
        <v>2650</v>
      </c>
      <c r="B21" s="31">
        <f>SUMIFS('Raw Data'!$F$8:$F$2052,'Raw Data'!$I$8:$I$2052,$A21,'Raw Data'!$K$8:$K$2052,MONTH($A$6))</f>
        <v>59.5</v>
      </c>
      <c r="C21" s="36">
        <f>IFERROR(B21/$B$25,0)</f>
        <v>2.4214691114144379E-3</v>
      </c>
    </row>
    <row r="22" spans="1:3" x14ac:dyDescent="0.25">
      <c r="A22" t="s">
        <v>2634</v>
      </c>
      <c r="B22" s="31">
        <f>SUMIFS('Raw Data'!$F$8:$F$2052,'Raw Data'!$I$8:$I$2052,$A22,'Raw Data'!$K$8:$K$2052,MONTH($A$6))</f>
        <v>31.97</v>
      </c>
      <c r="C22" s="36">
        <f>IFERROR(B22/$B$25,0)</f>
        <v>1.3010818065868836E-3</v>
      </c>
    </row>
    <row r="23" spans="1:3" x14ac:dyDescent="0.25">
      <c r="A23" t="s">
        <v>2636</v>
      </c>
      <c r="B23" s="31">
        <f>SUMIFS('Raw Data'!$F$8:$F$2052,'Raw Data'!$I$8:$I$2052,$A23,'Raw Data'!$K$8:$K$2052,MONTH($A$6))</f>
        <v>13</v>
      </c>
      <c r="C23" s="36">
        <f>IFERROR(B23/$B$25,0)</f>
        <v>5.2906047812416291E-4</v>
      </c>
    </row>
    <row r="24" spans="1:3" x14ac:dyDescent="0.25">
      <c r="A24" t="s">
        <v>2629</v>
      </c>
      <c r="B24" s="31">
        <f>SUMIFS('Raw Data'!$F$8:$F$2052,'Raw Data'!$I$8:$I$2052,$A24,'Raw Data'!$K$8:$K$2052,MONTH($A$6))</f>
        <v>-27459.41</v>
      </c>
      <c r="C24" s="36">
        <f>IFERROR(B24/$B$25,0)</f>
        <v>-1.1175145064313401</v>
      </c>
    </row>
    <row r="25" spans="1:3" x14ac:dyDescent="0.25">
      <c r="A25" s="42" t="s">
        <v>2715</v>
      </c>
      <c r="B25" s="44">
        <f>SUMIFS('Raw Data'!$F$8:$F$2052,'Raw Data'!$K$8:$K$2052,MONTH($A$6),'Raw Data'!$F$8:$F$2052,"&gt;0")</f>
        <v>24571.860000000011</v>
      </c>
      <c r="C25" s="46"/>
    </row>
    <row r="26" spans="1:3" x14ac:dyDescent="0.25">
      <c r="A26" t="s">
        <v>2678</v>
      </c>
      <c r="B26" s="31">
        <f>SUMIFS('Raw Data'!$F$8:$F$2052,'Raw Data'!$K$8:$K$2052,MONTH($A$6),'Raw Data'!$F$8:$F$2052,"&lt;0")</f>
        <v>-39722.020000000004</v>
      </c>
      <c r="C26" s="36"/>
    </row>
    <row r="27" spans="1:3" x14ac:dyDescent="0.25">
      <c r="A27" s="10" t="s">
        <v>2704</v>
      </c>
      <c r="B27" s="32">
        <f>B25+B26</f>
        <v>-15150.159999999993</v>
      </c>
      <c r="C27" s="47"/>
    </row>
    <row r="28" spans="1:3" x14ac:dyDescent="0.25">
      <c r="B28" s="31"/>
      <c r="C28" s="36"/>
    </row>
    <row r="29" spans="1:3" x14ac:dyDescent="0.25">
      <c r="A29" s="41">
        <f>DATE(2025,2,1)</f>
        <v>45689</v>
      </c>
      <c r="B29" s="35"/>
      <c r="C29" s="39"/>
    </row>
    <row r="30" spans="1:3" x14ac:dyDescent="0.25">
      <c r="A30" s="24" t="s">
        <v>15</v>
      </c>
      <c r="B30" s="43" t="s">
        <v>12</v>
      </c>
      <c r="C30" s="45" t="s">
        <v>2714</v>
      </c>
    </row>
    <row r="31" spans="1:3" x14ac:dyDescent="0.25">
      <c r="A31" t="s">
        <v>2626</v>
      </c>
      <c r="B31" s="31">
        <f>SUMIFS('Raw Data'!$F$8:$F$2052,'Raw Data'!$I$8:$I$2052,$A31,'Raw Data'!$K$8:$K$2052,MONTH($A$29))</f>
        <v>7200</v>
      </c>
      <c r="C31" s="36">
        <f>IFERROR(B31/$B$49,0)</f>
        <v>0.19331350080010315</v>
      </c>
    </row>
    <row r="32" spans="1:3" x14ac:dyDescent="0.25">
      <c r="A32" t="s">
        <v>2634</v>
      </c>
      <c r="B32" s="31">
        <f>SUMIFS('Raw Data'!$F$8:$F$2052,'Raw Data'!$I$8:$I$2052,$A32,'Raw Data'!$K$8:$K$2052,MONTH($A$29))</f>
        <v>5057.91</v>
      </c>
      <c r="C32" s="36">
        <f>IFERROR(B32/$B$49,0)</f>
        <v>0.13580031789331246</v>
      </c>
    </row>
    <row r="33" spans="1:3" x14ac:dyDescent="0.25">
      <c r="A33" t="s">
        <v>2633</v>
      </c>
      <c r="B33" s="31">
        <f>SUMIFS('Raw Data'!$F$8:$F$2052,'Raw Data'!$I$8:$I$2052,$A33,'Raw Data'!$K$8:$K$2052,MONTH($A$29))</f>
        <v>3560.74</v>
      </c>
      <c r="C33" s="36">
        <f>IFERROR(B33/$B$49,0)</f>
        <v>9.5602654838744347E-2</v>
      </c>
    </row>
    <row r="34" spans="1:3" x14ac:dyDescent="0.25">
      <c r="A34" t="s">
        <v>2665</v>
      </c>
      <c r="B34" s="31">
        <f>SUMIFS('Raw Data'!$F$8:$F$2052,'Raw Data'!$I$8:$I$2052,$A34,'Raw Data'!$K$8:$K$2052,MONTH($A$29))</f>
        <v>2386.31</v>
      </c>
      <c r="C34" s="36">
        <f>IFERROR(B34/$B$49,0)</f>
        <v>6.4070269457540852E-2</v>
      </c>
    </row>
    <row r="35" spans="1:3" x14ac:dyDescent="0.25">
      <c r="A35" t="s">
        <v>2638</v>
      </c>
      <c r="B35" s="31">
        <f>SUMIFS('Raw Data'!$F$8:$F$2052,'Raw Data'!$I$8:$I$2052,$A35,'Raw Data'!$K$8:$K$2052,MONTH($A$29))</f>
        <v>2260</v>
      </c>
      <c r="C35" s="36">
        <f>IFERROR(B35/$B$49,0)</f>
        <v>6.0678959973365712E-2</v>
      </c>
    </row>
    <row r="36" spans="1:3" x14ac:dyDescent="0.25">
      <c r="A36" t="s">
        <v>2632</v>
      </c>
      <c r="B36" s="31">
        <f>SUMIFS('Raw Data'!$F$8:$F$2052,'Raw Data'!$I$8:$I$2052,$A36,'Raw Data'!$K$8:$K$2052,MONTH($A$29))</f>
        <v>1405.22</v>
      </c>
      <c r="C36" s="36">
        <f>IFERROR(B36/$B$49,0)</f>
        <v>3.7728888554766797E-2</v>
      </c>
    </row>
    <row r="37" spans="1:3" x14ac:dyDescent="0.25">
      <c r="A37" t="s">
        <v>2650</v>
      </c>
      <c r="B37" s="31">
        <f>SUMIFS('Raw Data'!$F$8:$F$2052,'Raw Data'!$I$8:$I$2052,$A37,'Raw Data'!$K$8:$K$2052,MONTH($A$29))</f>
        <v>1251.43</v>
      </c>
      <c r="C37" s="36">
        <f>IFERROR(B37/$B$49,0)</f>
        <v>3.3599765875871261E-2</v>
      </c>
    </row>
    <row r="38" spans="1:3" x14ac:dyDescent="0.25">
      <c r="A38" t="s">
        <v>2641</v>
      </c>
      <c r="B38" s="31">
        <f>SUMIFS('Raw Data'!$F$8:$F$2052,'Raw Data'!$I$8:$I$2052,$A38,'Raw Data'!$K$8:$K$2052,MONTH($A$29))</f>
        <v>1172</v>
      </c>
      <c r="C38" s="36">
        <f>IFERROR(B38/$B$49,0)</f>
        <v>3.1467142074683457E-2</v>
      </c>
    </row>
    <row r="39" spans="1:3" x14ac:dyDescent="0.25">
      <c r="A39" t="s">
        <v>2661</v>
      </c>
      <c r="B39" s="31">
        <f>SUMIFS('Raw Data'!$F$8:$F$2052,'Raw Data'!$I$8:$I$2052,$A39,'Raw Data'!$K$8:$K$2052,MONTH($A$29))</f>
        <v>1030</v>
      </c>
      <c r="C39" s="36">
        <f>IFERROR(B39/$B$49,0)</f>
        <v>2.7654570253348089E-2</v>
      </c>
    </row>
    <row r="40" spans="1:3" x14ac:dyDescent="0.25">
      <c r="A40" t="s">
        <v>2630</v>
      </c>
      <c r="B40" s="31">
        <f>SUMIFS('Raw Data'!$F$8:$F$2052,'Raw Data'!$I$8:$I$2052,$A40,'Raw Data'!$K$8:$K$2052,MONTH($A$29))</f>
        <v>793.1</v>
      </c>
      <c r="C40" s="36">
        <f>IFERROR(B40/$B$49,0)</f>
        <v>2.129401909507803E-2</v>
      </c>
    </row>
    <row r="41" spans="1:3" x14ac:dyDescent="0.25">
      <c r="A41" t="s">
        <v>2627</v>
      </c>
      <c r="B41" s="31">
        <f>SUMIFS('Raw Data'!$F$8:$F$2052,'Raw Data'!$I$8:$I$2052,$A41,'Raw Data'!$K$8:$K$2052,MONTH($A$29))</f>
        <v>435.74000000000012</v>
      </c>
      <c r="C41" s="36">
        <f>IFERROR(B41/$B$49,0)</f>
        <v>1.1699225672032913E-2</v>
      </c>
    </row>
    <row r="42" spans="1:3" x14ac:dyDescent="0.25">
      <c r="A42" t="s">
        <v>2645</v>
      </c>
      <c r="B42" s="31">
        <f>SUMIFS('Raw Data'!$F$8:$F$2052,'Raw Data'!$I$8:$I$2052,$A42,'Raw Data'!$K$8:$K$2052,MONTH($A$29))</f>
        <v>343.96</v>
      </c>
      <c r="C42" s="36">
        <f>IFERROR(B42/$B$49,0)</f>
        <v>9.2350155187782609E-3</v>
      </c>
    </row>
    <row r="43" spans="1:3" x14ac:dyDescent="0.25">
      <c r="A43" t="s">
        <v>2647</v>
      </c>
      <c r="B43" s="31">
        <f>SUMIFS('Raw Data'!$F$8:$F$2052,'Raw Data'!$I$8:$I$2052,$A43,'Raw Data'!$K$8:$K$2052,MONTH($A$29))</f>
        <v>236.72000000000023</v>
      </c>
      <c r="C43" s="36">
        <f>IFERROR(B43/$B$49,0)</f>
        <v>6.3557183207500643E-3</v>
      </c>
    </row>
    <row r="44" spans="1:3" x14ac:dyDescent="0.25">
      <c r="A44" t="s">
        <v>2636</v>
      </c>
      <c r="B44" s="31">
        <f>SUMIFS('Raw Data'!$F$8:$F$2052,'Raw Data'!$I$8:$I$2052,$A44,'Raw Data'!$K$8:$K$2052,MONTH($A$29))</f>
        <v>189.12</v>
      </c>
      <c r="C44" s="36">
        <f>IFERROR(B44/$B$49,0)</f>
        <v>5.0777012876827097E-3</v>
      </c>
    </row>
    <row r="45" spans="1:3" x14ac:dyDescent="0.25">
      <c r="A45" t="s">
        <v>2639</v>
      </c>
      <c r="B45" s="31">
        <f>SUMIFS('Raw Data'!$F$8:$F$2052,'Raw Data'!$I$8:$I$2052,$A45,'Raw Data'!$K$8:$K$2052,MONTH($A$29))</f>
        <v>176.63</v>
      </c>
      <c r="C45" s="36">
        <f>IFERROR(B45/$B$49,0)</f>
        <v>4.7423560619891973E-3</v>
      </c>
    </row>
    <row r="46" spans="1:3" x14ac:dyDescent="0.25">
      <c r="A46" t="s">
        <v>2635</v>
      </c>
      <c r="B46" s="31">
        <f>SUMIFS('Raw Data'!$F$8:$F$2052,'Raw Data'!$I$8:$I$2052,$A46,'Raw Data'!$K$8:$K$2052,MONTH($A$29))</f>
        <v>78.62</v>
      </c>
      <c r="C46" s="36">
        <f>IFERROR(B46/$B$49,0)</f>
        <v>2.1108760323477931E-3</v>
      </c>
    </row>
    <row r="47" spans="1:3" x14ac:dyDescent="0.25">
      <c r="A47" t="s">
        <v>2628</v>
      </c>
      <c r="B47" s="31">
        <f>SUMIFS('Raw Data'!$F$8:$F$2052,'Raw Data'!$I$8:$I$2052,$A47,'Raw Data'!$K$8:$K$2052,MONTH($A$29))</f>
        <v>60</v>
      </c>
      <c r="C47" s="36">
        <f>IFERROR(B47/$B$49,0)</f>
        <v>1.6109458400008596E-3</v>
      </c>
    </row>
    <row r="48" spans="1:3" x14ac:dyDescent="0.25">
      <c r="A48" t="s">
        <v>2629</v>
      </c>
      <c r="B48" s="31">
        <f>SUMIFS('Raw Data'!$F$8:$F$2052,'Raw Data'!$I$8:$I$2052,$A48,'Raw Data'!$K$8:$K$2052,MONTH($A$29))</f>
        <v>-48648.58</v>
      </c>
      <c r="C48" s="36">
        <f>IFERROR(B48/$B$49,0)</f>
        <v>-1.3061704595491503</v>
      </c>
    </row>
    <row r="49" spans="1:3" x14ac:dyDescent="0.25">
      <c r="A49" s="42" t="s">
        <v>2715</v>
      </c>
      <c r="B49" s="44">
        <f>SUMIFS('Raw Data'!$F$8:$F$2052,'Raw Data'!$K$8:$K$2052,MONTH($A$29),'Raw Data'!$F$8:$F$2052,"&gt;0")</f>
        <v>37245.19999999999</v>
      </c>
      <c r="C49" s="46"/>
    </row>
    <row r="50" spans="1:3" x14ac:dyDescent="0.25">
      <c r="A50" t="s">
        <v>2678</v>
      </c>
      <c r="B50" s="31">
        <f>SUMIFS('Raw Data'!$F$8:$F$2052,'Raw Data'!$K$8:$K$2052,MONTH($A$29),'Raw Data'!$F$8:$F$2052,"&lt;0")</f>
        <v>-58256.279999999984</v>
      </c>
      <c r="C50" s="36"/>
    </row>
    <row r="51" spans="1:3" x14ac:dyDescent="0.25">
      <c r="A51" s="10" t="s">
        <v>2704</v>
      </c>
      <c r="B51" s="32">
        <f>B49+B50</f>
        <v>-21011.079999999994</v>
      </c>
      <c r="C51" s="47"/>
    </row>
    <row r="52" spans="1:3" x14ac:dyDescent="0.25">
      <c r="B52" s="31"/>
      <c r="C52" s="36"/>
    </row>
    <row r="53" spans="1:3" x14ac:dyDescent="0.25">
      <c r="A53" s="41">
        <f>DATE(2025,3,1)</f>
        <v>45717</v>
      </c>
      <c r="B53" s="35"/>
      <c r="C53" s="39"/>
    </row>
    <row r="54" spans="1:3" x14ac:dyDescent="0.25">
      <c r="A54" s="24" t="s">
        <v>15</v>
      </c>
      <c r="B54" s="43" t="s">
        <v>12</v>
      </c>
      <c r="C54" s="45" t="s">
        <v>2714</v>
      </c>
    </row>
    <row r="55" spans="1:3" x14ac:dyDescent="0.25">
      <c r="A55" t="s">
        <v>2665</v>
      </c>
      <c r="B55" s="31">
        <f>SUMIFS('Raw Data'!$F$8:$F$2052,'Raw Data'!$I$8:$I$2052,$A55,'Raw Data'!$K$8:$K$2052,MONTH($A$53))</f>
        <v>8870.65</v>
      </c>
      <c r="C55" s="36">
        <f>IFERROR(B55/$B$74,0)</f>
        <v>0.21425391842185415</v>
      </c>
    </row>
    <row r="56" spans="1:3" x14ac:dyDescent="0.25">
      <c r="A56" t="s">
        <v>2632</v>
      </c>
      <c r="B56" s="31">
        <f>SUMIFS('Raw Data'!$F$8:$F$2052,'Raw Data'!$I$8:$I$2052,$A56,'Raw Data'!$K$8:$K$2052,MONTH($A$53))</f>
        <v>3405.7099999999996</v>
      </c>
      <c r="C56" s="36">
        <f>IFERROR(B56/$B$74,0)</f>
        <v>8.2258539397732172E-2</v>
      </c>
    </row>
    <row r="57" spans="1:3" x14ac:dyDescent="0.25">
      <c r="A57" t="s">
        <v>2652</v>
      </c>
      <c r="B57" s="31">
        <f>SUMIFS('Raw Data'!$F$8:$F$2052,'Raw Data'!$I$8:$I$2052,$A57,'Raw Data'!$K$8:$K$2052,MONTH($A$53))</f>
        <v>3330.28</v>
      </c>
      <c r="C57" s="36">
        <f>IFERROR(B57/$B$74,0)</f>
        <v>8.0436669177786579E-2</v>
      </c>
    </row>
    <row r="58" spans="1:3" x14ac:dyDescent="0.25">
      <c r="A58" t="s">
        <v>2633</v>
      </c>
      <c r="B58" s="31">
        <f>SUMIFS('Raw Data'!$F$8:$F$2052,'Raw Data'!$I$8:$I$2052,$A58,'Raw Data'!$K$8:$K$2052,MONTH($A$53))</f>
        <v>3066.17</v>
      </c>
      <c r="C58" s="36">
        <f>IFERROR(B58/$B$74,0)</f>
        <v>7.4057587329850308E-2</v>
      </c>
    </row>
    <row r="59" spans="1:3" x14ac:dyDescent="0.25">
      <c r="A59" t="s">
        <v>2645</v>
      </c>
      <c r="B59" s="31">
        <f>SUMIFS('Raw Data'!$F$8:$F$2052,'Raw Data'!$I$8:$I$2052,$A59,'Raw Data'!$K$8:$K$2052,MONTH($A$53))</f>
        <v>2628.67</v>
      </c>
      <c r="C59" s="36">
        <f>IFERROR(B59/$B$74,0)</f>
        <v>6.3490595135415717E-2</v>
      </c>
    </row>
    <row r="60" spans="1:3" x14ac:dyDescent="0.25">
      <c r="A60" t="s">
        <v>2664</v>
      </c>
      <c r="B60" s="31">
        <f>SUMIFS('Raw Data'!$F$8:$F$2052,'Raw Data'!$I$8:$I$2052,$A60,'Raw Data'!$K$8:$K$2052,MONTH($A$53))</f>
        <v>2461.4899999999998</v>
      </c>
      <c r="C60" s="36">
        <f>IFERROR(B60/$B$74,0)</f>
        <v>5.9452675695265821E-2</v>
      </c>
    </row>
    <row r="61" spans="1:3" x14ac:dyDescent="0.25">
      <c r="A61" t="s">
        <v>2638</v>
      </c>
      <c r="B61" s="31">
        <f>SUMIFS('Raw Data'!$F$8:$F$2052,'Raw Data'!$I$8:$I$2052,$A61,'Raw Data'!$K$8:$K$2052,MONTH($A$53))</f>
        <v>2260</v>
      </c>
      <c r="C61" s="36">
        <f>IFERROR(B61/$B$74,0)</f>
        <v>5.4586062535822114E-2</v>
      </c>
    </row>
    <row r="62" spans="1:3" x14ac:dyDescent="0.25">
      <c r="A62" t="s">
        <v>2662</v>
      </c>
      <c r="B62" s="31">
        <f>SUMIFS('Raw Data'!$F$8:$F$2052,'Raw Data'!$I$8:$I$2052,$A62,'Raw Data'!$K$8:$K$2052,MONTH($A$53))</f>
        <v>1898.17</v>
      </c>
      <c r="C62" s="36">
        <f>IFERROR(B62/$B$74,0)</f>
        <v>4.5846737311336927E-2</v>
      </c>
    </row>
    <row r="63" spans="1:3" x14ac:dyDescent="0.25">
      <c r="A63" t="s">
        <v>2661</v>
      </c>
      <c r="B63" s="31">
        <f>SUMIFS('Raw Data'!$F$8:$F$2052,'Raw Data'!$I$8:$I$2052,$A63,'Raw Data'!$K$8:$K$2052,MONTH($A$53))</f>
        <v>1545</v>
      </c>
      <c r="C63" s="36">
        <f>IFERROR(B63/$B$74,0)</f>
        <v>3.7316578149489008E-2</v>
      </c>
    </row>
    <row r="64" spans="1:3" x14ac:dyDescent="0.25">
      <c r="A64" t="s">
        <v>2635</v>
      </c>
      <c r="B64" s="31">
        <f>SUMIFS('Raw Data'!$F$8:$F$2052,'Raw Data'!$I$8:$I$2052,$A64,'Raw Data'!$K$8:$K$2052,MONTH($A$53))</f>
        <v>1330.3100000000002</v>
      </c>
      <c r="C64" s="36">
        <f>IFERROR(B64/$B$74,0)</f>
        <v>3.2131143739836068E-2</v>
      </c>
    </row>
    <row r="65" spans="1:3" x14ac:dyDescent="0.25">
      <c r="A65" t="s">
        <v>2627</v>
      </c>
      <c r="B65" s="31">
        <f>SUMIFS('Raw Data'!$F$8:$F$2052,'Raw Data'!$I$8:$I$2052,$A65,'Raw Data'!$K$8:$K$2052,MONTH($A$53))</f>
        <v>1004.8000000000002</v>
      </c>
      <c r="C65" s="36">
        <f>IFERROR(B65/$B$74,0)</f>
        <v>2.4269060015926578E-2</v>
      </c>
    </row>
    <row r="66" spans="1:3" x14ac:dyDescent="0.25">
      <c r="A66" t="s">
        <v>2636</v>
      </c>
      <c r="B66" s="31">
        <f>SUMIFS('Raw Data'!$F$8:$F$2052,'Raw Data'!$I$8:$I$2052,$A66,'Raw Data'!$K$8:$K$2052,MONTH($A$53))</f>
        <v>917.82</v>
      </c>
      <c r="C66" s="36">
        <f>IFERROR(B66/$B$74,0)</f>
        <v>2.2168221202047898E-2</v>
      </c>
    </row>
    <row r="67" spans="1:3" x14ac:dyDescent="0.25">
      <c r="A67" t="s">
        <v>2630</v>
      </c>
      <c r="B67" s="31">
        <f>SUMIFS('Raw Data'!$F$8:$F$2052,'Raw Data'!$I$8:$I$2052,$A67,'Raw Data'!$K$8:$K$2052,MONTH($A$53))</f>
        <v>855.08</v>
      </c>
      <c r="C67" s="36">
        <f>IFERROR(B67/$B$74,0)</f>
        <v>2.0652854138553438E-2</v>
      </c>
    </row>
    <row r="68" spans="1:3" x14ac:dyDescent="0.25">
      <c r="A68" t="s">
        <v>2650</v>
      </c>
      <c r="B68" s="31">
        <f>SUMIFS('Raw Data'!$F$8:$F$2052,'Raw Data'!$I$8:$I$2052,$A68,'Raw Data'!$K$8:$K$2052,MONTH($A$53))</f>
        <v>518.5</v>
      </c>
      <c r="C68" s="36">
        <f>IFERROR(B68/$B$74,0)</f>
        <v>1.2523395320718479E-2</v>
      </c>
    </row>
    <row r="69" spans="1:3" x14ac:dyDescent="0.25">
      <c r="A69" t="s">
        <v>2639</v>
      </c>
      <c r="B69" s="31">
        <f>SUMIFS('Raw Data'!$F$8:$F$2052,'Raw Data'!$I$8:$I$2052,$A69,'Raw Data'!$K$8:$K$2052,MONTH($A$53))</f>
        <v>458.77</v>
      </c>
      <c r="C69" s="36">
        <f>IFERROR(B69/$B$74,0)</f>
        <v>1.108072916352173E-2</v>
      </c>
    </row>
    <row r="70" spans="1:3" x14ac:dyDescent="0.25">
      <c r="A70" t="s">
        <v>2647</v>
      </c>
      <c r="B70" s="31">
        <f>SUMIFS('Raw Data'!$F$8:$F$2052,'Raw Data'!$I$8:$I$2052,$A70,'Raw Data'!$K$8:$K$2052,MONTH($A$53))</f>
        <v>190.21</v>
      </c>
      <c r="C70" s="36">
        <f>IFERROR(B70/$B$74,0)</f>
        <v>4.5941659092649219E-3</v>
      </c>
    </row>
    <row r="71" spans="1:3" x14ac:dyDescent="0.25">
      <c r="A71" t="s">
        <v>2628</v>
      </c>
      <c r="B71" s="31">
        <f>SUMIFS('Raw Data'!$F$8:$F$2052,'Raw Data'!$I$8:$I$2052,$A71,'Raw Data'!$K$8:$K$2052,MONTH($A$53))</f>
        <v>60</v>
      </c>
      <c r="C71" s="36">
        <f>IFERROR(B71/$B$74,0)</f>
        <v>1.4491875009510296E-3</v>
      </c>
    </row>
    <row r="72" spans="1:3" x14ac:dyDescent="0.25">
      <c r="A72" t="s">
        <v>2634</v>
      </c>
      <c r="B72" s="31">
        <f>SUMIFS('Raw Data'!$F$8:$F$2052,'Raw Data'!$I$8:$I$2052,$A72,'Raw Data'!$K$8:$K$2052,MONTH($A$53))</f>
        <v>34.1</v>
      </c>
      <c r="C72" s="36">
        <f>IFERROR(B72/$B$74,0)</f>
        <v>8.2362156304050178E-4</v>
      </c>
    </row>
    <row r="73" spans="1:3" x14ac:dyDescent="0.25">
      <c r="A73" t="s">
        <v>2629</v>
      </c>
      <c r="B73" s="31">
        <f>SUMIFS('Raw Data'!$F$8:$F$2052,'Raw Data'!$I$8:$I$2052,$A73,'Raw Data'!$K$8:$K$2052,MONTH($A$53))</f>
        <v>-12000</v>
      </c>
      <c r="C73" s="36">
        <f>IFERROR(B73/$B$74,0)</f>
        <v>-0.28983750019020588</v>
      </c>
    </row>
    <row r="74" spans="1:3" x14ac:dyDescent="0.25">
      <c r="A74" s="42" t="s">
        <v>2715</v>
      </c>
      <c r="B74" s="44">
        <f>SUMIFS('Raw Data'!$F$8:$F$2052,'Raw Data'!$K$8:$K$2052,MONTH($A$53),'Raw Data'!$F$8:$F$2052,"&gt;0")</f>
        <v>41402.509999999995</v>
      </c>
      <c r="C74" s="46"/>
    </row>
    <row r="75" spans="1:3" x14ac:dyDescent="0.25">
      <c r="A75" t="s">
        <v>2678</v>
      </c>
      <c r="B75" s="31">
        <f>SUMIFS('Raw Data'!$F$8:$F$2052,'Raw Data'!$K$8:$K$2052,MONTH($A$53),'Raw Data'!$F$8:$F$2052,"&lt;0")</f>
        <v>-18566.780000000002</v>
      </c>
      <c r="C75" s="36"/>
    </row>
    <row r="76" spans="1:3" x14ac:dyDescent="0.25">
      <c r="A76" s="10" t="s">
        <v>2704</v>
      </c>
      <c r="B76" s="32">
        <f>B74+B75</f>
        <v>22835.729999999992</v>
      </c>
      <c r="C76" s="47"/>
    </row>
    <row r="77" spans="1:3" x14ac:dyDescent="0.25">
      <c r="B77" s="31"/>
      <c r="C77" s="36"/>
    </row>
    <row r="78" spans="1:3" x14ac:dyDescent="0.25">
      <c r="A78" s="41">
        <f>DATE(2025,4,1)</f>
        <v>45748</v>
      </c>
      <c r="B78" s="35"/>
      <c r="C78" s="39"/>
    </row>
    <row r="79" spans="1:3" x14ac:dyDescent="0.25">
      <c r="A79" s="24" t="s">
        <v>15</v>
      </c>
      <c r="B79" s="43" t="s">
        <v>12</v>
      </c>
      <c r="C79" s="45" t="s">
        <v>2714</v>
      </c>
    </row>
    <row r="80" spans="1:3" x14ac:dyDescent="0.25">
      <c r="A80" t="s">
        <v>2627</v>
      </c>
      <c r="B80" s="31">
        <f>SUMIFS('Raw Data'!$F$8:$F$2052,'Raw Data'!$I$8:$I$2052,$A80,'Raw Data'!$K$8:$K$2052,MONTH($A$78))</f>
        <v>2574.58</v>
      </c>
      <c r="C80" s="36">
        <f>IFERROR(B80/$B$92,0)</f>
        <v>0.14902009813199607</v>
      </c>
    </row>
    <row r="81" spans="1:3" x14ac:dyDescent="0.25">
      <c r="A81" t="s">
        <v>2638</v>
      </c>
      <c r="B81" s="31">
        <f>SUMIFS('Raw Data'!$F$8:$F$2052,'Raw Data'!$I$8:$I$2052,$A81,'Raw Data'!$K$8:$K$2052,MONTH($A$78))</f>
        <v>2260</v>
      </c>
      <c r="C81" s="36">
        <f>IFERROR(B81/$B$92,0)</f>
        <v>0.13081179135171994</v>
      </c>
    </row>
    <row r="82" spans="1:3" x14ac:dyDescent="0.25">
      <c r="A82" t="s">
        <v>2634</v>
      </c>
      <c r="B82" s="31">
        <f>SUMIFS('Raw Data'!$F$8:$F$2052,'Raw Data'!$I$8:$I$2052,$A82,'Raw Data'!$K$8:$K$2052,MONTH($A$78))</f>
        <v>1520.2199999999998</v>
      </c>
      <c r="C82" s="36">
        <f>IFERROR(B82/$B$92,0)</f>
        <v>8.7992345773766231E-2</v>
      </c>
    </row>
    <row r="83" spans="1:3" x14ac:dyDescent="0.25">
      <c r="A83" t="s">
        <v>2630</v>
      </c>
      <c r="B83" s="31">
        <f>SUMIFS('Raw Data'!$F$8:$F$2052,'Raw Data'!$I$8:$I$2052,$A83,'Raw Data'!$K$8:$K$2052,MONTH($A$78))</f>
        <v>793.1</v>
      </c>
      <c r="C83" s="36">
        <f>IFERROR(B83/$B$92,0)</f>
        <v>4.5905677752676587E-2</v>
      </c>
    </row>
    <row r="84" spans="1:3" x14ac:dyDescent="0.25">
      <c r="A84" t="s">
        <v>2635</v>
      </c>
      <c r="B84" s="31">
        <f>SUMIFS('Raw Data'!$F$8:$F$2052,'Raw Data'!$I$8:$I$2052,$A84,'Raw Data'!$K$8:$K$2052,MONTH($A$78))</f>
        <v>737.7</v>
      </c>
      <c r="C84" s="36">
        <f>IFERROR(B84/$B$92,0)</f>
        <v>4.2699052424851246E-2</v>
      </c>
    </row>
    <row r="85" spans="1:3" x14ac:dyDescent="0.25">
      <c r="A85" t="s">
        <v>2664</v>
      </c>
      <c r="B85" s="31">
        <f>SUMIFS('Raw Data'!$F$8:$F$2052,'Raw Data'!$I$8:$I$2052,$A85,'Raw Data'!$K$8:$K$2052,MONTH($A$78))</f>
        <v>679.68000000000006</v>
      </c>
      <c r="C85" s="36">
        <f>IFERROR(B85/$B$92,0)</f>
        <v>3.9340778029175676E-2</v>
      </c>
    </row>
    <row r="86" spans="1:3" x14ac:dyDescent="0.25">
      <c r="A86" t="s">
        <v>2632</v>
      </c>
      <c r="B86" s="31">
        <f>SUMIFS('Raw Data'!$F$8:$F$2052,'Raw Data'!$I$8:$I$2052,$A86,'Raw Data'!$K$8:$K$2052,MONTH($A$78))</f>
        <v>436.51</v>
      </c>
      <c r="C86" s="36">
        <f>IFERROR(B86/$B$92,0)</f>
        <v>2.5265776567672243E-2</v>
      </c>
    </row>
    <row r="87" spans="1:3" x14ac:dyDescent="0.25">
      <c r="A87" t="s">
        <v>2641</v>
      </c>
      <c r="B87" s="31">
        <f>SUMIFS('Raw Data'!$F$8:$F$2052,'Raw Data'!$I$8:$I$2052,$A87,'Raw Data'!$K$8:$K$2052,MONTH($A$78))</f>
        <v>298</v>
      </c>
      <c r="C87" s="36">
        <f>IFERROR(B87/$B$92,0)</f>
        <v>1.7248634434872807E-2</v>
      </c>
    </row>
    <row r="88" spans="1:3" x14ac:dyDescent="0.25">
      <c r="A88" t="s">
        <v>2647</v>
      </c>
      <c r="B88" s="31">
        <f>SUMIFS('Raw Data'!$F$8:$F$2052,'Raw Data'!$I$8:$I$2052,$A88,'Raw Data'!$K$8:$K$2052,MONTH($A$78))</f>
        <v>257.58999999999997</v>
      </c>
      <c r="C88" s="36">
        <f>IFERROR(B88/$B$92,0)</f>
        <v>1.4909650147915725E-2</v>
      </c>
    </row>
    <row r="89" spans="1:3" x14ac:dyDescent="0.25">
      <c r="A89" t="s">
        <v>2628</v>
      </c>
      <c r="B89" s="31">
        <f>SUMIFS('Raw Data'!$F$8:$F$2052,'Raw Data'!$I$8:$I$2052,$A89,'Raw Data'!$K$8:$K$2052,MONTH($A$78))</f>
        <v>60</v>
      </c>
      <c r="C89" s="36">
        <f>IFERROR(B89/$B$92,0)</f>
        <v>3.4728794164173436E-3</v>
      </c>
    </row>
    <row r="90" spans="1:3" x14ac:dyDescent="0.25">
      <c r="A90" t="s">
        <v>2640</v>
      </c>
      <c r="B90" s="31">
        <f>SUMIFS('Raw Data'!$F$8:$F$2052,'Raw Data'!$I$8:$I$2052,$A90,'Raw Data'!$K$8:$K$2052,MONTH($A$78))</f>
        <v>59.5</v>
      </c>
      <c r="C90" s="36">
        <f>IFERROR(B90/$B$92,0)</f>
        <v>3.4439387546138659E-3</v>
      </c>
    </row>
    <row r="91" spans="1:3" x14ac:dyDescent="0.25">
      <c r="A91" t="s">
        <v>2629</v>
      </c>
      <c r="B91" s="31">
        <f>SUMIFS('Raw Data'!$F$8:$F$2052,'Raw Data'!$I$8:$I$2052,$A91,'Raw Data'!$K$8:$K$2052,MONTH($A$78))</f>
        <v>-40000</v>
      </c>
      <c r="C91" s="36">
        <f>IFERROR(B91/$B$92,0)</f>
        <v>-2.315252944278229</v>
      </c>
    </row>
    <row r="92" spans="1:3" x14ac:dyDescent="0.25">
      <c r="A92" s="42" t="s">
        <v>2715</v>
      </c>
      <c r="B92" s="44">
        <f>SUMIFS('Raw Data'!$F$8:$F$2052,'Raw Data'!$K$8:$K$2052,MONTH($A$78),'Raw Data'!$F$8:$F$2052,"&gt;0")</f>
        <v>17276.729999999996</v>
      </c>
      <c r="C92" s="46"/>
    </row>
    <row r="93" spans="1:3" x14ac:dyDescent="0.25">
      <c r="A93" t="s">
        <v>2678</v>
      </c>
      <c r="B93" s="31">
        <f>SUMIFS('Raw Data'!$F$8:$F$2052,'Raw Data'!$K$8:$K$2052,MONTH($A$78),'Raw Data'!$F$8:$F$2052,"&lt;0")</f>
        <v>-47599.85</v>
      </c>
      <c r="C93" s="36"/>
    </row>
    <row r="94" spans="1:3" x14ac:dyDescent="0.25">
      <c r="A94" s="10" t="s">
        <v>2704</v>
      </c>
      <c r="B94" s="32">
        <f>B92+B93</f>
        <v>-30323.120000000003</v>
      </c>
      <c r="C94" s="47"/>
    </row>
    <row r="95" spans="1:3" x14ac:dyDescent="0.25">
      <c r="B95" s="31"/>
      <c r="C95" s="36"/>
    </row>
    <row r="96" spans="1:3" x14ac:dyDescent="0.25">
      <c r="A96" s="41">
        <f>DATE(2025,5,1)</f>
        <v>45778</v>
      </c>
      <c r="B96" s="35"/>
      <c r="C96" s="39"/>
    </row>
    <row r="97" spans="1:3" x14ac:dyDescent="0.25">
      <c r="A97" s="24" t="s">
        <v>15</v>
      </c>
      <c r="B97" s="43" t="s">
        <v>12</v>
      </c>
      <c r="C97" s="45" t="s">
        <v>2714</v>
      </c>
    </row>
    <row r="98" spans="1:3" x14ac:dyDescent="0.25">
      <c r="A98" t="s">
        <v>2660</v>
      </c>
      <c r="B98" s="31">
        <f>SUMIFS('Raw Data'!$F$8:$F$2052,'Raw Data'!$I$8:$I$2052,$A98,'Raw Data'!$K$8:$K$2052,MONTH($A$96))</f>
        <v>6941.32</v>
      </c>
      <c r="C98" s="36">
        <f>IFERROR(B98/$B$118,0)</f>
        <v>0.16711350193660723</v>
      </c>
    </row>
    <row r="99" spans="1:3" x14ac:dyDescent="0.25">
      <c r="A99" t="s">
        <v>2663</v>
      </c>
      <c r="B99" s="31">
        <f>SUMIFS('Raw Data'!$F$8:$F$2052,'Raw Data'!$I$8:$I$2052,$A99,'Raw Data'!$K$8:$K$2052,MONTH($A$96))</f>
        <v>4056.1</v>
      </c>
      <c r="C99" s="36">
        <f>IFERROR(B99/$B$118,0)</f>
        <v>9.7651322112375261E-2</v>
      </c>
    </row>
    <row r="100" spans="1:3" x14ac:dyDescent="0.25">
      <c r="A100" t="s">
        <v>2645</v>
      </c>
      <c r="B100" s="31">
        <f>SUMIFS('Raw Data'!$F$8:$F$2052,'Raw Data'!$I$8:$I$2052,$A100,'Raw Data'!$K$8:$K$2052,MONTH($A$96))</f>
        <v>3633.06</v>
      </c>
      <c r="C100" s="36">
        <f>IFERROR(B100/$B$118,0)</f>
        <v>8.7466559580283043E-2</v>
      </c>
    </row>
    <row r="101" spans="1:3" x14ac:dyDescent="0.25">
      <c r="A101" t="s">
        <v>2633</v>
      </c>
      <c r="B101" s="31">
        <f>SUMIFS('Raw Data'!$F$8:$F$2052,'Raw Data'!$I$8:$I$2052,$A101,'Raw Data'!$K$8:$K$2052,MONTH($A$96))</f>
        <v>3382.8400000000006</v>
      </c>
      <c r="C101" s="36">
        <f>IFERROR(B101/$B$118,0)</f>
        <v>8.1442468995988157E-2</v>
      </c>
    </row>
    <row r="102" spans="1:3" x14ac:dyDescent="0.25">
      <c r="A102" t="s">
        <v>2638</v>
      </c>
      <c r="B102" s="31">
        <f>SUMIFS('Raw Data'!$F$8:$F$2052,'Raw Data'!$I$8:$I$2052,$A102,'Raw Data'!$K$8:$K$2052,MONTH($A$96))</f>
        <v>2260</v>
      </c>
      <c r="C102" s="36">
        <f>IFERROR(B102/$B$118,0)</f>
        <v>5.4409898171634843E-2</v>
      </c>
    </row>
    <row r="103" spans="1:3" x14ac:dyDescent="0.25">
      <c r="A103" t="s">
        <v>2661</v>
      </c>
      <c r="B103" s="31">
        <f>SUMIFS('Raw Data'!$F$8:$F$2052,'Raw Data'!$I$8:$I$2052,$A103,'Raw Data'!$K$8:$K$2052,MONTH($A$96))</f>
        <v>1802.5</v>
      </c>
      <c r="C103" s="36">
        <f>IFERROR(B103/$B$118,0)</f>
        <v>4.3395505068306105E-2</v>
      </c>
    </row>
    <row r="104" spans="1:3" x14ac:dyDescent="0.25">
      <c r="A104" t="s">
        <v>2647</v>
      </c>
      <c r="B104" s="31">
        <f>SUMIFS('Raw Data'!$F$8:$F$2052,'Raw Data'!$I$8:$I$2052,$A104,'Raw Data'!$K$8:$K$2052,MONTH($A$96))</f>
        <v>1085.9099999999999</v>
      </c>
      <c r="C104" s="36">
        <f>IFERROR(B104/$B$118,0)</f>
        <v>2.6143474567946894E-2</v>
      </c>
    </row>
    <row r="105" spans="1:3" x14ac:dyDescent="0.25">
      <c r="A105" t="s">
        <v>2650</v>
      </c>
      <c r="B105" s="31">
        <f>SUMIFS('Raw Data'!$F$8:$F$2052,'Raw Data'!$I$8:$I$2052,$A105,'Raw Data'!$K$8:$K$2052,MONTH($A$96))</f>
        <v>1049.3399999999999</v>
      </c>
      <c r="C105" s="36">
        <f>IFERROR(B105/$B$118,0)</f>
        <v>2.5263045374966063E-2</v>
      </c>
    </row>
    <row r="106" spans="1:3" x14ac:dyDescent="0.25">
      <c r="A106" t="s">
        <v>2662</v>
      </c>
      <c r="B106" s="31">
        <f>SUMIFS('Raw Data'!$F$8:$F$2052,'Raw Data'!$I$8:$I$2052,$A106,'Raw Data'!$K$8:$K$2052,MONTH($A$96))</f>
        <v>793.67</v>
      </c>
      <c r="C106" s="36">
        <f>IFERROR(B106/$B$118,0)</f>
        <v>1.9107745080478505E-2</v>
      </c>
    </row>
    <row r="107" spans="1:3" x14ac:dyDescent="0.25">
      <c r="A107" t="s">
        <v>2630</v>
      </c>
      <c r="B107" s="31">
        <f>SUMIFS('Raw Data'!$F$8:$F$2052,'Raw Data'!$I$8:$I$2052,$A107,'Raw Data'!$K$8:$K$2052,MONTH($A$96))</f>
        <v>793.1</v>
      </c>
      <c r="C107" s="36">
        <f>IFERROR(B107/$B$118,0)</f>
        <v>1.9094022230054689E-2</v>
      </c>
    </row>
    <row r="108" spans="1:3" x14ac:dyDescent="0.25">
      <c r="A108" t="s">
        <v>2627</v>
      </c>
      <c r="B108" s="31">
        <f>SUMIFS('Raw Data'!$F$8:$F$2052,'Raw Data'!$I$8:$I$2052,$A108,'Raw Data'!$K$8:$K$2052,MONTH($A$96))</f>
        <v>688.20000000000027</v>
      </c>
      <c r="C108" s="36">
        <f>IFERROR(B108/$B$118,0)</f>
        <v>1.6568536248548281E-2</v>
      </c>
    </row>
    <row r="109" spans="1:3" x14ac:dyDescent="0.25">
      <c r="A109" t="s">
        <v>2632</v>
      </c>
      <c r="B109" s="31">
        <f>SUMIFS('Raw Data'!$F$8:$F$2052,'Raw Data'!$I$8:$I$2052,$A109,'Raw Data'!$K$8:$K$2052,MONTH($A$96))</f>
        <v>623.26</v>
      </c>
      <c r="C109" s="36">
        <f>IFERROR(B109/$B$118,0)</f>
        <v>1.5005094307280146E-2</v>
      </c>
    </row>
    <row r="110" spans="1:3" x14ac:dyDescent="0.25">
      <c r="A110" t="s">
        <v>2659</v>
      </c>
      <c r="B110" s="31">
        <f>SUMIFS('Raw Data'!$F$8:$F$2052,'Raw Data'!$I$8:$I$2052,$A110,'Raw Data'!$K$8:$K$2052,MONTH($A$96))</f>
        <v>601.15</v>
      </c>
      <c r="C110" s="36">
        <f>IFERROR(B110/$B$118,0)</f>
        <v>1.4472792161893046E-2</v>
      </c>
    </row>
    <row r="111" spans="1:3" x14ac:dyDescent="0.25">
      <c r="A111" t="s">
        <v>2639</v>
      </c>
      <c r="B111" s="31">
        <f>SUMIFS('Raw Data'!$F$8:$F$2052,'Raw Data'!$I$8:$I$2052,$A111,'Raw Data'!$K$8:$K$2052,MONTH($A$96))</f>
        <v>537.30999999999995</v>
      </c>
      <c r="C111" s="36">
        <f>IFERROR(B111/$B$118,0)</f>
        <v>1.2935832914425271E-2</v>
      </c>
    </row>
    <row r="112" spans="1:3" x14ac:dyDescent="0.25">
      <c r="A112" t="s">
        <v>2635</v>
      </c>
      <c r="B112" s="31">
        <f>SUMIFS('Raw Data'!$F$8:$F$2052,'Raw Data'!$I$8:$I$2052,$A112,'Raw Data'!$K$8:$K$2052,MONTH($A$96))</f>
        <v>445.53</v>
      </c>
      <c r="C112" s="36">
        <f>IFERROR(B112/$B$118,0)</f>
        <v>1.0726213244428526E-2</v>
      </c>
    </row>
    <row r="113" spans="1:3" x14ac:dyDescent="0.25">
      <c r="A113" t="s">
        <v>2636</v>
      </c>
      <c r="B113" s="31">
        <f>SUMIFS('Raw Data'!$F$8:$F$2052,'Raw Data'!$I$8:$I$2052,$A113,'Raw Data'!$K$8:$K$2052,MONTH($A$96))</f>
        <v>412.90999999999997</v>
      </c>
      <c r="C113" s="36">
        <f>IFERROR(B113/$B$118,0)</f>
        <v>9.9408809973671412E-3</v>
      </c>
    </row>
    <row r="114" spans="1:3" x14ac:dyDescent="0.25">
      <c r="A114" t="s">
        <v>2626</v>
      </c>
      <c r="B114" s="31">
        <f>SUMIFS('Raw Data'!$F$8:$F$2052,'Raw Data'!$I$8:$I$2052,$A114,'Raw Data'!$K$8:$K$2052,MONTH($A$96))</f>
        <v>169.95</v>
      </c>
      <c r="C114" s="36">
        <f>IFERROR(B114/$B$118,0)</f>
        <v>4.0915761921545757E-3</v>
      </c>
    </row>
    <row r="115" spans="1:3" x14ac:dyDescent="0.25">
      <c r="A115" t="s">
        <v>2634</v>
      </c>
      <c r="B115" s="31">
        <f>SUMIFS('Raw Data'!$F$8:$F$2052,'Raw Data'!$I$8:$I$2052,$A115,'Raw Data'!$K$8:$K$2052,MONTH($A$96))</f>
        <v>156.28</v>
      </c>
      <c r="C115" s="36">
        <f>IFERROR(B115/$B$118,0)</f>
        <v>3.7624685337447313E-3</v>
      </c>
    </row>
    <row r="116" spans="1:3" x14ac:dyDescent="0.25">
      <c r="A116" t="s">
        <v>2628</v>
      </c>
      <c r="B116" s="31">
        <f>SUMIFS('Raw Data'!$F$8:$F$2052,'Raw Data'!$I$8:$I$2052,$A116,'Raw Data'!$K$8:$K$2052,MONTH($A$96))</f>
        <v>109</v>
      </c>
      <c r="C116" s="36">
        <f>IFERROR(B116/$B$118,0)</f>
        <v>2.624194203853185E-3</v>
      </c>
    </row>
    <row r="117" spans="1:3" x14ac:dyDescent="0.25">
      <c r="A117" t="s">
        <v>2629</v>
      </c>
      <c r="B117" s="31">
        <f>SUMIFS('Raw Data'!$F$8:$F$2052,'Raw Data'!$I$8:$I$2052,$A117,'Raw Data'!$K$8:$K$2052,MONTH($A$96))</f>
        <v>-21109.5</v>
      </c>
      <c r="C117" s="36">
        <f>IFERROR(B117/$B$118,0)</f>
        <v>-0.50821493161686981</v>
      </c>
    </row>
    <row r="118" spans="1:3" x14ac:dyDescent="0.25">
      <c r="A118" s="42" t="s">
        <v>2715</v>
      </c>
      <c r="B118" s="44">
        <f>SUMIFS('Raw Data'!$F$8:$F$2052,'Raw Data'!$K$8:$K$2052,MONTH($A$96),'Raw Data'!$F$8:$F$2052,"&gt;0")</f>
        <v>41536.559999999983</v>
      </c>
      <c r="C118" s="46"/>
    </row>
    <row r="119" spans="1:3" x14ac:dyDescent="0.25">
      <c r="A119" t="s">
        <v>2678</v>
      </c>
      <c r="B119" s="31">
        <f>SUMIFS('Raw Data'!$F$8:$F$2052,'Raw Data'!$K$8:$K$2052,MONTH($A$96),'Raw Data'!$F$8:$F$2052,"&lt;0")</f>
        <v>-33104.629999999983</v>
      </c>
      <c r="C119" s="36"/>
    </row>
    <row r="120" spans="1:3" x14ac:dyDescent="0.25">
      <c r="A120" s="10" t="s">
        <v>2704</v>
      </c>
      <c r="B120" s="32">
        <f>B118+B119</f>
        <v>8431.93</v>
      </c>
      <c r="C120" s="47"/>
    </row>
    <row r="121" spans="1:3" x14ac:dyDescent="0.25">
      <c r="B121" s="31"/>
      <c r="C121" s="36"/>
    </row>
    <row r="122" spans="1:3" x14ac:dyDescent="0.25">
      <c r="A122" s="41">
        <f>DATE(2025,6,1)</f>
        <v>45809</v>
      </c>
      <c r="B122" s="35"/>
      <c r="C122" s="39"/>
    </row>
    <row r="123" spans="1:3" x14ac:dyDescent="0.25">
      <c r="A123" s="24" t="s">
        <v>15</v>
      </c>
      <c r="B123" s="43" t="s">
        <v>12</v>
      </c>
      <c r="C123" s="45" t="s">
        <v>2714</v>
      </c>
    </row>
    <row r="124" spans="1:3" x14ac:dyDescent="0.25">
      <c r="A124" t="s">
        <v>2640</v>
      </c>
      <c r="B124" s="31">
        <f>SUMIFS('Raw Data'!$F$8:$F$2052,'Raw Data'!$I$8:$I$2052,$A124,'Raw Data'!$K$8:$K$2052,MONTH($A$122))</f>
        <v>3513.41</v>
      </c>
      <c r="C124" s="36">
        <f>IFERROR(B124/$B$146,0)</f>
        <v>0.111923440939958</v>
      </c>
    </row>
    <row r="125" spans="1:3" x14ac:dyDescent="0.25">
      <c r="A125" t="s">
        <v>2658</v>
      </c>
      <c r="B125" s="31">
        <f>SUMIFS('Raw Data'!$F$8:$F$2052,'Raw Data'!$I$8:$I$2052,$A125,'Raw Data'!$K$8:$K$2052,MONTH($A$122))</f>
        <v>3281.9700000000003</v>
      </c>
      <c r="C125" s="36">
        <f>IFERROR(B125/$B$146,0)</f>
        <v>0.10455067170120025</v>
      </c>
    </row>
    <row r="126" spans="1:3" x14ac:dyDescent="0.25">
      <c r="A126" t="s">
        <v>2656</v>
      </c>
      <c r="B126" s="31">
        <f>SUMIFS('Raw Data'!$F$8:$F$2052,'Raw Data'!$I$8:$I$2052,$A126,'Raw Data'!$K$8:$K$2052,MONTH($A$122))</f>
        <v>1910.44</v>
      </c>
      <c r="C126" s="36">
        <f>IFERROR(B126/$B$146,0)</f>
        <v>6.0859113655774122E-2</v>
      </c>
    </row>
    <row r="127" spans="1:3" x14ac:dyDescent="0.25">
      <c r="A127" t="s">
        <v>2650</v>
      </c>
      <c r="B127" s="31">
        <f>SUMIFS('Raw Data'!$F$8:$F$2052,'Raw Data'!$I$8:$I$2052,$A127,'Raw Data'!$K$8:$K$2052,MONTH($A$122))</f>
        <v>1883.18</v>
      </c>
      <c r="C127" s="36">
        <f>IFERROR(B127/$B$146,0)</f>
        <v>5.999071714070095E-2</v>
      </c>
    </row>
    <row r="128" spans="1:3" x14ac:dyDescent="0.25">
      <c r="A128" t="s">
        <v>2649</v>
      </c>
      <c r="B128" s="31">
        <f>SUMIFS('Raw Data'!$F$8:$F$2052,'Raw Data'!$I$8:$I$2052,$A128,'Raw Data'!$K$8:$K$2052,MONTH($A$122))</f>
        <v>1700</v>
      </c>
      <c r="C128" s="36">
        <f>IFERROR(B128/$B$146,0)</f>
        <v>5.4155321923125568E-2</v>
      </c>
    </row>
    <row r="129" spans="1:3" x14ac:dyDescent="0.25">
      <c r="A129" t="s">
        <v>2647</v>
      </c>
      <c r="B129" s="31">
        <f>SUMIFS('Raw Data'!$F$8:$F$2052,'Raw Data'!$I$8:$I$2052,$A129,'Raw Data'!$K$8:$K$2052,MONTH($A$122))</f>
        <v>1342.89</v>
      </c>
      <c r="C129" s="36">
        <f>IFERROR(B129/$B$146,0)</f>
        <v>4.2779200151380058E-2</v>
      </c>
    </row>
    <row r="130" spans="1:3" x14ac:dyDescent="0.25">
      <c r="A130" t="s">
        <v>2645</v>
      </c>
      <c r="B130" s="31">
        <f>SUMIFS('Raw Data'!$F$8:$F$2052,'Raw Data'!$I$8:$I$2052,$A130,'Raw Data'!$K$8:$K$2052,MONTH($A$122))</f>
        <v>1256.17</v>
      </c>
      <c r="C130" s="36">
        <f>IFERROR(B130/$B$146,0)</f>
        <v>4.0016641611866265E-2</v>
      </c>
    </row>
    <row r="131" spans="1:3" x14ac:dyDescent="0.25">
      <c r="A131" t="s">
        <v>2641</v>
      </c>
      <c r="B131" s="31">
        <f>SUMIFS('Raw Data'!$F$8:$F$2052,'Raw Data'!$I$8:$I$2052,$A131,'Raw Data'!$K$8:$K$2052,MONTH($A$122))</f>
        <v>1159</v>
      </c>
      <c r="C131" s="36">
        <f>IFERROR(B131/$B$146,0)</f>
        <v>3.6921187122883843E-2</v>
      </c>
    </row>
    <row r="132" spans="1:3" x14ac:dyDescent="0.25">
      <c r="A132" t="s">
        <v>2633</v>
      </c>
      <c r="B132" s="31">
        <f>SUMIFS('Raw Data'!$F$8:$F$2052,'Raw Data'!$I$8:$I$2052,$A132,'Raw Data'!$K$8:$K$2052,MONTH($A$122))</f>
        <v>960.63000000000011</v>
      </c>
      <c r="C132" s="36">
        <f>IFERROR(B132/$B$146,0)</f>
        <v>3.0601898175889482E-2</v>
      </c>
    </row>
    <row r="133" spans="1:3" x14ac:dyDescent="0.25">
      <c r="A133" t="s">
        <v>2630</v>
      </c>
      <c r="B133" s="31">
        <f>SUMIFS('Raw Data'!$F$8:$F$2052,'Raw Data'!$I$8:$I$2052,$A133,'Raw Data'!$K$8:$K$2052,MONTH($A$122))</f>
        <v>793.1</v>
      </c>
      <c r="C133" s="36">
        <f>IFERROR(B133/$B$146,0)</f>
        <v>2.5265050480724052E-2</v>
      </c>
    </row>
    <row r="134" spans="1:3" x14ac:dyDescent="0.25">
      <c r="A134" t="s">
        <v>2632</v>
      </c>
      <c r="B134" s="31">
        <f>SUMIFS('Raw Data'!$F$8:$F$2052,'Raw Data'!$I$8:$I$2052,$A134,'Raw Data'!$K$8:$K$2052,MONTH($A$122))</f>
        <v>772.95</v>
      </c>
      <c r="C134" s="36">
        <f>IFERROR(B134/$B$146,0)</f>
        <v>2.4623150635576418E-2</v>
      </c>
    </row>
    <row r="135" spans="1:3" x14ac:dyDescent="0.25">
      <c r="A135" t="s">
        <v>2657</v>
      </c>
      <c r="B135" s="31">
        <f>SUMIFS('Raw Data'!$F$8:$F$2052,'Raw Data'!$I$8:$I$2052,$A135,'Raw Data'!$K$8:$K$2052,MONTH($A$122))</f>
        <v>549</v>
      </c>
      <c r="C135" s="36">
        <f>IFERROR(B135/$B$146,0)</f>
        <v>1.748898337399761E-2</v>
      </c>
    </row>
    <row r="136" spans="1:3" x14ac:dyDescent="0.25">
      <c r="A136" t="s">
        <v>2635</v>
      </c>
      <c r="B136" s="31">
        <f>SUMIFS('Raw Data'!$F$8:$F$2052,'Raw Data'!$I$8:$I$2052,$A136,'Raw Data'!$K$8:$K$2052,MONTH($A$122))</f>
        <v>511.52</v>
      </c>
      <c r="C136" s="36">
        <f>IFERROR(B136/$B$146,0)</f>
        <v>1.6295017805951287E-2</v>
      </c>
    </row>
    <row r="137" spans="1:3" x14ac:dyDescent="0.25">
      <c r="A137" t="s">
        <v>2627</v>
      </c>
      <c r="B137" s="31">
        <f>SUMIFS('Raw Data'!$F$8:$F$2052,'Raw Data'!$I$8:$I$2052,$A137,'Raw Data'!$K$8:$K$2052,MONTH($A$122))</f>
        <v>389.57000000000005</v>
      </c>
      <c r="C137" s="36">
        <f>IFERROR(B137/$B$146,0)</f>
        <v>1.2410169859760017E-2</v>
      </c>
    </row>
    <row r="138" spans="1:3" x14ac:dyDescent="0.25">
      <c r="A138" t="s">
        <v>2636</v>
      </c>
      <c r="B138" s="31">
        <f>SUMIFS('Raw Data'!$F$8:$F$2052,'Raw Data'!$I$8:$I$2052,$A138,'Raw Data'!$K$8:$K$2052,MONTH($A$122))</f>
        <v>307.70999999999998</v>
      </c>
      <c r="C138" s="36">
        <f>IFERROR(B138/$B$146,0)</f>
        <v>9.8024318288029225E-3</v>
      </c>
    </row>
    <row r="139" spans="1:3" x14ac:dyDescent="0.25">
      <c r="A139" t="s">
        <v>2638</v>
      </c>
      <c r="B139" s="31">
        <f>SUMIFS('Raw Data'!$F$8:$F$2052,'Raw Data'!$I$8:$I$2052,$A139,'Raw Data'!$K$8:$K$2052,MONTH($A$122))</f>
        <v>260</v>
      </c>
      <c r="C139" s="36">
        <f>IFERROR(B139/$B$146,0)</f>
        <v>8.2825786470662639E-3</v>
      </c>
    </row>
    <row r="140" spans="1:3" x14ac:dyDescent="0.25">
      <c r="A140" t="s">
        <v>2639</v>
      </c>
      <c r="B140" s="31">
        <f>SUMIFS('Raw Data'!$F$8:$F$2052,'Raw Data'!$I$8:$I$2052,$A140,'Raw Data'!$K$8:$K$2052,MONTH($A$122))</f>
        <v>211.82999999999998</v>
      </c>
      <c r="C140" s="36">
        <f>IFERROR(B140/$B$146,0)</f>
        <v>6.7480716723386401E-3</v>
      </c>
    </row>
    <row r="141" spans="1:3" x14ac:dyDescent="0.25">
      <c r="A141" t="s">
        <v>2626</v>
      </c>
      <c r="B141" s="31">
        <f>SUMIFS('Raw Data'!$F$8:$F$2052,'Raw Data'!$I$8:$I$2052,$A141,'Raw Data'!$K$8:$K$2052,MONTH($A$122))</f>
        <v>168.97</v>
      </c>
      <c r="C141" s="36">
        <f>IFERROR(B141/$B$146,0)</f>
        <v>5.3827204384414868E-3</v>
      </c>
    </row>
    <row r="142" spans="1:3" x14ac:dyDescent="0.25">
      <c r="A142" t="s">
        <v>2634</v>
      </c>
      <c r="B142" s="31">
        <f>SUMIFS('Raw Data'!$F$8:$F$2052,'Raw Data'!$I$8:$I$2052,$A142,'Raw Data'!$K$8:$K$2052,MONTH($A$122))</f>
        <v>165.82</v>
      </c>
      <c r="C142" s="36">
        <f>IFERROR(B142/$B$146,0)</f>
        <v>5.2823738125251062E-3</v>
      </c>
    </row>
    <row r="143" spans="1:3" x14ac:dyDescent="0.25">
      <c r="A143" t="s">
        <v>2628</v>
      </c>
      <c r="B143" s="31">
        <f>SUMIFS('Raw Data'!$F$8:$F$2052,'Raw Data'!$I$8:$I$2052,$A143,'Raw Data'!$K$8:$K$2052,MONTH($A$122))</f>
        <v>109</v>
      </c>
      <c r="C143" s="36">
        <f>IFERROR(B143/$B$146,0)</f>
        <v>3.4723118174239333E-3</v>
      </c>
    </row>
    <row r="144" spans="1:3" x14ac:dyDescent="0.25">
      <c r="A144" t="s">
        <v>551</v>
      </c>
      <c r="B144" s="31">
        <f>SUMIFS('Raw Data'!$F$8:$F$2052,'Raw Data'!$I$8:$I$2052,$A144,'Raw Data'!$K$8:$K$2052,MONTH($A$122))</f>
        <v>-1071.96</v>
      </c>
      <c r="C144" s="36">
        <f>IFERROR(B144/$B$146,0)</f>
        <v>-3.4148434640419813E-2</v>
      </c>
    </row>
    <row r="145" spans="1:3" x14ac:dyDescent="0.25">
      <c r="A145" t="s">
        <v>2629</v>
      </c>
      <c r="B145" s="31">
        <f>SUMIFS('Raw Data'!$F$8:$F$2052,'Raw Data'!$I$8:$I$2052,$A145,'Raw Data'!$K$8:$K$2052,MONTH($A$122))</f>
        <v>-37008.699999999997</v>
      </c>
      <c r="C145" s="36">
        <f>IFERROR(B145/$B$146,0)</f>
        <v>-1.1789518014449276</v>
      </c>
    </row>
    <row r="146" spans="1:3" x14ac:dyDescent="0.25">
      <c r="A146" s="42" t="s">
        <v>2715</v>
      </c>
      <c r="B146" s="44">
        <f>SUMIFS('Raw Data'!$F$8:$F$2052,'Raw Data'!$K$8:$K$2052,MONTH($A$122),'Raw Data'!$F$8:$F$2052,"&gt;0")</f>
        <v>31391.19</v>
      </c>
      <c r="C146" s="46"/>
    </row>
    <row r="147" spans="1:3" x14ac:dyDescent="0.25">
      <c r="A147" t="s">
        <v>2678</v>
      </c>
      <c r="B147" s="31">
        <f>SUMIFS('Raw Data'!$F$8:$F$2052,'Raw Data'!$K$8:$K$2052,MONTH($A$122),'Raw Data'!$F$8:$F$2052,"&lt;0")</f>
        <v>-48224.69</v>
      </c>
      <c r="C147" s="36"/>
    </row>
    <row r="148" spans="1:3" x14ac:dyDescent="0.25">
      <c r="A148" s="10" t="s">
        <v>2704</v>
      </c>
      <c r="B148" s="32">
        <f>B146+B147</f>
        <v>-16833.500000000004</v>
      </c>
      <c r="C148" s="47"/>
    </row>
    <row r="149" spans="1:3" x14ac:dyDescent="0.25">
      <c r="B149" s="31"/>
      <c r="C149" s="36"/>
    </row>
    <row r="150" spans="1:3" x14ac:dyDescent="0.25">
      <c r="A150" s="41">
        <f>DATE(2025,7,1)</f>
        <v>45839</v>
      </c>
      <c r="B150" s="35"/>
      <c r="C150" s="39"/>
    </row>
    <row r="151" spans="1:3" x14ac:dyDescent="0.25">
      <c r="A151" s="24" t="s">
        <v>15</v>
      </c>
      <c r="B151" s="43" t="s">
        <v>12</v>
      </c>
      <c r="C151" s="45" t="s">
        <v>2714</v>
      </c>
    </row>
    <row r="152" spans="1:3" x14ac:dyDescent="0.25">
      <c r="A152" t="s">
        <v>2638</v>
      </c>
      <c r="B152" s="31">
        <f>SUMIFS('Raw Data'!$F$8:$F$2052,'Raw Data'!$I$8:$I$2052,$A152,'Raw Data'!$K$8:$K$2052,MONTH($A$150))</f>
        <v>2385</v>
      </c>
      <c r="C152" s="36">
        <f>IFERROR(B152/$B$168,0)</f>
        <v>0.14218967327376672</v>
      </c>
    </row>
    <row r="153" spans="1:3" x14ac:dyDescent="0.25">
      <c r="A153" t="s">
        <v>2654</v>
      </c>
      <c r="B153" s="31">
        <f>SUMIFS('Raw Data'!$F$8:$F$2052,'Raw Data'!$I$8:$I$2052,$A153,'Raw Data'!$K$8:$K$2052,MONTH($A$150))</f>
        <v>2113.34</v>
      </c>
      <c r="C153" s="36">
        <f>IFERROR(B153/$B$168,0)</f>
        <v>0.12599376273223573</v>
      </c>
    </row>
    <row r="154" spans="1:3" x14ac:dyDescent="0.25">
      <c r="A154" t="s">
        <v>2639</v>
      </c>
      <c r="B154" s="31">
        <f>SUMIFS('Raw Data'!$F$8:$F$2052,'Raw Data'!$I$8:$I$2052,$A154,'Raw Data'!$K$8:$K$2052,MONTH($A$150))</f>
        <v>1800.56</v>
      </c>
      <c r="C154" s="36">
        <f>IFERROR(B154/$B$168,0)</f>
        <v>0.10734634721585468</v>
      </c>
    </row>
    <row r="155" spans="1:3" x14ac:dyDescent="0.25">
      <c r="A155" t="s">
        <v>2633</v>
      </c>
      <c r="B155" s="31">
        <f>SUMIFS('Raw Data'!$F$8:$F$2052,'Raw Data'!$I$8:$I$2052,$A155,'Raw Data'!$K$8:$K$2052,MONTH($A$150))</f>
        <v>1327.84</v>
      </c>
      <c r="C155" s="36">
        <f>IFERROR(B155/$B$168,0)</f>
        <v>7.9163578934942733E-2</v>
      </c>
    </row>
    <row r="156" spans="1:3" x14ac:dyDescent="0.25">
      <c r="A156" t="s">
        <v>2632</v>
      </c>
      <c r="B156" s="31">
        <f>SUMIFS('Raw Data'!$F$8:$F$2052,'Raw Data'!$I$8:$I$2052,$A156,'Raw Data'!$K$8:$K$2052,MONTH($A$150))</f>
        <v>1071.47</v>
      </c>
      <c r="C156" s="36">
        <f>IFERROR(B156/$B$168,0)</f>
        <v>6.3879232378466599E-2</v>
      </c>
    </row>
    <row r="157" spans="1:3" x14ac:dyDescent="0.25">
      <c r="A157" t="s">
        <v>2630</v>
      </c>
      <c r="B157" s="31">
        <f>SUMIFS('Raw Data'!$F$8:$F$2052,'Raw Data'!$I$8:$I$2052,$A157,'Raw Data'!$K$8:$K$2052,MONTH($A$150))</f>
        <v>793.1</v>
      </c>
      <c r="C157" s="36">
        <f>IFERROR(B157/$B$168,0)</f>
        <v>4.728328296579639E-2</v>
      </c>
    </row>
    <row r="158" spans="1:3" x14ac:dyDescent="0.25">
      <c r="A158" t="s">
        <v>2645</v>
      </c>
      <c r="B158" s="31">
        <f>SUMIFS('Raw Data'!$F$8:$F$2052,'Raw Data'!$I$8:$I$2052,$A158,'Raw Data'!$K$8:$K$2052,MONTH($A$150))</f>
        <v>571.23</v>
      </c>
      <c r="C158" s="36">
        <f>IFERROR(B158/$B$168,0)</f>
        <v>3.405576816107915E-2</v>
      </c>
    </row>
    <row r="159" spans="1:3" x14ac:dyDescent="0.25">
      <c r="A159" t="s">
        <v>2647</v>
      </c>
      <c r="B159" s="31">
        <f>SUMIFS('Raw Data'!$F$8:$F$2052,'Raw Data'!$I$8:$I$2052,$A159,'Raw Data'!$K$8:$K$2052,MONTH($A$150))</f>
        <v>419.07999999999987</v>
      </c>
      <c r="C159" s="36">
        <f>IFERROR(B159/$B$168,0)</f>
        <v>2.4984842044264211E-2</v>
      </c>
    </row>
    <row r="160" spans="1:3" x14ac:dyDescent="0.25">
      <c r="A160" t="s">
        <v>2635</v>
      </c>
      <c r="B160" s="31">
        <f>SUMIFS('Raw Data'!$F$8:$F$2052,'Raw Data'!$I$8:$I$2052,$A160,'Raw Data'!$K$8:$K$2052,MONTH($A$150))</f>
        <v>359.2</v>
      </c>
      <c r="C160" s="36">
        <f>IFERROR(B160/$B$168,0)</f>
        <v>2.1414897542950527E-2</v>
      </c>
    </row>
    <row r="161" spans="1:3" x14ac:dyDescent="0.25">
      <c r="A161" t="s">
        <v>2650</v>
      </c>
      <c r="B161" s="31">
        <f>SUMIFS('Raw Data'!$F$8:$F$2052,'Raw Data'!$I$8:$I$2052,$A161,'Raw Data'!$K$8:$K$2052,MONTH($A$150))</f>
        <v>307.08000000000004</v>
      </c>
      <c r="C161" s="36">
        <f>IFERROR(B161/$B$168,0)</f>
        <v>1.8307591140003476E-2</v>
      </c>
    </row>
    <row r="162" spans="1:3" x14ac:dyDescent="0.25">
      <c r="A162" t="s">
        <v>2634</v>
      </c>
      <c r="B162" s="31">
        <f>SUMIFS('Raw Data'!$F$8:$F$2052,'Raw Data'!$I$8:$I$2052,$A162,'Raw Data'!$K$8:$K$2052,MONTH($A$150))</f>
        <v>216.85999999999999</v>
      </c>
      <c r="C162" s="36">
        <f>IFERROR(B162/$B$168,0)</f>
        <v>1.2928827063374865E-2</v>
      </c>
    </row>
    <row r="163" spans="1:3" x14ac:dyDescent="0.25">
      <c r="A163" t="s">
        <v>2627</v>
      </c>
      <c r="B163" s="31">
        <f>SUMIFS('Raw Data'!$F$8:$F$2052,'Raw Data'!$I$8:$I$2052,$A163,'Raw Data'!$K$8:$K$2052,MONTH($A$150))</f>
        <v>211.57999999999998</v>
      </c>
      <c r="C163" s="36">
        <f>IFERROR(B163/$B$168,0)</f>
        <v>1.2614042377888286E-2</v>
      </c>
    </row>
    <row r="164" spans="1:3" x14ac:dyDescent="0.25">
      <c r="A164" t="s">
        <v>2626</v>
      </c>
      <c r="B164" s="31">
        <f>SUMIFS('Raw Data'!$F$8:$F$2052,'Raw Data'!$I$8:$I$2052,$A164,'Raw Data'!$K$8:$K$2052,MONTH($A$150))</f>
        <v>164.95</v>
      </c>
      <c r="C164" s="36">
        <f>IFERROR(B164/$B$168,0)</f>
        <v>9.8340405058733003E-3</v>
      </c>
    </row>
    <row r="165" spans="1:3" x14ac:dyDescent="0.25">
      <c r="A165" t="s">
        <v>2628</v>
      </c>
      <c r="B165" s="31">
        <f>SUMIFS('Raw Data'!$F$8:$F$2052,'Raw Data'!$I$8:$I$2052,$A165,'Raw Data'!$K$8:$K$2052,MONTH($A$150))</f>
        <v>89</v>
      </c>
      <c r="C165" s="36">
        <f>IFERROR(B165/$B$168,0)</f>
        <v>5.306029736421484E-3</v>
      </c>
    </row>
    <row r="166" spans="1:3" x14ac:dyDescent="0.25">
      <c r="A166" t="s">
        <v>2655</v>
      </c>
      <c r="B166" s="31">
        <f>SUMIFS('Raw Data'!$F$8:$F$2052,'Raw Data'!$I$8:$I$2052,$A166,'Raw Data'!$K$8:$K$2052,MONTH($A$150))</f>
        <v>32</v>
      </c>
      <c r="C166" s="36">
        <f>IFERROR(B166/$B$168,0)</f>
        <v>1.9077859726459269E-3</v>
      </c>
    </row>
    <row r="167" spans="1:3" x14ac:dyDescent="0.25">
      <c r="A167" t="s">
        <v>2640</v>
      </c>
      <c r="B167" s="31">
        <f>SUMIFS('Raw Data'!$F$8:$F$2052,'Raw Data'!$I$8:$I$2052,$A167,'Raw Data'!$K$8:$K$2052,MONTH($A$150))</f>
        <v>2</v>
      </c>
      <c r="C167" s="36">
        <f>IFERROR(B167/$B$168,0)</f>
        <v>1.1923662329037043E-4</v>
      </c>
    </row>
    <row r="168" spans="1:3" x14ac:dyDescent="0.25">
      <c r="A168" s="42" t="s">
        <v>2715</v>
      </c>
      <c r="B168" s="44">
        <f>SUMIFS('Raw Data'!$F$8:$F$2052,'Raw Data'!$K$8:$K$2052,MONTH($A$150),'Raw Data'!$F$8:$F$2052,"&gt;0")</f>
        <v>16773.369999999995</v>
      </c>
      <c r="C168" s="46"/>
    </row>
    <row r="169" spans="1:3" x14ac:dyDescent="0.25">
      <c r="A169" t="s">
        <v>2678</v>
      </c>
      <c r="B169" s="31">
        <f>SUMIFS('Raw Data'!$F$8:$F$2052,'Raw Data'!$K$8:$K$2052,MONTH($A$150),'Raw Data'!$F$8:$F$2052,"&lt;0")</f>
        <v>-4909.0800000000008</v>
      </c>
      <c r="C169" s="36"/>
    </row>
    <row r="170" spans="1:3" x14ac:dyDescent="0.25">
      <c r="A170" s="10" t="s">
        <v>2704</v>
      </c>
      <c r="B170" s="32">
        <f>B168+B169</f>
        <v>11864.289999999994</v>
      </c>
      <c r="C170" s="47"/>
    </row>
    <row r="171" spans="1:3" x14ac:dyDescent="0.25">
      <c r="B171" s="31"/>
      <c r="C171" s="36"/>
    </row>
    <row r="172" spans="1:3" x14ac:dyDescent="0.25">
      <c r="A172" s="41">
        <f>DATE(2025,8,1)</f>
        <v>45870</v>
      </c>
      <c r="B172" s="35"/>
      <c r="C172" s="39"/>
    </row>
    <row r="173" spans="1:3" x14ac:dyDescent="0.25">
      <c r="A173" s="24" t="s">
        <v>15</v>
      </c>
      <c r="B173" s="43" t="s">
        <v>12</v>
      </c>
      <c r="C173" s="45" t="s">
        <v>2714</v>
      </c>
    </row>
    <row r="174" spans="1:3" x14ac:dyDescent="0.25">
      <c r="A174" t="s">
        <v>1038</v>
      </c>
      <c r="B174" s="31">
        <f>SUMIFS('Raw Data'!$F$8:$F$2052,'Raw Data'!$I$8:$I$2052,$A174,'Raw Data'!$K$8:$K$2052,MONTH($A$172))</f>
        <v>26819.93</v>
      </c>
      <c r="C174" s="36">
        <f>IFERROR(B174/$B$199,0)</f>
        <v>0.37246059191391773</v>
      </c>
    </row>
    <row r="175" spans="1:3" x14ac:dyDescent="0.25">
      <c r="A175" t="s">
        <v>2639</v>
      </c>
      <c r="B175" s="31">
        <f>SUMIFS('Raw Data'!$F$8:$F$2052,'Raw Data'!$I$8:$I$2052,$A175,'Raw Data'!$K$8:$K$2052,MONTH($A$172))</f>
        <v>11349.45</v>
      </c>
      <c r="C175" s="36">
        <f>IFERROR(B175/$B$199,0)</f>
        <v>0.15761498500918586</v>
      </c>
    </row>
    <row r="176" spans="1:3" x14ac:dyDescent="0.25">
      <c r="A176" t="s">
        <v>594</v>
      </c>
      <c r="B176" s="31">
        <f>SUMIFS('Raw Data'!$F$8:$F$2052,'Raw Data'!$I$8:$I$2052,$A176,'Raw Data'!$K$8:$K$2052,MONTH($A$172))</f>
        <v>9614.51</v>
      </c>
      <c r="C176" s="36">
        <f>IFERROR(B176/$B$199,0)</f>
        <v>0.13352108247718325</v>
      </c>
    </row>
    <row r="177" spans="1:3" x14ac:dyDescent="0.25">
      <c r="A177" t="s">
        <v>2653</v>
      </c>
      <c r="B177" s="31">
        <f>SUMIFS('Raw Data'!$F$8:$F$2052,'Raw Data'!$I$8:$I$2052,$A177,'Raw Data'!$K$8:$K$2052,MONTH($A$172))</f>
        <v>9209.3799999999974</v>
      </c>
      <c r="C177" s="36">
        <f>IFERROR(B177/$B$199,0)</f>
        <v>0.12789485751678675</v>
      </c>
    </row>
    <row r="178" spans="1:3" x14ac:dyDescent="0.25">
      <c r="A178" t="s">
        <v>2649</v>
      </c>
      <c r="B178" s="31">
        <f>SUMIFS('Raw Data'!$F$8:$F$2052,'Raw Data'!$I$8:$I$2052,$A178,'Raw Data'!$K$8:$K$2052,MONTH($A$172))</f>
        <v>3885</v>
      </c>
      <c r="C178" s="36">
        <f>IFERROR(B178/$B$199,0)</f>
        <v>5.3952765707649883E-2</v>
      </c>
    </row>
    <row r="179" spans="1:3" x14ac:dyDescent="0.25">
      <c r="A179" t="s">
        <v>2638</v>
      </c>
      <c r="B179" s="31">
        <f>SUMIFS('Raw Data'!$F$8:$F$2052,'Raw Data'!$I$8:$I$2052,$A179,'Raw Data'!$K$8:$K$2052,MONTH($A$172))</f>
        <v>2260</v>
      </c>
      <c r="C179" s="36">
        <f>IFERROR(B179/$B$199,0)</f>
        <v>3.1385650064166985E-2</v>
      </c>
    </row>
    <row r="180" spans="1:3" x14ac:dyDescent="0.25">
      <c r="A180" t="s">
        <v>2652</v>
      </c>
      <c r="B180" s="31">
        <f>SUMIFS('Raw Data'!$F$8:$F$2052,'Raw Data'!$I$8:$I$2052,$A180,'Raw Data'!$K$8:$K$2052,MONTH($A$172))</f>
        <v>1704.1700000000003</v>
      </c>
      <c r="C180" s="36">
        <f>IFERROR(B180/$B$199,0)</f>
        <v>2.3666585517633391E-2</v>
      </c>
    </row>
    <row r="181" spans="1:3" x14ac:dyDescent="0.25">
      <c r="A181" t="s">
        <v>2633</v>
      </c>
      <c r="B181" s="31">
        <f>SUMIFS('Raw Data'!$F$8:$F$2052,'Raw Data'!$I$8:$I$2052,$A181,'Raw Data'!$K$8:$K$2052,MONTH($A$172))</f>
        <v>1655.8200000000002</v>
      </c>
      <c r="C181" s="36">
        <f>IFERROR(B181/$B$199,0)</f>
        <v>2.2995127030641143E-2</v>
      </c>
    </row>
    <row r="182" spans="1:3" x14ac:dyDescent="0.25">
      <c r="A182" t="s">
        <v>2632</v>
      </c>
      <c r="B182" s="31">
        <f>SUMIFS('Raw Data'!$F$8:$F$2052,'Raw Data'!$I$8:$I$2052,$A182,'Raw Data'!$K$8:$K$2052,MONTH($A$172))</f>
        <v>1334.8200000000002</v>
      </c>
      <c r="C182" s="36">
        <f>IFERROR(B182/$B$199,0)</f>
        <v>1.8537253725066982E-2</v>
      </c>
    </row>
    <row r="183" spans="1:3" x14ac:dyDescent="0.25">
      <c r="A183" t="s">
        <v>2630</v>
      </c>
      <c r="B183" s="31">
        <f>SUMIFS('Raw Data'!$F$8:$F$2052,'Raw Data'!$I$8:$I$2052,$A183,'Raw Data'!$K$8:$K$2052,MONTH($A$172))</f>
        <v>910.52</v>
      </c>
      <c r="C183" s="36">
        <f>IFERROR(B183/$B$199,0)</f>
        <v>1.2644806237356337E-2</v>
      </c>
    </row>
    <row r="184" spans="1:3" x14ac:dyDescent="0.25">
      <c r="A184" t="s">
        <v>2644</v>
      </c>
      <c r="B184" s="31">
        <f>SUMIFS('Raw Data'!$F$8:$F$2052,'Raw Data'!$I$8:$I$2052,$A184,'Raw Data'!$K$8:$K$2052,MONTH($A$172))</f>
        <v>883</v>
      </c>
      <c r="C184" s="36">
        <f>IFERROR(B184/$B$199,0)</f>
        <v>1.2262623454274093E-2</v>
      </c>
    </row>
    <row r="185" spans="1:3" x14ac:dyDescent="0.25">
      <c r="A185" t="s">
        <v>1042</v>
      </c>
      <c r="B185" s="31">
        <f>SUMIFS('Raw Data'!$F$8:$F$2052,'Raw Data'!$I$8:$I$2052,$A185,'Raw Data'!$K$8:$K$2052,MONTH($A$172))</f>
        <v>695</v>
      </c>
      <c r="C185" s="36">
        <f>IFERROR(B185/$B$199,0)</f>
        <v>9.6517817675203788E-3</v>
      </c>
    </row>
    <row r="186" spans="1:3" x14ac:dyDescent="0.25">
      <c r="A186" t="s">
        <v>2700</v>
      </c>
      <c r="B186" s="31">
        <f>SUMIFS('Raw Data'!$F$8:$F$2052,'Raw Data'!$I$8:$I$2052,$A186,'Raw Data'!$K$8:$K$2052,MONTH($A$172))</f>
        <v>349.18</v>
      </c>
      <c r="C186" s="36">
        <f>IFERROR(B186/$B$199,0)</f>
        <v>4.8492218094716051E-3</v>
      </c>
    </row>
    <row r="187" spans="1:3" x14ac:dyDescent="0.25">
      <c r="A187" t="s">
        <v>2627</v>
      </c>
      <c r="B187" s="31">
        <f>SUMIFS('Raw Data'!$F$8:$F$2052,'Raw Data'!$I$8:$I$2052,$A187,'Raw Data'!$K$8:$K$2052,MONTH($A$172))</f>
        <v>282.52</v>
      </c>
      <c r="C187" s="36">
        <f>IFERROR(B187/$B$199,0)</f>
        <v>3.9234840071364855E-3</v>
      </c>
    </row>
    <row r="188" spans="1:3" x14ac:dyDescent="0.25">
      <c r="A188" t="s">
        <v>2636</v>
      </c>
      <c r="B188" s="31">
        <f>SUMIFS('Raw Data'!$F$8:$F$2052,'Raw Data'!$I$8:$I$2052,$A188,'Raw Data'!$K$8:$K$2052,MONTH($A$172))</f>
        <v>269.47000000000003</v>
      </c>
      <c r="C188" s="36">
        <f>IFERROR(B188/$B$199,0)</f>
        <v>3.7422527091995924E-3</v>
      </c>
    </row>
    <row r="189" spans="1:3" x14ac:dyDescent="0.25">
      <c r="A189" t="s">
        <v>2645</v>
      </c>
      <c r="B189" s="31">
        <f>SUMIFS('Raw Data'!$F$8:$F$2052,'Raw Data'!$I$8:$I$2052,$A189,'Raw Data'!$K$8:$K$2052,MONTH($A$172))</f>
        <v>188.93</v>
      </c>
      <c r="C189" s="36">
        <f>IFERROR(B189/$B$199,0)</f>
        <v>2.6237570206296764E-3</v>
      </c>
    </row>
    <row r="190" spans="1:3" x14ac:dyDescent="0.25">
      <c r="A190" t="s">
        <v>2626</v>
      </c>
      <c r="B190" s="31">
        <f>SUMIFS('Raw Data'!$F$8:$F$2052,'Raw Data'!$I$8:$I$2052,$A190,'Raw Data'!$K$8:$K$2052,MONTH($A$172))</f>
        <v>184.16</v>
      </c>
      <c r="C190" s="36">
        <f>IFERROR(B190/$B$199,0)</f>
        <v>2.557513856556191E-3</v>
      </c>
    </row>
    <row r="191" spans="1:3" x14ac:dyDescent="0.25">
      <c r="A191" t="s">
        <v>2634</v>
      </c>
      <c r="B191" s="31">
        <f>SUMIFS('Raw Data'!$F$8:$F$2052,'Raw Data'!$I$8:$I$2052,$A191,'Raw Data'!$K$8:$K$2052,MONTH($A$172))</f>
        <v>139.82</v>
      </c>
      <c r="C191" s="36">
        <f>IFERROR(B191/$B$199,0)</f>
        <v>1.9417440672441716E-3</v>
      </c>
    </row>
    <row r="192" spans="1:3" x14ac:dyDescent="0.25">
      <c r="A192" t="s">
        <v>2635</v>
      </c>
      <c r="B192" s="31">
        <f>SUMIFS('Raw Data'!$F$8:$F$2052,'Raw Data'!$I$8:$I$2052,$A192,'Raw Data'!$K$8:$K$2052,MONTH($A$172))</f>
        <v>131.5</v>
      </c>
      <c r="C192" s="36">
        <f>IFERROR(B192/$B$199,0)</f>
        <v>1.8262004351495393E-3</v>
      </c>
    </row>
    <row r="193" spans="1:3" x14ac:dyDescent="0.25">
      <c r="A193" t="s">
        <v>2650</v>
      </c>
      <c r="B193" s="31">
        <f>SUMIFS('Raw Data'!$F$8:$F$2052,'Raw Data'!$I$8:$I$2052,$A193,'Raw Data'!$K$8:$K$2052,MONTH($A$172))</f>
        <v>59.5</v>
      </c>
      <c r="C193" s="36">
        <f>IFERROR(B193/$B$199,0)</f>
        <v>8.2630361894598921E-4</v>
      </c>
    </row>
    <row r="194" spans="1:3" x14ac:dyDescent="0.25">
      <c r="A194" t="s">
        <v>2647</v>
      </c>
      <c r="B194" s="31">
        <f>SUMIFS('Raw Data'!$F$8:$F$2052,'Raw Data'!$I$8:$I$2052,$A194,'Raw Data'!$K$8:$K$2052,MONTH($A$172))</f>
        <v>40.75</v>
      </c>
      <c r="C194" s="36">
        <f>IFERROR(B194/$B$199,0)</f>
        <v>5.6591382305964813E-4</v>
      </c>
    </row>
    <row r="195" spans="1:3" x14ac:dyDescent="0.25">
      <c r="A195" t="s">
        <v>2628</v>
      </c>
      <c r="B195" s="31">
        <f>SUMIFS('Raw Data'!$F$8:$F$2052,'Raw Data'!$I$8:$I$2052,$A195,'Raw Data'!$K$8:$K$2052,MONTH($A$172))</f>
        <v>40</v>
      </c>
      <c r="C195" s="36">
        <f>IFERROR(B195/$B$199,0)</f>
        <v>5.5549823122419449E-4</v>
      </c>
    </row>
    <row r="196" spans="1:3" x14ac:dyDescent="0.25">
      <c r="A196" t="s">
        <v>551</v>
      </c>
      <c r="B196" s="31">
        <f>SUMIFS('Raw Data'!$F$8:$F$2052,'Raw Data'!$I$8:$I$2052,$A196,'Raw Data'!$K$8:$K$2052,MONTH($A$172))</f>
        <v>-819.57999999999993</v>
      </c>
      <c r="C196" s="36">
        <f>IFERROR(B196/$B$199,0)</f>
        <v>-1.138188100866813E-2</v>
      </c>
    </row>
    <row r="197" spans="1:3" x14ac:dyDescent="0.25">
      <c r="A197" t="s">
        <v>591</v>
      </c>
      <c r="B197" s="31">
        <f>SUMIFS('Raw Data'!$F$8:$F$2052,'Raw Data'!$I$8:$I$2052,$A197,'Raw Data'!$K$8:$K$2052,MONTH($A$172))</f>
        <v>-9614.51</v>
      </c>
      <c r="C197" s="36">
        <f>IFERROR(B197/$B$199,0)</f>
        <v>-0.13352108247718325</v>
      </c>
    </row>
    <row r="198" spans="1:3" x14ac:dyDescent="0.25">
      <c r="A198" t="s">
        <v>1036</v>
      </c>
      <c r="B198" s="31">
        <f>SUMIFS('Raw Data'!$F$8:$F$2052,'Raw Data'!$I$8:$I$2052,$A198,'Raw Data'!$K$8:$K$2052,MONTH($A$172))</f>
        <v>-26819.93</v>
      </c>
      <c r="C198" s="36">
        <f>IFERROR(B198/$B$199,0)</f>
        <v>-0.37246059191391773</v>
      </c>
    </row>
    <row r="199" spans="1:3" x14ac:dyDescent="0.25">
      <c r="A199" s="42" t="s">
        <v>2715</v>
      </c>
      <c r="B199" s="44">
        <f>SUMIFS('Raw Data'!$F$8:$F$2052,'Raw Data'!$K$8:$K$2052,MONTH($A$172),'Raw Data'!$F$8:$F$2052,"&gt;0")</f>
        <v>72007.430000000008</v>
      </c>
      <c r="C199" s="46"/>
    </row>
    <row r="200" spans="1:3" x14ac:dyDescent="0.25">
      <c r="A200" t="s">
        <v>2678</v>
      </c>
      <c r="B200" s="31">
        <f>SUMIFS('Raw Data'!$F$8:$F$2052,'Raw Data'!$K$8:$K$2052,MONTH($A$172),'Raw Data'!$F$8:$F$2052,"&lt;0")</f>
        <v>-37254.020000000004</v>
      </c>
      <c r="C200" s="36"/>
    </row>
    <row r="201" spans="1:3" x14ac:dyDescent="0.25">
      <c r="A201" s="10" t="s">
        <v>2704</v>
      </c>
      <c r="B201" s="32">
        <f>B199+B200</f>
        <v>34753.410000000003</v>
      </c>
      <c r="C201" s="47"/>
    </row>
    <row r="202" spans="1:3" x14ac:dyDescent="0.25">
      <c r="B202" s="31"/>
      <c r="C202" s="36"/>
    </row>
    <row r="203" spans="1:3" x14ac:dyDescent="0.25">
      <c r="A203" s="41">
        <f>DATE(2025,9,1)</f>
        <v>45901</v>
      </c>
      <c r="B203" s="35"/>
      <c r="C203" s="39"/>
    </row>
    <row r="204" spans="1:3" x14ac:dyDescent="0.25">
      <c r="A204" s="24" t="s">
        <v>15</v>
      </c>
      <c r="B204" s="43" t="s">
        <v>12</v>
      </c>
      <c r="C204" s="45" t="s">
        <v>2714</v>
      </c>
    </row>
    <row r="205" spans="1:3" x14ac:dyDescent="0.25">
      <c r="A205" t="s">
        <v>2645</v>
      </c>
      <c r="B205" s="31">
        <f>SUMIFS('Raw Data'!$F$8:$F$2052,'Raw Data'!$I$8:$I$2052,$A205,'Raw Data'!$K$8:$K$2052,MONTH($A$203))</f>
        <v>10512.790000000003</v>
      </c>
      <c r="C205" s="36">
        <f>IFERROR(B205/$B$224,0)</f>
        <v>0.47981544559191247</v>
      </c>
    </row>
    <row r="206" spans="1:3" x14ac:dyDescent="0.25">
      <c r="A206" t="s">
        <v>2633</v>
      </c>
      <c r="B206" s="31">
        <f>SUMIFS('Raw Data'!$F$8:$F$2052,'Raw Data'!$I$8:$I$2052,$A206,'Raw Data'!$K$8:$K$2052,MONTH($A$203))</f>
        <v>2440.0100000000007</v>
      </c>
      <c r="C206" s="36">
        <f>IFERROR(B206/$B$224,0)</f>
        <v>0.11136477427958918</v>
      </c>
    </row>
    <row r="207" spans="1:3" x14ac:dyDescent="0.25">
      <c r="A207" t="s">
        <v>2638</v>
      </c>
      <c r="B207" s="31">
        <f>SUMIFS('Raw Data'!$F$8:$F$2052,'Raw Data'!$I$8:$I$2052,$A207,'Raw Data'!$K$8:$K$2052,MONTH($A$203))</f>
        <v>2260</v>
      </c>
      <c r="C207" s="36">
        <f>IFERROR(B207/$B$224,0)</f>
        <v>0.10314891736995811</v>
      </c>
    </row>
    <row r="208" spans="1:3" x14ac:dyDescent="0.25">
      <c r="A208" t="s">
        <v>2627</v>
      </c>
      <c r="B208" s="31">
        <f>SUMIFS('Raw Data'!$F$8:$F$2052,'Raw Data'!$I$8:$I$2052,$A208,'Raw Data'!$K$8:$K$2052,MONTH($A$203))</f>
        <v>1305.5700000000002</v>
      </c>
      <c r="C208" s="36">
        <f>IFERROR(B208/$B$224,0)</f>
        <v>5.9587669048980635E-2</v>
      </c>
    </row>
    <row r="209" spans="1:3" x14ac:dyDescent="0.25">
      <c r="A209" t="s">
        <v>2652</v>
      </c>
      <c r="B209" s="31">
        <f>SUMIFS('Raw Data'!$F$8:$F$2052,'Raw Data'!$I$8:$I$2052,$A209,'Raw Data'!$K$8:$K$2052,MONTH($A$203))</f>
        <v>1132.54</v>
      </c>
      <c r="C209" s="36">
        <f>IFERROR(B209/$B$224,0)</f>
        <v>5.1690387114235556E-2</v>
      </c>
    </row>
    <row r="210" spans="1:3" x14ac:dyDescent="0.25">
      <c r="A210" t="s">
        <v>2639</v>
      </c>
      <c r="B210" s="31">
        <f>SUMIFS('Raw Data'!$F$8:$F$2052,'Raw Data'!$I$8:$I$2052,$A210,'Raw Data'!$K$8:$K$2052,MONTH($A$203))</f>
        <v>1037.97</v>
      </c>
      <c r="C210" s="36">
        <f>IFERROR(B210/$B$224,0)</f>
        <v>4.7374106974555498E-2</v>
      </c>
    </row>
    <row r="211" spans="1:3" x14ac:dyDescent="0.25">
      <c r="A211" t="s">
        <v>2644</v>
      </c>
      <c r="B211" s="31">
        <f>SUMIFS('Raw Data'!$F$8:$F$2052,'Raw Data'!$I$8:$I$2052,$A211,'Raw Data'!$K$8:$K$2052,MONTH($A$203))</f>
        <v>883</v>
      </c>
      <c r="C211" s="36">
        <f>IFERROR(B211/$B$224,0)</f>
        <v>4.0301103556492482E-2</v>
      </c>
    </row>
    <row r="212" spans="1:3" x14ac:dyDescent="0.25">
      <c r="A212" t="s">
        <v>2630</v>
      </c>
      <c r="B212" s="31">
        <f>SUMIFS('Raw Data'!$F$8:$F$2052,'Raw Data'!$I$8:$I$2052,$A212,'Raw Data'!$K$8:$K$2052,MONTH($A$203))</f>
        <v>880.29</v>
      </c>
      <c r="C212" s="36">
        <f>IFERROR(B212/$B$224,0)</f>
        <v>4.0177416137876294E-2</v>
      </c>
    </row>
    <row r="213" spans="1:3" x14ac:dyDescent="0.25">
      <c r="A213" t="s">
        <v>2632</v>
      </c>
      <c r="B213" s="31">
        <f>SUMIFS('Raw Data'!$F$8:$F$2052,'Raw Data'!$I$8:$I$2052,$A213,'Raw Data'!$K$8:$K$2052,MONTH($A$203))</f>
        <v>755.45</v>
      </c>
      <c r="C213" s="36">
        <f>IFERROR(B213/$B$224,0)</f>
        <v>3.4479579481033126E-2</v>
      </c>
    </row>
    <row r="214" spans="1:3" x14ac:dyDescent="0.25">
      <c r="A214" t="s">
        <v>2626</v>
      </c>
      <c r="B214" s="31">
        <f>SUMIFS('Raw Data'!$F$8:$F$2052,'Raw Data'!$I$8:$I$2052,$A214,'Raw Data'!$K$8:$K$2052,MONTH($A$203))</f>
        <v>203.37</v>
      </c>
      <c r="C214" s="36">
        <f>IFERROR(B214/$B$224,0)</f>
        <v>9.2820333298798147E-3</v>
      </c>
    </row>
    <row r="215" spans="1:3" x14ac:dyDescent="0.25">
      <c r="A215" t="s">
        <v>2651</v>
      </c>
      <c r="B215" s="31">
        <f>SUMIFS('Raw Data'!$F$8:$F$2052,'Raw Data'!$I$8:$I$2052,$A215,'Raw Data'!$K$8:$K$2052,MONTH($A$203))</f>
        <v>183.18</v>
      </c>
      <c r="C215" s="36">
        <f>IFERROR(B215/$B$224,0)</f>
        <v>8.3605392406322695E-3</v>
      </c>
    </row>
    <row r="216" spans="1:3" x14ac:dyDescent="0.25">
      <c r="A216" t="s">
        <v>2635</v>
      </c>
      <c r="B216" s="31">
        <f>SUMIFS('Raw Data'!$F$8:$F$2052,'Raw Data'!$I$8:$I$2052,$A216,'Raw Data'!$K$8:$K$2052,MONTH($A$203))</f>
        <v>98.25</v>
      </c>
      <c r="C216" s="36">
        <f>IFERROR(B216/$B$224,0)</f>
        <v>4.4842394387603467E-3</v>
      </c>
    </row>
    <row r="217" spans="1:3" x14ac:dyDescent="0.25">
      <c r="A217" t="s">
        <v>2650</v>
      </c>
      <c r="B217" s="31">
        <f>SUMIFS('Raw Data'!$F$8:$F$2052,'Raw Data'!$I$8:$I$2052,$A217,'Raw Data'!$K$8:$K$2052,MONTH($A$203))</f>
        <v>77.13</v>
      </c>
      <c r="C217" s="36">
        <f>IFERROR(B217/$B$224,0)</f>
        <v>3.5202991136039242E-3</v>
      </c>
    </row>
    <row r="218" spans="1:3" x14ac:dyDescent="0.25">
      <c r="A218" t="s">
        <v>2634</v>
      </c>
      <c r="B218" s="31">
        <f>SUMIFS('Raw Data'!$F$8:$F$2052,'Raw Data'!$I$8:$I$2052,$A218,'Raw Data'!$K$8:$K$2052,MONTH($A$203))</f>
        <v>73.47999999999999</v>
      </c>
      <c r="C218" s="36">
        <f>IFERROR(B218/$B$224,0)</f>
        <v>3.3537090479400537E-3</v>
      </c>
    </row>
    <row r="219" spans="1:3" x14ac:dyDescent="0.25">
      <c r="A219" t="s">
        <v>2628</v>
      </c>
      <c r="B219" s="31">
        <f>SUMIFS('Raw Data'!$F$8:$F$2052,'Raw Data'!$I$8:$I$2052,$A219,'Raw Data'!$K$8:$K$2052,MONTH($A$203))</f>
        <v>40</v>
      </c>
      <c r="C219" s="36">
        <f>IFERROR(B219/$B$224,0)</f>
        <v>1.8256445552204976E-3</v>
      </c>
    </row>
    <row r="220" spans="1:3" x14ac:dyDescent="0.25">
      <c r="A220" t="s">
        <v>2647</v>
      </c>
      <c r="B220" s="31">
        <f>SUMIFS('Raw Data'!$F$8:$F$2052,'Raw Data'!$I$8:$I$2052,$A220,'Raw Data'!$K$8:$K$2052,MONTH($A$203))</f>
        <v>27.04</v>
      </c>
      <c r="C220" s="36">
        <f>IFERROR(B220/$B$224,0)</f>
        <v>1.2341357193290563E-3</v>
      </c>
    </row>
    <row r="221" spans="1:3" x14ac:dyDescent="0.25">
      <c r="A221" t="s">
        <v>2636</v>
      </c>
      <c r="B221" s="31">
        <f>SUMIFS('Raw Data'!$F$8:$F$2052,'Raw Data'!$I$8:$I$2052,$A221,'Raw Data'!$K$8:$K$2052,MONTH($A$203))</f>
        <v>-71.16</v>
      </c>
      <c r="C221" s="36">
        <f>IFERROR(B221/$B$224,0)</f>
        <v>-3.2478216637372649E-3</v>
      </c>
    </row>
    <row r="222" spans="1:3" x14ac:dyDescent="0.25">
      <c r="A222" t="s">
        <v>2640</v>
      </c>
      <c r="B222" s="31">
        <f>SUMIFS('Raw Data'!$F$8:$F$2052,'Raw Data'!$I$8:$I$2052,$A222,'Raw Data'!$K$8:$K$2052,MONTH($A$203))</f>
        <v>-151.35</v>
      </c>
      <c r="C222" s="36">
        <f>IFERROR(B222/$B$224,0)</f>
        <v>-6.9077825858155579E-3</v>
      </c>
    </row>
    <row r="223" spans="1:3" x14ac:dyDescent="0.25">
      <c r="A223" t="s">
        <v>620</v>
      </c>
      <c r="B223" s="31">
        <f>SUMIFS('Raw Data'!$F$8:$F$2052,'Raw Data'!$I$8:$I$2052,$A223,'Raw Data'!$K$8:$K$2052,MONTH($A$203))</f>
        <v>-14045.909999999991</v>
      </c>
      <c r="C223" s="36">
        <f>IFERROR(B223/$B$224,0)</f>
        <v>-0.6410709778654281</v>
      </c>
    </row>
    <row r="224" spans="1:3" x14ac:dyDescent="0.25">
      <c r="A224" s="42" t="s">
        <v>2715</v>
      </c>
      <c r="B224" s="44">
        <f>SUMIFS('Raw Data'!$F$8:$F$2052,'Raw Data'!$K$8:$K$2052,MONTH($A$203),'Raw Data'!$F$8:$F$2052,"&gt;0")</f>
        <v>21910.070000000018</v>
      </c>
      <c r="C224" s="46"/>
    </row>
    <row r="225" spans="1:3" x14ac:dyDescent="0.25">
      <c r="A225" t="s">
        <v>2678</v>
      </c>
      <c r="B225" s="31">
        <f>SUMIFS('Raw Data'!$F$8:$F$2052,'Raw Data'!$K$8:$K$2052,MONTH($A$203),'Raw Data'!$F$8:$F$2052,"&lt;0")</f>
        <v>-14268.419999999989</v>
      </c>
      <c r="C225" s="36"/>
    </row>
    <row r="226" spans="1:3" x14ac:dyDescent="0.25">
      <c r="A226" s="10" t="s">
        <v>2704</v>
      </c>
      <c r="B226" s="32">
        <f>B224+B225</f>
        <v>7641.6500000000287</v>
      </c>
      <c r="C226" s="47"/>
    </row>
    <row r="227" spans="1:3" x14ac:dyDescent="0.25">
      <c r="B227" s="31"/>
      <c r="C227" s="36"/>
    </row>
    <row r="228" spans="1:3" x14ac:dyDescent="0.25">
      <c r="A228" s="41">
        <f>DATE(2025,10,1)</f>
        <v>45931</v>
      </c>
      <c r="B228" s="35"/>
      <c r="C228" s="39"/>
    </row>
    <row r="229" spans="1:3" x14ac:dyDescent="0.25">
      <c r="A229" s="24" t="s">
        <v>15</v>
      </c>
      <c r="B229" s="43" t="s">
        <v>12</v>
      </c>
      <c r="C229" s="45" t="s">
        <v>2714</v>
      </c>
    </row>
    <row r="230" spans="1:3" x14ac:dyDescent="0.25">
      <c r="A230" t="s">
        <v>2650</v>
      </c>
      <c r="B230" s="31">
        <f>SUMIFS('Raw Data'!$F$8:$F$2052,'Raw Data'!$I$8:$I$2052,$A230,'Raw Data'!$K$8:$K$2052,MONTH($A$228))</f>
        <v>2484</v>
      </c>
      <c r="C230" s="36">
        <f>IFERROR(B230/$B$256,0)</f>
        <v>0.12559650756764468</v>
      </c>
    </row>
    <row r="231" spans="1:3" x14ac:dyDescent="0.25">
      <c r="A231" t="s">
        <v>2645</v>
      </c>
      <c r="B231" s="31">
        <f>SUMIFS('Raw Data'!$F$8:$F$2052,'Raw Data'!$I$8:$I$2052,$A231,'Raw Data'!$K$8:$K$2052,MONTH($A$228))</f>
        <v>2360.4899999999998</v>
      </c>
      <c r="C231" s="36">
        <f>IFERROR(B231/$B$256,0)</f>
        <v>0.11935157010803121</v>
      </c>
    </row>
    <row r="232" spans="1:3" x14ac:dyDescent="0.25">
      <c r="A232" t="s">
        <v>2638</v>
      </c>
      <c r="B232" s="31">
        <f>SUMIFS('Raw Data'!$F$8:$F$2052,'Raw Data'!$I$8:$I$2052,$A232,'Raw Data'!$K$8:$K$2052,MONTH($A$228))</f>
        <v>2260</v>
      </c>
      <c r="C232" s="36">
        <f>IFERROR(B232/$B$256,0)</f>
        <v>0.11427057451806641</v>
      </c>
    </row>
    <row r="233" spans="1:3" x14ac:dyDescent="0.25">
      <c r="A233" t="s">
        <v>2642</v>
      </c>
      <c r="B233" s="31">
        <f>SUMIFS('Raw Data'!$F$8:$F$2052,'Raw Data'!$I$8:$I$2052,$A233,'Raw Data'!$K$8:$K$2052,MONTH($A$228))</f>
        <v>2000.81</v>
      </c>
      <c r="C233" s="36">
        <f>IFERROR(B233/$B$256,0)</f>
        <v>0.10116535761127984</v>
      </c>
    </row>
    <row r="234" spans="1:3" x14ac:dyDescent="0.25">
      <c r="A234" t="s">
        <v>2633</v>
      </c>
      <c r="B234" s="31">
        <f>SUMIFS('Raw Data'!$F$8:$F$2052,'Raw Data'!$I$8:$I$2052,$A234,'Raw Data'!$K$8:$K$2052,MONTH($A$228))</f>
        <v>1767.6299999999999</v>
      </c>
      <c r="C234" s="36">
        <f>IFERROR(B234/$B$256,0)</f>
        <v>8.9375263555473317E-2</v>
      </c>
    </row>
    <row r="235" spans="1:3" x14ac:dyDescent="0.25">
      <c r="A235" t="s">
        <v>2649</v>
      </c>
      <c r="B235" s="31">
        <f>SUMIFS('Raw Data'!$F$8:$F$2052,'Raw Data'!$I$8:$I$2052,$A235,'Raw Data'!$K$8:$K$2052,MONTH($A$228))</f>
        <v>1350</v>
      </c>
      <c r="C235" s="36">
        <f>IFERROR(B235/$B$256,0)</f>
        <v>6.8258971504154706E-2</v>
      </c>
    </row>
    <row r="236" spans="1:3" x14ac:dyDescent="0.25">
      <c r="A236" t="s">
        <v>2632</v>
      </c>
      <c r="B236" s="31">
        <f>SUMIFS('Raw Data'!$F$8:$F$2052,'Raw Data'!$I$8:$I$2052,$A236,'Raw Data'!$K$8:$K$2052,MONTH($A$228))</f>
        <v>1241.78</v>
      </c>
      <c r="C236" s="36">
        <f>IFERROR(B236/$B$256,0)</f>
        <v>6.2787130099577218E-2</v>
      </c>
    </row>
    <row r="237" spans="1:3" x14ac:dyDescent="0.25">
      <c r="A237" t="s">
        <v>2630</v>
      </c>
      <c r="B237" s="31">
        <f>SUMIFS('Raw Data'!$F$8:$F$2052,'Raw Data'!$I$8:$I$2052,$A237,'Raw Data'!$K$8:$K$2052,MONTH($A$228))</f>
        <v>1102.72</v>
      </c>
      <c r="C237" s="36">
        <f>IFERROR(B237/$B$256,0)</f>
        <v>5.5755950412638138E-2</v>
      </c>
    </row>
    <row r="238" spans="1:3" x14ac:dyDescent="0.25">
      <c r="A238" t="s">
        <v>2644</v>
      </c>
      <c r="B238" s="31">
        <f>SUMIFS('Raw Data'!$F$8:$F$2052,'Raw Data'!$I$8:$I$2052,$A238,'Raw Data'!$K$8:$K$2052,MONTH($A$228))</f>
        <v>883</v>
      </c>
      <c r="C238" s="36">
        <f>IFERROR(B238/$B$256,0)</f>
        <v>4.4646423583828601E-2</v>
      </c>
    </row>
    <row r="239" spans="1:3" x14ac:dyDescent="0.25">
      <c r="A239" t="s">
        <v>2627</v>
      </c>
      <c r="B239" s="31">
        <f>SUMIFS('Raw Data'!$F$8:$F$2052,'Raw Data'!$I$8:$I$2052,$A239,'Raw Data'!$K$8:$K$2052,MONTH($A$228))</f>
        <v>623.53000000000009</v>
      </c>
      <c r="C239" s="36">
        <f>IFERROR(B239/$B$256,0)</f>
        <v>3.1527049260730071E-2</v>
      </c>
    </row>
    <row r="240" spans="1:3" x14ac:dyDescent="0.25">
      <c r="A240" t="s">
        <v>2648</v>
      </c>
      <c r="B240" s="31">
        <f>SUMIFS('Raw Data'!$F$8:$F$2052,'Raw Data'!$I$8:$I$2052,$A240,'Raw Data'!$K$8:$K$2052,MONTH($A$228))</f>
        <v>587.17000000000007</v>
      </c>
      <c r="C240" s="36">
        <f>IFERROR(B240/$B$256,0)</f>
        <v>2.9688607628218167E-2</v>
      </c>
    </row>
    <row r="241" spans="1:3" x14ac:dyDescent="0.25">
      <c r="A241" t="s">
        <v>2640</v>
      </c>
      <c r="B241" s="31">
        <f>SUMIFS('Raw Data'!$F$8:$F$2052,'Raw Data'!$I$8:$I$2052,$A241,'Raw Data'!$K$8:$K$2052,MONTH($A$228))</f>
        <v>581.76</v>
      </c>
      <c r="C241" s="36">
        <f>IFERROR(B241/$B$256,0)</f>
        <v>2.9415066120190403E-2</v>
      </c>
    </row>
    <row r="242" spans="1:3" x14ac:dyDescent="0.25">
      <c r="A242" t="s">
        <v>2636</v>
      </c>
      <c r="B242" s="31">
        <f>SUMIFS('Raw Data'!$F$8:$F$2052,'Raw Data'!$I$8:$I$2052,$A242,'Raw Data'!$K$8:$K$2052,MONTH($A$228))</f>
        <v>556.96</v>
      </c>
      <c r="C242" s="36">
        <f>IFERROR(B242/$B$256,0)</f>
        <v>2.8161123532558528E-2</v>
      </c>
    </row>
    <row r="243" spans="1:3" x14ac:dyDescent="0.25">
      <c r="A243" t="s">
        <v>2641</v>
      </c>
      <c r="B243" s="31">
        <f>SUMIFS('Raw Data'!$F$8:$F$2052,'Raw Data'!$I$8:$I$2052,$A243,'Raw Data'!$K$8:$K$2052,MONTH($A$228))</f>
        <v>478</v>
      </c>
      <c r="C243" s="36">
        <f>IFERROR(B243/$B$256,0)</f>
        <v>2.4168732132582187E-2</v>
      </c>
    </row>
    <row r="244" spans="1:3" x14ac:dyDescent="0.25">
      <c r="A244" t="s">
        <v>2635</v>
      </c>
      <c r="B244" s="31">
        <f>SUMIFS('Raw Data'!$F$8:$F$2052,'Raw Data'!$I$8:$I$2052,$A244,'Raw Data'!$K$8:$K$2052,MONTH($A$228))</f>
        <v>406.46</v>
      </c>
      <c r="C244" s="36">
        <f>IFERROR(B244/$B$256,0)</f>
        <v>2.0551512264873128E-2</v>
      </c>
    </row>
    <row r="245" spans="1:3" x14ac:dyDescent="0.25">
      <c r="A245" t="s">
        <v>2646</v>
      </c>
      <c r="B245" s="31">
        <f>SUMIFS('Raw Data'!$F$8:$F$2052,'Raw Data'!$I$8:$I$2052,$A245,'Raw Data'!$K$8:$K$2052,MONTH($A$228))</f>
        <v>255.71</v>
      </c>
      <c r="C245" s="36">
        <f>IFERROR(B245/$B$256,0)</f>
        <v>1.2929260446909186E-2</v>
      </c>
    </row>
    <row r="246" spans="1:3" x14ac:dyDescent="0.25">
      <c r="A246" t="s">
        <v>2647</v>
      </c>
      <c r="B246" s="31">
        <f>SUMIFS('Raw Data'!$F$8:$F$2052,'Raw Data'!$I$8:$I$2052,$A246,'Raw Data'!$K$8:$K$2052,MONTH($A$228))</f>
        <v>225.13</v>
      </c>
      <c r="C246" s="36">
        <f>IFERROR(B246/$B$256,0)</f>
        <v>1.1383068336837296E-2</v>
      </c>
    </row>
    <row r="247" spans="1:3" x14ac:dyDescent="0.25">
      <c r="A247" t="s">
        <v>2626</v>
      </c>
      <c r="B247" s="31">
        <f>SUMIFS('Raw Data'!$F$8:$F$2052,'Raw Data'!$I$8:$I$2052,$A247,'Raw Data'!$K$8:$K$2052,MONTH($A$228))</f>
        <v>179.16</v>
      </c>
      <c r="C247" s="36">
        <f>IFERROR(B247/$B$256,0)</f>
        <v>9.0587239516180425E-3</v>
      </c>
    </row>
    <row r="248" spans="1:3" x14ac:dyDescent="0.25">
      <c r="A248" t="s">
        <v>594</v>
      </c>
      <c r="B248" s="31">
        <f>SUMIFS('Raw Data'!$F$8:$F$2052,'Raw Data'!$I$8:$I$2052,$A248,'Raw Data'!$K$8:$K$2052,MONTH($A$228))</f>
        <v>151.35</v>
      </c>
      <c r="C248" s="36">
        <f>IFERROR(B248/$B$256,0)</f>
        <v>7.6525891386324558E-3</v>
      </c>
    </row>
    <row r="249" spans="1:3" x14ac:dyDescent="0.25">
      <c r="A249" t="s">
        <v>2634</v>
      </c>
      <c r="B249" s="31">
        <f>SUMIFS('Raw Data'!$F$8:$F$2052,'Raw Data'!$I$8:$I$2052,$A249,'Raw Data'!$K$8:$K$2052,MONTH($A$228))</f>
        <v>120.69999999999999</v>
      </c>
      <c r="C249" s="36">
        <f>IFERROR(B249/$B$256,0)</f>
        <v>6.1028576744825728E-3</v>
      </c>
    </row>
    <row r="250" spans="1:3" x14ac:dyDescent="0.25">
      <c r="A250" t="s">
        <v>2639</v>
      </c>
      <c r="B250" s="31">
        <f>SUMIFS('Raw Data'!$F$8:$F$2052,'Raw Data'!$I$8:$I$2052,$A250,'Raw Data'!$K$8:$K$2052,MONTH($A$228))</f>
        <v>82.26</v>
      </c>
      <c r="C250" s="36">
        <f>IFERROR(B250/$B$256,0)</f>
        <v>4.1592466636531603E-3</v>
      </c>
    </row>
    <row r="251" spans="1:3" x14ac:dyDescent="0.25">
      <c r="A251" t="s">
        <v>2628</v>
      </c>
      <c r="B251" s="31">
        <f>SUMIFS('Raw Data'!$F$8:$F$2052,'Raw Data'!$I$8:$I$2052,$A251,'Raw Data'!$K$8:$K$2052,MONTH($A$228))</f>
        <v>40</v>
      </c>
      <c r="C251" s="36">
        <f>IFERROR(B251/$B$256,0)</f>
        <v>2.0224880445675469E-3</v>
      </c>
    </row>
    <row r="252" spans="1:3" x14ac:dyDescent="0.25">
      <c r="A252" t="s">
        <v>2643</v>
      </c>
      <c r="B252" s="31">
        <f>SUMIFS('Raw Data'!$F$8:$F$2052,'Raw Data'!$I$8:$I$2052,$A252,'Raw Data'!$K$8:$K$2052,MONTH($A$228))</f>
        <v>39</v>
      </c>
      <c r="C252" s="36">
        <f>IFERROR(B252/$B$256,0)</f>
        <v>1.9719258434533582E-3</v>
      </c>
    </row>
    <row r="253" spans="1:3" x14ac:dyDescent="0.25">
      <c r="A253" t="s">
        <v>591</v>
      </c>
      <c r="B253" s="31">
        <f>SUMIFS('Raw Data'!$F$8:$F$2052,'Raw Data'!$I$8:$I$2052,$A253,'Raw Data'!$K$8:$K$2052,MONTH($A$228))</f>
        <v>-151.35</v>
      </c>
      <c r="C253" s="36">
        <f>IFERROR(B253/$B$256,0)</f>
        <v>-7.6525891386324558E-3</v>
      </c>
    </row>
    <row r="254" spans="1:3" x14ac:dyDescent="0.25">
      <c r="A254" t="s">
        <v>551</v>
      </c>
      <c r="B254" s="31">
        <f>SUMIFS('Raw Data'!$F$8:$F$2052,'Raw Data'!$I$8:$I$2052,$A254,'Raw Data'!$K$8:$K$2052,MONTH($A$228))</f>
        <v>-290</v>
      </c>
      <c r="C254" s="36">
        <f>IFERROR(B254/$B$256,0)</f>
        <v>-1.4663038323114715E-2</v>
      </c>
    </row>
    <row r="255" spans="1:3" x14ac:dyDescent="0.25">
      <c r="A255" t="s">
        <v>2629</v>
      </c>
      <c r="B255" s="31">
        <f>SUMIFS('Raw Data'!$F$8:$F$2052,'Raw Data'!$I$8:$I$2052,$A255,'Raw Data'!$K$8:$K$2052,MONTH($A$228))</f>
        <v>-380.97</v>
      </c>
      <c r="C255" s="36">
        <f>IFERROR(B255/$B$256,0)</f>
        <v>-1.9262681758472462E-2</v>
      </c>
    </row>
    <row r="256" spans="1:3" x14ac:dyDescent="0.25">
      <c r="A256" s="42" t="s">
        <v>2715</v>
      </c>
      <c r="B256" s="44">
        <f>SUMIFS('Raw Data'!$F$8:$F$2052,'Raw Data'!$K$8:$K$2052,MONTH($A$228),'Raw Data'!$F$8:$F$2052,"&gt;0")</f>
        <v>19777.619999999995</v>
      </c>
      <c r="C256" s="46"/>
    </row>
    <row r="257" spans="1:3" x14ac:dyDescent="0.25">
      <c r="A257" t="s">
        <v>2678</v>
      </c>
      <c r="B257" s="31">
        <f>SUMIFS('Raw Data'!$F$8:$F$2052,'Raw Data'!$K$8:$K$2052,MONTH($A$228),'Raw Data'!$F$8:$F$2052,"&lt;0")</f>
        <v>-822.32</v>
      </c>
      <c r="C257" s="36"/>
    </row>
    <row r="258" spans="1:3" x14ac:dyDescent="0.25">
      <c r="A258" s="10" t="s">
        <v>2704</v>
      </c>
      <c r="B258" s="32">
        <f>B256+B257</f>
        <v>18955.299999999996</v>
      </c>
      <c r="C258" s="47"/>
    </row>
    <row r="259" spans="1:3" x14ac:dyDescent="0.25">
      <c r="B259" s="31"/>
      <c r="C259" s="36"/>
    </row>
    <row r="260" spans="1:3" x14ac:dyDescent="0.25">
      <c r="A260" s="41">
        <f>DATE(2025,11,1)</f>
        <v>45962</v>
      </c>
      <c r="B260" s="35"/>
      <c r="C260" s="39"/>
    </row>
    <row r="261" spans="1:3" x14ac:dyDescent="0.25">
      <c r="A261" s="24" t="s">
        <v>15</v>
      </c>
      <c r="B261" s="43" t="s">
        <v>12</v>
      </c>
      <c r="C261" s="45" t="s">
        <v>2714</v>
      </c>
    </row>
    <row r="262" spans="1:3" x14ac:dyDescent="0.25">
      <c r="A262" t="s">
        <v>2633</v>
      </c>
      <c r="B262" s="31">
        <f>SUMIFS('Raw Data'!$F$8:$F$2052,'Raw Data'!$I$8:$I$2052,$A262,'Raw Data'!$K$8:$K$2052,MONTH($A$260))</f>
        <v>2378.3799999999997</v>
      </c>
      <c r="C262" s="36">
        <f>IFERROR(B262/$B$275,0)</f>
        <v>0.27373317926313329</v>
      </c>
    </row>
    <row r="263" spans="1:3" x14ac:dyDescent="0.25">
      <c r="A263" t="s">
        <v>2632</v>
      </c>
      <c r="B263" s="31">
        <f>SUMIFS('Raw Data'!$F$8:$F$2052,'Raw Data'!$I$8:$I$2052,$A263,'Raw Data'!$K$8:$K$2052,MONTH($A$260))</f>
        <v>2144.6600000000003</v>
      </c>
      <c r="C263" s="36">
        <f>IFERROR(B263/$B$275,0)</f>
        <v>0.24683381134994056</v>
      </c>
    </row>
    <row r="264" spans="1:3" x14ac:dyDescent="0.25">
      <c r="A264" t="s">
        <v>2635</v>
      </c>
      <c r="B264" s="31">
        <f>SUMIFS('Raw Data'!$F$8:$F$2052,'Raw Data'!$I$8:$I$2052,$A264,'Raw Data'!$K$8:$K$2052,MONTH($A$260))</f>
        <v>1151.8699999999999</v>
      </c>
      <c r="C264" s="36">
        <f>IFERROR(B264/$B$275,0)</f>
        <v>0.13257134570498633</v>
      </c>
    </row>
    <row r="265" spans="1:3" x14ac:dyDescent="0.25">
      <c r="A265" t="s">
        <v>2630</v>
      </c>
      <c r="B265" s="31">
        <f>SUMIFS('Raw Data'!$F$8:$F$2052,'Raw Data'!$I$8:$I$2052,$A265,'Raw Data'!$K$8:$K$2052,MONTH($A$260))</f>
        <v>970.72</v>
      </c>
      <c r="C265" s="36">
        <f>IFERROR(B265/$B$275,0)</f>
        <v>0.11172237900348507</v>
      </c>
    </row>
    <row r="266" spans="1:3" x14ac:dyDescent="0.25">
      <c r="A266" t="s">
        <v>2627</v>
      </c>
      <c r="B266" s="31">
        <f>SUMIFS('Raw Data'!$F$8:$F$2052,'Raw Data'!$I$8:$I$2052,$A266,'Raw Data'!$K$8:$K$2052,MONTH($A$260))</f>
        <v>626.00000000000011</v>
      </c>
      <c r="C266" s="36">
        <f>IFERROR(B266/$B$275,0)</f>
        <v>7.2047767900302512E-2</v>
      </c>
    </row>
    <row r="267" spans="1:3" x14ac:dyDescent="0.25">
      <c r="A267" t="s">
        <v>2638</v>
      </c>
      <c r="B267" s="31">
        <f>SUMIFS('Raw Data'!$F$8:$F$2052,'Raw Data'!$I$8:$I$2052,$A267,'Raw Data'!$K$8:$K$2052,MONTH($A$260))</f>
        <v>455</v>
      </c>
      <c r="C267" s="36">
        <f>IFERROR(B267/$B$275,0)</f>
        <v>5.2366987850858852E-2</v>
      </c>
    </row>
    <row r="268" spans="1:3" x14ac:dyDescent="0.25">
      <c r="A268" t="s">
        <v>207</v>
      </c>
      <c r="B268" s="31">
        <f>SUMIFS('Raw Data'!$F$8:$F$2052,'Raw Data'!$I$8:$I$2052,$A268,'Raw Data'!$K$8:$K$2052,MONTH($A$260))</f>
        <v>308.91000000000003</v>
      </c>
      <c r="C268" s="36">
        <f>IFERROR(B268/$B$275,0)</f>
        <v>3.555315652089848E-2</v>
      </c>
    </row>
    <row r="269" spans="1:3" x14ac:dyDescent="0.25">
      <c r="A269" t="s">
        <v>2626</v>
      </c>
      <c r="B269" s="31">
        <f>SUMIFS('Raw Data'!$F$8:$F$2052,'Raw Data'!$I$8:$I$2052,$A269,'Raw Data'!$K$8:$K$2052,MONTH($A$260))</f>
        <v>240.14</v>
      </c>
      <c r="C269" s="36">
        <f>IFERROR(B269/$B$275,0)</f>
        <v>2.763826035715438E-2</v>
      </c>
    </row>
    <row r="270" spans="1:3" x14ac:dyDescent="0.25">
      <c r="A270" t="s">
        <v>2634</v>
      </c>
      <c r="B270" s="31">
        <f>SUMIFS('Raw Data'!$F$8:$F$2052,'Raw Data'!$I$8:$I$2052,$A270,'Raw Data'!$K$8:$K$2052,MONTH($A$260))</f>
        <v>185.98000000000002</v>
      </c>
      <c r="C270" s="36">
        <f>IFERROR(B270/$B$275,0)</f>
        <v>2.1404862418687318E-2</v>
      </c>
    </row>
    <row r="271" spans="1:3" x14ac:dyDescent="0.25">
      <c r="A271" t="s">
        <v>2640</v>
      </c>
      <c r="B271" s="31">
        <f>SUMIFS('Raw Data'!$F$8:$F$2052,'Raw Data'!$I$8:$I$2052,$A271,'Raw Data'!$K$8:$K$2052,MONTH($A$260))</f>
        <v>126.4</v>
      </c>
      <c r="C271" s="36">
        <f>IFERROR(B271/$B$275,0)</f>
        <v>1.4547664317249581E-2</v>
      </c>
    </row>
    <row r="272" spans="1:3" x14ac:dyDescent="0.25">
      <c r="A272" t="s">
        <v>2639</v>
      </c>
      <c r="B272" s="31">
        <f>SUMIFS('Raw Data'!$F$8:$F$2052,'Raw Data'!$I$8:$I$2052,$A272,'Raw Data'!$K$8:$K$2052,MONTH($A$260))</f>
        <v>60.62</v>
      </c>
      <c r="C272" s="36">
        <f>IFERROR(B272/$B$275,0)</f>
        <v>6.9768940736682711E-3</v>
      </c>
    </row>
    <row r="273" spans="1:3" x14ac:dyDescent="0.25">
      <c r="A273" t="s">
        <v>2628</v>
      </c>
      <c r="B273" s="31">
        <f>SUMIFS('Raw Data'!$F$8:$F$2052,'Raw Data'!$I$8:$I$2052,$A273,'Raw Data'!$K$8:$K$2052,MONTH($A$260))</f>
        <v>40</v>
      </c>
      <c r="C273" s="36">
        <f>IFERROR(B273/$B$275,0)</f>
        <v>4.6036912396359431E-3</v>
      </c>
    </row>
    <row r="274" spans="1:3" x14ac:dyDescent="0.25">
      <c r="A274" t="s">
        <v>2629</v>
      </c>
      <c r="B274" s="31">
        <f>SUMIFS('Raw Data'!$F$8:$F$2052,'Raw Data'!$I$8:$I$2052,$A274,'Raw Data'!$K$8:$K$2052,MONTH($A$260))</f>
        <v>-1484</v>
      </c>
      <c r="C274" s="36">
        <f>IFERROR(B274/$B$275,0)</f>
        <v>-0.17079694499049347</v>
      </c>
    </row>
    <row r="275" spans="1:3" x14ac:dyDescent="0.25">
      <c r="A275" s="42" t="s">
        <v>2715</v>
      </c>
      <c r="B275" s="44">
        <f>SUMIFS('Raw Data'!$F$8:$F$2052,'Raw Data'!$K$8:$K$2052,MONTH($A$260),'Raw Data'!$F$8:$F$2052,"&gt;0")</f>
        <v>8688.6799999999948</v>
      </c>
      <c r="C275" s="46"/>
    </row>
    <row r="276" spans="1:3" x14ac:dyDescent="0.25">
      <c r="A276" t="s">
        <v>2678</v>
      </c>
      <c r="B276" s="31">
        <f>SUMIFS('Raw Data'!$F$8:$F$2052,'Raw Data'!$K$8:$K$2052,MONTH($A$260),'Raw Data'!$F$8:$F$2052,"&lt;0")</f>
        <v>-1484</v>
      </c>
      <c r="C276" s="36"/>
    </row>
    <row r="277" spans="1:3" x14ac:dyDescent="0.25">
      <c r="A277" s="10" t="s">
        <v>2704</v>
      </c>
      <c r="B277" s="32">
        <f>B275+B276</f>
        <v>7204.6799999999948</v>
      </c>
      <c r="C277" s="47"/>
    </row>
    <row r="278" spans="1:3" x14ac:dyDescent="0.25">
      <c r="B278" s="31"/>
      <c r="C278" s="36"/>
    </row>
    <row r="279" spans="1:3" x14ac:dyDescent="0.25">
      <c r="A279" s="41">
        <f>DATE(2025,12,1)</f>
        <v>45992</v>
      </c>
      <c r="B279" s="35"/>
      <c r="C279" s="39"/>
    </row>
    <row r="280" spans="1:3" x14ac:dyDescent="0.25">
      <c r="A280" s="24" t="s">
        <v>15</v>
      </c>
      <c r="B280" s="43" t="s">
        <v>12</v>
      </c>
      <c r="C280" s="45" t="s">
        <v>2714</v>
      </c>
    </row>
    <row r="281" spans="1:3" x14ac:dyDescent="0.25">
      <c r="A281" t="s">
        <v>2636</v>
      </c>
      <c r="B281" s="31">
        <f>SUMIFS('Raw Data'!$F$8:$F$2052,'Raw Data'!$I$8:$I$2052,$A281,'Raw Data'!$K$8:$K$2052,MONTH($A$279))</f>
        <v>3220.7400000000002</v>
      </c>
      <c r="C281" s="36">
        <f>IFERROR(B281/$B$299,0)</f>
        <v>0.22028012921043627</v>
      </c>
    </row>
    <row r="282" spans="1:3" x14ac:dyDescent="0.25">
      <c r="A282" t="s">
        <v>2625</v>
      </c>
      <c r="B282" s="31">
        <f>SUMIFS('Raw Data'!$F$8:$F$2052,'Raw Data'!$I$8:$I$2052,$A282,'Raw Data'!$K$8:$K$2052,MONTH($A$279))</f>
        <v>2538.64</v>
      </c>
      <c r="C282" s="36">
        <f>IFERROR(B282/$B$299,0)</f>
        <v>0.17362840440978838</v>
      </c>
    </row>
    <row r="283" spans="1:3" x14ac:dyDescent="0.25">
      <c r="A283" t="s">
        <v>2640</v>
      </c>
      <c r="B283" s="31">
        <f>SUMIFS('Raw Data'!$F$8:$F$2052,'Raw Data'!$I$8:$I$2052,$A283,'Raw Data'!$K$8:$K$2052,MONTH($A$279))</f>
        <v>2195</v>
      </c>
      <c r="C283" s="36">
        <f>IFERROR(B283/$B$299,0)</f>
        <v>0.15012540087585696</v>
      </c>
    </row>
    <row r="284" spans="1:3" x14ac:dyDescent="0.25">
      <c r="A284" t="s">
        <v>2633</v>
      </c>
      <c r="B284" s="31">
        <f>SUMIFS('Raw Data'!$F$8:$F$2052,'Raw Data'!$I$8:$I$2052,$A284,'Raw Data'!$K$8:$K$2052,MONTH($A$279))</f>
        <v>1208</v>
      </c>
      <c r="C284" s="36">
        <f>IFERROR(B284/$B$299,0)</f>
        <v>8.2620266176781421E-2</v>
      </c>
    </row>
    <row r="285" spans="1:3" x14ac:dyDescent="0.25">
      <c r="A285" t="s">
        <v>2632</v>
      </c>
      <c r="B285" s="31">
        <f>SUMIFS('Raw Data'!$F$8:$F$2052,'Raw Data'!$I$8:$I$2052,$A285,'Raw Data'!$K$8:$K$2052,MONTH($A$279))</f>
        <v>1203.6600000000001</v>
      </c>
      <c r="C285" s="36">
        <f>IFERROR(B285/$B$299,0)</f>
        <v>8.232343508803372E-2</v>
      </c>
    </row>
    <row r="286" spans="1:3" x14ac:dyDescent="0.25">
      <c r="A286" t="s">
        <v>2639</v>
      </c>
      <c r="B286" s="31">
        <f>SUMIFS('Raw Data'!$F$8:$F$2052,'Raw Data'!$I$8:$I$2052,$A286,'Raw Data'!$K$8:$K$2052,MONTH($A$279))</f>
        <v>713.38</v>
      </c>
      <c r="C286" s="36">
        <f>IFERROR(B286/$B$299,0)</f>
        <v>4.8791097255953916E-2</v>
      </c>
    </row>
    <row r="287" spans="1:3" x14ac:dyDescent="0.25">
      <c r="A287" t="s">
        <v>2631</v>
      </c>
      <c r="B287" s="31">
        <f>SUMIFS('Raw Data'!$F$8:$F$2052,'Raw Data'!$I$8:$I$2052,$A287,'Raw Data'!$K$8:$K$2052,MONTH($A$279))</f>
        <v>584</v>
      </c>
      <c r="C287" s="36">
        <f>IFERROR(B287/$B$299,0)</f>
        <v>3.9942247886788365E-2</v>
      </c>
    </row>
    <row r="288" spans="1:3" x14ac:dyDescent="0.25">
      <c r="A288" t="s">
        <v>2638</v>
      </c>
      <c r="B288" s="31">
        <f>SUMIFS('Raw Data'!$F$8:$F$2052,'Raw Data'!$I$8:$I$2052,$A288,'Raw Data'!$K$8:$K$2052,MONTH($A$279))</f>
        <v>455</v>
      </c>
      <c r="C288" s="36">
        <f>IFERROR(B288/$B$299,0)</f>
        <v>3.1119388336453266E-2</v>
      </c>
    </row>
    <row r="289" spans="1:3" x14ac:dyDescent="0.25">
      <c r="A289" t="s">
        <v>2627</v>
      </c>
      <c r="B289" s="31">
        <f>SUMIFS('Raw Data'!$F$8:$F$2052,'Raw Data'!$I$8:$I$2052,$A289,'Raw Data'!$K$8:$K$2052,MONTH($A$279))</f>
        <v>418.41000000000008</v>
      </c>
      <c r="C289" s="36">
        <f>IFERROR(B289/$B$299,0)</f>
        <v>2.8616842360121787E-2</v>
      </c>
    </row>
    <row r="290" spans="1:3" x14ac:dyDescent="0.25">
      <c r="A290" t="s">
        <v>207</v>
      </c>
      <c r="B290" s="31">
        <f>SUMIFS('Raw Data'!$F$8:$F$2052,'Raw Data'!$I$8:$I$2052,$A290,'Raw Data'!$K$8:$K$2052,MONTH($A$279))</f>
        <v>385.22</v>
      </c>
      <c r="C290" s="36">
        <f>IFERROR(B290/$B$299,0)</f>
        <v>2.63468368680627E-2</v>
      </c>
    </row>
    <row r="291" spans="1:3" x14ac:dyDescent="0.25">
      <c r="A291" t="s">
        <v>2630</v>
      </c>
      <c r="B291" s="31">
        <f>SUMIFS('Raw Data'!$F$8:$F$2052,'Raw Data'!$I$8:$I$2052,$A291,'Raw Data'!$K$8:$K$2052,MONTH($A$279))</f>
        <v>278.72000000000003</v>
      </c>
      <c r="C291" s="36">
        <f>IFERROR(B291/$B$299,0)</f>
        <v>1.906284816953023E-2</v>
      </c>
    </row>
    <row r="292" spans="1:3" x14ac:dyDescent="0.25">
      <c r="A292" t="s">
        <v>2637</v>
      </c>
      <c r="B292" s="31">
        <f>SUMIFS('Raw Data'!$F$8:$F$2052,'Raw Data'!$I$8:$I$2052,$A292,'Raw Data'!$K$8:$K$2052,MONTH($A$279))</f>
        <v>194.85</v>
      </c>
      <c r="C292" s="36">
        <f>IFERROR(B292/$B$299,0)</f>
        <v>1.332662157661081E-2</v>
      </c>
    </row>
    <row r="293" spans="1:3" x14ac:dyDescent="0.25">
      <c r="A293" t="s">
        <v>2626</v>
      </c>
      <c r="B293" s="31">
        <f>SUMIFS('Raw Data'!$F$8:$F$2052,'Raw Data'!$I$8:$I$2052,$A293,'Raw Data'!$K$8:$K$2052,MONTH($A$279))</f>
        <v>180.14</v>
      </c>
      <c r="C293" s="36">
        <f>IFERROR(B293/$B$299,0)</f>
        <v>1.2320542010832287E-2</v>
      </c>
    </row>
    <row r="294" spans="1:3" x14ac:dyDescent="0.25">
      <c r="A294" t="s">
        <v>2634</v>
      </c>
      <c r="B294" s="31">
        <f>SUMIFS('Raw Data'!$F$8:$F$2052,'Raw Data'!$I$8:$I$2052,$A294,'Raw Data'!$K$8:$K$2052,MONTH($A$279))</f>
        <v>118.69</v>
      </c>
      <c r="C294" s="36">
        <f>IFERROR(B294/$B$299,0)</f>
        <v>8.1177147289090944E-3</v>
      </c>
    </row>
    <row r="295" spans="1:3" x14ac:dyDescent="0.25">
      <c r="A295" t="s">
        <v>2628</v>
      </c>
      <c r="B295" s="31">
        <f>SUMIFS('Raw Data'!$F$8:$F$2052,'Raw Data'!$I$8:$I$2052,$A295,'Raw Data'!$K$8:$K$2052,MONTH($A$279))</f>
        <v>83.289999999999992</v>
      </c>
      <c r="C295" s="36">
        <f>IFERROR(B295/$B$299,0)</f>
        <v>5.6965579220729498E-3</v>
      </c>
    </row>
    <row r="296" spans="1:3" x14ac:dyDescent="0.25">
      <c r="A296" t="s">
        <v>2624</v>
      </c>
      <c r="B296" s="31">
        <f>SUMIFS('Raw Data'!$F$8:$F$2052,'Raw Data'!$I$8:$I$2052,$A296,'Raw Data'!$K$8:$K$2052,MONTH($A$279))</f>
        <v>72</v>
      </c>
      <c r="C296" s="36">
        <f>IFERROR(B296/$B$299,0)</f>
        <v>4.9243867257684291E-3</v>
      </c>
    </row>
    <row r="297" spans="1:3" x14ac:dyDescent="0.25">
      <c r="A297" t="s">
        <v>2635</v>
      </c>
      <c r="B297" s="31">
        <f>SUMIFS('Raw Data'!$F$8:$F$2052,'Raw Data'!$I$8:$I$2052,$A297,'Raw Data'!$K$8:$K$2052,MONTH($A$279))</f>
        <v>57.99</v>
      </c>
      <c r="C297" s="36">
        <f>IFERROR(B297/$B$299,0)</f>
        <v>3.9661831420459885E-3</v>
      </c>
    </row>
    <row r="298" spans="1:3" x14ac:dyDescent="0.25">
      <c r="A298" t="s">
        <v>2629</v>
      </c>
      <c r="B298" s="31">
        <f>SUMIFS('Raw Data'!$F$8:$F$2052,'Raw Data'!$I$8:$I$2052,$A298,'Raw Data'!$K$8:$K$2052,MONTH($A$279))</f>
        <v>-49571.15</v>
      </c>
      <c r="C298" s="36">
        <f>IFERROR(B298/$B$299,0)</f>
        <v>-3.3903821255704951</v>
      </c>
    </row>
    <row r="299" spans="1:3" x14ac:dyDescent="0.25">
      <c r="A299" s="42" t="s">
        <v>2715</v>
      </c>
      <c r="B299" s="44">
        <f>SUMIFS('Raw Data'!$F$8:$F$2052,'Raw Data'!$K$8:$K$2052,MONTH($A$279),'Raw Data'!$F$8:$F$2052,"&gt;0")</f>
        <v>14621.109999999993</v>
      </c>
      <c r="C299" s="46"/>
    </row>
    <row r="300" spans="1:3" x14ac:dyDescent="0.25">
      <c r="A300" t="s">
        <v>2678</v>
      </c>
      <c r="B300" s="31">
        <f>SUMIFS('Raw Data'!$F$8:$F$2052,'Raw Data'!$K$8:$K$2052,MONTH($A$279),'Raw Data'!$F$8:$F$2052,"&lt;0")</f>
        <v>-50284.53</v>
      </c>
      <c r="C300" s="36"/>
    </row>
    <row r="301" spans="1:3" x14ac:dyDescent="0.25">
      <c r="A301" s="10" t="s">
        <v>2704</v>
      </c>
      <c r="B301" s="32">
        <f>B299+B300</f>
        <v>-35663.420000000006</v>
      </c>
      <c r="C301" s="47"/>
    </row>
    <row r="302" spans="1:3" x14ac:dyDescent="0.25">
      <c r="B302" s="31"/>
      <c r="C302" s="3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66115-52E8-41B9-8A4D-1128ED087E4D}">
  <dimension ref="A1:D2049"/>
  <sheetViews>
    <sheetView workbookViewId="0">
      <selection activeCell="F13" sqref="F13"/>
    </sheetView>
  </sheetViews>
  <sheetFormatPr defaultRowHeight="15" x14ac:dyDescent="0.25"/>
  <cols>
    <col min="1" max="1" width="13.28515625" customWidth="1"/>
    <col min="2" max="2" width="45.7109375" customWidth="1"/>
    <col min="3" max="3" width="32.42578125" customWidth="1"/>
    <col min="4" max="4" width="18.140625" customWidth="1"/>
  </cols>
  <sheetData>
    <row r="1" spans="1:4" ht="34.5" customHeight="1" x14ac:dyDescent="0.3">
      <c r="A1" s="40" t="s">
        <v>2670</v>
      </c>
      <c r="B1" s="15"/>
      <c r="C1" s="15"/>
      <c r="D1" s="15"/>
    </row>
    <row r="2" spans="1:4" x14ac:dyDescent="0.25">
      <c r="A2" s="15" t="s">
        <v>2716</v>
      </c>
      <c r="B2" s="15"/>
      <c r="C2" s="15"/>
      <c r="D2" s="15"/>
    </row>
    <row r="4" spans="1:4" x14ac:dyDescent="0.25">
      <c r="A4" s="16" t="s">
        <v>7</v>
      </c>
      <c r="B4" s="16" t="s">
        <v>2717</v>
      </c>
      <c r="C4" s="16" t="s">
        <v>15</v>
      </c>
      <c r="D4" s="16" t="s">
        <v>12</v>
      </c>
    </row>
    <row r="5" spans="1:4" x14ac:dyDescent="0.25">
      <c r="A5" t="str">
        <f>'Raw Data'!A8</f>
        <v>12/31/2025</v>
      </c>
      <c r="B5" t="str">
        <f>'Raw Data'!C8</f>
        <v>A&amp;R NOTARY PLUS     Los Angeles         CA</v>
      </c>
      <c r="C5" t="str">
        <f>'Raw Data'!I8</f>
        <v>Deal Specific: Moab</v>
      </c>
      <c r="D5" s="31">
        <f>'Raw Data'!F8</f>
        <v>72</v>
      </c>
    </row>
    <row r="6" spans="1:4" x14ac:dyDescent="0.25">
      <c r="A6" t="str">
        <f>'Raw Data'!A9</f>
        <v>12/31/2025</v>
      </c>
      <c r="B6" t="str">
        <f>'Raw Data'!C9</f>
        <v>BUDGET RENT A CAR   RICHMOND            CA</v>
      </c>
      <c r="C6" t="str">
        <f>'Raw Data'!I9</f>
        <v>Family Trip</v>
      </c>
      <c r="D6" s="31">
        <f>'Raw Data'!F9</f>
        <v>2160.6</v>
      </c>
    </row>
    <row r="7" spans="1:4" x14ac:dyDescent="0.25">
      <c r="A7" t="str">
        <f>'Raw Data'!A10</f>
        <v>12/31/2025</v>
      </c>
      <c r="B7" t="str">
        <f>'Raw Data'!C10</f>
        <v>SPONSORCLOUD (SYNPROSALT LAKE CITY      UT</v>
      </c>
      <c r="C7" t="str">
        <f>'Raw Data'!I10</f>
        <v>Sponsor Cloud</v>
      </c>
      <c r="D7" s="31">
        <f>'Raw Data'!F10</f>
        <v>180.14</v>
      </c>
    </row>
    <row r="8" spans="1:4" x14ac:dyDescent="0.25">
      <c r="A8" t="str">
        <f>'Raw Data'!A11</f>
        <v>12/29/2025</v>
      </c>
      <c r="B8" t="str">
        <f>'Raw Data'!C11</f>
        <v>DNH*GODADDY#39806828Tempe               AZ</v>
      </c>
      <c r="C8" t="str">
        <f>'Raw Data'!I11</f>
        <v>Go Daddy</v>
      </c>
      <c r="D8" s="31">
        <f>'Raw Data'!F11</f>
        <v>22.98</v>
      </c>
    </row>
    <row r="9" spans="1:4" x14ac:dyDescent="0.25">
      <c r="A9" t="str">
        <f>'Raw Data'!A12</f>
        <v>12/29/2025</v>
      </c>
      <c r="B9" t="str">
        <f>'Raw Data'!C12</f>
        <v>OPENAI *CHATGPT SUBSSAN FRANCISCO       CA</v>
      </c>
      <c r="C9" t="str">
        <f>'Raw Data'!I12</f>
        <v>AI Subscriptions</v>
      </c>
      <c r="D9" s="31">
        <f>'Raw Data'!F12</f>
        <v>20</v>
      </c>
    </row>
    <row r="10" spans="1:4" x14ac:dyDescent="0.25">
      <c r="A10" t="str">
        <f>'Raw Data'!A13</f>
        <v>12/28/2025</v>
      </c>
      <c r="B10" t="str">
        <f>'Raw Data'!C13</f>
        <v>ONLINE PAYMENT - THANK YOU</v>
      </c>
      <c r="C10" t="str">
        <f>'Raw Data'!I13</f>
        <v>Online AMEX Payment</v>
      </c>
      <c r="D10" s="31">
        <f>'Raw Data'!F13</f>
        <v>-29571.15</v>
      </c>
    </row>
    <row r="11" spans="1:4" x14ac:dyDescent="0.25">
      <c r="A11" t="str">
        <f>'Raw Data'!A14</f>
        <v>12/27/2025</v>
      </c>
      <c r="B11" t="str">
        <f>'Raw Data'!C14</f>
        <v>DNH*GODADDY#39792539Tempe               AZ</v>
      </c>
      <c r="C11" t="str">
        <f>'Raw Data'!I14</f>
        <v>Go Daddy</v>
      </c>
      <c r="D11" s="31">
        <f>'Raw Data'!F14</f>
        <v>11.99</v>
      </c>
    </row>
    <row r="12" spans="1:4" x14ac:dyDescent="0.25">
      <c r="A12" t="str">
        <f>'Raw Data'!A15</f>
        <v>12/27/2025</v>
      </c>
      <c r="B12" t="str">
        <f>'Raw Data'!C15</f>
        <v>SPLICE.COM          NEW YORK            NY</v>
      </c>
      <c r="C12" t="str">
        <f>'Raw Data'!I15</f>
        <v>Software &amp; Subscriptions</v>
      </c>
      <c r="D12" s="31">
        <f>'Raw Data'!F15</f>
        <v>39.99</v>
      </c>
    </row>
    <row r="13" spans="1:4" x14ac:dyDescent="0.25">
      <c r="A13" t="str">
        <f>'Raw Data'!A16</f>
        <v>12/25/2025</v>
      </c>
      <c r="B13" t="str">
        <f>'Raw Data'!C16</f>
        <v>DNH*GODADDY#39778629Tempe               AZ</v>
      </c>
      <c r="C13" t="str">
        <f>'Raw Data'!I16</f>
        <v>Go Daddy</v>
      </c>
      <c r="D13" s="31">
        <f>'Raw Data'!F16</f>
        <v>15.98</v>
      </c>
    </row>
    <row r="14" spans="1:4" x14ac:dyDescent="0.25">
      <c r="A14" t="str">
        <f>'Raw Data'!A17</f>
        <v>12/23/2025</v>
      </c>
      <c r="B14" t="str">
        <f>'Raw Data'!C17</f>
        <v>DNH*GODADDY#39769602Tempe               AZ</v>
      </c>
      <c r="C14" t="str">
        <f>'Raw Data'!I17</f>
        <v>Go Daddy</v>
      </c>
      <c r="D14" s="31">
        <f>'Raw Data'!F17</f>
        <v>40.97</v>
      </c>
    </row>
    <row r="15" spans="1:4" x14ac:dyDescent="0.25">
      <c r="A15" t="str">
        <f>'Raw Data'!A18</f>
        <v>12/20/2025</v>
      </c>
      <c r="B15" t="str">
        <f>'Raw Data'!C18</f>
        <v>CAMPAIGNER SVC      888-845-4544        CA</v>
      </c>
      <c r="C15" t="str">
        <f>'Raw Data'!I18</f>
        <v>DWG-RE Platform (Redirected)</v>
      </c>
      <c r="D15" s="31">
        <f>'Raw Data'!F18</f>
        <v>584</v>
      </c>
    </row>
    <row r="16" spans="1:4" x14ac:dyDescent="0.25">
      <c r="A16" t="str">
        <f>'Raw Data'!A19</f>
        <v>12/20/2025</v>
      </c>
      <c r="B16" t="str">
        <f>'Raw Data'!C19</f>
        <v>DNH*GODADDY#39749794Tempe               AZ</v>
      </c>
      <c r="C16" t="str">
        <f>'Raw Data'!I19</f>
        <v>Go Daddy</v>
      </c>
      <c r="D16" s="31">
        <f>'Raw Data'!F19</f>
        <v>17.97</v>
      </c>
    </row>
    <row r="17" spans="1:4" x14ac:dyDescent="0.25">
      <c r="A17" t="str">
        <f>'Raw Data'!A20</f>
        <v>12/18/2025</v>
      </c>
      <c r="B17" t="str">
        <f>'Raw Data'!C20</f>
        <v>DNH*GODADDY#39733818Tempe               AZ</v>
      </c>
      <c r="C17" t="str">
        <f>'Raw Data'!I20</f>
        <v>Go Daddy</v>
      </c>
      <c r="D17" s="31">
        <f>'Raw Data'!F20</f>
        <v>43.98</v>
      </c>
    </row>
    <row r="18" spans="1:4" x14ac:dyDescent="0.25">
      <c r="A18" t="str">
        <f>'Raw Data'!A21</f>
        <v>12/17/2025</v>
      </c>
      <c r="B18" t="str">
        <f>'Raw Data'!C21</f>
        <v>CVS PHARMACY        LOS ANGELES         CA</v>
      </c>
      <c r="C18" t="str">
        <f>'Raw Data'!I21</f>
        <v>Personal - Health</v>
      </c>
      <c r="D18" s="31">
        <f>'Raw Data'!F21</f>
        <v>40.42</v>
      </c>
    </row>
    <row r="19" spans="1:4" x14ac:dyDescent="0.25">
      <c r="A19" t="str">
        <f>'Raw Data'!A22</f>
        <v>12/17/2025</v>
      </c>
      <c r="B19" t="str">
        <f>'Raw Data'!C22</f>
        <v>PACOS TACOS         LOS ANGELES         CA</v>
      </c>
      <c r="C19" t="str">
        <f>'Raw Data'!I22</f>
        <v>Personal - Food</v>
      </c>
      <c r="D19" s="31">
        <f>'Raw Data'!F22</f>
        <v>148.19</v>
      </c>
    </row>
    <row r="20" spans="1:4" x14ac:dyDescent="0.25">
      <c r="A20" t="str">
        <f>'Raw Data'!A23</f>
        <v>12/16/2025</v>
      </c>
      <c r="B20" t="str">
        <f>'Raw Data'!C23</f>
        <v>ACE PARKING 2231 223PLAYA VISTA         CA</v>
      </c>
      <c r="C20" t="str">
        <f>'Raw Data'!I23</f>
        <v>Personal - Car</v>
      </c>
      <c r="D20" s="31">
        <f>'Raw Data'!F23</f>
        <v>3</v>
      </c>
    </row>
    <row r="21" spans="1:4" x14ac:dyDescent="0.25">
      <c r="A21" t="str">
        <f>'Raw Data'!A24</f>
        <v>12/16/2025</v>
      </c>
      <c r="B21" t="str">
        <f>'Raw Data'!C24</f>
        <v>CHEVRON 0308980/CHEVLOS ANGELES         CA</v>
      </c>
      <c r="C21" t="str">
        <f>'Raw Data'!I24</f>
        <v>Personal - Car</v>
      </c>
      <c r="D21" s="31">
        <f>'Raw Data'!F24</f>
        <v>22.91</v>
      </c>
    </row>
    <row r="22" spans="1:4" x14ac:dyDescent="0.25">
      <c r="A22" t="str">
        <f>'Raw Data'!A25</f>
        <v>12/16/2025</v>
      </c>
      <c r="B22" t="str">
        <f>'Raw Data'!C25</f>
        <v>CHEVRON 0308980/CHEVLOS ANGELES         CA</v>
      </c>
      <c r="C22" t="str">
        <f>'Raw Data'!I25</f>
        <v>Personal - Car</v>
      </c>
      <c r="D22" s="31">
        <f>'Raw Data'!F25</f>
        <v>67.78</v>
      </c>
    </row>
    <row r="23" spans="1:4" x14ac:dyDescent="0.25">
      <c r="A23" t="str">
        <f>'Raw Data'!A26</f>
        <v>12/16/2025</v>
      </c>
      <c r="B23" t="str">
        <f>'Raw Data'!C26</f>
        <v>SOCIALPILOT         LEWES               DE</v>
      </c>
      <c r="C23" t="str">
        <f>'Raw Data'!I26</f>
        <v>Software &amp; Subscriptions</v>
      </c>
      <c r="D23" s="31">
        <f>'Raw Data'!F26</f>
        <v>50</v>
      </c>
    </row>
    <row r="24" spans="1:4" x14ac:dyDescent="0.25">
      <c r="A24" t="str">
        <f>'Raw Data'!A27</f>
        <v>12/16/2025</v>
      </c>
      <c r="B24" t="str">
        <f>'Raw Data'!C27</f>
        <v>TST* BLUEYS KITCHEN LOS ANGELES         CA</v>
      </c>
      <c r="C24" t="str">
        <f>'Raw Data'!I27</f>
        <v>Personal - Food</v>
      </c>
      <c r="D24" s="31">
        <f>'Raw Data'!F27</f>
        <v>82.4</v>
      </c>
    </row>
    <row r="25" spans="1:4" x14ac:dyDescent="0.25">
      <c r="A25" t="str">
        <f>'Raw Data'!A28</f>
        <v>12/15/2025</v>
      </c>
      <c r="B25" t="str">
        <f>'Raw Data'!C28</f>
        <v>800.COM, LLC        800-800-4321        FL</v>
      </c>
      <c r="C25" t="str">
        <f>'Raw Data'!I28</f>
        <v>Software &amp; Subscriptions</v>
      </c>
      <c r="D25" s="31">
        <f>'Raw Data'!F28</f>
        <v>69.62</v>
      </c>
    </row>
    <row r="26" spans="1:4" x14ac:dyDescent="0.25">
      <c r="A26" t="str">
        <f>'Raw Data'!A29</f>
        <v>12/15/2025</v>
      </c>
      <c r="B26" t="str">
        <f>'Raw Data'!C29</f>
        <v>PAYA THAI LA LLC    LOS ANGELES         CA</v>
      </c>
      <c r="C26" t="str">
        <f>'Raw Data'!I29</f>
        <v>Personal - Health</v>
      </c>
      <c r="D26" s="31">
        <f>'Raw Data'!F29</f>
        <v>109</v>
      </c>
    </row>
    <row r="27" spans="1:4" x14ac:dyDescent="0.25">
      <c r="A27" t="str">
        <f>'Raw Data'!A30</f>
        <v>12/15/2025</v>
      </c>
      <c r="B27" t="str">
        <f>'Raw Data'!C30</f>
        <v>RESTORE.COM         AUSTIN              TX</v>
      </c>
      <c r="C27" t="str">
        <f>'Raw Data'!I30</f>
        <v>Personal - Health</v>
      </c>
      <c r="D27" s="31">
        <f>'Raw Data'!F30</f>
        <v>199</v>
      </c>
    </row>
    <row r="28" spans="1:4" x14ac:dyDescent="0.25">
      <c r="A28" t="str">
        <f>'Raw Data'!A31</f>
        <v>12/15/2025</v>
      </c>
      <c r="B28" t="str">
        <f>'Raw Data'!C31</f>
        <v>RESTORE.COM         AUSTIN              TX</v>
      </c>
      <c r="C28" t="str">
        <f>'Raw Data'!I31</f>
        <v>Personal - Health</v>
      </c>
      <c r="D28" s="31">
        <f>'Raw Data'!F31</f>
        <v>230</v>
      </c>
    </row>
    <row r="29" spans="1:4" x14ac:dyDescent="0.25">
      <c r="A29" t="str">
        <f>'Raw Data'!A32</f>
        <v>12/15/2025</v>
      </c>
      <c r="B29" t="str">
        <f>'Raw Data'!C32</f>
        <v>THE MV GRAB AND GO  LOS ANGELES         CA</v>
      </c>
      <c r="C29" t="str">
        <f>'Raw Data'!I32</f>
        <v>Personal - Food</v>
      </c>
      <c r="D29" s="31">
        <f>'Raw Data'!F32</f>
        <v>31.55</v>
      </c>
    </row>
    <row r="30" spans="1:4" x14ac:dyDescent="0.25">
      <c r="A30" t="str">
        <f>'Raw Data'!A33</f>
        <v>12/15/2025</v>
      </c>
      <c r="B30" t="str">
        <f>'Raw Data'!C33</f>
        <v>THE MV GRAB AND GO  LOS ANGELES         CA</v>
      </c>
      <c r="C30" t="str">
        <f>'Raw Data'!I33</f>
        <v>Personal - Food</v>
      </c>
      <c r="D30" s="31">
        <f>'Raw Data'!F33</f>
        <v>37.299999999999997</v>
      </c>
    </row>
    <row r="31" spans="1:4" x14ac:dyDescent="0.25">
      <c r="A31" t="str">
        <f>'Raw Data'!A34</f>
        <v>12/14/2025</v>
      </c>
      <c r="B31" t="str">
        <f>'Raw Data'!C34</f>
        <v>CVS PHARMACY        LOS ANGELES         CA</v>
      </c>
      <c r="C31" t="str">
        <f>'Raw Data'!I34</f>
        <v>Personal - Health</v>
      </c>
      <c r="D31" s="31">
        <f>'Raw Data'!F34</f>
        <v>20.84</v>
      </c>
    </row>
    <row r="32" spans="1:4" x14ac:dyDescent="0.25">
      <c r="A32" t="str">
        <f>'Raw Data'!A35</f>
        <v>12/14/2025</v>
      </c>
      <c r="B32" t="str">
        <f>'Raw Data'!C35</f>
        <v>SIXT USA POS        FORT LAUDERDALE     FL</v>
      </c>
      <c r="C32" t="str">
        <f>'Raw Data'!I35</f>
        <v>Family Trip</v>
      </c>
      <c r="D32" s="31">
        <f>'Raw Data'!F35</f>
        <v>378.04</v>
      </c>
    </row>
    <row r="33" spans="1:4" x14ac:dyDescent="0.25">
      <c r="A33" t="str">
        <f>'Raw Data'!A36</f>
        <v>12/14/2025</v>
      </c>
      <c r="B33" t="str">
        <f>'Raw Data'!C36</f>
        <v>THE NOVO            Los Angeles         CA</v>
      </c>
      <c r="C33" t="str">
        <f>'Raw Data'!I36</f>
        <v>Personal - Entertainment</v>
      </c>
      <c r="D33" s="31">
        <f>'Raw Data'!F36</f>
        <v>14.24</v>
      </c>
    </row>
    <row r="34" spans="1:4" x14ac:dyDescent="0.25">
      <c r="A34" t="str">
        <f>'Raw Data'!A37</f>
        <v>12/14/2025</v>
      </c>
      <c r="B34" t="str">
        <f>'Raw Data'!C37</f>
        <v>THE NOVO            Los Angeles         CA</v>
      </c>
      <c r="C34" t="str">
        <f>'Raw Data'!I37</f>
        <v>Personal - Entertainment</v>
      </c>
      <c r="D34" s="31">
        <f>'Raw Data'!F37</f>
        <v>20.350000000000001</v>
      </c>
    </row>
    <row r="35" spans="1:4" x14ac:dyDescent="0.25">
      <c r="A35" t="str">
        <f>'Raw Data'!A38</f>
        <v>12/14/2025</v>
      </c>
      <c r="B35" t="str">
        <f>'Raw Data'!C38</f>
        <v>THE NOVO            Los Angeles         CA</v>
      </c>
      <c r="C35" t="str">
        <f>'Raw Data'!I38</f>
        <v>Personal - Entertainment</v>
      </c>
      <c r="D35" s="31">
        <f>'Raw Data'!F38</f>
        <v>23.4</v>
      </c>
    </row>
    <row r="36" spans="1:4" x14ac:dyDescent="0.25">
      <c r="A36" t="str">
        <f>'Raw Data'!A39</f>
        <v>12/13/2025</v>
      </c>
      <c r="B36" t="str">
        <f>'Raw Data'!C39</f>
        <v>ATHENA PARKING LOT 1MALIBU              CA</v>
      </c>
      <c r="C36" t="str">
        <f>'Raw Data'!I39</f>
        <v>Personal - Car</v>
      </c>
      <c r="D36" s="31">
        <f>'Raw Data'!F39</f>
        <v>25</v>
      </c>
    </row>
    <row r="37" spans="1:4" x14ac:dyDescent="0.25">
      <c r="A37" t="str">
        <f>'Raw Data'!A40</f>
        <v>12/13/2025</v>
      </c>
      <c r="B37" t="str">
        <f>'Raw Data'!C40</f>
        <v>CKO*WONDERSHARE.COM HK                  HK</v>
      </c>
      <c r="C37" t="str">
        <f>'Raw Data'!I40</f>
        <v>AI Subscriptions</v>
      </c>
      <c r="D37" s="31">
        <f>'Raw Data'!F40</f>
        <v>13.29</v>
      </c>
    </row>
    <row r="38" spans="1:4" x14ac:dyDescent="0.25">
      <c r="A38" t="str">
        <f>'Raw Data'!A41</f>
        <v>12/13/2025</v>
      </c>
      <c r="B38" t="str">
        <f>'Raw Data'!C41</f>
        <v>DNH*GODADDY#39695273Tempe               AZ</v>
      </c>
      <c r="C38" t="str">
        <f>'Raw Data'!I41</f>
        <v>Go Daddy</v>
      </c>
      <c r="D38" s="31">
        <f>'Raw Data'!F41</f>
        <v>43.96</v>
      </c>
    </row>
    <row r="39" spans="1:4" x14ac:dyDescent="0.25">
      <c r="A39" t="str">
        <f>'Raw Data'!A42</f>
        <v>12/13/2025</v>
      </c>
      <c r="B39" t="str">
        <f>'Raw Data'!C42</f>
        <v>GRADUATE COLUMBUS GRCOLUMBUS            OH</v>
      </c>
      <c r="C39" t="str">
        <f>'Raw Data'!I42</f>
        <v>Team Travel (Judd)</v>
      </c>
      <c r="D39" s="31">
        <f>'Raw Data'!F42</f>
        <v>80</v>
      </c>
    </row>
    <row r="40" spans="1:4" x14ac:dyDescent="0.25">
      <c r="A40" t="str">
        <f>'Raw Data'!A43</f>
        <v>12/13/2025</v>
      </c>
      <c r="B40" t="str">
        <f>'Raw Data'!C43</f>
        <v>LA CABANA - VENICE 5877-8144102         CA</v>
      </c>
      <c r="C40" t="str">
        <f>'Raw Data'!I43</f>
        <v>Personal - Food</v>
      </c>
      <c r="D40" s="31">
        <f>'Raw Data'!F43</f>
        <v>154.54</v>
      </c>
    </row>
    <row r="41" spans="1:4" x14ac:dyDescent="0.25">
      <c r="A41" t="str">
        <f>'Raw Data'!A44</f>
        <v>12/13/2025</v>
      </c>
      <c r="B41" t="str">
        <f>'Raw Data'!C44</f>
        <v>PAYA THAI LA LLC    LOS ANGELES         CA</v>
      </c>
      <c r="C41" t="str">
        <f>'Raw Data'!I44</f>
        <v>Personal - Health</v>
      </c>
      <c r="D41" s="31">
        <f>'Raw Data'!F44</f>
        <v>220</v>
      </c>
    </row>
    <row r="42" spans="1:4" x14ac:dyDescent="0.25">
      <c r="A42" t="str">
        <f>'Raw Data'!A45</f>
        <v>12/13/2025</v>
      </c>
      <c r="B42" t="str">
        <f>'Raw Data'!C45</f>
        <v>TST* GRADUATE HOTELSCOLUMBUS            OH</v>
      </c>
      <c r="C42" t="str">
        <f>'Raw Data'!I45</f>
        <v>Team Travel (Judd)</v>
      </c>
      <c r="D42" s="31">
        <f>'Raw Data'!F45</f>
        <v>5.97</v>
      </c>
    </row>
    <row r="43" spans="1:4" x14ac:dyDescent="0.25">
      <c r="A43" t="str">
        <f>'Raw Data'!A46</f>
        <v>12/13/2025</v>
      </c>
      <c r="B43" t="str">
        <f>'Raw Data'!C46</f>
        <v>VENICE LIQUOR 436845LOS ANGELES         CA</v>
      </c>
      <c r="C43" t="str">
        <f>'Raw Data'!I46</f>
        <v>Personal - Food</v>
      </c>
      <c r="D43" s="31">
        <f>'Raw Data'!F46</f>
        <v>32.42</v>
      </c>
    </row>
    <row r="44" spans="1:4" x14ac:dyDescent="0.25">
      <c r="A44" t="str">
        <f>'Raw Data'!A47</f>
        <v>12/12/2025</v>
      </c>
      <c r="B44" t="str">
        <f>'Raw Data'!C47</f>
        <v>AUNTIE ANNE &amp; CINNABCLEVELAND           OH</v>
      </c>
      <c r="C44" t="str">
        <f>'Raw Data'!I47</f>
        <v>Personal - Food</v>
      </c>
      <c r="D44" s="31">
        <f>'Raw Data'!F47</f>
        <v>13.56</v>
      </c>
    </row>
    <row r="45" spans="1:4" x14ac:dyDescent="0.25">
      <c r="A45" t="str">
        <f>'Raw Data'!A48</f>
        <v>12/12/2025</v>
      </c>
      <c r="B45" t="str">
        <f>'Raw Data'!C48</f>
        <v>BUDGET RENT A CAR   COLUMBUS            OH</v>
      </c>
      <c r="C45" t="str">
        <f>'Raw Data'!I48</f>
        <v>Team Travel (Judd)</v>
      </c>
      <c r="D45" s="31">
        <f>'Raw Data'!F48</f>
        <v>621.45000000000005</v>
      </c>
    </row>
    <row r="46" spans="1:4" x14ac:dyDescent="0.25">
      <c r="A46" t="str">
        <f>'Raw Data'!A49</f>
        <v>12/12/2025</v>
      </c>
      <c r="B46" t="str">
        <f>'Raw Data'!C49</f>
        <v>CONTACTS+           HUNTINGTON BEACH    CA</v>
      </c>
      <c r="C46" t="str">
        <f>'Raw Data'!I49</f>
        <v>Personal - Health</v>
      </c>
      <c r="D46" s="31">
        <f>'Raw Data'!F49</f>
        <v>13.99</v>
      </c>
    </row>
    <row r="47" spans="1:4" x14ac:dyDescent="0.25">
      <c r="A47" t="str">
        <f>'Raw Data'!A50</f>
        <v>12/12/2025</v>
      </c>
      <c r="B47" t="str">
        <f>'Raw Data'!C50</f>
        <v>GRANDPA'S CHEESE BARASHLAND             OH</v>
      </c>
      <c r="C47" t="str">
        <f>'Raw Data'!I50</f>
        <v>Personal - Food</v>
      </c>
      <c r="D47" s="31">
        <f>'Raw Data'!F50</f>
        <v>54.15</v>
      </c>
    </row>
    <row r="48" spans="1:4" x14ac:dyDescent="0.25">
      <c r="A48" t="str">
        <f>'Raw Data'!A51</f>
        <v>12/12/2025</v>
      </c>
      <c r="B48" t="str">
        <f>'Raw Data'!C51</f>
        <v>SPOTIFY USA         NEW YORK            NY</v>
      </c>
      <c r="C48" t="str">
        <f>'Raw Data'!I51</f>
        <v>Software &amp; Subscriptions</v>
      </c>
      <c r="D48" s="31">
        <f>'Raw Data'!F51</f>
        <v>12.98</v>
      </c>
    </row>
    <row r="49" spans="1:4" x14ac:dyDescent="0.25">
      <c r="A49" t="str">
        <f>'Raw Data'!A52</f>
        <v>12/12/2025</v>
      </c>
      <c r="B49" t="str">
        <f>'Raw Data'!C52</f>
        <v>STARBUCKS C         CLEVELAND           OH</v>
      </c>
      <c r="C49" t="str">
        <f>'Raw Data'!I52</f>
        <v>Personal - Food</v>
      </c>
      <c r="D49" s="31">
        <f>'Raw Data'!F52</f>
        <v>13.4</v>
      </c>
    </row>
    <row r="50" spans="1:4" x14ac:dyDescent="0.25">
      <c r="A50" t="str">
        <f>'Raw Data'!A53</f>
        <v>12/12/2025</v>
      </c>
      <c r="B50" t="str">
        <f>'Raw Data'!C53</f>
        <v>TST* 033 MARCELLA'S COLUMBUS            OH</v>
      </c>
      <c r="C50" t="str">
        <f>'Raw Data'!I53</f>
        <v>Team Travel (Judd)</v>
      </c>
      <c r="D50" s="31">
        <f>'Raw Data'!F53</f>
        <v>236.31</v>
      </c>
    </row>
    <row r="51" spans="1:4" x14ac:dyDescent="0.25">
      <c r="A51" t="str">
        <f>'Raw Data'!A54</f>
        <v>12/12/2025</v>
      </c>
      <c r="B51" t="str">
        <f>'Raw Data'!C54</f>
        <v>United Airlines     Houston</v>
      </c>
      <c r="C51" t="str">
        <f>'Raw Data'!I54</f>
        <v>Team Travel (Judd)</v>
      </c>
      <c r="D51" s="31">
        <f>'Raw Data'!F54</f>
        <v>40</v>
      </c>
    </row>
    <row r="52" spans="1:4" x14ac:dyDescent="0.25">
      <c r="A52" t="str">
        <f>'Raw Data'!A55</f>
        <v>12/11/2025</v>
      </c>
      <c r="B52" t="str">
        <f>'Raw Data'!C55</f>
        <v>DNH*GODADDY#39673481Tempe               AZ</v>
      </c>
      <c r="C52" t="str">
        <f>'Raw Data'!I55</f>
        <v>Go Daddy</v>
      </c>
      <c r="D52" s="31">
        <f>'Raw Data'!F55</f>
        <v>57.73</v>
      </c>
    </row>
    <row r="53" spans="1:4" x14ac:dyDescent="0.25">
      <c r="A53" t="str">
        <f>'Raw Data'!A56</f>
        <v>12/11/2025</v>
      </c>
      <c r="B53" t="str">
        <f>'Raw Data'!C56</f>
        <v>TST* ONE LINE COFFEECOLUMBUS            OH</v>
      </c>
      <c r="C53" t="str">
        <f>'Raw Data'!I56</f>
        <v>Team Travel (Judd)</v>
      </c>
      <c r="D53" s="31">
        <f>'Raw Data'!F56</f>
        <v>16.96</v>
      </c>
    </row>
    <row r="54" spans="1:4" x14ac:dyDescent="0.25">
      <c r="A54" t="str">
        <f>'Raw Data'!A57</f>
        <v>12/11/2025</v>
      </c>
      <c r="B54" t="str">
        <f>'Raw Data'!C57</f>
        <v>TST* TOWNHALL - COLUCOLUMBUS            OH</v>
      </c>
      <c r="C54" t="str">
        <f>'Raw Data'!I57</f>
        <v>Team Travel (Judd)</v>
      </c>
      <c r="D54" s="31">
        <f>'Raw Data'!F57</f>
        <v>78.819999999999993</v>
      </c>
    </row>
    <row r="55" spans="1:4" x14ac:dyDescent="0.25">
      <c r="A55" t="str">
        <f>'Raw Data'!A58</f>
        <v>12/10/2025</v>
      </c>
      <c r="B55" t="str">
        <f>'Raw Data'!C58</f>
        <v>AMERICAN AIRLINES   800-433-7300        TX</v>
      </c>
      <c r="C55" t="str">
        <f>'Raw Data'!I58</f>
        <v>Team Travel (Judd)</v>
      </c>
      <c r="D55" s="31">
        <f>'Raw Data'!F58</f>
        <v>32.79</v>
      </c>
    </row>
    <row r="56" spans="1:4" x14ac:dyDescent="0.25">
      <c r="A56" t="str">
        <f>'Raw Data'!A59</f>
        <v>12/10/2025</v>
      </c>
      <c r="B56" t="str">
        <f>'Raw Data'!C59</f>
        <v>American Airlines   FORT WORTH          TX</v>
      </c>
      <c r="C56" t="str">
        <f>'Raw Data'!I59</f>
        <v>Team Travel (Judd)</v>
      </c>
      <c r="D56" s="31">
        <f>'Raw Data'!F59</f>
        <v>40</v>
      </c>
    </row>
    <row r="57" spans="1:4" x14ac:dyDescent="0.25">
      <c r="A57" t="str">
        <f>'Raw Data'!A60</f>
        <v>12/10/2025</v>
      </c>
      <c r="B57" t="str">
        <f>'Raw Data'!C60</f>
        <v>DNH*GODADDY#39665169Tempe               AZ</v>
      </c>
      <c r="C57" t="str">
        <f>'Raw Data'!I60</f>
        <v>Go Daddy</v>
      </c>
      <c r="D57" s="31">
        <f>'Raw Data'!F60</f>
        <v>26.98</v>
      </c>
    </row>
    <row r="58" spans="1:4" x14ac:dyDescent="0.25">
      <c r="A58" t="str">
        <f>'Raw Data'!A61</f>
        <v>12/10/2025</v>
      </c>
      <c r="B58" t="str">
        <f>'Raw Data'!C61</f>
        <v>STARBUCKS STORE 0980MONTGOMERY          AL</v>
      </c>
      <c r="C58" t="str">
        <f>'Raw Data'!I61</f>
        <v>Team Travel (Judd)</v>
      </c>
      <c r="D58" s="31">
        <f>'Raw Data'!F61</f>
        <v>30.69</v>
      </c>
    </row>
    <row r="59" spans="1:4" x14ac:dyDescent="0.25">
      <c r="A59" t="str">
        <f>'Raw Data'!A62</f>
        <v>12/10/2025</v>
      </c>
      <c r="B59" t="str">
        <f>'Raw Data'!C62</f>
        <v>VIMEO PRO           212-625-0668        NY</v>
      </c>
      <c r="C59" t="str">
        <f>'Raw Data'!I62</f>
        <v>Software &amp; Subscriptions</v>
      </c>
      <c r="D59" s="31">
        <f>'Raw Data'!F62</f>
        <v>24</v>
      </c>
    </row>
    <row r="60" spans="1:4" x14ac:dyDescent="0.25">
      <c r="A60" t="str">
        <f>'Raw Data'!A63</f>
        <v>12/09/2025</v>
      </c>
      <c r="B60" t="str">
        <f>'Raw Data'!C63</f>
        <v>CVS PHARMACY        MONTGOMERY          AL</v>
      </c>
      <c r="C60" t="str">
        <f>'Raw Data'!I63</f>
        <v>Personal - Health</v>
      </c>
      <c r="D60" s="31">
        <f>'Raw Data'!F63</f>
        <v>20.89</v>
      </c>
    </row>
    <row r="61" spans="1:4" x14ac:dyDescent="0.25">
      <c r="A61" t="str">
        <f>'Raw Data'!A64</f>
        <v>12/09/2025</v>
      </c>
      <c r="B61" t="str">
        <f>'Raw Data'!C64</f>
        <v>DNH*GODADDY#39657009Tempe               AZ</v>
      </c>
      <c r="C61" t="str">
        <f>'Raw Data'!I64</f>
        <v>Go Daddy</v>
      </c>
      <c r="D61" s="31">
        <f>'Raw Data'!F64</f>
        <v>13.79</v>
      </c>
    </row>
    <row r="62" spans="1:4" x14ac:dyDescent="0.25">
      <c r="A62" t="str">
        <f>'Raw Data'!A65</f>
        <v>12/09/2025</v>
      </c>
      <c r="B62" t="str">
        <f>'Raw Data'!C65</f>
        <v>LA ZONA ROSA        MONTGOMERY          AL</v>
      </c>
      <c r="C62" t="str">
        <f>'Raw Data'!I65</f>
        <v>Team Travel (Judd)</v>
      </c>
      <c r="D62" s="31">
        <f>'Raw Data'!F65</f>
        <v>105.24</v>
      </c>
    </row>
    <row r="63" spans="1:4" x14ac:dyDescent="0.25">
      <c r="A63" t="str">
        <f>'Raw Data'!A66</f>
        <v>12/09/2025</v>
      </c>
      <c r="B63" t="str">
        <f>'Raw Data'!C66</f>
        <v>TST* CENTRAL RESTAURMONTGOMERY          AL</v>
      </c>
      <c r="C63" t="str">
        <f>'Raw Data'!I66</f>
        <v>Team Travel (Judd)</v>
      </c>
      <c r="D63" s="31">
        <f>'Raw Data'!F66</f>
        <v>136.06</v>
      </c>
    </row>
    <row r="64" spans="1:4" x14ac:dyDescent="0.25">
      <c r="A64" t="str">
        <f>'Raw Data'!A67</f>
        <v>12/08/2025</v>
      </c>
      <c r="B64" t="str">
        <f>'Raw Data'!C67</f>
        <v>BUC-EE'S #0058/UNBRAAUBURN              AL</v>
      </c>
      <c r="C64" t="str">
        <f>'Raw Data'!I67</f>
        <v>Team Travel (Judd)</v>
      </c>
      <c r="D64" s="31">
        <f>'Raw Data'!F67</f>
        <v>64.569999999999993</v>
      </c>
    </row>
    <row r="65" spans="1:4" x14ac:dyDescent="0.25">
      <c r="A65" t="str">
        <f>'Raw Data'!A68</f>
        <v>12/08/2025</v>
      </c>
      <c r="B65" t="str">
        <f>'Raw Data'!C68</f>
        <v>DNH*GODADDY#39649003Tempe               AZ</v>
      </c>
      <c r="C65" t="str">
        <f>'Raw Data'!I68</f>
        <v>Go Daddy</v>
      </c>
      <c r="D65" s="31">
        <f>'Raw Data'!F68</f>
        <v>30.97</v>
      </c>
    </row>
    <row r="66" spans="1:4" x14ac:dyDescent="0.25">
      <c r="A66" t="str">
        <f>'Raw Data'!A69</f>
        <v>12/08/2025</v>
      </c>
      <c r="B66" t="str">
        <f>'Raw Data'!C69</f>
        <v>MASTERCLASS.COM/CHARSAN FRANCISCO       CA</v>
      </c>
      <c r="C66" t="str">
        <f>'Raw Data'!I69</f>
        <v>DWG Development</v>
      </c>
      <c r="D66" s="31">
        <f>'Raw Data'!F69</f>
        <v>194.85</v>
      </c>
    </row>
    <row r="67" spans="1:4" x14ac:dyDescent="0.25">
      <c r="A67" t="str">
        <f>'Raw Data'!A70</f>
        <v>12/08/2025</v>
      </c>
      <c r="B67" t="str">
        <f>'Raw Data'!C70</f>
        <v>OPENAI *CHATGPT SUBSSAN FRANCISCO       CA</v>
      </c>
      <c r="C67" t="str">
        <f>'Raw Data'!I70</f>
        <v>AI Subscriptions</v>
      </c>
      <c r="D67" s="31">
        <f>'Raw Data'!F70</f>
        <v>20</v>
      </c>
    </row>
    <row r="68" spans="1:4" x14ac:dyDescent="0.25">
      <c r="A68" t="str">
        <f>'Raw Data'!A71</f>
        <v>12/08/2025</v>
      </c>
      <c r="B68" t="str">
        <f>'Raw Data'!C71</f>
        <v>RAILROAD THAI       MONTGOMERY          AL</v>
      </c>
      <c r="C68" t="str">
        <f>'Raw Data'!I71</f>
        <v>Team Travel (Judd)</v>
      </c>
      <c r="D68" s="31">
        <f>'Raw Data'!F71</f>
        <v>62.11</v>
      </c>
    </row>
    <row r="69" spans="1:4" x14ac:dyDescent="0.25">
      <c r="A69" t="str">
        <f>'Raw Data'!A72</f>
        <v>12/08/2025</v>
      </c>
      <c r="B69" t="str">
        <f>'Raw Data'!C72</f>
        <v>STARBUCKS STORE 1361LA GRANGE           GA</v>
      </c>
      <c r="C69" t="str">
        <f>'Raw Data'!I72</f>
        <v>Team Travel (Judd)</v>
      </c>
      <c r="D69" s="31">
        <f>'Raw Data'!F72</f>
        <v>20.89</v>
      </c>
    </row>
    <row r="70" spans="1:4" x14ac:dyDescent="0.25">
      <c r="A70" t="str">
        <f>'Raw Data'!A73</f>
        <v>12/08/2025</v>
      </c>
      <c r="B70" t="str">
        <f>'Raw Data'!C73</f>
        <v>THE CANDLER HOTEL THATLANTA             GA</v>
      </c>
      <c r="C70" t="str">
        <f>'Raw Data'!I73</f>
        <v>Team Travel (Judd)</v>
      </c>
      <c r="D70" s="31">
        <f>'Raw Data'!F73</f>
        <v>8.16</v>
      </c>
    </row>
    <row r="71" spans="1:4" x14ac:dyDescent="0.25">
      <c r="A71" t="str">
        <f>'Raw Data'!A74</f>
        <v>12/08/2025</v>
      </c>
      <c r="B71" t="str">
        <f>'Raw Data'!C74</f>
        <v>THE CANDLER HOTEL THATLANTA             GA</v>
      </c>
      <c r="C71" t="str">
        <f>'Raw Data'!I74</f>
        <v>Team Travel (Judd)</v>
      </c>
      <c r="D71" s="31">
        <f>'Raw Data'!F74</f>
        <v>57.79</v>
      </c>
    </row>
    <row r="72" spans="1:4" x14ac:dyDescent="0.25">
      <c r="A72" t="str">
        <f>'Raw Data'!A75</f>
        <v>12/08/2025</v>
      </c>
      <c r="B72" t="str">
        <f>'Raw Data'!C75</f>
        <v>WALGREENS           MONTGOMERY          AL</v>
      </c>
      <c r="C72" t="str">
        <f>'Raw Data'!I75</f>
        <v>Team Travel (Judd)</v>
      </c>
      <c r="D72" s="31">
        <f>'Raw Data'!F75</f>
        <v>47.45</v>
      </c>
    </row>
    <row r="73" spans="1:4" x14ac:dyDescent="0.25">
      <c r="A73" t="str">
        <f>'Raw Data'!A76</f>
        <v>12/07/2025</v>
      </c>
      <c r="B73" t="str">
        <f>'Raw Data'!C76</f>
        <v>6681121 - WE JUICE IATLANTA             GA</v>
      </c>
      <c r="C73" t="str">
        <f>'Raw Data'!I76</f>
        <v>Team Travel (Judd)</v>
      </c>
      <c r="D73" s="31">
        <f>'Raw Data'!F76</f>
        <v>12.4</v>
      </c>
    </row>
    <row r="74" spans="1:4" x14ac:dyDescent="0.25">
      <c r="A74" t="str">
        <f>'Raw Data'!A77</f>
        <v>12/07/2025</v>
      </c>
      <c r="B74" t="str">
        <f>'Raw Data'!C77</f>
        <v>DNH*GODADDY#39640518Tempe               AZ</v>
      </c>
      <c r="C74" t="str">
        <f>'Raw Data'!I77</f>
        <v>Go Daddy</v>
      </c>
      <c r="D74" s="31">
        <f>'Raw Data'!F77</f>
        <v>10.99</v>
      </c>
    </row>
    <row r="75" spans="1:4" x14ac:dyDescent="0.25">
      <c r="A75" t="str">
        <f>'Raw Data'!A78</f>
        <v>12/07/2025</v>
      </c>
      <c r="B75" t="str">
        <f>'Raw Data'!C78</f>
        <v>NNN.MARKET          CLEARWATER          FL</v>
      </c>
      <c r="C75" t="str">
        <f>'Raw Data'!I78</f>
        <v>DWG Listing Platform</v>
      </c>
      <c r="D75" s="31">
        <f>'Raw Data'!F78</f>
        <v>195</v>
      </c>
    </row>
    <row r="76" spans="1:4" x14ac:dyDescent="0.25">
      <c r="A76" t="str">
        <f>'Raw Data'!A79</f>
        <v>12/07/2025</v>
      </c>
      <c r="B76" t="str">
        <f>'Raw Data'!C79</f>
        <v>ON INC              PORTLAND            OR</v>
      </c>
      <c r="C76" t="str">
        <f>'Raw Data'!I79</f>
        <v>Personal - Clothing</v>
      </c>
      <c r="D76" s="31">
        <f>'Raw Data'!F79</f>
        <v>-713.38</v>
      </c>
    </row>
    <row r="77" spans="1:4" x14ac:dyDescent="0.25">
      <c r="A77" t="str">
        <f>'Raw Data'!A80</f>
        <v>12/07/2025</v>
      </c>
      <c r="B77" t="str">
        <f>'Raw Data'!C80</f>
        <v>STARBUCKS 85549 STARLOS ANGELES         CA</v>
      </c>
      <c r="C77" t="str">
        <f>'Raw Data'!I80</f>
        <v>Personal - Food</v>
      </c>
      <c r="D77" s="31">
        <f>'Raw Data'!F80</f>
        <v>7.61</v>
      </c>
    </row>
    <row r="78" spans="1:4" x14ac:dyDescent="0.25">
      <c r="A78" t="str">
        <f>'Raw Data'!A81</f>
        <v>12/07/2025</v>
      </c>
      <c r="B78" t="str">
        <f>'Raw Data'!C81</f>
        <v>TST* CAFE GRATITUDE VENICE              CA</v>
      </c>
      <c r="C78" t="str">
        <f>'Raw Data'!I81</f>
        <v>Personal - Food</v>
      </c>
      <c r="D78" s="31">
        <f>'Raw Data'!F81</f>
        <v>162.80000000000001</v>
      </c>
    </row>
    <row r="79" spans="1:4" x14ac:dyDescent="0.25">
      <c r="A79" t="str">
        <f>'Raw Data'!A82</f>
        <v>12/07/2025</v>
      </c>
      <c r="B79" t="str">
        <f>'Raw Data'!C82</f>
        <v>TST* PASHA 00127546 ATLANTA             GA</v>
      </c>
      <c r="C79" t="str">
        <f>'Raw Data'!I82</f>
        <v>Personal - Food</v>
      </c>
      <c r="D79" s="31">
        <f>'Raw Data'!F82</f>
        <v>212.88</v>
      </c>
    </row>
    <row r="80" spans="1:4" x14ac:dyDescent="0.25">
      <c r="A80" t="str">
        <f>'Raw Data'!A83</f>
        <v>12/06/2025</v>
      </c>
      <c r="B80" t="str">
        <f>'Raw Data'!C83</f>
        <v>BRAVE.COM           SAN FRANCISCO       CA</v>
      </c>
      <c r="C80" t="str">
        <f>'Raw Data'!I83</f>
        <v>Software &amp; Subscriptions</v>
      </c>
      <c r="D80" s="31">
        <f>'Raw Data'!F83</f>
        <v>9.99</v>
      </c>
    </row>
    <row r="81" spans="1:4" x14ac:dyDescent="0.25">
      <c r="A81" t="str">
        <f>'Raw Data'!A84</f>
        <v>12/06/2025</v>
      </c>
      <c r="B81" t="str">
        <f>'Raw Data'!C84</f>
        <v>CREXI               LOS ANGELES         CA</v>
      </c>
      <c r="C81" t="str">
        <f>'Raw Data'!I84</f>
        <v>DWG Listing Platform</v>
      </c>
      <c r="D81" s="31">
        <f>'Raw Data'!F84</f>
        <v>260</v>
      </c>
    </row>
    <row r="82" spans="1:4" x14ac:dyDescent="0.25">
      <c r="A82" t="str">
        <f>'Raw Data'!A85</f>
        <v>12/06/2025</v>
      </c>
      <c r="B82" t="str">
        <f>'Raw Data'!C85</f>
        <v>DNH*GODADDY#39633846Tempe               AZ</v>
      </c>
      <c r="C82" t="str">
        <f>'Raw Data'!I85</f>
        <v>Go Daddy</v>
      </c>
      <c r="D82" s="31">
        <f>'Raw Data'!F85</f>
        <v>31.18</v>
      </c>
    </row>
    <row r="83" spans="1:4" x14ac:dyDescent="0.25">
      <c r="A83" t="str">
        <f>'Raw Data'!A86</f>
        <v>12/06/2025</v>
      </c>
      <c r="B83" t="str">
        <f>'Raw Data'!C86</f>
        <v>ON INC              PORTLAND            OR</v>
      </c>
      <c r="C83" t="str">
        <f>'Raw Data'!I86</f>
        <v>Personal - Clothing</v>
      </c>
      <c r="D83" s="31">
        <f>'Raw Data'!F86</f>
        <v>713.38</v>
      </c>
    </row>
    <row r="84" spans="1:4" x14ac:dyDescent="0.25">
      <c r="A84" t="str">
        <f>'Raw Data'!A87</f>
        <v>12/06/2025</v>
      </c>
      <c r="B84" t="str">
        <f>'Raw Data'!C87</f>
        <v>ON INC              PORTLAND            OR</v>
      </c>
      <c r="C84" t="str">
        <f>'Raw Data'!I87</f>
        <v>Personal - Clothing</v>
      </c>
      <c r="D84" s="31">
        <f>'Raw Data'!F87</f>
        <v>713.38</v>
      </c>
    </row>
    <row r="85" spans="1:4" x14ac:dyDescent="0.25">
      <c r="A85" t="str">
        <f>'Raw Data'!A88</f>
        <v>12/06/2025</v>
      </c>
      <c r="B85" t="str">
        <f>'Raw Data'!C88</f>
        <v>PACOS TACOS         LOS ANGELES         CA</v>
      </c>
      <c r="C85" t="str">
        <f>'Raw Data'!I88</f>
        <v>Personal - Food</v>
      </c>
      <c r="D85" s="31">
        <f>'Raw Data'!F88</f>
        <v>169.38</v>
      </c>
    </row>
    <row r="86" spans="1:4" x14ac:dyDescent="0.25">
      <c r="A86" t="str">
        <f>'Raw Data'!A89</f>
        <v>12/05/2025</v>
      </c>
      <c r="B86" t="str">
        <f>'Raw Data'!C89</f>
        <v>BEC* REGS4TEM7U7    LITTLETON           CO</v>
      </c>
      <c r="C86" t="str">
        <f>'Raw Data'!I89</f>
        <v>TBD</v>
      </c>
      <c r="D86" s="31">
        <f>'Raw Data'!F89</f>
        <v>2195</v>
      </c>
    </row>
    <row r="87" spans="1:4" x14ac:dyDescent="0.25">
      <c r="A87" t="str">
        <f>'Raw Data'!A90</f>
        <v>12/05/2025</v>
      </c>
      <c r="B87" t="str">
        <f>'Raw Data'!C90</f>
        <v>CUSTOMER SERVICE PAYMENT - THANK YOU</v>
      </c>
      <c r="C87" t="str">
        <f>'Raw Data'!I90</f>
        <v>Online AMEX Payment</v>
      </c>
      <c r="D87" s="31">
        <f>'Raw Data'!F90</f>
        <v>-10000</v>
      </c>
    </row>
    <row r="88" spans="1:4" x14ac:dyDescent="0.25">
      <c r="A88" t="str">
        <f>'Raw Data'!A91</f>
        <v>12/05/2025</v>
      </c>
      <c r="B88" t="str">
        <f>'Raw Data'!C91</f>
        <v>DNH*GODADDY#39628862Tempe               AZ</v>
      </c>
      <c r="C88" t="str">
        <f>'Raw Data'!I91</f>
        <v>Go Daddy</v>
      </c>
      <c r="D88" s="31">
        <f>'Raw Data'!F91</f>
        <v>17.97</v>
      </c>
    </row>
    <row r="89" spans="1:4" x14ac:dyDescent="0.25">
      <c r="A89" t="str">
        <f>'Raw Data'!A92</f>
        <v>12/05/2025</v>
      </c>
      <c r="B89" t="str">
        <f>'Raw Data'!C92</f>
        <v>EXPEDIA 733192382190EXPEDIA.COM         WA</v>
      </c>
      <c r="C89" t="str">
        <f>'Raw Data'!I92</f>
        <v>Team Travel (Judd)</v>
      </c>
      <c r="D89" s="31">
        <f>'Raw Data'!F92</f>
        <v>234.69</v>
      </c>
    </row>
    <row r="90" spans="1:4" x14ac:dyDescent="0.25">
      <c r="A90" t="str">
        <f>'Raw Data'!A93</f>
        <v>12/05/2025</v>
      </c>
      <c r="B90" t="str">
        <f>'Raw Data'!C93</f>
        <v>EXPEDIA 733198567492EXPEDIA.COM         WA</v>
      </c>
      <c r="C90" t="str">
        <f>'Raw Data'!I93</f>
        <v>Team Travel (Judd)</v>
      </c>
      <c r="D90" s="31">
        <f>'Raw Data'!F93</f>
        <v>329.66</v>
      </c>
    </row>
    <row r="91" spans="1:4" x14ac:dyDescent="0.25">
      <c r="A91" t="str">
        <f>'Raw Data'!A94</f>
        <v>12/05/2025</v>
      </c>
      <c r="B91" t="str">
        <f>'Raw Data'!C94</f>
        <v>EXPEDIA 733198979514EXPEDIA.COM         WA</v>
      </c>
      <c r="C91" t="str">
        <f>'Raw Data'!I94</f>
        <v>Team Travel (Judd)</v>
      </c>
      <c r="D91" s="31">
        <f>'Raw Data'!F94</f>
        <v>227.02</v>
      </c>
    </row>
    <row r="92" spans="1:4" x14ac:dyDescent="0.25">
      <c r="A92" t="str">
        <f>'Raw Data'!A95</f>
        <v>12/05/2025</v>
      </c>
      <c r="B92" t="str">
        <f>'Raw Data'!C95</f>
        <v>EXPEDIA 733199016700EXPEDIA.COM         WA</v>
      </c>
      <c r="C92" t="str">
        <f>'Raw Data'!I95</f>
        <v>Team Travel (Judd)</v>
      </c>
      <c r="D92" s="31">
        <f>'Raw Data'!F95</f>
        <v>240.3</v>
      </c>
    </row>
    <row r="93" spans="1:4" x14ac:dyDescent="0.25">
      <c r="A93" t="str">
        <f>'Raw Data'!A96</f>
        <v>12/05/2025</v>
      </c>
      <c r="B93" t="str">
        <f>'Raw Data'!C96</f>
        <v>PAYPAL *AIRBNB HMEHN8888888888          CA</v>
      </c>
      <c r="C93" t="str">
        <f>'Raw Data'!I96</f>
        <v>Team Travel (Judd)</v>
      </c>
      <c r="D93" s="31">
        <f>'Raw Data'!F96</f>
        <v>491.41</v>
      </c>
    </row>
    <row r="94" spans="1:4" x14ac:dyDescent="0.25">
      <c r="A94" t="str">
        <f>'Raw Data'!A97</f>
        <v>12/04/2025</v>
      </c>
      <c r="B94" t="str">
        <f>'Raw Data'!C97</f>
        <v>RESTORE.COM         AUSTIN              TX</v>
      </c>
      <c r="C94" t="str">
        <f>'Raw Data'!I97</f>
        <v>Personal - Health</v>
      </c>
      <c r="D94" s="31">
        <f>'Raw Data'!F97</f>
        <v>230</v>
      </c>
    </row>
    <row r="95" spans="1:4" x14ac:dyDescent="0.25">
      <c r="A95" t="str">
        <f>'Raw Data'!A98</f>
        <v>12/04/2025</v>
      </c>
      <c r="B95" t="str">
        <f>'Raw Data'!C98</f>
        <v>XAI LLC             PALO ALTO           CA</v>
      </c>
      <c r="C95" t="str">
        <f>'Raw Data'!I98</f>
        <v>AI Subscriptions</v>
      </c>
      <c r="D95" s="31">
        <f>'Raw Data'!F98</f>
        <v>30</v>
      </c>
    </row>
    <row r="96" spans="1:4" x14ac:dyDescent="0.25">
      <c r="A96" t="str">
        <f>'Raw Data'!A99</f>
        <v>12/03/2025</v>
      </c>
      <c r="B96" t="str">
        <f>'Raw Data'!C99</f>
        <v>Interest Charge on Pay Over Time Purchases</v>
      </c>
      <c r="C96" t="str">
        <f>'Raw Data'!I99</f>
        <v>Interest Charge on Pay Over Time Purchases</v>
      </c>
      <c r="D96" s="31">
        <f>'Raw Data'!F99</f>
        <v>385.22</v>
      </c>
    </row>
    <row r="97" spans="1:4" x14ac:dyDescent="0.25">
      <c r="A97" t="str">
        <f>'Raw Data'!A100</f>
        <v>12/03/2025</v>
      </c>
      <c r="B97" t="str">
        <f>'Raw Data'!C100</f>
        <v>MOBILE PAYMENT - THANK YOU</v>
      </c>
      <c r="C97" t="str">
        <f>'Raw Data'!I100</f>
        <v>Online AMEX Payment</v>
      </c>
      <c r="D97" s="31">
        <f>'Raw Data'!F100</f>
        <v>-10000</v>
      </c>
    </row>
    <row r="98" spans="1:4" x14ac:dyDescent="0.25">
      <c r="A98" t="str">
        <f>'Raw Data'!A101</f>
        <v>12/03/2025</v>
      </c>
      <c r="B98" t="str">
        <f>'Raw Data'!C101</f>
        <v>SALESMESSAGE.COM    DELRAY BEACH        FL</v>
      </c>
      <c r="C98" t="str">
        <f>'Raw Data'!I101</f>
        <v>Software &amp; Subscriptions</v>
      </c>
      <c r="D98" s="31">
        <f>'Raw Data'!F101</f>
        <v>52.14</v>
      </c>
    </row>
    <row r="99" spans="1:4" x14ac:dyDescent="0.25">
      <c r="A99" t="str">
        <f>'Raw Data'!A102</f>
        <v>12/02/2025</v>
      </c>
      <c r="B99" t="str">
        <f>'Raw Data'!C102</f>
        <v>ALANA'S COFFEE ROASTLos Angeles         CA</v>
      </c>
      <c r="C99" t="str">
        <f>'Raw Data'!I102</f>
        <v>Personal - Food</v>
      </c>
      <c r="D99" s="31">
        <f>'Raw Data'!F102</f>
        <v>9.75</v>
      </c>
    </row>
    <row r="100" spans="1:4" x14ac:dyDescent="0.25">
      <c r="A100" t="str">
        <f>'Raw Data'!A103</f>
        <v>12/01/2025</v>
      </c>
      <c r="B100" t="str">
        <f>'Raw Data'!C103</f>
        <v>ABC*ICONFIT         LOS ANGELES         CA</v>
      </c>
      <c r="C100" t="str">
        <f>'Raw Data'!I103</f>
        <v>Personal - Health</v>
      </c>
      <c r="D100" s="31">
        <f>'Raw Data'!F103</f>
        <v>119.52</v>
      </c>
    </row>
    <row r="101" spans="1:4" x14ac:dyDescent="0.25">
      <c r="A101" t="str">
        <f>'Raw Data'!A104</f>
        <v>12/01/2025</v>
      </c>
      <c r="B101" t="str">
        <f>'Raw Data'!C104</f>
        <v>DNH*GODADDY#39596554Tempe               AZ</v>
      </c>
      <c r="C101" t="str">
        <f>'Raw Data'!I104</f>
        <v>Go Daddy</v>
      </c>
      <c r="D101" s="31">
        <f>'Raw Data'!F104</f>
        <v>30.97</v>
      </c>
    </row>
    <row r="102" spans="1:4" x14ac:dyDescent="0.25">
      <c r="A102" t="str">
        <f>'Raw Data'!A105</f>
        <v>12/01/2025</v>
      </c>
      <c r="B102" t="str">
        <f>'Raw Data'!C105</f>
        <v>LOOM SUBSCRIPTION   AUSTIN              TX</v>
      </c>
      <c r="C102" t="str">
        <f>'Raw Data'!I105</f>
        <v>Software &amp; Subscriptions</v>
      </c>
      <c r="D102" s="31">
        <f>'Raw Data'!F105</f>
        <v>20</v>
      </c>
    </row>
    <row r="103" spans="1:4" x14ac:dyDescent="0.25">
      <c r="A103" t="str">
        <f>'Raw Data'!A106</f>
        <v>12/01/2025</v>
      </c>
      <c r="B103" t="str">
        <f>'Raw Data'!C106</f>
        <v>TST* BLUEYS KITCHEN LOS ANGELES         CA</v>
      </c>
      <c r="C103" t="str">
        <f>'Raw Data'!I106</f>
        <v>Personal - Food</v>
      </c>
      <c r="D103" s="31">
        <f>'Raw Data'!F106</f>
        <v>8.7799999999999994</v>
      </c>
    </row>
    <row r="104" spans="1:4" x14ac:dyDescent="0.25">
      <c r="A104" t="str">
        <f>'Raw Data'!A107</f>
        <v>12/01/2025</v>
      </c>
      <c r="B104" t="str">
        <f>'Raw Data'!C107</f>
        <v>TST* BLUEYS KITCHEN LOS ANGELES         CA</v>
      </c>
      <c r="C104" t="str">
        <f>'Raw Data'!I107</f>
        <v>Personal - Food</v>
      </c>
      <c r="D104" s="31">
        <f>'Raw Data'!F107</f>
        <v>69.290000000000006</v>
      </c>
    </row>
    <row r="105" spans="1:4" x14ac:dyDescent="0.25">
      <c r="A105" t="str">
        <f>'Raw Data'!A108</f>
        <v>11/30/2025</v>
      </c>
      <c r="B105" t="str">
        <f>'Raw Data'!C108</f>
        <v>LA FIESTA FOODS INC.Los Angeles         CA</v>
      </c>
      <c r="C105" t="str">
        <f>'Raw Data'!I108</f>
        <v>Personal - Food</v>
      </c>
      <c r="D105" s="31">
        <f>'Raw Data'!F108</f>
        <v>74.349999999999994</v>
      </c>
    </row>
    <row r="106" spans="1:4" x14ac:dyDescent="0.25">
      <c r="A106" t="str">
        <f>'Raw Data'!A109</f>
        <v>11/30/2025</v>
      </c>
      <c r="B106" t="str">
        <f>'Raw Data'!C109</f>
        <v>PICKLED BY SHRED LLCLos Angeles         CA</v>
      </c>
      <c r="C106" t="str">
        <f>'Raw Data'!I109</f>
        <v>Personal - Food</v>
      </c>
      <c r="D106" s="31">
        <f>'Raw Data'!F109</f>
        <v>58</v>
      </c>
    </row>
    <row r="107" spans="1:4" x14ac:dyDescent="0.25">
      <c r="A107" t="str">
        <f>'Raw Data'!A110</f>
        <v>11/30/2025</v>
      </c>
      <c r="B107" t="str">
        <f>'Raw Data'!C110</f>
        <v>PY *FATBURGER 65 000MARINA DEL RE       CA</v>
      </c>
      <c r="C107" t="str">
        <f>'Raw Data'!I110</f>
        <v>Personal - Food</v>
      </c>
      <c r="D107" s="31">
        <f>'Raw Data'!F110</f>
        <v>54.37</v>
      </c>
    </row>
    <row r="108" spans="1:4" x14ac:dyDescent="0.25">
      <c r="A108" t="str">
        <f>'Raw Data'!A111</f>
        <v>11/30/2025</v>
      </c>
      <c r="B108" t="str">
        <f>'Raw Data'!C111</f>
        <v>SPONSORCLOUD (SYNPROSALT LAKE CITY      UT</v>
      </c>
      <c r="C108" t="str">
        <f>'Raw Data'!I111</f>
        <v>Sponsor Cloud</v>
      </c>
      <c r="D108" s="31">
        <f>'Raw Data'!F111</f>
        <v>180.14</v>
      </c>
    </row>
    <row r="109" spans="1:4" x14ac:dyDescent="0.25">
      <c r="A109" t="str">
        <f>'Raw Data'!A112</f>
        <v>11/30/2025</v>
      </c>
      <c r="B109" t="str">
        <f>'Raw Data'!C112</f>
        <v>TST* BEETHOVEN 00200LOS ANGELES         CA</v>
      </c>
      <c r="C109" t="str">
        <f>'Raw Data'!I112</f>
        <v>Personal - Food</v>
      </c>
      <c r="D109" s="31">
        <f>'Raw Data'!F112</f>
        <v>283.23</v>
      </c>
    </row>
    <row r="110" spans="1:4" x14ac:dyDescent="0.25">
      <c r="A110" t="str">
        <f>'Raw Data'!A113</f>
        <v>11/30/2025</v>
      </c>
      <c r="B110" t="str">
        <f>'Raw Data'!C113</f>
        <v>UNION 76 10194728   LOS ANGELES         CA</v>
      </c>
      <c r="C110" t="str">
        <f>'Raw Data'!I113</f>
        <v>Personal - Car</v>
      </c>
      <c r="D110" s="31">
        <f>'Raw Data'!F113</f>
        <v>6.69</v>
      </c>
    </row>
    <row r="111" spans="1:4" x14ac:dyDescent="0.25">
      <c r="A111" t="str">
        <f>'Raw Data'!A114</f>
        <v>11/29/2025</v>
      </c>
      <c r="B111" t="str">
        <f>'Raw Data'!C114</f>
        <v>CASABLANCA RESTAURANVENICE              CA</v>
      </c>
      <c r="C111" t="str">
        <f>'Raw Data'!I114</f>
        <v>Personal - Food</v>
      </c>
      <c r="D111" s="31">
        <f>'Raw Data'!F114</f>
        <v>147.86000000000001</v>
      </c>
    </row>
    <row r="112" spans="1:4" x14ac:dyDescent="0.25">
      <c r="A112" t="str">
        <f>'Raw Data'!A115</f>
        <v>11/29/2025</v>
      </c>
      <c r="B112" t="str">
        <f>'Raw Data'!C115</f>
        <v>DNH*GODADDY#39582504Tempe               AZ</v>
      </c>
      <c r="C112" t="str">
        <f>'Raw Data'!I115</f>
        <v>Go Daddy</v>
      </c>
      <c r="D112" s="31">
        <f>'Raw Data'!F115</f>
        <v>22.98</v>
      </c>
    </row>
    <row r="113" spans="1:4" x14ac:dyDescent="0.25">
      <c r="A113" t="str">
        <f>'Raw Data'!A116</f>
        <v>11/29/2025</v>
      </c>
      <c r="B113" t="str">
        <f>'Raw Data'!C116</f>
        <v>JACKS SURF BOARDS   SANTA MONICA        CA</v>
      </c>
      <c r="C113" t="str">
        <f>'Raw Data'!I116</f>
        <v>Personal - Entertainment</v>
      </c>
      <c r="D113" s="31">
        <f>'Raw Data'!F116</f>
        <v>614.29</v>
      </c>
    </row>
    <row r="114" spans="1:4" x14ac:dyDescent="0.25">
      <c r="A114" t="str">
        <f>'Raw Data'!A117</f>
        <v>11/29/2025</v>
      </c>
      <c r="B114" t="str">
        <f>'Raw Data'!C117</f>
        <v>LARRYS SHAVER SHOPPESANTA MONICA        CA</v>
      </c>
      <c r="C114" t="str">
        <f>'Raw Data'!I117</f>
        <v>Personal - Entertainment</v>
      </c>
      <c r="D114" s="31">
        <f>'Raw Data'!F117</f>
        <v>99.62</v>
      </c>
    </row>
    <row r="115" spans="1:4" x14ac:dyDescent="0.25">
      <c r="A115" t="str">
        <f>'Raw Data'!A118</f>
        <v>11/29/2025</v>
      </c>
      <c r="B115" t="str">
        <f>'Raw Data'!C118</f>
        <v>OPENAI *CHATGPT SUBSSAN FRANCISCO       CA</v>
      </c>
      <c r="C115" t="str">
        <f>'Raw Data'!I118</f>
        <v>AI Subscriptions</v>
      </c>
      <c r="D115" s="31">
        <f>'Raw Data'!F118</f>
        <v>20</v>
      </c>
    </row>
    <row r="116" spans="1:4" x14ac:dyDescent="0.25">
      <c r="A116" t="str">
        <f>'Raw Data'!A119</f>
        <v>11/29/2025</v>
      </c>
      <c r="B116" t="str">
        <f>'Raw Data'!C119</f>
        <v>STARBUCKS STORE 0566SANTA MONICA        CA</v>
      </c>
      <c r="C116" t="str">
        <f>'Raw Data'!I119</f>
        <v>Personal - Food</v>
      </c>
      <c r="D116" s="31">
        <f>'Raw Data'!F119</f>
        <v>8.3000000000000007</v>
      </c>
    </row>
    <row r="117" spans="1:4" x14ac:dyDescent="0.25">
      <c r="A117" t="str">
        <f>'Raw Data'!A120</f>
        <v>11/28/2025</v>
      </c>
      <c r="B117" t="str">
        <f>'Raw Data'!C120</f>
        <v>ANACAPA SURF N SPORTOXNARD              CA</v>
      </c>
      <c r="C117" t="str">
        <f>'Raw Data'!I120</f>
        <v>Personal - Entertainment</v>
      </c>
      <c r="D117" s="31">
        <f>'Raw Data'!F120</f>
        <v>87.4</v>
      </c>
    </row>
    <row r="118" spans="1:4" x14ac:dyDescent="0.25">
      <c r="A118" t="str">
        <f>'Raw Data'!A121</f>
        <v>11/28/2025</v>
      </c>
      <c r="B118" t="str">
        <f>'Raw Data'!C121</f>
        <v>ANACAPA SURF N SPORTOXNARD              CA</v>
      </c>
      <c r="C118" t="str">
        <f>'Raw Data'!I121</f>
        <v>Personal - Entertainment</v>
      </c>
      <c r="D118" s="31">
        <f>'Raw Data'!F121</f>
        <v>318.95999999999998</v>
      </c>
    </row>
    <row r="119" spans="1:4" x14ac:dyDescent="0.25">
      <c r="A119" t="str">
        <f>'Raw Data'!A122</f>
        <v>11/28/2025</v>
      </c>
      <c r="B119" t="str">
        <f>'Raw Data'!C122</f>
        <v>UNION 76 00463695   PACIFIC PALISADES   CA</v>
      </c>
      <c r="C119" t="str">
        <f>'Raw Data'!I122</f>
        <v>Personal - Car</v>
      </c>
      <c r="D119" s="31">
        <f>'Raw Data'!F122</f>
        <v>75.48</v>
      </c>
    </row>
    <row r="120" spans="1:4" x14ac:dyDescent="0.25">
      <c r="A120" t="str">
        <f>'Raw Data'!A123</f>
        <v>11/28/2025</v>
      </c>
      <c r="B120" t="str">
        <f>'Raw Data'!C123</f>
        <v>YOLANDAS OXNARD 7183OXNARD              CA</v>
      </c>
      <c r="C120" t="str">
        <f>'Raw Data'!I123</f>
        <v>Personal - Food</v>
      </c>
      <c r="D120" s="31">
        <f>'Raw Data'!F123</f>
        <v>170.93</v>
      </c>
    </row>
    <row r="121" spans="1:4" x14ac:dyDescent="0.25">
      <c r="A121" t="str">
        <f>'Raw Data'!A124</f>
        <v>11/27/2025</v>
      </c>
      <c r="B121" t="str">
        <f>'Raw Data'!C124</f>
        <v>DNH*GODADDY#39568564Tempe               AZ</v>
      </c>
      <c r="C121" t="str">
        <f>'Raw Data'!I124</f>
        <v>Go Daddy</v>
      </c>
      <c r="D121" s="31">
        <f>'Raw Data'!F124</f>
        <v>57.35</v>
      </c>
    </row>
    <row r="122" spans="1:4" x14ac:dyDescent="0.25">
      <c r="A122" t="str">
        <f>'Raw Data'!A125</f>
        <v>11/27/2025</v>
      </c>
      <c r="B122" t="str">
        <f>'Raw Data'!C125</f>
        <v>INN OF THE SEVENTH RTOPANGA             CA</v>
      </c>
      <c r="C122" t="str">
        <f>'Raw Data'!I125</f>
        <v>Personal - Food</v>
      </c>
      <c r="D122" s="31">
        <f>'Raw Data'!F125</f>
        <v>200</v>
      </c>
    </row>
    <row r="123" spans="1:4" x14ac:dyDescent="0.25">
      <c r="A123" t="str">
        <f>'Raw Data'!A126</f>
        <v>11/27/2025</v>
      </c>
      <c r="B123" t="str">
        <f>'Raw Data'!C126</f>
        <v>SPLICE.COM          NEW YORK            NY</v>
      </c>
      <c r="C123" t="str">
        <f>'Raw Data'!I126</f>
        <v>Software &amp; Subscriptions</v>
      </c>
      <c r="D123" s="31">
        <f>'Raw Data'!F126</f>
        <v>39.99</v>
      </c>
    </row>
    <row r="124" spans="1:4" x14ac:dyDescent="0.25">
      <c r="A124" t="str">
        <f>'Raw Data'!A127</f>
        <v>11/27/2025</v>
      </c>
      <c r="B124" t="str">
        <f>'Raw Data'!C127</f>
        <v>VENICE LIQUOR 436845LOS ANGELES         CA</v>
      </c>
      <c r="C124" t="str">
        <f>'Raw Data'!I127</f>
        <v>Personal - Food</v>
      </c>
      <c r="D124" s="31">
        <f>'Raw Data'!F127</f>
        <v>18.86</v>
      </c>
    </row>
    <row r="125" spans="1:4" x14ac:dyDescent="0.25">
      <c r="A125" t="str">
        <f>'Raw Data'!A128</f>
        <v>11/26/2025</v>
      </c>
      <c r="B125" t="str">
        <f>'Raw Data'!C128</f>
        <v>CUSTOMER SERVICE PAYMENT - THANK YOU</v>
      </c>
      <c r="C125" t="str">
        <f>'Raw Data'!I128</f>
        <v>Online AMEX Payment</v>
      </c>
      <c r="D125" s="31">
        <f>'Raw Data'!F128</f>
        <v>-1484</v>
      </c>
    </row>
    <row r="126" spans="1:4" x14ac:dyDescent="0.25">
      <c r="A126" t="str">
        <f>'Raw Data'!A129</f>
        <v>11/26/2025</v>
      </c>
      <c r="B126" t="str">
        <f>'Raw Data'!C129</f>
        <v>DNH*GODADDY#39560189Tempe               AZ</v>
      </c>
      <c r="C126" t="str">
        <f>'Raw Data'!I129</f>
        <v>Go Daddy</v>
      </c>
      <c r="D126" s="31">
        <f>'Raw Data'!F129</f>
        <v>11.19</v>
      </c>
    </row>
    <row r="127" spans="1:4" x14ac:dyDescent="0.25">
      <c r="A127" t="str">
        <f>'Raw Data'!A130</f>
        <v>11/25/2025</v>
      </c>
      <c r="B127" t="str">
        <f>'Raw Data'!C130</f>
        <v>DNH*GODADDY#39552819Tempe               AZ</v>
      </c>
      <c r="C127" t="str">
        <f>'Raw Data'!I130</f>
        <v>Go Daddy</v>
      </c>
      <c r="D127" s="31">
        <f>'Raw Data'!F130</f>
        <v>15.98</v>
      </c>
    </row>
    <row r="128" spans="1:4" x14ac:dyDescent="0.25">
      <c r="A128" t="str">
        <f>'Raw Data'!A131</f>
        <v>11/23/2025</v>
      </c>
      <c r="B128" t="str">
        <f>'Raw Data'!C131</f>
        <v>DNH*GODADDY#39537257Tempe               AZ</v>
      </c>
      <c r="C128" t="str">
        <f>'Raw Data'!I131</f>
        <v>Go Daddy</v>
      </c>
      <c r="D128" s="31">
        <f>'Raw Data'!F131</f>
        <v>40.97</v>
      </c>
    </row>
    <row r="129" spans="1:4" x14ac:dyDescent="0.25">
      <c r="A129" t="str">
        <f>'Raw Data'!A132</f>
        <v>11/22/2025</v>
      </c>
      <c r="B129" t="str">
        <f>'Raw Data'!C132</f>
        <v>ALANA'S COFFEE ROASTLos Angeles         CA</v>
      </c>
      <c r="C129" t="str">
        <f>'Raw Data'!I132</f>
        <v>Personal - Food</v>
      </c>
      <c r="D129" s="31">
        <f>'Raw Data'!F132</f>
        <v>7</v>
      </c>
    </row>
    <row r="130" spans="1:4" x14ac:dyDescent="0.25">
      <c r="A130" t="str">
        <f>'Raw Data'!A133</f>
        <v>11/22/2025</v>
      </c>
      <c r="B130" t="str">
        <f>'Raw Data'!C133</f>
        <v>RESTORE.COM         AUSTIN              TX</v>
      </c>
      <c r="C130" t="str">
        <f>'Raw Data'!I133</f>
        <v>Personal - Health</v>
      </c>
      <c r="D130" s="31">
        <f>'Raw Data'!F133</f>
        <v>25</v>
      </c>
    </row>
    <row r="131" spans="1:4" x14ac:dyDescent="0.25">
      <c r="A131" t="str">
        <f>'Raw Data'!A134</f>
        <v>11/22/2025</v>
      </c>
      <c r="B131" t="str">
        <f>'Raw Data'!C134</f>
        <v>TST* PAISITA CAFE 00VENICE              CA</v>
      </c>
      <c r="C131" t="str">
        <f>'Raw Data'!I134</f>
        <v>Personal - Food</v>
      </c>
      <c r="D131" s="31">
        <f>'Raw Data'!F134</f>
        <v>23.32</v>
      </c>
    </row>
    <row r="132" spans="1:4" x14ac:dyDescent="0.25">
      <c r="A132" t="str">
        <f>'Raw Data'!A135</f>
        <v>11/21/2025</v>
      </c>
      <c r="B132" t="str">
        <f>'Raw Data'!C135</f>
        <v>LADOT METER PARKING LOS ANGELES         CA</v>
      </c>
      <c r="C132" t="str">
        <f>'Raw Data'!I135</f>
        <v>Personal - Car</v>
      </c>
      <c r="D132" s="31">
        <f>'Raw Data'!F135</f>
        <v>1</v>
      </c>
    </row>
    <row r="133" spans="1:4" x14ac:dyDescent="0.25">
      <c r="A133" t="str">
        <f>'Raw Data'!A136</f>
        <v>11/21/2025</v>
      </c>
      <c r="B133" t="str">
        <f>'Raw Data'!C136</f>
        <v>TST* BLUEYS KITCHEN LOS ANGELES         CA</v>
      </c>
      <c r="C133" t="str">
        <f>'Raw Data'!I136</f>
        <v>Personal - Food</v>
      </c>
      <c r="D133" s="31">
        <f>'Raw Data'!F136</f>
        <v>86.28</v>
      </c>
    </row>
    <row r="134" spans="1:4" x14ac:dyDescent="0.25">
      <c r="A134" t="str">
        <f>'Raw Data'!A137</f>
        <v>11/21/2025</v>
      </c>
      <c r="B134" t="str">
        <f>'Raw Data'!C137</f>
        <v>TST* TAVERNA AT THE LOS ANGELES         CA</v>
      </c>
      <c r="C134" t="str">
        <f>'Raw Data'!I137</f>
        <v>Personal - Food</v>
      </c>
      <c r="D134" s="31">
        <f>'Raw Data'!F137</f>
        <v>268.76</v>
      </c>
    </row>
    <row r="135" spans="1:4" x14ac:dyDescent="0.25">
      <c r="A135" t="str">
        <f>'Raw Data'!A138</f>
        <v>11/21/2025</v>
      </c>
      <c r="B135" t="str">
        <f>'Raw Data'!C138</f>
        <v>VIMEO PRO           212-625-0668        NY</v>
      </c>
      <c r="C135" t="str">
        <f>'Raw Data'!I138</f>
        <v>Software &amp; Subscriptions</v>
      </c>
      <c r="D135" s="31">
        <f>'Raw Data'!F138</f>
        <v>108</v>
      </c>
    </row>
    <row r="136" spans="1:4" x14ac:dyDescent="0.25">
      <c r="A136" t="str">
        <f>'Raw Data'!A139</f>
        <v>11/20/2025</v>
      </c>
      <c r="B136" t="str">
        <f>'Raw Data'!C139</f>
        <v>CAMPAIGNER SVC      888-845-4544        CA</v>
      </c>
      <c r="C136" t="str">
        <f>'Raw Data'!I139</f>
        <v>Software &amp; Subscriptions</v>
      </c>
      <c r="D136" s="31">
        <f>'Raw Data'!F139</f>
        <v>584</v>
      </c>
    </row>
    <row r="137" spans="1:4" x14ac:dyDescent="0.25">
      <c r="A137" t="str">
        <f>'Raw Data'!A140</f>
        <v>11/20/2025</v>
      </c>
      <c r="B137" t="str">
        <f>'Raw Data'!C140</f>
        <v>DNH*GODADDY#39518694Tempe               AZ</v>
      </c>
      <c r="C137" t="str">
        <f>'Raw Data'!I140</f>
        <v>Go Daddy</v>
      </c>
      <c r="D137" s="31">
        <f>'Raw Data'!F140</f>
        <v>17.97</v>
      </c>
    </row>
    <row r="138" spans="1:4" x14ac:dyDescent="0.25">
      <c r="A138" t="str">
        <f>'Raw Data'!A141</f>
        <v>11/19/2025</v>
      </c>
      <c r="B138" t="str">
        <f>'Raw Data'!C141</f>
        <v>DNH*GODADDY#39506726Tempe               AZ</v>
      </c>
      <c r="C138" t="str">
        <f>'Raw Data'!I141</f>
        <v>Go Daddy</v>
      </c>
      <c r="D138" s="31">
        <f>'Raw Data'!F141</f>
        <v>31.18</v>
      </c>
    </row>
    <row r="139" spans="1:4" x14ac:dyDescent="0.25">
      <c r="A139" t="str">
        <f>'Raw Data'!A142</f>
        <v>11/19/2025</v>
      </c>
      <c r="B139" t="str">
        <f>'Raw Data'!C142</f>
        <v>LA CABANA - VENICE 5877-8144102         CA</v>
      </c>
      <c r="C139" t="str">
        <f>'Raw Data'!I142</f>
        <v>Personal - Food</v>
      </c>
      <c r="D139" s="31">
        <f>'Raw Data'!F142</f>
        <v>134.36000000000001</v>
      </c>
    </row>
    <row r="140" spans="1:4" x14ac:dyDescent="0.25">
      <c r="A140" t="str">
        <f>'Raw Data'!A143</f>
        <v>11/19/2025</v>
      </c>
      <c r="B140" t="str">
        <f>'Raw Data'!C143</f>
        <v>TST* BLUEYS KITCHEN LOS ANGELES         CA</v>
      </c>
      <c r="C140" t="str">
        <f>'Raw Data'!I143</f>
        <v>Personal - Food</v>
      </c>
      <c r="D140" s="31">
        <f>'Raw Data'!F143</f>
        <v>60.35</v>
      </c>
    </row>
    <row r="141" spans="1:4" x14ac:dyDescent="0.25">
      <c r="A141" t="str">
        <f>'Raw Data'!A144</f>
        <v>11/18/2025</v>
      </c>
      <c r="B141" t="str">
        <f>'Raw Data'!C144</f>
        <v>DNH*GODADDY#39499288Tempe               AZ</v>
      </c>
      <c r="C141" t="str">
        <f>'Raw Data'!I144</f>
        <v>Go Daddy</v>
      </c>
      <c r="D141" s="31">
        <f>'Raw Data'!F144</f>
        <v>43.98</v>
      </c>
    </row>
    <row r="142" spans="1:4" x14ac:dyDescent="0.25">
      <c r="A142" t="str">
        <f>'Raw Data'!A145</f>
        <v>11/18/2025</v>
      </c>
      <c r="B142" t="str">
        <f>'Raw Data'!C145</f>
        <v>SPONSORCLOUD (SYNPROSALT LAKE CITY      UT</v>
      </c>
      <c r="C142" t="str">
        <f>'Raw Data'!I145</f>
        <v>Sponsor Cloud</v>
      </c>
      <c r="D142" s="31">
        <f>'Raw Data'!F145</f>
        <v>60</v>
      </c>
    </row>
    <row r="143" spans="1:4" x14ac:dyDescent="0.25">
      <c r="A143" t="str">
        <f>'Raw Data'!A146</f>
        <v>11/17/2025</v>
      </c>
      <c r="B143" t="str">
        <f>'Raw Data'!C146</f>
        <v>MED*CEDARS SINAI MEDLOS ANGELES         CA</v>
      </c>
      <c r="C143" t="str">
        <f>'Raw Data'!I146</f>
        <v>Personal - Health</v>
      </c>
      <c r="D143" s="31">
        <f>'Raw Data'!F146</f>
        <v>19.690000000000001</v>
      </c>
    </row>
    <row r="144" spans="1:4" x14ac:dyDescent="0.25">
      <c r="A144" t="str">
        <f>'Raw Data'!A147</f>
        <v>11/17/2025</v>
      </c>
      <c r="B144" t="str">
        <f>'Raw Data'!C147</f>
        <v>VENICE LIQUOR 436845LOS ANGELES         CA</v>
      </c>
      <c r="C144" t="str">
        <f>'Raw Data'!I147</f>
        <v>Personal - Food</v>
      </c>
      <c r="D144" s="31">
        <f>'Raw Data'!F147</f>
        <v>27.43</v>
      </c>
    </row>
    <row r="145" spans="1:4" x14ac:dyDescent="0.25">
      <c r="A145" t="str">
        <f>'Raw Data'!A148</f>
        <v>11/16/2025</v>
      </c>
      <c r="B145" t="str">
        <f>'Raw Data'!C148</f>
        <v>SOCIALPILOT         LEWES               DE</v>
      </c>
      <c r="C145" t="str">
        <f>'Raw Data'!I148</f>
        <v>Software &amp; Subscriptions</v>
      </c>
      <c r="D145" s="31">
        <f>'Raw Data'!F148</f>
        <v>50</v>
      </c>
    </row>
    <row r="146" spans="1:4" x14ac:dyDescent="0.25">
      <c r="A146" t="str">
        <f>'Raw Data'!A149</f>
        <v>11/16/2025</v>
      </c>
      <c r="B146" t="str">
        <f>'Raw Data'!C149</f>
        <v>THE ODYSSEY THEATRE Los Angeles         CA</v>
      </c>
      <c r="C146" t="str">
        <f>'Raw Data'!I149</f>
        <v>Personal - Entertainment</v>
      </c>
      <c r="D146" s="31">
        <f>'Raw Data'!F149</f>
        <v>7</v>
      </c>
    </row>
    <row r="147" spans="1:4" x14ac:dyDescent="0.25">
      <c r="A147" t="str">
        <f>'Raw Data'!A150</f>
        <v>11/15/2025</v>
      </c>
      <c r="B147" t="str">
        <f>'Raw Data'!C150</f>
        <v>800.COM, LLC        800-800-4321        FL</v>
      </c>
      <c r="C147" t="str">
        <f>'Raw Data'!I150</f>
        <v>Software &amp; Subscriptions</v>
      </c>
      <c r="D147" s="31">
        <f>'Raw Data'!F150</f>
        <v>69.62</v>
      </c>
    </row>
    <row r="148" spans="1:4" x14ac:dyDescent="0.25">
      <c r="A148" t="str">
        <f>'Raw Data'!A151</f>
        <v>11/15/2025</v>
      </c>
      <c r="B148" t="str">
        <f>'Raw Data'!C151</f>
        <v>CVS PHARMACY        LOS ANGELES         CA</v>
      </c>
      <c r="C148" t="str">
        <f>'Raw Data'!I151</f>
        <v>Personal - Health</v>
      </c>
      <c r="D148" s="31">
        <f>'Raw Data'!F151</f>
        <v>31.26</v>
      </c>
    </row>
    <row r="149" spans="1:4" x14ac:dyDescent="0.25">
      <c r="A149" t="str">
        <f>'Raw Data'!A152</f>
        <v>11/15/2025</v>
      </c>
      <c r="B149" t="str">
        <f>'Raw Data'!C152</f>
        <v>RESTORE.COM         AUSTIN              TX</v>
      </c>
      <c r="C149" t="str">
        <f>'Raw Data'!I152</f>
        <v>Personal - Health</v>
      </c>
      <c r="D149" s="31">
        <f>'Raw Data'!F152</f>
        <v>199</v>
      </c>
    </row>
    <row r="150" spans="1:4" x14ac:dyDescent="0.25">
      <c r="A150" t="str">
        <f>'Raw Data'!A153</f>
        <v>11/15/2025</v>
      </c>
      <c r="B150" t="str">
        <f>'Raw Data'!C153</f>
        <v>TST* TAVERNA AT THE LOS ANGELES         CA</v>
      </c>
      <c r="C150" t="str">
        <f>'Raw Data'!I153</f>
        <v>Personal - Food</v>
      </c>
      <c r="D150" s="31">
        <f>'Raw Data'!F153</f>
        <v>88.94</v>
      </c>
    </row>
    <row r="151" spans="1:4" x14ac:dyDescent="0.25">
      <c r="A151" t="str">
        <f>'Raw Data'!A154</f>
        <v>11/14/2025</v>
      </c>
      <c r="B151" t="str">
        <f>'Raw Data'!C154</f>
        <v>RESTORE.COM         AUSTIN              TX</v>
      </c>
      <c r="C151" t="str">
        <f>'Raw Data'!I154</f>
        <v>Personal - Health</v>
      </c>
      <c r="D151" s="31">
        <f>'Raw Data'!F154</f>
        <v>206</v>
      </c>
    </row>
    <row r="152" spans="1:4" x14ac:dyDescent="0.25">
      <c r="A152" t="str">
        <f>'Raw Data'!A155</f>
        <v>11/14/2025</v>
      </c>
      <c r="B152" t="str">
        <f>'Raw Data'!C155</f>
        <v>TST* BLUEYS KITCHEN LOS ANGELES         CA</v>
      </c>
      <c r="C152" t="str">
        <f>'Raw Data'!I155</f>
        <v>Personal - Food</v>
      </c>
      <c r="D152" s="31">
        <f>'Raw Data'!F155</f>
        <v>96.64</v>
      </c>
    </row>
    <row r="153" spans="1:4" x14ac:dyDescent="0.25">
      <c r="A153" t="str">
        <f>'Raw Data'!A156</f>
        <v>11/13/2025</v>
      </c>
      <c r="B153" t="str">
        <f>'Raw Data'!C156</f>
        <v>DNH*GODADDY#39459571Tempe               AZ</v>
      </c>
      <c r="C153" t="str">
        <f>'Raw Data'!I156</f>
        <v>Go Daddy</v>
      </c>
      <c r="D153" s="31">
        <f>'Raw Data'!F156</f>
        <v>43.96</v>
      </c>
    </row>
    <row r="154" spans="1:4" x14ac:dyDescent="0.25">
      <c r="A154" t="str">
        <f>'Raw Data'!A157</f>
        <v>11/13/2025</v>
      </c>
      <c r="B154" t="str">
        <f>'Raw Data'!C157</f>
        <v>PACOS TACOS         LOS ANGELES         CA</v>
      </c>
      <c r="C154" t="str">
        <f>'Raw Data'!I157</f>
        <v>Personal - Food</v>
      </c>
      <c r="D154" s="31">
        <f>'Raw Data'!F157</f>
        <v>91.61</v>
      </c>
    </row>
    <row r="155" spans="1:4" x14ac:dyDescent="0.25">
      <c r="A155" t="str">
        <f>'Raw Data'!A158</f>
        <v>11/13/2025</v>
      </c>
      <c r="B155" t="str">
        <f>'Raw Data'!C158</f>
        <v>RENOUVEAUM* RENOUVEALOS ANGELES         CA</v>
      </c>
      <c r="C155" t="str">
        <f>'Raw Data'!I158</f>
        <v>Personal - Health</v>
      </c>
      <c r="D155" s="31">
        <f>'Raw Data'!F158</f>
        <v>845.2</v>
      </c>
    </row>
    <row r="156" spans="1:4" x14ac:dyDescent="0.25">
      <c r="A156" t="str">
        <f>'Raw Data'!A159</f>
        <v>11/12/2025</v>
      </c>
      <c r="B156" t="str">
        <f>'Raw Data'!C159</f>
        <v>CITY OF SANTA MONICASANTA MONICA        CA</v>
      </c>
      <c r="C156" t="str">
        <f>'Raw Data'!I159</f>
        <v>Personal - Car</v>
      </c>
      <c r="D156" s="31">
        <f>'Raw Data'!F159</f>
        <v>1.25</v>
      </c>
    </row>
    <row r="157" spans="1:4" x14ac:dyDescent="0.25">
      <c r="A157" t="str">
        <f>'Raw Data'!A160</f>
        <v>11/12/2025</v>
      </c>
      <c r="B157" t="str">
        <f>'Raw Data'!C160</f>
        <v>SPOTIFY USA         NEW YORK            NY</v>
      </c>
      <c r="C157" t="str">
        <f>'Raw Data'!I160</f>
        <v>Software &amp; Subscriptions</v>
      </c>
      <c r="D157" s="31">
        <f>'Raw Data'!F160</f>
        <v>12.98</v>
      </c>
    </row>
    <row r="158" spans="1:4" x14ac:dyDescent="0.25">
      <c r="A158" t="str">
        <f>'Raw Data'!A161</f>
        <v>11/11/2025</v>
      </c>
      <c r="B158" t="str">
        <f>'Raw Data'!C161</f>
        <v>DNH*GODADDY#39446192Tempe               AZ</v>
      </c>
      <c r="C158" t="str">
        <f>'Raw Data'!I161</f>
        <v>Go Daddy</v>
      </c>
      <c r="D158" s="31">
        <f>'Raw Data'!F161</f>
        <v>57.73</v>
      </c>
    </row>
    <row r="159" spans="1:4" x14ac:dyDescent="0.25">
      <c r="A159" t="str">
        <f>'Raw Data'!A162</f>
        <v>11/11/2025</v>
      </c>
      <c r="B159" t="str">
        <f>'Raw Data'!C162</f>
        <v>WAC BEVERLY HILLS PABEVERLY HILLS       CA</v>
      </c>
      <c r="C159" t="str">
        <f>'Raw Data'!I162</f>
        <v>Personal - Car</v>
      </c>
      <c r="D159" s="31">
        <f>'Raw Data'!F162</f>
        <v>27</v>
      </c>
    </row>
    <row r="160" spans="1:4" x14ac:dyDescent="0.25">
      <c r="A160" t="str">
        <f>'Raw Data'!A163</f>
        <v>11/10/2025</v>
      </c>
      <c r="B160" t="str">
        <f>'Raw Data'!C163</f>
        <v>DNH*GODADDY#39434045Tempe               AZ</v>
      </c>
      <c r="C160" t="str">
        <f>'Raw Data'!I163</f>
        <v>Go Daddy</v>
      </c>
      <c r="D160" s="31">
        <f>'Raw Data'!F163</f>
        <v>26.98</v>
      </c>
    </row>
    <row r="161" spans="1:4" x14ac:dyDescent="0.25">
      <c r="A161" t="str">
        <f>'Raw Data'!A164</f>
        <v>11/10/2025</v>
      </c>
      <c r="B161" t="str">
        <f>'Raw Data'!C164</f>
        <v>TST* BLUEYS KITCHEN LOS ANGELES         CA</v>
      </c>
      <c r="C161" t="str">
        <f>'Raw Data'!I164</f>
        <v>Personal - Food</v>
      </c>
      <c r="D161" s="31">
        <f>'Raw Data'!F164</f>
        <v>74.89</v>
      </c>
    </row>
    <row r="162" spans="1:4" x14ac:dyDescent="0.25">
      <c r="A162" t="str">
        <f>'Raw Data'!A165</f>
        <v>11/10/2025</v>
      </c>
      <c r="B162" t="str">
        <f>'Raw Data'!C165</f>
        <v>VIMEO PRO           212-625-0668        NY</v>
      </c>
      <c r="C162" t="str">
        <f>'Raw Data'!I165</f>
        <v>Software &amp; Subscriptions</v>
      </c>
      <c r="D162" s="31">
        <f>'Raw Data'!F165</f>
        <v>24</v>
      </c>
    </row>
    <row r="163" spans="1:4" x14ac:dyDescent="0.25">
      <c r="A163" t="str">
        <f>'Raw Data'!A166</f>
        <v>11/09/2025</v>
      </c>
      <c r="B163" t="str">
        <f>'Raw Data'!C166</f>
        <v>DLS @ BELASCO       Los Angeles         CA</v>
      </c>
      <c r="C163" t="str">
        <f>'Raw Data'!I166</f>
        <v>Personal - Food</v>
      </c>
      <c r="D163" s="31">
        <f>'Raw Data'!F166</f>
        <v>62.8</v>
      </c>
    </row>
    <row r="164" spans="1:4" x14ac:dyDescent="0.25">
      <c r="A164" t="str">
        <f>'Raw Data'!A167</f>
        <v>11/09/2025</v>
      </c>
      <c r="B164" t="str">
        <f>'Raw Data'!C167</f>
        <v>DNH*GODADDY#39427281Tempe               AZ</v>
      </c>
      <c r="C164" t="str">
        <f>'Raw Data'!I167</f>
        <v>Go Daddy</v>
      </c>
      <c r="D164" s="31">
        <f>'Raw Data'!F167</f>
        <v>13.79</v>
      </c>
    </row>
    <row r="165" spans="1:4" x14ac:dyDescent="0.25">
      <c r="A165" t="str">
        <f>'Raw Data'!A168</f>
        <v>11/09/2025</v>
      </c>
      <c r="B165" t="str">
        <f>'Raw Data'!C168</f>
        <v>LA CABANA - VENICE 5877-8144102         CA</v>
      </c>
      <c r="C165" t="str">
        <f>'Raw Data'!I168</f>
        <v>Personal - Food</v>
      </c>
      <c r="D165" s="31">
        <f>'Raw Data'!F168</f>
        <v>100.88</v>
      </c>
    </row>
    <row r="166" spans="1:4" x14ac:dyDescent="0.25">
      <c r="A166" t="str">
        <f>'Raw Data'!A169</f>
        <v>11/09/2025</v>
      </c>
      <c r="B166" t="str">
        <f>'Raw Data'!C169</f>
        <v>PAYA THAI LA LLC    LOS ANGELES         CA</v>
      </c>
      <c r="C166" t="str">
        <f>'Raw Data'!I169</f>
        <v>Personal - Health</v>
      </c>
      <c r="D166" s="31">
        <f>'Raw Data'!F169</f>
        <v>160</v>
      </c>
    </row>
    <row r="167" spans="1:4" x14ac:dyDescent="0.25">
      <c r="A167" t="str">
        <f>'Raw Data'!A170</f>
        <v>11/08/2025</v>
      </c>
      <c r="B167" t="str">
        <f>'Raw Data'!C170</f>
        <v>DNH*GODADDY#39423588Tempe               AZ</v>
      </c>
      <c r="C167" t="str">
        <f>'Raw Data'!I170</f>
        <v>Go Daddy</v>
      </c>
      <c r="D167" s="31">
        <f>'Raw Data'!F170</f>
        <v>11.19</v>
      </c>
    </row>
    <row r="168" spans="1:4" x14ac:dyDescent="0.25">
      <c r="A168" t="str">
        <f>'Raw Data'!A171</f>
        <v>11/08/2025</v>
      </c>
      <c r="B168" t="str">
        <f>'Raw Data'!C171</f>
        <v>DNH*GODADDY#39423613Tempe               AZ</v>
      </c>
      <c r="C168" t="str">
        <f>'Raw Data'!I171</f>
        <v>Go Daddy</v>
      </c>
      <c r="D168" s="31">
        <f>'Raw Data'!F171</f>
        <v>30.97</v>
      </c>
    </row>
    <row r="169" spans="1:4" x14ac:dyDescent="0.25">
      <c r="A169" t="str">
        <f>'Raw Data'!A172</f>
        <v>11/08/2025</v>
      </c>
      <c r="B169" t="str">
        <f>'Raw Data'!C172</f>
        <v>OPENAI *CHATGPT SUBSSAN FRANCISCO       CA</v>
      </c>
      <c r="C169" t="str">
        <f>'Raw Data'!I172</f>
        <v>AI Subscriptions</v>
      </c>
      <c r="D169" s="31">
        <f>'Raw Data'!F172</f>
        <v>20</v>
      </c>
    </row>
    <row r="170" spans="1:4" x14ac:dyDescent="0.25">
      <c r="A170" t="str">
        <f>'Raw Data'!A173</f>
        <v>11/08/2025</v>
      </c>
      <c r="B170" t="str">
        <f>'Raw Data'!C173</f>
        <v>VENICE LIQUOR 436845LOS ANGELES         CA</v>
      </c>
      <c r="C170" t="str">
        <f>'Raw Data'!I173</f>
        <v>Personal - Food</v>
      </c>
      <c r="D170" s="31">
        <f>'Raw Data'!F173</f>
        <v>31.42</v>
      </c>
    </row>
    <row r="171" spans="1:4" x14ac:dyDescent="0.25">
      <c r="A171" t="str">
        <f>'Raw Data'!A174</f>
        <v>11/07/2025</v>
      </c>
      <c r="B171" t="str">
        <f>'Raw Data'!C174</f>
        <v>DNH*GODADDY#39415092Tempe               AZ</v>
      </c>
      <c r="C171" t="str">
        <f>'Raw Data'!I174</f>
        <v>Go Daddy</v>
      </c>
      <c r="D171" s="31">
        <f>'Raw Data'!F174</f>
        <v>119.88</v>
      </c>
    </row>
    <row r="172" spans="1:4" x14ac:dyDescent="0.25">
      <c r="A172" t="str">
        <f>'Raw Data'!A175</f>
        <v>11/07/2025</v>
      </c>
      <c r="B172" t="str">
        <f>'Raw Data'!C175</f>
        <v>DNH*GODADDY#39415093Tempe               AZ</v>
      </c>
      <c r="C172" t="str">
        <f>'Raw Data'!I175</f>
        <v>Go Daddy</v>
      </c>
      <c r="D172" s="31">
        <f>'Raw Data'!F175</f>
        <v>10.99</v>
      </c>
    </row>
    <row r="173" spans="1:4" x14ac:dyDescent="0.25">
      <c r="A173" t="str">
        <f>'Raw Data'!A176</f>
        <v>11/07/2025</v>
      </c>
      <c r="B173" t="str">
        <f>'Raw Data'!C176</f>
        <v>NNN.MARKET          CLEARWATER          FL</v>
      </c>
      <c r="C173" t="str">
        <f>'Raw Data'!I176</f>
        <v>DWG Listing Platform</v>
      </c>
      <c r="D173" s="31">
        <f>'Raw Data'!F176</f>
        <v>195</v>
      </c>
    </row>
    <row r="174" spans="1:4" x14ac:dyDescent="0.25">
      <c r="A174" t="str">
        <f>'Raw Data'!A177</f>
        <v>11/06/2025</v>
      </c>
      <c r="B174" t="str">
        <f>'Raw Data'!C177</f>
        <v>BRAVE.COM           SAN FRANCISCO       CA</v>
      </c>
      <c r="C174" t="str">
        <f>'Raw Data'!I177</f>
        <v>Software &amp; Subscriptions</v>
      </c>
      <c r="D174" s="31">
        <f>'Raw Data'!F177</f>
        <v>9.99</v>
      </c>
    </row>
    <row r="175" spans="1:4" x14ac:dyDescent="0.25">
      <c r="A175" t="str">
        <f>'Raw Data'!A178</f>
        <v>11/06/2025</v>
      </c>
      <c r="B175" t="str">
        <f>'Raw Data'!C178</f>
        <v>CASABLANCA RESTAURANVENICE              CA</v>
      </c>
      <c r="C175" t="str">
        <f>'Raw Data'!I178</f>
        <v>Personal - Food</v>
      </c>
      <c r="D175" s="31">
        <f>'Raw Data'!F178</f>
        <v>156.16</v>
      </c>
    </row>
    <row r="176" spans="1:4" x14ac:dyDescent="0.25">
      <c r="A176" t="str">
        <f>'Raw Data'!A179</f>
        <v>11/06/2025</v>
      </c>
      <c r="B176" t="str">
        <f>'Raw Data'!C179</f>
        <v>CHEVRON 0306890/CHEVSANTA MONICA        CA</v>
      </c>
      <c r="C176" t="str">
        <f>'Raw Data'!I179</f>
        <v>Personal - Car</v>
      </c>
      <c r="D176" s="31">
        <f>'Raw Data'!F179</f>
        <v>74.56</v>
      </c>
    </row>
    <row r="177" spans="1:4" x14ac:dyDescent="0.25">
      <c r="A177" t="str">
        <f>'Raw Data'!A180</f>
        <v>11/06/2025</v>
      </c>
      <c r="B177" t="str">
        <f>'Raw Data'!C180</f>
        <v>CREXI               LOS ANGELES         CA</v>
      </c>
      <c r="C177" t="str">
        <f>'Raw Data'!I180</f>
        <v>DWG Listing Platform</v>
      </c>
      <c r="D177" s="31">
        <f>'Raw Data'!F180</f>
        <v>260</v>
      </c>
    </row>
    <row r="178" spans="1:4" x14ac:dyDescent="0.25">
      <c r="A178" t="str">
        <f>'Raw Data'!A181</f>
        <v>11/06/2025</v>
      </c>
      <c r="B178" t="str">
        <f>'Raw Data'!C181</f>
        <v>ROBERTS CHIROPRACTICWEATHERFORD         TX</v>
      </c>
      <c r="C178" t="str">
        <f>'Raw Data'!I181</f>
        <v>Personal - Health</v>
      </c>
      <c r="D178" s="31">
        <f>'Raw Data'!F181</f>
        <v>435</v>
      </c>
    </row>
    <row r="179" spans="1:4" x14ac:dyDescent="0.25">
      <c r="A179" t="str">
        <f>'Raw Data'!A182</f>
        <v>11/05/2025</v>
      </c>
      <c r="B179" t="str">
        <f>'Raw Data'!C182</f>
        <v>DNH*GODADDY#39398334Tempe               AZ</v>
      </c>
      <c r="C179" t="str">
        <f>'Raw Data'!I182</f>
        <v>Go Daddy</v>
      </c>
      <c r="D179" s="31">
        <f>'Raw Data'!F182</f>
        <v>17.97</v>
      </c>
    </row>
    <row r="180" spans="1:4" x14ac:dyDescent="0.25">
      <c r="A180" t="str">
        <f>'Raw Data'!A183</f>
        <v>11/04/2025</v>
      </c>
      <c r="B180" t="str">
        <f>'Raw Data'!C183</f>
        <v>YOAST B.V.          WIJCHEN             NL</v>
      </c>
      <c r="C180" t="str">
        <f>'Raw Data'!I183</f>
        <v>TBD</v>
      </c>
      <c r="D180" s="31">
        <f>'Raw Data'!F183</f>
        <v>126.4</v>
      </c>
    </row>
    <row r="181" spans="1:4" x14ac:dyDescent="0.25">
      <c r="A181" t="str">
        <f>'Raw Data'!A184</f>
        <v>11/03/2025</v>
      </c>
      <c r="B181" t="str">
        <f>'Raw Data'!C184</f>
        <v>CONTACTS+           HUNTINGTON BEACH    CA</v>
      </c>
      <c r="C181" t="str">
        <f>'Raw Data'!I184</f>
        <v>Personal - Health</v>
      </c>
      <c r="D181" s="31">
        <f>'Raw Data'!F184</f>
        <v>13.99</v>
      </c>
    </row>
    <row r="182" spans="1:4" x14ac:dyDescent="0.25">
      <c r="A182" t="str">
        <f>'Raw Data'!A185</f>
        <v>11/03/2025</v>
      </c>
      <c r="B182" t="str">
        <f>'Raw Data'!C185</f>
        <v>Interest Charge on Pay Over Time Purchases</v>
      </c>
      <c r="C182" t="str">
        <f>'Raw Data'!I185</f>
        <v>Interest Charge on Pay Over Time Purchases</v>
      </c>
      <c r="D182" s="31">
        <f>'Raw Data'!F185</f>
        <v>308.91000000000003</v>
      </c>
    </row>
    <row r="183" spans="1:4" x14ac:dyDescent="0.25">
      <c r="A183" t="str">
        <f>'Raw Data'!A186</f>
        <v>11/03/2025</v>
      </c>
      <c r="B183" t="str">
        <f>'Raw Data'!C186</f>
        <v>SALESMESSAGE.COM    DELRAY BEACH        FL</v>
      </c>
      <c r="C183" t="str">
        <f>'Raw Data'!I186</f>
        <v>Software &amp; Subscriptions</v>
      </c>
      <c r="D183" s="31">
        <f>'Raw Data'!F186</f>
        <v>52.14</v>
      </c>
    </row>
    <row r="184" spans="1:4" x14ac:dyDescent="0.25">
      <c r="A184" t="str">
        <f>'Raw Data'!A187</f>
        <v>11/03/2025</v>
      </c>
      <c r="B184" t="str">
        <f>'Raw Data'!C187</f>
        <v>WEATHERFORD MASSAGE WEATHERFORD         TX</v>
      </c>
      <c r="C184" t="str">
        <f>'Raw Data'!I187</f>
        <v>Personal - Health</v>
      </c>
      <c r="D184" s="31">
        <f>'Raw Data'!F187</f>
        <v>90</v>
      </c>
    </row>
    <row r="185" spans="1:4" x14ac:dyDescent="0.25">
      <c r="A185" t="str">
        <f>'Raw Data'!A188</f>
        <v>11/02/2025</v>
      </c>
      <c r="B185" t="str">
        <f>'Raw Data'!C188</f>
        <v>CASA MANANA         Fort Worth          TX</v>
      </c>
      <c r="C185" t="str">
        <f>'Raw Data'!I188</f>
        <v>Personal - Entertainment</v>
      </c>
      <c r="D185" s="31">
        <f>'Raw Data'!F188</f>
        <v>7.8</v>
      </c>
    </row>
    <row r="186" spans="1:4" x14ac:dyDescent="0.25">
      <c r="A186" t="str">
        <f>'Raw Data'!A189</f>
        <v>11/02/2025</v>
      </c>
      <c r="B186" t="str">
        <f>'Raw Data'!C189</f>
        <v>CASA MANANA         Fort Worth          TX</v>
      </c>
      <c r="C186" t="str">
        <f>'Raw Data'!I189</f>
        <v>Personal - Entertainment</v>
      </c>
      <c r="D186" s="31">
        <f>'Raw Data'!F189</f>
        <v>16.8</v>
      </c>
    </row>
    <row r="187" spans="1:4" x14ac:dyDescent="0.25">
      <c r="A187" t="str">
        <f>'Raw Data'!A190</f>
        <v>11/02/2025</v>
      </c>
      <c r="B187" t="str">
        <f>'Raw Data'!C190</f>
        <v>DNH*GODADDY#39371537Tempe               AZ</v>
      </c>
      <c r="C187" t="str">
        <f>'Raw Data'!I190</f>
        <v>Go Daddy</v>
      </c>
      <c r="D187" s="31">
        <f>'Raw Data'!F190</f>
        <v>19.97</v>
      </c>
    </row>
    <row r="188" spans="1:4" x14ac:dyDescent="0.25">
      <c r="A188" t="str">
        <f>'Raw Data'!A191</f>
        <v>11/02/2025</v>
      </c>
      <c r="B188" t="str">
        <f>'Raw Data'!C191</f>
        <v>SP FW LOCALS - FWTX FORT WORTH          TX</v>
      </c>
      <c r="C188" t="str">
        <f>'Raw Data'!I191</f>
        <v>Personal - Clothing</v>
      </c>
      <c r="D188" s="31">
        <f>'Raw Data'!F191</f>
        <v>30.31</v>
      </c>
    </row>
    <row r="189" spans="1:4" x14ac:dyDescent="0.25">
      <c r="A189" t="str">
        <f>'Raw Data'!A192</f>
        <v>11/02/2025</v>
      </c>
      <c r="B189" t="str">
        <f>'Raw Data'!C192</f>
        <v>SP FW LOCALS - FWTX FORT WORTH          TX</v>
      </c>
      <c r="C189" t="str">
        <f>'Raw Data'!I192</f>
        <v>Personal - Clothing</v>
      </c>
      <c r="D189" s="31">
        <f>'Raw Data'!F192</f>
        <v>30.31</v>
      </c>
    </row>
    <row r="190" spans="1:4" x14ac:dyDescent="0.25">
      <c r="A190" t="str">
        <f>'Raw Data'!A193</f>
        <v>11/01/2025</v>
      </c>
      <c r="B190" t="str">
        <f>'Raw Data'!C193</f>
        <v>ABC*ICONFIT         LOS ANGELES         CA</v>
      </c>
      <c r="C190" t="str">
        <f>'Raw Data'!I193</f>
        <v>Personal - Health</v>
      </c>
      <c r="D190" s="31">
        <f>'Raw Data'!F193</f>
        <v>119.52</v>
      </c>
    </row>
    <row r="191" spans="1:4" x14ac:dyDescent="0.25">
      <c r="A191" t="str">
        <f>'Raw Data'!A194</f>
        <v>11/01/2025</v>
      </c>
      <c r="B191" t="str">
        <f>'Raw Data'!C194</f>
        <v>BOULEVARD OF GREENS Fort Worth          TX</v>
      </c>
      <c r="C191" t="str">
        <f>'Raw Data'!I194</f>
        <v>Personal - Food</v>
      </c>
      <c r="D191" s="31">
        <f>'Raw Data'!F194</f>
        <v>51.64</v>
      </c>
    </row>
    <row r="192" spans="1:4" x14ac:dyDescent="0.25">
      <c r="A192" t="str">
        <f>'Raw Data'!A195</f>
        <v>11/01/2025</v>
      </c>
      <c r="B192" t="str">
        <f>'Raw Data'!C195</f>
        <v>DNH*GODADDY#39368645Tempe               AZ</v>
      </c>
      <c r="C192" t="str">
        <f>'Raw Data'!I195</f>
        <v>Go Daddy</v>
      </c>
      <c r="D192" s="31">
        <f>'Raw Data'!F195</f>
        <v>30.97</v>
      </c>
    </row>
    <row r="193" spans="1:4" x14ac:dyDescent="0.25">
      <c r="A193" t="str">
        <f>'Raw Data'!A196</f>
        <v>11/01/2025</v>
      </c>
      <c r="B193" t="str">
        <f>'Raw Data'!C196</f>
        <v>LOOM SUBSCRIPTION   AUSTIN              TX</v>
      </c>
      <c r="C193" t="str">
        <f>'Raw Data'!I196</f>
        <v>Software &amp; Subscriptions</v>
      </c>
      <c r="D193" s="31">
        <f>'Raw Data'!F196</f>
        <v>20</v>
      </c>
    </row>
    <row r="194" spans="1:4" x14ac:dyDescent="0.25">
      <c r="A194" t="str">
        <f>'Raw Data'!A197</f>
        <v>10/31/2025</v>
      </c>
      <c r="B194" t="str">
        <f>'Raw Data'!C197</f>
        <v>PAYPAL *CREPUSHCOM  4029357733          FL</v>
      </c>
      <c r="C194" t="str">
        <f>'Raw Data'!I197</f>
        <v>DWG Marketing</v>
      </c>
      <c r="D194" s="31">
        <f>'Raw Data'!F197</f>
        <v>139</v>
      </c>
    </row>
    <row r="195" spans="1:4" x14ac:dyDescent="0.25">
      <c r="A195" t="str">
        <f>'Raw Data'!A198</f>
        <v>10/31/2025</v>
      </c>
      <c r="B195" t="str">
        <f>'Raw Data'!C198</f>
        <v>PROPERTYBLAST.COM   800-418-4452        FL</v>
      </c>
      <c r="C195" t="str">
        <f>'Raw Data'!I198</f>
        <v>DWG Marketing</v>
      </c>
      <c r="D195" s="31">
        <f>'Raw Data'!F198</f>
        <v>159</v>
      </c>
    </row>
    <row r="196" spans="1:4" x14ac:dyDescent="0.25">
      <c r="A196" t="str">
        <f>'Raw Data'!A199</f>
        <v>10/31/2025</v>
      </c>
      <c r="B196" t="str">
        <f>'Raw Data'!C199</f>
        <v>SPONSORCLOUD (SYNPROSALT LAKE CITY      UT</v>
      </c>
      <c r="C196" t="str">
        <f>'Raw Data'!I199</f>
        <v>Sponsor Cloud</v>
      </c>
      <c r="D196" s="31">
        <f>'Raw Data'!F199</f>
        <v>179.16</v>
      </c>
    </row>
    <row r="197" spans="1:4" x14ac:dyDescent="0.25">
      <c r="A197" t="str">
        <f>'Raw Data'!A200</f>
        <v>10/31/2025</v>
      </c>
      <c r="B197" t="str">
        <f>'Raw Data'!C200</f>
        <v>ZENO'S ON THE SQUAREWEATHERFORD         TX</v>
      </c>
      <c r="C197" t="str">
        <f>'Raw Data'!I200</f>
        <v>Personal - Food</v>
      </c>
      <c r="D197" s="31">
        <f>'Raw Data'!F200</f>
        <v>154.49</v>
      </c>
    </row>
    <row r="198" spans="1:4" x14ac:dyDescent="0.25">
      <c r="A198" t="str">
        <f>'Raw Data'!A201</f>
        <v>10/30/2025</v>
      </c>
      <c r="B198" t="str">
        <f>'Raw Data'!C201</f>
        <v>MINTY BOI INC       Dallas              TX</v>
      </c>
      <c r="C198" t="str">
        <f>'Raw Data'!I201</f>
        <v>Personal - Food</v>
      </c>
      <c r="D198" s="31">
        <f>'Raw Data'!F201</f>
        <v>108.25</v>
      </c>
    </row>
    <row r="199" spans="1:4" x14ac:dyDescent="0.25">
      <c r="A199" t="str">
        <f>'Raw Data'!A202</f>
        <v>10/30/2025</v>
      </c>
      <c r="B199" t="str">
        <f>'Raw Data'!C202</f>
        <v>TST* GRANADA THEATERDALLAS              TX</v>
      </c>
      <c r="C199" t="str">
        <f>'Raw Data'!I202</f>
        <v>Personal - Food</v>
      </c>
      <c r="D199" s="31">
        <f>'Raw Data'!F202</f>
        <v>7.39</v>
      </c>
    </row>
    <row r="200" spans="1:4" x14ac:dyDescent="0.25">
      <c r="A200" t="str">
        <f>'Raw Data'!A203</f>
        <v>10/29/2025</v>
      </c>
      <c r="B200" t="str">
        <f>'Raw Data'!C203</f>
        <v>DNH*GODADDY#39344090Tempe               AZ</v>
      </c>
      <c r="C200" t="str">
        <f>'Raw Data'!I203</f>
        <v>Go Daddy</v>
      </c>
      <c r="D200" s="31">
        <f>'Raw Data'!F203</f>
        <v>22.98</v>
      </c>
    </row>
    <row r="201" spans="1:4" x14ac:dyDescent="0.25">
      <c r="A201" t="str">
        <f>'Raw Data'!A204</f>
        <v>10/29/2025</v>
      </c>
      <c r="B201" t="str">
        <f>'Raw Data'!C204</f>
        <v>EXXONMOBIL          WEATHERFORD         TX</v>
      </c>
      <c r="C201" t="str">
        <f>'Raw Data'!I204</f>
        <v>Personal - Car</v>
      </c>
      <c r="D201" s="31">
        <f>'Raw Data'!F204</f>
        <v>57.62</v>
      </c>
    </row>
    <row r="202" spans="1:4" x14ac:dyDescent="0.25">
      <c r="A202" t="str">
        <f>'Raw Data'!A205</f>
        <v>10/29/2025</v>
      </c>
      <c r="B202" t="str">
        <f>'Raw Data'!C205</f>
        <v>GAMMA.APP           SAN FRANCISCO       CA</v>
      </c>
      <c r="C202" t="str">
        <f>'Raw Data'!I205</f>
        <v>DWG Marketing</v>
      </c>
      <c r="D202" s="31">
        <f>'Raw Data'!F205</f>
        <v>180</v>
      </c>
    </row>
    <row r="203" spans="1:4" x14ac:dyDescent="0.25">
      <c r="A203" t="str">
        <f>'Raw Data'!A206</f>
        <v>10/29/2025</v>
      </c>
      <c r="B203" t="str">
        <f>'Raw Data'!C206</f>
        <v>ONLINE PAYMENT - THANK YOU</v>
      </c>
      <c r="C203" t="str">
        <f>'Raw Data'!I206</f>
        <v>Online AMEX Payment</v>
      </c>
      <c r="D203" s="31">
        <f>'Raw Data'!F206</f>
        <v>-380.97</v>
      </c>
    </row>
    <row r="204" spans="1:4" x14ac:dyDescent="0.25">
      <c r="A204" t="str">
        <f>'Raw Data'!A207</f>
        <v>10/29/2025</v>
      </c>
      <c r="B204" t="str">
        <f>'Raw Data'!C207</f>
        <v>OPENAI *CHATGPT SUBSSAN FRANCISCO       CA</v>
      </c>
      <c r="C204" t="str">
        <f>'Raw Data'!I207</f>
        <v>AI Subscriptions</v>
      </c>
      <c r="D204" s="31">
        <f>'Raw Data'!F207</f>
        <v>20</v>
      </c>
    </row>
    <row r="205" spans="1:4" x14ac:dyDescent="0.25">
      <c r="A205" t="str">
        <f>'Raw Data'!A208</f>
        <v>10/29/2025</v>
      </c>
      <c r="B205" t="str">
        <f>'Raw Data'!C208</f>
        <v>TRX VAPE AND CIGAR 5DALLAS              TX</v>
      </c>
      <c r="C205" t="str">
        <f>'Raw Data'!I208</f>
        <v>Personal - Entertainment</v>
      </c>
      <c r="D205" s="31">
        <f>'Raw Data'!F208</f>
        <v>21.64</v>
      </c>
    </row>
    <row r="206" spans="1:4" x14ac:dyDescent="0.25">
      <c r="A206" t="str">
        <f>'Raw Data'!A209</f>
        <v>10/28/2025</v>
      </c>
      <c r="B206" t="str">
        <f>'Raw Data'!C209</f>
        <v>HOTEL DROVER - CATERFORT WORTH          TX</v>
      </c>
      <c r="C206" t="str">
        <f>'Raw Data'!I209</f>
        <v>Fort Worth Investor Dinner</v>
      </c>
      <c r="D206" s="31">
        <f>'Raw Data'!F209</f>
        <v>1663.35</v>
      </c>
    </row>
    <row r="207" spans="1:4" x14ac:dyDescent="0.25">
      <c r="A207" t="str">
        <f>'Raw Data'!A210</f>
        <v>10/28/2025</v>
      </c>
      <c r="B207" t="str">
        <f>'Raw Data'!C210</f>
        <v>HOTEL DROVER - LOBBYFORT WORTH          TX</v>
      </c>
      <c r="C207" t="str">
        <f>'Raw Data'!I210</f>
        <v>Fort Worth Investor Dinner</v>
      </c>
      <c r="D207" s="31">
        <f>'Raw Data'!F210</f>
        <v>287.45999999999998</v>
      </c>
    </row>
    <row r="208" spans="1:4" x14ac:dyDescent="0.25">
      <c r="A208" t="str">
        <f>'Raw Data'!A211</f>
        <v>10/28/2025</v>
      </c>
      <c r="B208" t="str">
        <f>'Raw Data'!C211</f>
        <v>HOTEL DROVER AUTOGRAFORT WORTH          TX</v>
      </c>
      <c r="C208" t="str">
        <f>'Raw Data'!I211</f>
        <v>Fort Worth Investor Dinner</v>
      </c>
      <c r="D208" s="31">
        <f>'Raw Data'!F211</f>
        <v>50</v>
      </c>
    </row>
    <row r="209" spans="1:4" x14ac:dyDescent="0.25">
      <c r="A209" t="str">
        <f>'Raw Data'!A212</f>
        <v>10/28/2025</v>
      </c>
      <c r="B209" t="str">
        <f>'Raw Data'!C212</f>
        <v>LATE FEE</v>
      </c>
      <c r="C209" t="str">
        <f>'Raw Data'!I212</f>
        <v>Late Fee</v>
      </c>
      <c r="D209" s="31">
        <f>'Raw Data'!F212</f>
        <v>39</v>
      </c>
    </row>
    <row r="210" spans="1:4" x14ac:dyDescent="0.25">
      <c r="A210" t="str">
        <f>'Raw Data'!A213</f>
        <v>10/27/2025</v>
      </c>
      <c r="B210" t="str">
        <f>'Raw Data'!C213</f>
        <v>CHIPOTLE 2250 2250  WEATHERFORD         TX</v>
      </c>
      <c r="C210" t="str">
        <f>'Raw Data'!I213</f>
        <v>Personal - Food</v>
      </c>
      <c r="D210" s="31">
        <f>'Raw Data'!F213</f>
        <v>18.84</v>
      </c>
    </row>
    <row r="211" spans="1:4" x14ac:dyDescent="0.25">
      <c r="A211" t="str">
        <f>'Raw Data'!A214</f>
        <v>10/27/2025</v>
      </c>
      <c r="B211" t="str">
        <f>'Raw Data'!C214</f>
        <v>DNH*GODADDY#39326833Tempe               AZ</v>
      </c>
      <c r="C211" t="str">
        <f>'Raw Data'!I214</f>
        <v>Go Daddy</v>
      </c>
      <c r="D211" s="31">
        <f>'Raw Data'!F214</f>
        <v>11.99</v>
      </c>
    </row>
    <row r="212" spans="1:4" x14ac:dyDescent="0.25">
      <c r="A212" t="str">
        <f>'Raw Data'!A215</f>
        <v>10/27/2025</v>
      </c>
      <c r="B212" t="str">
        <f>'Raw Data'!C215</f>
        <v>SPLICE.COM          NEW YORK            NY</v>
      </c>
      <c r="C212" t="str">
        <f>'Raw Data'!I215</f>
        <v>Software &amp; Subscriptions</v>
      </c>
      <c r="D212" s="31">
        <f>'Raw Data'!F215</f>
        <v>39.99</v>
      </c>
    </row>
    <row r="213" spans="1:4" x14ac:dyDescent="0.25">
      <c r="A213" t="str">
        <f>'Raw Data'!A216</f>
        <v>10/26/2025</v>
      </c>
      <c r="B213" t="str">
        <f>'Raw Data'!C216</f>
        <v>RUSSELL FEED &amp; SUPPLWEATHERFORD         TX</v>
      </c>
      <c r="C213" t="str">
        <f>'Raw Data'!I216</f>
        <v>Personal - House</v>
      </c>
      <c r="D213" s="31">
        <f>'Raw Data'!F216</f>
        <v>85.76</v>
      </c>
    </row>
    <row r="214" spans="1:4" x14ac:dyDescent="0.25">
      <c r="A214" t="str">
        <f>'Raw Data'!A217</f>
        <v>10/25/2025</v>
      </c>
      <c r="B214" t="str">
        <f>'Raw Data'!C217</f>
        <v>CINEPOLIS USA       DALLAS              TX</v>
      </c>
      <c r="C214" t="str">
        <f>'Raw Data'!I217</f>
        <v>Personal - Entertainment</v>
      </c>
      <c r="D214" s="31">
        <f>'Raw Data'!F217</f>
        <v>42.31</v>
      </c>
    </row>
    <row r="215" spans="1:4" x14ac:dyDescent="0.25">
      <c r="A215" t="str">
        <f>'Raw Data'!A218</f>
        <v>10/25/2025</v>
      </c>
      <c r="B215" t="str">
        <f>'Raw Data'!C218</f>
        <v>DNH*GODADDY#39313185Tempe               AZ</v>
      </c>
      <c r="C215" t="str">
        <f>'Raw Data'!I218</f>
        <v>Go Daddy</v>
      </c>
      <c r="D215" s="31">
        <f>'Raw Data'!F218</f>
        <v>15.98</v>
      </c>
    </row>
    <row r="216" spans="1:4" x14ac:dyDescent="0.25">
      <c r="A216" t="str">
        <f>'Raw Data'!A219</f>
        <v>10/25/2025</v>
      </c>
      <c r="B216" t="str">
        <f>'Raw Data'!C219</f>
        <v>FUND LAUNCH         LEHI                UT</v>
      </c>
      <c r="C216" t="str">
        <f>'Raw Data'!I219</f>
        <v>Fund Launch</v>
      </c>
      <c r="D216" s="31">
        <f>'Raw Data'!F219</f>
        <v>883</v>
      </c>
    </row>
    <row r="217" spans="1:4" x14ac:dyDescent="0.25">
      <c r="A217" t="str">
        <f>'Raw Data'!A220</f>
        <v>10/25/2025</v>
      </c>
      <c r="B217" t="str">
        <f>'Raw Data'!C220</f>
        <v>TDMC DICKIESARENA BOFORT WORTH          TX</v>
      </c>
      <c r="C217" t="str">
        <f>'Raw Data'!I220</f>
        <v>Personal - Entertainment</v>
      </c>
      <c r="D217" s="31">
        <f>'Raw Data'!F220</f>
        <v>198</v>
      </c>
    </row>
    <row r="218" spans="1:4" x14ac:dyDescent="0.25">
      <c r="A218" t="str">
        <f>'Raw Data'!A221</f>
        <v>10/25/2025</v>
      </c>
      <c r="B218" t="str">
        <f>'Raw Data'!C221</f>
        <v>TST* DON ARTEMIO 000FORT WORTH          TX</v>
      </c>
      <c r="C218" t="str">
        <f>'Raw Data'!I221</f>
        <v>Personal - Food</v>
      </c>
      <c r="D218" s="31">
        <f>'Raw Data'!F221</f>
        <v>200</v>
      </c>
    </row>
    <row r="219" spans="1:4" x14ac:dyDescent="0.25">
      <c r="A219" t="str">
        <f>'Raw Data'!A222</f>
        <v>10/24/2025</v>
      </c>
      <c r="B219" t="str">
        <f>'Raw Data'!C222</f>
        <v>CINEMARK            PLANO               TX</v>
      </c>
      <c r="C219" t="str">
        <f>'Raw Data'!I222</f>
        <v>Personal - Entertainment</v>
      </c>
      <c r="D219" s="31">
        <f>'Raw Data'!F222</f>
        <v>25.82</v>
      </c>
    </row>
    <row r="220" spans="1:4" x14ac:dyDescent="0.25">
      <c r="A220" t="str">
        <f>'Raw Data'!A223</f>
        <v>10/24/2025</v>
      </c>
      <c r="B220" t="str">
        <f>'Raw Data'!C223</f>
        <v>RUSSELL FEED &amp; SUPPLWEATHERFORD         TX</v>
      </c>
      <c r="C220" t="str">
        <f>'Raw Data'!I223</f>
        <v>Personal - House</v>
      </c>
      <c r="D220" s="31">
        <f>'Raw Data'!F223</f>
        <v>130.96</v>
      </c>
    </row>
    <row r="221" spans="1:4" x14ac:dyDescent="0.25">
      <c r="A221" t="str">
        <f>'Raw Data'!A224</f>
        <v>10/23/2025</v>
      </c>
      <c r="B221" t="str">
        <f>'Raw Data'!C224</f>
        <v>DNH*GODADDY#39299611Tempe               AZ</v>
      </c>
      <c r="C221" t="str">
        <f>'Raw Data'!I224</f>
        <v>Go Daddy</v>
      </c>
      <c r="D221" s="31">
        <f>'Raw Data'!F224</f>
        <v>40.97</v>
      </c>
    </row>
    <row r="222" spans="1:4" x14ac:dyDescent="0.25">
      <c r="A222" t="str">
        <f>'Raw Data'!A225</f>
        <v>10/23/2025</v>
      </c>
      <c r="B222" t="str">
        <f>'Raw Data'!C225</f>
        <v>ZAPIER.COM/CHARGE   SAN FRANCISCO       CA</v>
      </c>
      <c r="C222" t="str">
        <f>'Raw Data'!I225</f>
        <v>Personal - Family</v>
      </c>
      <c r="D222" s="31">
        <f>'Raw Data'!F225</f>
        <v>255.71</v>
      </c>
    </row>
    <row r="223" spans="1:4" x14ac:dyDescent="0.25">
      <c r="A223" t="str">
        <f>'Raw Data'!A226</f>
        <v>10/22/2025</v>
      </c>
      <c r="B223" t="str">
        <f>'Raw Data'!C226</f>
        <v>TST* SUNNY STREET - WEATHERFORD         TX</v>
      </c>
      <c r="C223" t="str">
        <f>'Raw Data'!I226</f>
        <v>Personal - Food</v>
      </c>
      <c r="D223" s="31">
        <f>'Raw Data'!F226</f>
        <v>75.09</v>
      </c>
    </row>
    <row r="224" spans="1:4" x14ac:dyDescent="0.25">
      <c r="A224" t="str">
        <f>'Raw Data'!A227</f>
        <v>10/22/2025</v>
      </c>
      <c r="B224" t="str">
        <f>'Raw Data'!C227</f>
        <v>ZENO'S ON THE SQUAREWEATHERFORD         TX</v>
      </c>
      <c r="C224" t="str">
        <f>'Raw Data'!I227</f>
        <v>Personal - Food</v>
      </c>
      <c r="D224" s="31">
        <f>'Raw Data'!F227</f>
        <v>80</v>
      </c>
    </row>
    <row r="225" spans="1:4" x14ac:dyDescent="0.25">
      <c r="A225" t="str">
        <f>'Raw Data'!A228</f>
        <v>10/21/2025</v>
      </c>
      <c r="B225" t="str">
        <f>'Raw Data'!C228</f>
        <v>BLVD   *PREMIER IV &amp;WEATHERFORD         TX</v>
      </c>
      <c r="C225" t="str">
        <f>'Raw Data'!I228</f>
        <v>Personal - Health</v>
      </c>
      <c r="D225" s="31">
        <f>'Raw Data'!F228</f>
        <v>61.8</v>
      </c>
    </row>
    <row r="226" spans="1:4" x14ac:dyDescent="0.25">
      <c r="A226" t="str">
        <f>'Raw Data'!A229</f>
        <v>10/21/2025</v>
      </c>
      <c r="B226" t="str">
        <f>'Raw Data'!C229</f>
        <v>ROBERTS CHIROPRACTICWEATHERFORD         TX</v>
      </c>
      <c r="C226" t="str">
        <f>'Raw Data'!I229</f>
        <v>Personal - Health</v>
      </c>
      <c r="D226" s="31">
        <f>'Raw Data'!F229</f>
        <v>300</v>
      </c>
    </row>
    <row r="227" spans="1:4" x14ac:dyDescent="0.25">
      <c r="A227" t="str">
        <f>'Raw Data'!A230</f>
        <v>10/21/2025</v>
      </c>
      <c r="B227" t="str">
        <f>'Raw Data'!C230</f>
        <v>ROSA'S CAFE         WEATHERFORD         TX</v>
      </c>
      <c r="C227" t="str">
        <f>'Raw Data'!I230</f>
        <v>Personal - Food</v>
      </c>
      <c r="D227" s="31">
        <f>'Raw Data'!F230</f>
        <v>53.15</v>
      </c>
    </row>
    <row r="228" spans="1:4" x14ac:dyDescent="0.25">
      <c r="A228" t="str">
        <f>'Raw Data'!A231</f>
        <v>10/21/2025</v>
      </c>
      <c r="B228" t="str">
        <f>'Raw Data'!C231</f>
        <v>STARBUCKS STORE 9848FORT WORTH          TX</v>
      </c>
      <c r="C228" t="str">
        <f>'Raw Data'!I231</f>
        <v>Personal - Food</v>
      </c>
      <c r="D228" s="31">
        <f>'Raw Data'!F231</f>
        <v>4.5199999999999996</v>
      </c>
    </row>
    <row r="229" spans="1:4" x14ac:dyDescent="0.25">
      <c r="A229" t="str">
        <f>'Raw Data'!A232</f>
        <v>10/21/2025</v>
      </c>
      <c r="B229" t="str">
        <f>'Raw Data'!C232</f>
        <v>WALGREENS           WEATHERFORD         TX</v>
      </c>
      <c r="C229" t="str">
        <f>'Raw Data'!I232</f>
        <v>Personal - Health</v>
      </c>
      <c r="D229" s="31">
        <f>'Raw Data'!F232</f>
        <v>17.989999999999998</v>
      </c>
    </row>
    <row r="230" spans="1:4" x14ac:dyDescent="0.25">
      <c r="A230" t="str">
        <f>'Raw Data'!A233</f>
        <v>10/20/2025</v>
      </c>
      <c r="B230" t="str">
        <f>'Raw Data'!C233</f>
        <v>BOBACANE BOBACANE   WEATHERFORD         TX</v>
      </c>
      <c r="C230" t="str">
        <f>'Raw Data'!I233</f>
        <v>Personal - Food</v>
      </c>
      <c r="D230" s="31">
        <f>'Raw Data'!F233</f>
        <v>33.56</v>
      </c>
    </row>
    <row r="231" spans="1:4" x14ac:dyDescent="0.25">
      <c r="A231" t="str">
        <f>'Raw Data'!A234</f>
        <v>10/20/2025</v>
      </c>
      <c r="B231" t="str">
        <f>'Raw Data'!C234</f>
        <v>CAMPAIGNER SVC      888-845-4544        CA</v>
      </c>
      <c r="C231" t="str">
        <f>'Raw Data'!I234</f>
        <v>Software &amp; Subscriptions</v>
      </c>
      <c r="D231" s="31">
        <f>'Raw Data'!F234</f>
        <v>584</v>
      </c>
    </row>
    <row r="232" spans="1:4" x14ac:dyDescent="0.25">
      <c r="A232" t="str">
        <f>'Raw Data'!A235</f>
        <v>10/20/2025</v>
      </c>
      <c r="B232" t="str">
        <f>'Raw Data'!C235</f>
        <v>DNH*GODADDY#39272024Tempe               AZ</v>
      </c>
      <c r="C232" t="str">
        <f>'Raw Data'!I235</f>
        <v>Go Daddy</v>
      </c>
      <c r="D232" s="31">
        <f>'Raw Data'!F235</f>
        <v>17.97</v>
      </c>
    </row>
    <row r="233" spans="1:4" x14ac:dyDescent="0.25">
      <c r="A233" t="str">
        <f>'Raw Data'!A236</f>
        <v>10/20/2025</v>
      </c>
      <c r="B233" t="str">
        <f>'Raw Data'!C236</f>
        <v>HOBBY-LOBBY #758 000WEATHERFORD         TX</v>
      </c>
      <c r="C233" t="str">
        <f>'Raw Data'!I236</f>
        <v>Personal - House</v>
      </c>
      <c r="D233" s="31">
        <f>'Raw Data'!F236</f>
        <v>40.53</v>
      </c>
    </row>
    <row r="234" spans="1:4" x14ac:dyDescent="0.25">
      <c r="A234" t="str">
        <f>'Raw Data'!A237</f>
        <v>10/19/2025</v>
      </c>
      <c r="B234" t="str">
        <f>'Raw Data'!C237</f>
        <v>WEATHERFORD MASSAGE WEATHERFORD         TX</v>
      </c>
      <c r="C234" t="str">
        <f>'Raw Data'!I237</f>
        <v>Personal - Health</v>
      </c>
      <c r="D234" s="31">
        <f>'Raw Data'!F237</f>
        <v>180</v>
      </c>
    </row>
    <row r="235" spans="1:4" x14ac:dyDescent="0.25">
      <c r="A235" t="str">
        <f>'Raw Data'!A238</f>
        <v>10/18/2025</v>
      </c>
      <c r="B235" t="str">
        <f>'Raw Data'!C238</f>
        <v>DNH*GODADDY#39259694Tempe               AZ</v>
      </c>
      <c r="C235" t="str">
        <f>'Raw Data'!I238</f>
        <v>Go Daddy</v>
      </c>
      <c r="D235" s="31">
        <f>'Raw Data'!F238</f>
        <v>43.98</v>
      </c>
    </row>
    <row r="236" spans="1:4" x14ac:dyDescent="0.25">
      <c r="A236" t="str">
        <f>'Raw Data'!A239</f>
        <v>10/18/2025</v>
      </c>
      <c r="B236" t="str">
        <f>'Raw Data'!C239</f>
        <v>FILM ALLEY- WEATHERF817-3413232         TX</v>
      </c>
      <c r="C236" t="str">
        <f>'Raw Data'!I239</f>
        <v>Personal - Entertainment</v>
      </c>
      <c r="D236" s="31">
        <f>'Raw Data'!F239</f>
        <v>15.86</v>
      </c>
    </row>
    <row r="237" spans="1:4" x14ac:dyDescent="0.25">
      <c r="A237" t="str">
        <f>'Raw Data'!A240</f>
        <v>10/18/2025</v>
      </c>
      <c r="B237" t="str">
        <f>'Raw Data'!C240</f>
        <v>WALGREENS           WEATHERFORD         TX</v>
      </c>
      <c r="C237" t="str">
        <f>'Raw Data'!I240</f>
        <v>Personal - Health</v>
      </c>
      <c r="D237" s="31">
        <f>'Raw Data'!F240</f>
        <v>19.48</v>
      </c>
    </row>
    <row r="238" spans="1:4" x14ac:dyDescent="0.25">
      <c r="A238" t="str">
        <f>'Raw Data'!A241</f>
        <v>10/17/2025</v>
      </c>
      <c r="B238" t="str">
        <f>'Raw Data'!C241</f>
        <v>HOMEGOODS #1084 0000WEATHERFORD         TX</v>
      </c>
      <c r="C238" t="str">
        <f>'Raw Data'!I241</f>
        <v>Personal - House</v>
      </c>
      <c r="D238" s="31">
        <f>'Raw Data'!F241</f>
        <v>88.31</v>
      </c>
    </row>
    <row r="239" spans="1:4" x14ac:dyDescent="0.25">
      <c r="A239" t="str">
        <f>'Raw Data'!A242</f>
        <v>10/17/2025</v>
      </c>
      <c r="B239" t="str">
        <f>'Raw Data'!C242</f>
        <v>STARBUCKS STORE 6932WEATHERFORD         TX</v>
      </c>
      <c r="C239" t="str">
        <f>'Raw Data'!I242</f>
        <v>Personal - Food</v>
      </c>
      <c r="D239" s="31">
        <f>'Raw Data'!F242</f>
        <v>4.1900000000000004</v>
      </c>
    </row>
    <row r="240" spans="1:4" x14ac:dyDescent="0.25">
      <c r="A240" t="str">
        <f>'Raw Data'!A243</f>
        <v>10/17/2025</v>
      </c>
      <c r="B240" t="str">
        <f>'Raw Data'!C243</f>
        <v>STARBUCKS STORE 6932WEATHERFORD         TX</v>
      </c>
      <c r="C240" t="str">
        <f>'Raw Data'!I243</f>
        <v>Personal - Food</v>
      </c>
      <c r="D240" s="31">
        <f>'Raw Data'!F243</f>
        <v>13.37</v>
      </c>
    </row>
    <row r="241" spans="1:4" x14ac:dyDescent="0.25">
      <c r="A241" t="str">
        <f>'Raw Data'!A244</f>
        <v>10/16/2025</v>
      </c>
      <c r="B241" t="str">
        <f>'Raw Data'!C244</f>
        <v>DNH*GODADDY#39245434Tempe               AZ</v>
      </c>
      <c r="C241" t="str">
        <f>'Raw Data'!I244</f>
        <v>Go Daddy</v>
      </c>
      <c r="D241" s="31">
        <f>'Raw Data'!F244</f>
        <v>44.37</v>
      </c>
    </row>
    <row r="242" spans="1:4" x14ac:dyDescent="0.25">
      <c r="A242" t="str">
        <f>'Raw Data'!A245</f>
        <v>10/16/2025</v>
      </c>
      <c r="B242" t="str">
        <f>'Raw Data'!C245</f>
        <v>DocuSign            SEATTLE             WA</v>
      </c>
      <c r="C242" t="str">
        <f>'Raw Data'!I245</f>
        <v>Software &amp; Subscriptions</v>
      </c>
      <c r="D242" s="31">
        <f>'Raw Data'!F245</f>
        <v>240</v>
      </c>
    </row>
    <row r="243" spans="1:4" x14ac:dyDescent="0.25">
      <c r="A243" t="str">
        <f>'Raw Data'!A246</f>
        <v>10/16/2025</v>
      </c>
      <c r="B243" t="str">
        <f>'Raw Data'!C246</f>
        <v>FILM ALLEY- WEATHERF817-3413232         TX</v>
      </c>
      <c r="C243" t="str">
        <f>'Raw Data'!I246</f>
        <v>Personal - Entertainment</v>
      </c>
      <c r="D243" s="31">
        <f>'Raw Data'!F246</f>
        <v>53.79</v>
      </c>
    </row>
    <row r="244" spans="1:4" x14ac:dyDescent="0.25">
      <c r="A244" t="str">
        <f>'Raw Data'!A247</f>
        <v>10/16/2025</v>
      </c>
      <c r="B244" t="str">
        <f>'Raw Data'!C247</f>
        <v>LEV INC             NEW YORK            NY</v>
      </c>
      <c r="C244" t="str">
        <f>'Raw Data'!I247</f>
        <v>DWG Listing Platform</v>
      </c>
      <c r="D244" s="31">
        <f>'Raw Data'!F247</f>
        <v>2000</v>
      </c>
    </row>
    <row r="245" spans="1:4" x14ac:dyDescent="0.25">
      <c r="A245" t="str">
        <f>'Raw Data'!A248</f>
        <v>10/16/2025</v>
      </c>
      <c r="B245" t="str">
        <f>'Raw Data'!C248</f>
        <v>SIXT USA POS        FORT LAUDERDALE     FL</v>
      </c>
      <c r="C245" t="str">
        <f>'Raw Data'!I248</f>
        <v>TBD</v>
      </c>
      <c r="D245" s="31">
        <f>'Raw Data'!F248</f>
        <v>581.76</v>
      </c>
    </row>
    <row r="246" spans="1:4" x14ac:dyDescent="0.25">
      <c r="A246" t="str">
        <f>'Raw Data'!A249</f>
        <v>10/16/2025</v>
      </c>
      <c r="B246" t="str">
        <f>'Raw Data'!C249</f>
        <v>SOCIALPILOT         LEWES               DE</v>
      </c>
      <c r="C246" t="str">
        <f>'Raw Data'!I249</f>
        <v>Software &amp; Subscriptions</v>
      </c>
      <c r="D246" s="31">
        <f>'Raw Data'!F249</f>
        <v>50</v>
      </c>
    </row>
    <row r="247" spans="1:4" x14ac:dyDescent="0.25">
      <c r="A247" t="str">
        <f>'Raw Data'!A250</f>
        <v>10/15/2025</v>
      </c>
      <c r="B247" t="str">
        <f>'Raw Data'!C250</f>
        <v>800.COM, LLC        800-800-4321        FL</v>
      </c>
      <c r="C247" t="str">
        <f>'Raw Data'!I250</f>
        <v>Software &amp; Subscriptions</v>
      </c>
      <c r="D247" s="31">
        <f>'Raw Data'!F250</f>
        <v>69.62</v>
      </c>
    </row>
    <row r="248" spans="1:4" x14ac:dyDescent="0.25">
      <c r="A248" t="str">
        <f>'Raw Data'!A251</f>
        <v>10/15/2025</v>
      </c>
      <c r="B248" t="str">
        <f>'Raw Data'!C251</f>
        <v>DFW AIRPORT PARKING DFW AIRPORT         TX</v>
      </c>
      <c r="C248" t="str">
        <f>'Raw Data'!I251</f>
        <v>Personal - Car</v>
      </c>
      <c r="D248" s="31">
        <f>'Raw Data'!F251</f>
        <v>2</v>
      </c>
    </row>
    <row r="249" spans="1:4" x14ac:dyDescent="0.25">
      <c r="A249" t="str">
        <f>'Raw Data'!A252</f>
        <v>10/15/2025</v>
      </c>
      <c r="B249" t="str">
        <f>'Raw Data'!C252</f>
        <v>PAR*SMOOTHIE KING SKDALLAS              TX</v>
      </c>
      <c r="C249" t="str">
        <f>'Raw Data'!I252</f>
        <v>Personal - Food</v>
      </c>
      <c r="D249" s="31">
        <f>'Raw Data'!F252</f>
        <v>11.32</v>
      </c>
    </row>
    <row r="250" spans="1:4" x14ac:dyDescent="0.25">
      <c r="A250" t="str">
        <f>'Raw Data'!A253</f>
        <v>10/15/2025</v>
      </c>
      <c r="B250" t="str">
        <f>'Raw Data'!C253</f>
        <v>RESTORE.COM         AUSTIN              TX</v>
      </c>
      <c r="C250" t="str">
        <f>'Raw Data'!I253</f>
        <v>Personal - Health</v>
      </c>
      <c r="D250" s="31">
        <f>'Raw Data'!F253</f>
        <v>199</v>
      </c>
    </row>
    <row r="251" spans="1:4" x14ac:dyDescent="0.25">
      <c r="A251" t="str">
        <f>'Raw Data'!A254</f>
        <v>10/15/2025</v>
      </c>
      <c r="B251" t="str">
        <f>'Raw Data'!C254</f>
        <v>TACO BELL 034586 034WEATHERFORD         TX</v>
      </c>
      <c r="C251" t="str">
        <f>'Raw Data'!I254</f>
        <v>Personal - Food</v>
      </c>
      <c r="D251" s="31">
        <f>'Raw Data'!F254</f>
        <v>20.92</v>
      </c>
    </row>
    <row r="252" spans="1:4" x14ac:dyDescent="0.25">
      <c r="A252" t="str">
        <f>'Raw Data'!A255</f>
        <v>10/13/2025</v>
      </c>
      <c r="B252" t="str">
        <f>'Raw Data'!C255</f>
        <v>ALANA'S COFFEE ROASTLos Angeles         CA</v>
      </c>
      <c r="C252" t="str">
        <f>'Raw Data'!I255</f>
        <v>Personal - Food</v>
      </c>
      <c r="D252" s="31">
        <f>'Raw Data'!F255</f>
        <v>9.25</v>
      </c>
    </row>
    <row r="253" spans="1:4" x14ac:dyDescent="0.25">
      <c r="A253" t="str">
        <f>'Raw Data'!A256</f>
        <v>10/13/2025</v>
      </c>
      <c r="B253" t="str">
        <f>'Raw Data'!C256</f>
        <v>DNH*GODADDY#39218992Tempe               AZ</v>
      </c>
      <c r="C253" t="str">
        <f>'Raw Data'!I256</f>
        <v>Go Daddy</v>
      </c>
      <c r="D253" s="31">
        <f>'Raw Data'!F256</f>
        <v>43.96</v>
      </c>
    </row>
    <row r="254" spans="1:4" x14ac:dyDescent="0.25">
      <c r="A254" t="str">
        <f>'Raw Data'!A257</f>
        <v>10/13/2025</v>
      </c>
      <c r="B254" t="str">
        <f>'Raw Data'!C257</f>
        <v>TST* BLUEYS KITCHEN LOS ANGELES         CA</v>
      </c>
      <c r="C254" t="str">
        <f>'Raw Data'!I257</f>
        <v>Personal - Food</v>
      </c>
      <c r="D254" s="31">
        <f>'Raw Data'!F257</f>
        <v>148.6</v>
      </c>
    </row>
    <row r="255" spans="1:4" x14ac:dyDescent="0.25">
      <c r="A255" t="str">
        <f>'Raw Data'!A258</f>
        <v>10/12/2025</v>
      </c>
      <c r="B255" t="str">
        <f>'Raw Data'!C258</f>
        <v>CIRCLE K # 44112/CIRGLENWOOD SPRINGS    CO</v>
      </c>
      <c r="C255" t="str">
        <f>'Raw Data'!I258</f>
        <v>Personal - Car</v>
      </c>
      <c r="D255" s="31">
        <f>'Raw Data'!F258</f>
        <v>55.83</v>
      </c>
    </row>
    <row r="256" spans="1:4" x14ac:dyDescent="0.25">
      <c r="A256" t="str">
        <f>'Raw Data'!A259</f>
        <v>10/12/2025</v>
      </c>
      <c r="B256" t="str">
        <f>'Raw Data'!C259</f>
        <v>SPOTIFY USA         NEW YORK            NY</v>
      </c>
      <c r="C256" t="str">
        <f>'Raw Data'!I259</f>
        <v>Software &amp; Subscriptions</v>
      </c>
      <c r="D256" s="31">
        <f>'Raw Data'!F259</f>
        <v>12.98</v>
      </c>
    </row>
    <row r="257" spans="1:4" x14ac:dyDescent="0.25">
      <c r="A257" t="str">
        <f>'Raw Data'!A260</f>
        <v>10/12/2025</v>
      </c>
      <c r="B257" t="str">
        <f>'Raw Data'!C260</f>
        <v>THE CORNER BEET     Denver              CO</v>
      </c>
      <c r="C257" t="str">
        <f>'Raw Data'!I260</f>
        <v>Personal - Food</v>
      </c>
      <c r="D257" s="31">
        <f>'Raw Data'!F260</f>
        <v>144.54</v>
      </c>
    </row>
    <row r="258" spans="1:4" x14ac:dyDescent="0.25">
      <c r="A258" t="str">
        <f>'Raw Data'!A261</f>
        <v>10/11/2025</v>
      </c>
      <c r="B258" t="str">
        <f>'Raw Data'!C261</f>
        <v>DNH*GODADDY#39202417Tempe               AZ</v>
      </c>
      <c r="C258" t="str">
        <f>'Raw Data'!I261</f>
        <v>Go Daddy</v>
      </c>
      <c r="D258" s="31">
        <f>'Raw Data'!F261</f>
        <v>81.91</v>
      </c>
    </row>
    <row r="259" spans="1:4" x14ac:dyDescent="0.25">
      <c r="A259" t="str">
        <f>'Raw Data'!A262</f>
        <v>10/11/2025</v>
      </c>
      <c r="B259" t="str">
        <f>'Raw Data'!C262</f>
        <v>TST* LAS MONTANAS 00ASPEN               CO</v>
      </c>
      <c r="C259" t="str">
        <f>'Raw Data'!I262</f>
        <v>Personal - Food</v>
      </c>
      <c r="D259" s="31">
        <f>'Raw Data'!F262</f>
        <v>300</v>
      </c>
    </row>
    <row r="260" spans="1:4" x14ac:dyDescent="0.25">
      <c r="A260" t="str">
        <f>'Raw Data'!A263</f>
        <v>10/10/2025</v>
      </c>
      <c r="B260" t="str">
        <f>'Raw Data'!C263</f>
        <v>AMAZON.COM          AMZN.COM/BILL       WA</v>
      </c>
      <c r="C260" t="str">
        <f>'Raw Data'!I263</f>
        <v>Amazon</v>
      </c>
      <c r="D260" s="31">
        <f>'Raw Data'!F263</f>
        <v>205.66</v>
      </c>
    </row>
    <row r="261" spans="1:4" x14ac:dyDescent="0.25">
      <c r="A261" t="str">
        <f>'Raw Data'!A264</f>
        <v>10/10/2025</v>
      </c>
      <c r="B261" t="str">
        <f>'Raw Data'!C264</f>
        <v>DNH*GODADDY#39192267Tempe               AZ</v>
      </c>
      <c r="C261" t="str">
        <f>'Raw Data'!I264</f>
        <v>Go Daddy</v>
      </c>
      <c r="D261" s="31">
        <f>'Raw Data'!F264</f>
        <v>174.76</v>
      </c>
    </row>
    <row r="262" spans="1:4" x14ac:dyDescent="0.25">
      <c r="A262" t="str">
        <f>'Raw Data'!A265</f>
        <v>10/10/2025</v>
      </c>
      <c r="B262" t="str">
        <f>'Raw Data'!C265</f>
        <v>TST* POPULUS HOTEL- DENVER              CO</v>
      </c>
      <c r="C262" t="str">
        <f>'Raw Data'!I265</f>
        <v>Denver Trip</v>
      </c>
      <c r="D262" s="31">
        <f>'Raw Data'!F265</f>
        <v>101.78</v>
      </c>
    </row>
    <row r="263" spans="1:4" x14ac:dyDescent="0.25">
      <c r="A263" t="str">
        <f>'Raw Data'!A266</f>
        <v>10/10/2025</v>
      </c>
      <c r="B263" t="str">
        <f>'Raw Data'!C266</f>
        <v>VIMEO PRO           212-625-0668        NY</v>
      </c>
      <c r="C263" t="str">
        <f>'Raw Data'!I266</f>
        <v>Software &amp; Subscriptions</v>
      </c>
      <c r="D263" s="31">
        <f>'Raw Data'!F266</f>
        <v>24</v>
      </c>
    </row>
    <row r="264" spans="1:4" x14ac:dyDescent="0.25">
      <c r="A264" t="str">
        <f>'Raw Data'!A267</f>
        <v>10/09/2025</v>
      </c>
      <c r="B264" t="str">
        <f>'Raw Data'!C267</f>
        <v>BALANCED ROOT APOTHEDenver              CO</v>
      </c>
      <c r="C264" t="str">
        <f>'Raw Data'!I267</f>
        <v>Denver Trip</v>
      </c>
      <c r="D264" s="31">
        <f>'Raw Data'!F267</f>
        <v>26.2</v>
      </c>
    </row>
    <row r="265" spans="1:4" x14ac:dyDescent="0.25">
      <c r="A265" t="str">
        <f>'Raw Data'!A268</f>
        <v>10/09/2025</v>
      </c>
      <c r="B265" t="str">
        <f>'Raw Data'!C268</f>
        <v>COLORADO CC DPAC CONDENVER              CO</v>
      </c>
      <c r="C265" t="str">
        <f>'Raw Data'!I268</f>
        <v>Denver Trip</v>
      </c>
      <c r="D265" s="31">
        <f>'Raw Data'!F268</f>
        <v>14.75</v>
      </c>
    </row>
    <row r="266" spans="1:4" x14ac:dyDescent="0.25">
      <c r="A266" t="str">
        <f>'Raw Data'!A269</f>
        <v>10/09/2025</v>
      </c>
      <c r="B266" t="str">
        <f>'Raw Data'!C269</f>
        <v>DNH*GODADDY#39184358Tempe               AZ</v>
      </c>
      <c r="C266" t="str">
        <f>'Raw Data'!I269</f>
        <v>Go Daddy</v>
      </c>
      <c r="D266" s="31">
        <f>'Raw Data'!F269</f>
        <v>13.79</v>
      </c>
    </row>
    <row r="267" spans="1:4" x14ac:dyDescent="0.25">
      <c r="A267" t="str">
        <f>'Raw Data'!A270</f>
        <v>10/09/2025</v>
      </c>
      <c r="B267" t="str">
        <f>'Raw Data'!C270</f>
        <v>HYDRATEIVBAR.COM    DENVER              CO</v>
      </c>
      <c r="C267" t="str">
        <f>'Raw Data'!I270</f>
        <v>Denver Trip</v>
      </c>
      <c r="D267" s="31">
        <f>'Raw Data'!F270</f>
        <v>180</v>
      </c>
    </row>
    <row r="268" spans="1:4" x14ac:dyDescent="0.25">
      <c r="A268" t="str">
        <f>'Raw Data'!A271</f>
        <v>10/09/2025</v>
      </c>
      <c r="B268" t="str">
        <f>'Raw Data'!C271</f>
        <v>THE CORNER BEET     Denver              CO</v>
      </c>
      <c r="C268" t="str">
        <f>'Raw Data'!I271</f>
        <v>Denver Trip</v>
      </c>
      <c r="D268" s="31">
        <f>'Raw Data'!F271</f>
        <v>133.88999999999999</v>
      </c>
    </row>
    <row r="269" spans="1:4" x14ac:dyDescent="0.25">
      <c r="A269" t="str">
        <f>'Raw Data'!A272</f>
        <v>10/08/2025</v>
      </c>
      <c r="B269" t="str">
        <f>'Raw Data'!C272</f>
        <v>DNH*GODADDY#39175484Tempe               AZ</v>
      </c>
      <c r="C269" t="str">
        <f>'Raw Data'!I272</f>
        <v>Go Daddy</v>
      </c>
      <c r="D269" s="31">
        <f>'Raw Data'!F272</f>
        <v>30.97</v>
      </c>
    </row>
    <row r="270" spans="1:4" x14ac:dyDescent="0.25">
      <c r="A270" t="str">
        <f>'Raw Data'!A273</f>
        <v>10/08/2025</v>
      </c>
      <c r="B270" t="str">
        <f>'Raw Data'!C273</f>
        <v>LAX AIRP BGRILL BY BLOS ANGELES         CA</v>
      </c>
      <c r="C270" t="str">
        <f>'Raw Data'!I273</f>
        <v>Denver Trip</v>
      </c>
      <c r="D270" s="31">
        <f>'Raw Data'!F273</f>
        <v>130.55000000000001</v>
      </c>
    </row>
    <row r="271" spans="1:4" x14ac:dyDescent="0.25">
      <c r="A271" t="str">
        <f>'Raw Data'!A274</f>
        <v>10/08/2025</v>
      </c>
      <c r="B271" t="str">
        <f>'Raw Data'!C274</f>
        <v>OPENAI *CHATGPT SUBSSAN FRANCISCO       CA</v>
      </c>
      <c r="C271" t="str">
        <f>'Raw Data'!I274</f>
        <v>AI Subscriptions</v>
      </c>
      <c r="D271" s="31">
        <f>'Raw Data'!F274</f>
        <v>20</v>
      </c>
    </row>
    <row r="272" spans="1:4" x14ac:dyDescent="0.25">
      <c r="A272" t="str">
        <f>'Raw Data'!A275</f>
        <v>10/08/2025</v>
      </c>
      <c r="B272" t="str">
        <f>'Raw Data'!C275</f>
        <v>PACIFIC SPAS &amp; SAUNALOS ANGELES         CA</v>
      </c>
      <c r="C272" t="str">
        <f>'Raw Data'!I275</f>
        <v>Personal - House</v>
      </c>
      <c r="D272" s="31">
        <f>'Raw Data'!F275</f>
        <v>410.2</v>
      </c>
    </row>
    <row r="273" spans="1:4" x14ac:dyDescent="0.25">
      <c r="A273" t="str">
        <f>'Raw Data'!A276</f>
        <v>10/07/2025</v>
      </c>
      <c r="B273" t="str">
        <f>'Raw Data'!C276</f>
        <v>CITY OF SANTA MONICASANTA MONICA        CA</v>
      </c>
      <c r="C273" t="str">
        <f>'Raw Data'!I276</f>
        <v>Personal - Car</v>
      </c>
      <c r="D273" s="31">
        <f>'Raw Data'!F276</f>
        <v>1.25</v>
      </c>
    </row>
    <row r="274" spans="1:4" x14ac:dyDescent="0.25">
      <c r="A274" t="str">
        <f>'Raw Data'!A277</f>
        <v>10/07/2025</v>
      </c>
      <c r="B274" t="str">
        <f>'Raw Data'!C277</f>
        <v>DNH*GODADDY#39169529Tempe               AZ</v>
      </c>
      <c r="C274" t="str">
        <f>'Raw Data'!I277</f>
        <v>Go Daddy</v>
      </c>
      <c r="D274" s="31">
        <f>'Raw Data'!F277</f>
        <v>10.99</v>
      </c>
    </row>
    <row r="275" spans="1:4" x14ac:dyDescent="0.25">
      <c r="A275" t="str">
        <f>'Raw Data'!A278</f>
        <v>10/07/2025</v>
      </c>
      <c r="B275" t="str">
        <f>'Raw Data'!C278</f>
        <v>Points for Amex Trvl</v>
      </c>
      <c r="C275" t="str">
        <f>'Raw Data'!I278</f>
        <v>Points for Amex Trvl</v>
      </c>
      <c r="D275" s="31">
        <f>'Raw Data'!F278</f>
        <v>-290</v>
      </c>
    </row>
    <row r="276" spans="1:4" x14ac:dyDescent="0.25">
      <c r="A276" t="str">
        <f>'Raw Data'!A279</f>
        <v>10/07/2025</v>
      </c>
      <c r="B276" t="str">
        <f>'Raw Data'!C279</f>
        <v>PwP    AMERICAN EXPRSEATTLE             WA</v>
      </c>
      <c r="C276" t="str">
        <f>'Raw Data'!I279</f>
        <v>Team Travel (Judd)</v>
      </c>
      <c r="D276" s="31">
        <f>'Raw Data'!F279</f>
        <v>312.48</v>
      </c>
    </row>
    <row r="277" spans="1:4" x14ac:dyDescent="0.25">
      <c r="A277" t="str">
        <f>'Raw Data'!A280</f>
        <v>10/07/2025</v>
      </c>
      <c r="B277" t="str">
        <f>'Raw Data'!C280</f>
        <v>REI#274 MARINA D RAYMARINA DEL REY      CA</v>
      </c>
      <c r="C277" t="str">
        <f>'Raw Data'!I280</f>
        <v>Personal - Clothing</v>
      </c>
      <c r="D277" s="31">
        <f>'Raw Data'!F280</f>
        <v>82.26</v>
      </c>
    </row>
    <row r="278" spans="1:4" x14ac:dyDescent="0.25">
      <c r="A278" t="str">
        <f>'Raw Data'!A281</f>
        <v>10/07/2025</v>
      </c>
      <c r="B278" t="str">
        <f>'Raw Data'!C281</f>
        <v>RENTV.COM, INC.     310-242-8613        CA</v>
      </c>
      <c r="C278" t="str">
        <f>'Raw Data'!I281</f>
        <v>DWG Conference</v>
      </c>
      <c r="D278" s="31">
        <f>'Raw Data'!F281</f>
        <v>1350</v>
      </c>
    </row>
    <row r="279" spans="1:4" x14ac:dyDescent="0.25">
      <c r="A279" t="str">
        <f>'Raw Data'!A282</f>
        <v>10/07/2025</v>
      </c>
      <c r="B279" t="str">
        <f>'Raw Data'!C282</f>
        <v>RESTORE.COM         AUSTIN              TX</v>
      </c>
      <c r="C279" t="str">
        <f>'Raw Data'!I282</f>
        <v>Personal - Health</v>
      </c>
      <c r="D279" s="31">
        <f>'Raw Data'!F282</f>
        <v>120</v>
      </c>
    </row>
    <row r="280" spans="1:4" x14ac:dyDescent="0.25">
      <c r="A280" t="str">
        <f>'Raw Data'!A283</f>
        <v>10/07/2025</v>
      </c>
      <c r="B280" t="str">
        <f>'Raw Data'!C283</f>
        <v>Southwest Airlines  DALLAS              TX</v>
      </c>
      <c r="C280" t="str">
        <f>'Raw Data'!I283</f>
        <v>Team Travel (Judd)</v>
      </c>
      <c r="D280" s="31">
        <f>'Raw Data'!F283</f>
        <v>244.48</v>
      </c>
    </row>
    <row r="281" spans="1:4" x14ac:dyDescent="0.25">
      <c r="A281" t="str">
        <f>'Raw Data'!A284</f>
        <v>10/07/2025</v>
      </c>
      <c r="B281" t="str">
        <f>'Raw Data'!C284</f>
        <v>VITO RESTAURANT     SANTA MONICA        CA</v>
      </c>
      <c r="C281" t="str">
        <f>'Raw Data'!I284</f>
        <v>Personal - Food</v>
      </c>
      <c r="D281" s="31">
        <f>'Raw Data'!F284</f>
        <v>51.03</v>
      </c>
    </row>
    <row r="282" spans="1:4" x14ac:dyDescent="0.25">
      <c r="A282" t="str">
        <f>'Raw Data'!A285</f>
        <v>10/06/2025</v>
      </c>
      <c r="B282" t="str">
        <f>'Raw Data'!C285</f>
        <v>AMAZON PRIME*NV8WW00AMZN.COM/BILL       WA</v>
      </c>
      <c r="C282" t="str">
        <f>'Raw Data'!I285</f>
        <v>Amazon</v>
      </c>
      <c r="D282" s="31">
        <f>'Raw Data'!F285</f>
        <v>3.24</v>
      </c>
    </row>
    <row r="283" spans="1:4" x14ac:dyDescent="0.25">
      <c r="A283" t="str">
        <f>'Raw Data'!A286</f>
        <v>10/06/2025</v>
      </c>
      <c r="B283" t="str">
        <f>'Raw Data'!C286</f>
        <v>Amazon Prime        Amazon.com          WA</v>
      </c>
      <c r="C283" t="str">
        <f>'Raw Data'!I286</f>
        <v>Amazon</v>
      </c>
      <c r="D283" s="31">
        <f>'Raw Data'!F286</f>
        <v>16.23</v>
      </c>
    </row>
    <row r="284" spans="1:4" x14ac:dyDescent="0.25">
      <c r="A284" t="str">
        <f>'Raw Data'!A287</f>
        <v>10/06/2025</v>
      </c>
      <c r="B284" t="str">
        <f>'Raw Data'!C287</f>
        <v>BRAVE.COM           SAN FRANCISCO       CA</v>
      </c>
      <c r="C284" t="str">
        <f>'Raw Data'!I287</f>
        <v>Software &amp; Subscriptions</v>
      </c>
      <c r="D284" s="31">
        <f>'Raw Data'!F287</f>
        <v>9.99</v>
      </c>
    </row>
    <row r="285" spans="1:4" x14ac:dyDescent="0.25">
      <c r="A285" t="str">
        <f>'Raw Data'!A288</f>
        <v>10/06/2025</v>
      </c>
      <c r="B285" t="str">
        <f>'Raw Data'!C288</f>
        <v>CREXI               LOS ANGELES         CA</v>
      </c>
      <c r="C285" t="str">
        <f>'Raw Data'!I288</f>
        <v>DWG Listing Platform</v>
      </c>
      <c r="D285" s="31">
        <f>'Raw Data'!F288</f>
        <v>260</v>
      </c>
    </row>
    <row r="286" spans="1:4" x14ac:dyDescent="0.25">
      <c r="A286" t="str">
        <f>'Raw Data'!A289</f>
        <v>10/06/2025</v>
      </c>
      <c r="B286" t="str">
        <f>'Raw Data'!C289</f>
        <v>TST* BLUEYS KITCHEN LOS ANGELES         CA</v>
      </c>
      <c r="C286" t="str">
        <f>'Raw Data'!I289</f>
        <v>Personal - Food</v>
      </c>
      <c r="D286" s="31">
        <f>'Raw Data'!F289</f>
        <v>74.47</v>
      </c>
    </row>
    <row r="287" spans="1:4" x14ac:dyDescent="0.25">
      <c r="A287" t="str">
        <f>'Raw Data'!A290</f>
        <v>10/05/2025</v>
      </c>
      <c r="B287" t="str">
        <f>'Raw Data'!C290</f>
        <v>AMC MARINA MARKETPL MARINA DEL REY      CA</v>
      </c>
      <c r="C287" t="str">
        <f>'Raw Data'!I290</f>
        <v>Personal - Entertainment</v>
      </c>
      <c r="D287" s="31">
        <f>'Raw Data'!F290</f>
        <v>27.89</v>
      </c>
    </row>
    <row r="288" spans="1:4" x14ac:dyDescent="0.25">
      <c r="A288" t="str">
        <f>'Raw Data'!A291</f>
        <v>10/05/2025</v>
      </c>
      <c r="B288" t="str">
        <f>'Raw Data'!C291</f>
        <v>COFFEE BEAN &amp; TEA   MARINA DEL RE       CA</v>
      </c>
      <c r="C288" t="str">
        <f>'Raw Data'!I291</f>
        <v>Personal - Food</v>
      </c>
      <c r="D288" s="31">
        <f>'Raw Data'!F291</f>
        <v>4.55</v>
      </c>
    </row>
    <row r="289" spans="1:4" x14ac:dyDescent="0.25">
      <c r="A289" t="str">
        <f>'Raw Data'!A292</f>
        <v>10/05/2025</v>
      </c>
      <c r="B289" t="str">
        <f>'Raw Data'!C292</f>
        <v>DNH*GODADDY#39150323Tempe               AZ</v>
      </c>
      <c r="C289" t="str">
        <f>'Raw Data'!I292</f>
        <v>Go Daddy</v>
      </c>
      <c r="D289" s="31">
        <f>'Raw Data'!F292</f>
        <v>17.97</v>
      </c>
    </row>
    <row r="290" spans="1:4" x14ac:dyDescent="0.25">
      <c r="A290" t="str">
        <f>'Raw Data'!A293</f>
        <v>10/05/2025</v>
      </c>
      <c r="B290" t="str">
        <f>'Raw Data'!C293</f>
        <v>PAYA THAI LA LLC    LOS ANGELES         CA</v>
      </c>
      <c r="C290" t="str">
        <f>'Raw Data'!I293</f>
        <v>Personal - Health</v>
      </c>
      <c r="D290" s="31">
        <f>'Raw Data'!F293</f>
        <v>210</v>
      </c>
    </row>
    <row r="291" spans="1:4" x14ac:dyDescent="0.25">
      <c r="A291" t="str">
        <f>'Raw Data'!A294</f>
        <v>10/05/2025</v>
      </c>
      <c r="B291" t="str">
        <f>'Raw Data'!C294</f>
        <v>ROSS DRESS FOR LESS VENICE              CA</v>
      </c>
      <c r="C291" t="str">
        <f>'Raw Data'!I294</f>
        <v>Personal - House</v>
      </c>
      <c r="D291" s="31">
        <f>'Raw Data'!F294</f>
        <v>43.37</v>
      </c>
    </row>
    <row r="292" spans="1:4" x14ac:dyDescent="0.25">
      <c r="A292" t="str">
        <f>'Raw Data'!A295</f>
        <v>10/04/2025</v>
      </c>
      <c r="B292" t="str">
        <f>'Raw Data'!C295</f>
        <v>CITY OF SANTA MONICASANTA MONICA        CA</v>
      </c>
      <c r="C292" t="str">
        <f>'Raw Data'!I295</f>
        <v>Personal - Car</v>
      </c>
      <c r="D292" s="31">
        <f>'Raw Data'!F295</f>
        <v>4</v>
      </c>
    </row>
    <row r="293" spans="1:4" x14ac:dyDescent="0.25">
      <c r="A293" t="str">
        <f>'Raw Data'!A296</f>
        <v>10/04/2025</v>
      </c>
      <c r="B293" t="str">
        <f>'Raw Data'!C296</f>
        <v>SILVERLAKE RAMEN 000SANTA MONICA        CA</v>
      </c>
      <c r="C293" t="str">
        <f>'Raw Data'!I296</f>
        <v>Personal - Food</v>
      </c>
      <c r="D293" s="31">
        <f>'Raw Data'!F296</f>
        <v>31.38</v>
      </c>
    </row>
    <row r="294" spans="1:4" x14ac:dyDescent="0.25">
      <c r="A294" t="str">
        <f>'Raw Data'!A297</f>
        <v>10/04/2025</v>
      </c>
      <c r="B294" t="str">
        <f>'Raw Data'!C297</f>
        <v>THE HOME DEPOT      LOS ANGELES         CA</v>
      </c>
      <c r="C294" t="str">
        <f>'Raw Data'!I297</f>
        <v>Personal - House</v>
      </c>
      <c r="D294" s="31">
        <f>'Raw Data'!F297</f>
        <v>31.63</v>
      </c>
    </row>
    <row r="295" spans="1:4" x14ac:dyDescent="0.25">
      <c r="A295" t="str">
        <f>'Raw Data'!A298</f>
        <v>10/03/2025</v>
      </c>
      <c r="B295" t="str">
        <f>'Raw Data'!C298</f>
        <v>2418 AMC AMC MARINA MARINA DEL RE       CA</v>
      </c>
      <c r="C295" t="str">
        <f>'Raw Data'!I298</f>
        <v>Personal - Entertainment</v>
      </c>
      <c r="D295" s="31">
        <f>'Raw Data'!F298</f>
        <v>21.15</v>
      </c>
    </row>
    <row r="296" spans="1:4" x14ac:dyDescent="0.25">
      <c r="A296" t="str">
        <f>'Raw Data'!A299</f>
        <v>10/03/2025</v>
      </c>
      <c r="B296" t="str">
        <f>'Raw Data'!C299</f>
        <v>ADJ REDIST PURCHASE BAL</v>
      </c>
      <c r="C296" t="str">
        <f>'Raw Data'!I299</f>
        <v>ADJ REDIST PURCHASE BAL</v>
      </c>
      <c r="D296" s="31">
        <f>'Raw Data'!F299</f>
        <v>-151.35</v>
      </c>
    </row>
    <row r="297" spans="1:4" x14ac:dyDescent="0.25">
      <c r="A297" t="str">
        <f>'Raw Data'!A300</f>
        <v>10/03/2025</v>
      </c>
      <c r="B297" t="str">
        <f>'Raw Data'!C300</f>
        <v>CONTACTS+           HUNTINGTON BEACH    CA</v>
      </c>
      <c r="C297" t="str">
        <f>'Raw Data'!I300</f>
        <v>Personal - Health</v>
      </c>
      <c r="D297" s="31">
        <f>'Raw Data'!F300</f>
        <v>13.99</v>
      </c>
    </row>
    <row r="298" spans="1:4" x14ac:dyDescent="0.25">
      <c r="A298" t="str">
        <f>'Raw Data'!A301</f>
        <v>10/03/2025</v>
      </c>
      <c r="B298" t="str">
        <f>'Raw Data'!C301</f>
        <v>DR ADJ REDIST CADV PRIN</v>
      </c>
      <c r="C298" t="str">
        <f>'Raw Data'!I301</f>
        <v>DR ADJ REDIST CADV PRIN</v>
      </c>
      <c r="D298" s="31">
        <f>'Raw Data'!F301</f>
        <v>151.35</v>
      </c>
    </row>
    <row r="299" spans="1:4" x14ac:dyDescent="0.25">
      <c r="A299" t="str">
        <f>'Raw Data'!A302</f>
        <v>10/03/2025</v>
      </c>
      <c r="B299" t="str">
        <f>'Raw Data'!C302</f>
        <v>SALESMESSAGE.COM    DELRAY BEACH        FL</v>
      </c>
      <c r="C299" t="str">
        <f>'Raw Data'!I302</f>
        <v>Software &amp; Subscriptions</v>
      </c>
      <c r="D299" s="31">
        <f>'Raw Data'!F302</f>
        <v>52.14</v>
      </c>
    </row>
    <row r="300" spans="1:4" x14ac:dyDescent="0.25">
      <c r="A300" t="str">
        <f>'Raw Data'!A303</f>
        <v>10/03/2025</v>
      </c>
      <c r="B300" t="str">
        <f>'Raw Data'!C303</f>
        <v>THE HANGAR          Santa Monica        CA</v>
      </c>
      <c r="C300" t="str">
        <f>'Raw Data'!I303</f>
        <v>Personal - House</v>
      </c>
      <c r="D300" s="31">
        <f>'Raw Data'!F303</f>
        <v>1529.73</v>
      </c>
    </row>
    <row r="301" spans="1:4" x14ac:dyDescent="0.25">
      <c r="A301" t="str">
        <f>'Raw Data'!A304</f>
        <v>10/03/2025</v>
      </c>
      <c r="B301" t="str">
        <f>'Raw Data'!C304</f>
        <v>TST* BLUEYS KITCHEN LOS ANGELES         CA</v>
      </c>
      <c r="C301" t="str">
        <f>'Raw Data'!I304</f>
        <v>Personal - Food</v>
      </c>
      <c r="D301" s="31">
        <f>'Raw Data'!F304</f>
        <v>121.01</v>
      </c>
    </row>
    <row r="302" spans="1:4" x14ac:dyDescent="0.25">
      <c r="A302" t="str">
        <f>'Raw Data'!A305</f>
        <v>10/02/2025</v>
      </c>
      <c r="B302" t="str">
        <f>'Raw Data'!C305</f>
        <v>CASABLANCA 00-080164VENICE              CA</v>
      </c>
      <c r="C302" t="str">
        <f>'Raw Data'!I305</f>
        <v>Personal - Food</v>
      </c>
      <c r="D302" s="31">
        <f>'Raw Data'!F305</f>
        <v>80.099999999999994</v>
      </c>
    </row>
    <row r="303" spans="1:4" x14ac:dyDescent="0.25">
      <c r="A303" t="str">
        <f>'Raw Data'!A306</f>
        <v>10/02/2025</v>
      </c>
      <c r="B303" t="str">
        <f>'Raw Data'!C306</f>
        <v>DNH*GODADDY#39125988Tempe               AZ</v>
      </c>
      <c r="C303" t="str">
        <f>'Raw Data'!I306</f>
        <v>Go Daddy</v>
      </c>
      <c r="D303" s="31">
        <f>'Raw Data'!F306</f>
        <v>19.97</v>
      </c>
    </row>
    <row r="304" spans="1:4" x14ac:dyDescent="0.25">
      <c r="A304" t="str">
        <f>'Raw Data'!A307</f>
        <v>10/01/2025</v>
      </c>
      <c r="B304" t="str">
        <f>'Raw Data'!C307</f>
        <v>ABC*ICONFIT         LOS ANGELES         CA</v>
      </c>
      <c r="C304" t="str">
        <f>'Raw Data'!I307</f>
        <v>Personal - Health</v>
      </c>
      <c r="D304" s="31">
        <f>'Raw Data'!F307</f>
        <v>119.52</v>
      </c>
    </row>
    <row r="305" spans="1:4" x14ac:dyDescent="0.25">
      <c r="A305" t="str">
        <f>'Raw Data'!A308</f>
        <v>10/01/2025</v>
      </c>
      <c r="B305" t="str">
        <f>'Raw Data'!C308</f>
        <v>DNH*GODADDY#39115285Tempe               AZ</v>
      </c>
      <c r="C305" t="str">
        <f>'Raw Data'!I308</f>
        <v>Go Daddy</v>
      </c>
      <c r="D305" s="31">
        <f>'Raw Data'!F308</f>
        <v>30.97</v>
      </c>
    </row>
    <row r="306" spans="1:4" x14ac:dyDescent="0.25">
      <c r="A306" t="str">
        <f>'Raw Data'!A309</f>
        <v>10/01/2025</v>
      </c>
      <c r="B306" t="str">
        <f>'Raw Data'!C309</f>
        <v>EGNYTE INC 000000001MOUNTAIN VIEW       CA</v>
      </c>
      <c r="C306" t="str">
        <f>'Raw Data'!I309</f>
        <v>DWG Operations</v>
      </c>
      <c r="D306" s="31">
        <f>'Raw Data'!F309</f>
        <v>2484</v>
      </c>
    </row>
    <row r="307" spans="1:4" x14ac:dyDescent="0.25">
      <c r="A307" t="str">
        <f>'Raw Data'!A310</f>
        <v>10/01/2025</v>
      </c>
      <c r="B307" t="str">
        <f>'Raw Data'!C310</f>
        <v>LOOM SUBSCRIPTION   AUSTIN              TX</v>
      </c>
      <c r="C307" t="str">
        <f>'Raw Data'!I310</f>
        <v>Software &amp; Subscriptions</v>
      </c>
      <c r="D307" s="31">
        <f>'Raw Data'!F310</f>
        <v>20</v>
      </c>
    </row>
    <row r="308" spans="1:4" x14ac:dyDescent="0.25">
      <c r="A308" t="str">
        <f>'Raw Data'!A311</f>
        <v>10/01/2025</v>
      </c>
      <c r="B308" t="str">
        <f>'Raw Data'!C311</f>
        <v>TST* BLUEYS KITCHEN LOS ANGELES         CA</v>
      </c>
      <c r="C308" t="str">
        <f>'Raw Data'!I311</f>
        <v>Personal - Food</v>
      </c>
      <c r="D308" s="31">
        <f>'Raw Data'!F311</f>
        <v>17.61</v>
      </c>
    </row>
    <row r="309" spans="1:4" x14ac:dyDescent="0.25">
      <c r="A309" t="str">
        <f>'Raw Data'!A312</f>
        <v>09/30/2025</v>
      </c>
      <c r="B309" t="str">
        <f>'Raw Data'!C312</f>
        <v>CBI*CCLEANER PIRIFOR800-799-9570        IL</v>
      </c>
      <c r="C309" t="str">
        <f>'Raw Data'!I312</f>
        <v>Personal - Clothing</v>
      </c>
      <c r="D309" s="31">
        <f>'Raw Data'!F312</f>
        <v>44.95</v>
      </c>
    </row>
    <row r="310" spans="1:4" x14ac:dyDescent="0.25">
      <c r="A310" t="str">
        <f>'Raw Data'!A313</f>
        <v>09/30/2025</v>
      </c>
      <c r="B310" t="str">
        <f>'Raw Data'!C313</f>
        <v>CR ADJ PURCH FIN CHG</v>
      </c>
      <c r="C310" t="str">
        <f>'Raw Data'!I313</f>
        <v>TBD</v>
      </c>
      <c r="D310" s="31">
        <f>'Raw Data'!F313</f>
        <v>-8.86</v>
      </c>
    </row>
    <row r="311" spans="1:4" x14ac:dyDescent="0.25">
      <c r="A311" t="str">
        <f>'Raw Data'!A314</f>
        <v>09/30/2025</v>
      </c>
      <c r="B311" t="str">
        <f>'Raw Data'!C314</f>
        <v>CR ADJ PURCH FIN CHG</v>
      </c>
      <c r="C311" t="str">
        <f>'Raw Data'!I314</f>
        <v>TBD</v>
      </c>
      <c r="D311" s="31">
        <f>'Raw Data'!F314</f>
        <v>-7.11</v>
      </c>
    </row>
    <row r="312" spans="1:4" x14ac:dyDescent="0.25">
      <c r="A312" t="str">
        <f>'Raw Data'!A315</f>
        <v>09/30/2025</v>
      </c>
      <c r="B312" t="str">
        <f>'Raw Data'!C315</f>
        <v>CR ADJ PURCH FIN CHG</v>
      </c>
      <c r="C312" t="str">
        <f>'Raw Data'!I315</f>
        <v>TBD</v>
      </c>
      <c r="D312" s="31">
        <f>'Raw Data'!F315</f>
        <v>-6.88</v>
      </c>
    </row>
    <row r="313" spans="1:4" x14ac:dyDescent="0.25">
      <c r="A313" t="str">
        <f>'Raw Data'!A316</f>
        <v>09/30/2025</v>
      </c>
      <c r="B313" t="str">
        <f>'Raw Data'!C316</f>
        <v>CR ADJ PURCH FIN CHG</v>
      </c>
      <c r="C313" t="str">
        <f>'Raw Data'!I316</f>
        <v>TBD</v>
      </c>
      <c r="D313" s="31">
        <f>'Raw Data'!F316</f>
        <v>-6.76</v>
      </c>
    </row>
    <row r="314" spans="1:4" x14ac:dyDescent="0.25">
      <c r="A314" t="str">
        <f>'Raw Data'!A317</f>
        <v>09/30/2025</v>
      </c>
      <c r="B314" t="str">
        <f>'Raw Data'!C317</f>
        <v>CR ADJ PURCH FIN CHG</v>
      </c>
      <c r="C314" t="str">
        <f>'Raw Data'!I317</f>
        <v>TBD</v>
      </c>
      <c r="D314" s="31">
        <f>'Raw Data'!F317</f>
        <v>-6.66</v>
      </c>
    </row>
    <row r="315" spans="1:4" x14ac:dyDescent="0.25">
      <c r="A315" t="str">
        <f>'Raw Data'!A318</f>
        <v>09/30/2025</v>
      </c>
      <c r="B315" t="str">
        <f>'Raw Data'!C318</f>
        <v>CR ADJ PURCH FIN CHG</v>
      </c>
      <c r="C315" t="str">
        <f>'Raw Data'!I318</f>
        <v>TBD</v>
      </c>
      <c r="D315" s="31">
        <f>'Raw Data'!F318</f>
        <v>-5.84</v>
      </c>
    </row>
    <row r="316" spans="1:4" x14ac:dyDescent="0.25">
      <c r="A316" t="str">
        <f>'Raw Data'!A319</f>
        <v>09/30/2025</v>
      </c>
      <c r="B316" t="str">
        <f>'Raw Data'!C319</f>
        <v>CR ADJ PURCH FIN CHG</v>
      </c>
      <c r="C316" t="str">
        <f>'Raw Data'!I319</f>
        <v>TBD</v>
      </c>
      <c r="D316" s="31">
        <f>'Raw Data'!F319</f>
        <v>-5.05</v>
      </c>
    </row>
    <row r="317" spans="1:4" x14ac:dyDescent="0.25">
      <c r="A317" t="str">
        <f>'Raw Data'!A320</f>
        <v>09/30/2025</v>
      </c>
      <c r="B317" t="str">
        <f>'Raw Data'!C320</f>
        <v>CR ADJ PURCH FIN CHG</v>
      </c>
      <c r="C317" t="str">
        <f>'Raw Data'!I320</f>
        <v>TBD</v>
      </c>
      <c r="D317" s="31">
        <f>'Raw Data'!F320</f>
        <v>-4.83</v>
      </c>
    </row>
    <row r="318" spans="1:4" x14ac:dyDescent="0.25">
      <c r="A318" t="str">
        <f>'Raw Data'!A321</f>
        <v>09/30/2025</v>
      </c>
      <c r="B318" t="str">
        <f>'Raw Data'!C321</f>
        <v>CR ADJ PURCH FIN CHG</v>
      </c>
      <c r="C318" t="str">
        <f>'Raw Data'!I321</f>
        <v>TBD</v>
      </c>
      <c r="D318" s="31">
        <f>'Raw Data'!F321</f>
        <v>-4.5599999999999996</v>
      </c>
    </row>
    <row r="319" spans="1:4" x14ac:dyDescent="0.25">
      <c r="A319" t="str">
        <f>'Raw Data'!A322</f>
        <v>09/30/2025</v>
      </c>
      <c r="B319" t="str">
        <f>'Raw Data'!C322</f>
        <v>CR ADJ PURCH FIN CHG</v>
      </c>
      <c r="C319" t="str">
        <f>'Raw Data'!I322</f>
        <v>TBD</v>
      </c>
      <c r="D319" s="31">
        <f>'Raw Data'!F322</f>
        <v>-4.5199999999999996</v>
      </c>
    </row>
    <row r="320" spans="1:4" x14ac:dyDescent="0.25">
      <c r="A320" t="str">
        <f>'Raw Data'!A323</f>
        <v>09/30/2025</v>
      </c>
      <c r="B320" t="str">
        <f>'Raw Data'!C323</f>
        <v>CR ADJ PURCH FIN CHG</v>
      </c>
      <c r="C320" t="str">
        <f>'Raw Data'!I323</f>
        <v>TBD</v>
      </c>
      <c r="D320" s="31">
        <f>'Raw Data'!F323</f>
        <v>-4.5</v>
      </c>
    </row>
    <row r="321" spans="1:4" x14ac:dyDescent="0.25">
      <c r="A321" t="str">
        <f>'Raw Data'!A324</f>
        <v>09/30/2025</v>
      </c>
      <c r="B321" t="str">
        <f>'Raw Data'!C324</f>
        <v>CR ADJ PURCH FIN CHG</v>
      </c>
      <c r="C321" t="str">
        <f>'Raw Data'!I324</f>
        <v>TBD</v>
      </c>
      <c r="D321" s="31">
        <f>'Raw Data'!F324</f>
        <v>-4.38</v>
      </c>
    </row>
    <row r="322" spans="1:4" x14ac:dyDescent="0.25">
      <c r="A322" t="str">
        <f>'Raw Data'!A325</f>
        <v>09/30/2025</v>
      </c>
      <c r="B322" t="str">
        <f>'Raw Data'!C325</f>
        <v>CR ADJ PURCH FIN CHG</v>
      </c>
      <c r="C322" t="str">
        <f>'Raw Data'!I325</f>
        <v>TBD</v>
      </c>
      <c r="D322" s="31">
        <f>'Raw Data'!F325</f>
        <v>-4.3</v>
      </c>
    </row>
    <row r="323" spans="1:4" x14ac:dyDescent="0.25">
      <c r="A323" t="str">
        <f>'Raw Data'!A326</f>
        <v>09/30/2025</v>
      </c>
      <c r="B323" t="str">
        <f>'Raw Data'!C326</f>
        <v>CR ADJ PURCH FIN CHG</v>
      </c>
      <c r="C323" t="str">
        <f>'Raw Data'!I326</f>
        <v>TBD</v>
      </c>
      <c r="D323" s="31">
        <f>'Raw Data'!F326</f>
        <v>-4.28</v>
      </c>
    </row>
    <row r="324" spans="1:4" x14ac:dyDescent="0.25">
      <c r="A324" t="str">
        <f>'Raw Data'!A327</f>
        <v>09/30/2025</v>
      </c>
      <c r="B324" t="str">
        <f>'Raw Data'!C327</f>
        <v>CR ADJ PURCH FIN CHG</v>
      </c>
      <c r="C324" t="str">
        <f>'Raw Data'!I327</f>
        <v>TBD</v>
      </c>
      <c r="D324" s="31">
        <f>'Raw Data'!F327</f>
        <v>-3.58</v>
      </c>
    </row>
    <row r="325" spans="1:4" x14ac:dyDescent="0.25">
      <c r="A325" t="str">
        <f>'Raw Data'!A328</f>
        <v>09/30/2025</v>
      </c>
      <c r="B325" t="str">
        <f>'Raw Data'!C328</f>
        <v>CR ADJ PURCH FIN CHG</v>
      </c>
      <c r="C325" t="str">
        <f>'Raw Data'!I328</f>
        <v>TBD</v>
      </c>
      <c r="D325" s="31">
        <f>'Raw Data'!F328</f>
        <v>-2.98</v>
      </c>
    </row>
    <row r="326" spans="1:4" x14ac:dyDescent="0.25">
      <c r="A326" t="str">
        <f>'Raw Data'!A329</f>
        <v>09/30/2025</v>
      </c>
      <c r="B326" t="str">
        <f>'Raw Data'!C329</f>
        <v>CR ADJ PURCH FIN CHG</v>
      </c>
      <c r="C326" t="str">
        <f>'Raw Data'!I329</f>
        <v>TBD</v>
      </c>
      <c r="D326" s="31">
        <f>'Raw Data'!F329</f>
        <v>-2.88</v>
      </c>
    </row>
    <row r="327" spans="1:4" x14ac:dyDescent="0.25">
      <c r="A327" t="str">
        <f>'Raw Data'!A330</f>
        <v>09/30/2025</v>
      </c>
      <c r="B327" t="str">
        <f>'Raw Data'!C330</f>
        <v>CR ADJ PURCH FIN CHG</v>
      </c>
      <c r="C327" t="str">
        <f>'Raw Data'!I330</f>
        <v>TBD</v>
      </c>
      <c r="D327" s="31">
        <f>'Raw Data'!F330</f>
        <v>-2.87</v>
      </c>
    </row>
    <row r="328" spans="1:4" x14ac:dyDescent="0.25">
      <c r="A328" t="str">
        <f>'Raw Data'!A331</f>
        <v>09/30/2025</v>
      </c>
      <c r="B328" t="str">
        <f>'Raw Data'!C331</f>
        <v>CR ADJ PURCH FIN CHG</v>
      </c>
      <c r="C328" t="str">
        <f>'Raw Data'!I331</f>
        <v>TBD</v>
      </c>
      <c r="D328" s="31">
        <f>'Raw Data'!F331</f>
        <v>-2.87</v>
      </c>
    </row>
    <row r="329" spans="1:4" x14ac:dyDescent="0.25">
      <c r="A329" t="str">
        <f>'Raw Data'!A332</f>
        <v>09/30/2025</v>
      </c>
      <c r="B329" t="str">
        <f>'Raw Data'!C332</f>
        <v>CR ADJ PURCH FIN CHG</v>
      </c>
      <c r="C329" t="str">
        <f>'Raw Data'!I332</f>
        <v>TBD</v>
      </c>
      <c r="D329" s="31">
        <f>'Raw Data'!F332</f>
        <v>-2.71</v>
      </c>
    </row>
    <row r="330" spans="1:4" x14ac:dyDescent="0.25">
      <c r="A330" t="str">
        <f>'Raw Data'!A333</f>
        <v>09/30/2025</v>
      </c>
      <c r="B330" t="str">
        <f>'Raw Data'!C333</f>
        <v>CR ADJ PURCH FIN CHG</v>
      </c>
      <c r="C330" t="str">
        <f>'Raw Data'!I333</f>
        <v>TBD</v>
      </c>
      <c r="D330" s="31">
        <f>'Raw Data'!F333</f>
        <v>-2.67</v>
      </c>
    </row>
    <row r="331" spans="1:4" x14ac:dyDescent="0.25">
      <c r="A331" t="str">
        <f>'Raw Data'!A334</f>
        <v>09/30/2025</v>
      </c>
      <c r="B331" t="str">
        <f>'Raw Data'!C334</f>
        <v>CR ADJ PURCH FIN CHG</v>
      </c>
      <c r="C331" t="str">
        <f>'Raw Data'!I334</f>
        <v>TBD</v>
      </c>
      <c r="D331" s="31">
        <f>'Raw Data'!F334</f>
        <v>-2.35</v>
      </c>
    </row>
    <row r="332" spans="1:4" x14ac:dyDescent="0.25">
      <c r="A332" t="str">
        <f>'Raw Data'!A335</f>
        <v>09/30/2025</v>
      </c>
      <c r="B332" t="str">
        <f>'Raw Data'!C335</f>
        <v>CR ADJ PURCH FIN CHG</v>
      </c>
      <c r="C332" t="str">
        <f>'Raw Data'!I335</f>
        <v>TBD</v>
      </c>
      <c r="D332" s="31">
        <f>'Raw Data'!F335</f>
        <v>-2.2999999999999998</v>
      </c>
    </row>
    <row r="333" spans="1:4" x14ac:dyDescent="0.25">
      <c r="A333" t="str">
        <f>'Raw Data'!A336</f>
        <v>09/30/2025</v>
      </c>
      <c r="B333" t="str">
        <f>'Raw Data'!C336</f>
        <v>CR ADJ PURCH FIN CHG</v>
      </c>
      <c r="C333" t="str">
        <f>'Raw Data'!I336</f>
        <v>TBD</v>
      </c>
      <c r="D333" s="31">
        <f>'Raw Data'!F336</f>
        <v>-2.0299999999999998</v>
      </c>
    </row>
    <row r="334" spans="1:4" x14ac:dyDescent="0.25">
      <c r="A334" t="str">
        <f>'Raw Data'!A337</f>
        <v>09/30/2025</v>
      </c>
      <c r="B334" t="str">
        <f>'Raw Data'!C337</f>
        <v>CR ADJ PURCH FIN CHG</v>
      </c>
      <c r="C334" t="str">
        <f>'Raw Data'!I337</f>
        <v>TBD</v>
      </c>
      <c r="D334" s="31">
        <f>'Raw Data'!F337</f>
        <v>-1.87</v>
      </c>
    </row>
    <row r="335" spans="1:4" x14ac:dyDescent="0.25">
      <c r="A335" t="str">
        <f>'Raw Data'!A338</f>
        <v>09/30/2025</v>
      </c>
      <c r="B335" t="str">
        <f>'Raw Data'!C338</f>
        <v>CR ADJ PURCH FIN CHG</v>
      </c>
      <c r="C335" t="str">
        <f>'Raw Data'!I338</f>
        <v>TBD</v>
      </c>
      <c r="D335" s="31">
        <f>'Raw Data'!F338</f>
        <v>-1.72</v>
      </c>
    </row>
    <row r="336" spans="1:4" x14ac:dyDescent="0.25">
      <c r="A336" t="str">
        <f>'Raw Data'!A339</f>
        <v>09/30/2025</v>
      </c>
      <c r="B336" t="str">
        <f>'Raw Data'!C339</f>
        <v>CR ADJ PURCH FIN CHG</v>
      </c>
      <c r="C336" t="str">
        <f>'Raw Data'!I339</f>
        <v>TBD</v>
      </c>
      <c r="D336" s="31">
        <f>'Raw Data'!F339</f>
        <v>-1.67</v>
      </c>
    </row>
    <row r="337" spans="1:4" x14ac:dyDescent="0.25">
      <c r="A337" t="str">
        <f>'Raw Data'!A340</f>
        <v>09/30/2025</v>
      </c>
      <c r="B337" t="str">
        <f>'Raw Data'!C340</f>
        <v>CR ADJ PURCH FIN CHG</v>
      </c>
      <c r="C337" t="str">
        <f>'Raw Data'!I340</f>
        <v>TBD</v>
      </c>
      <c r="D337" s="31">
        <f>'Raw Data'!F340</f>
        <v>-1.65</v>
      </c>
    </row>
    <row r="338" spans="1:4" x14ac:dyDescent="0.25">
      <c r="A338" t="str">
        <f>'Raw Data'!A341</f>
        <v>09/30/2025</v>
      </c>
      <c r="B338" t="str">
        <f>'Raw Data'!C341</f>
        <v>CR ADJ PURCH FIN CHG</v>
      </c>
      <c r="C338" t="str">
        <f>'Raw Data'!I341</f>
        <v>TBD</v>
      </c>
      <c r="D338" s="31">
        <f>'Raw Data'!F341</f>
        <v>-1.62</v>
      </c>
    </row>
    <row r="339" spans="1:4" x14ac:dyDescent="0.25">
      <c r="A339" t="str">
        <f>'Raw Data'!A342</f>
        <v>09/30/2025</v>
      </c>
      <c r="B339" t="str">
        <f>'Raw Data'!C342</f>
        <v>CR ADJ PURCH FIN CHG</v>
      </c>
      <c r="C339" t="str">
        <f>'Raw Data'!I342</f>
        <v>TBD</v>
      </c>
      <c r="D339" s="31">
        <f>'Raw Data'!F342</f>
        <v>-1.59</v>
      </c>
    </row>
    <row r="340" spans="1:4" x14ac:dyDescent="0.25">
      <c r="A340" t="str">
        <f>'Raw Data'!A343</f>
        <v>09/30/2025</v>
      </c>
      <c r="B340" t="str">
        <f>'Raw Data'!C343</f>
        <v>CR ADJ PURCH FIN CHG</v>
      </c>
      <c r="C340" t="str">
        <f>'Raw Data'!I343</f>
        <v>TBD</v>
      </c>
      <c r="D340" s="31">
        <f>'Raw Data'!F343</f>
        <v>-1.57</v>
      </c>
    </row>
    <row r="341" spans="1:4" x14ac:dyDescent="0.25">
      <c r="A341" t="str">
        <f>'Raw Data'!A344</f>
        <v>09/30/2025</v>
      </c>
      <c r="B341" t="str">
        <f>'Raw Data'!C344</f>
        <v>CR ADJ PURCH FIN CHG</v>
      </c>
      <c r="C341" t="str">
        <f>'Raw Data'!I344</f>
        <v>TBD</v>
      </c>
      <c r="D341" s="31">
        <f>'Raw Data'!F344</f>
        <v>-1.56</v>
      </c>
    </row>
    <row r="342" spans="1:4" x14ac:dyDescent="0.25">
      <c r="A342" t="str">
        <f>'Raw Data'!A345</f>
        <v>09/30/2025</v>
      </c>
      <c r="B342" t="str">
        <f>'Raw Data'!C345</f>
        <v>CR ADJ PURCH FIN CHG</v>
      </c>
      <c r="C342" t="str">
        <f>'Raw Data'!I345</f>
        <v>TBD</v>
      </c>
      <c r="D342" s="31">
        <f>'Raw Data'!F345</f>
        <v>-1.48</v>
      </c>
    </row>
    <row r="343" spans="1:4" x14ac:dyDescent="0.25">
      <c r="A343" t="str">
        <f>'Raw Data'!A346</f>
        <v>09/30/2025</v>
      </c>
      <c r="B343" t="str">
        <f>'Raw Data'!C346</f>
        <v>CR ADJ PURCH FIN CHG</v>
      </c>
      <c r="C343" t="str">
        <f>'Raw Data'!I346</f>
        <v>TBD</v>
      </c>
      <c r="D343" s="31">
        <f>'Raw Data'!F346</f>
        <v>-1.44</v>
      </c>
    </row>
    <row r="344" spans="1:4" x14ac:dyDescent="0.25">
      <c r="A344" t="str">
        <f>'Raw Data'!A347</f>
        <v>09/30/2025</v>
      </c>
      <c r="B344" t="str">
        <f>'Raw Data'!C347</f>
        <v>CR ADJ PURCH FIN CHG</v>
      </c>
      <c r="C344" t="str">
        <f>'Raw Data'!I347</f>
        <v>TBD</v>
      </c>
      <c r="D344" s="31">
        <f>'Raw Data'!F347</f>
        <v>-1.42</v>
      </c>
    </row>
    <row r="345" spans="1:4" x14ac:dyDescent="0.25">
      <c r="A345" t="str">
        <f>'Raw Data'!A348</f>
        <v>09/30/2025</v>
      </c>
      <c r="B345" t="str">
        <f>'Raw Data'!C348</f>
        <v>CR ADJ PURCH FIN CHG</v>
      </c>
      <c r="C345" t="str">
        <f>'Raw Data'!I348</f>
        <v>TBD</v>
      </c>
      <c r="D345" s="31">
        <f>'Raw Data'!F348</f>
        <v>-1.42</v>
      </c>
    </row>
    <row r="346" spans="1:4" x14ac:dyDescent="0.25">
      <c r="A346" t="str">
        <f>'Raw Data'!A349</f>
        <v>09/30/2025</v>
      </c>
      <c r="B346" t="str">
        <f>'Raw Data'!C349</f>
        <v>CR ADJ PURCH FIN CHG</v>
      </c>
      <c r="C346" t="str">
        <f>'Raw Data'!I349</f>
        <v>TBD</v>
      </c>
      <c r="D346" s="31">
        <f>'Raw Data'!F349</f>
        <v>-1.38</v>
      </c>
    </row>
    <row r="347" spans="1:4" x14ac:dyDescent="0.25">
      <c r="A347" t="str">
        <f>'Raw Data'!A350</f>
        <v>09/30/2025</v>
      </c>
      <c r="B347" t="str">
        <f>'Raw Data'!C350</f>
        <v>CR ADJ PURCH FIN CHG</v>
      </c>
      <c r="C347" t="str">
        <f>'Raw Data'!I350</f>
        <v>TBD</v>
      </c>
      <c r="D347" s="31">
        <f>'Raw Data'!F350</f>
        <v>-1.35</v>
      </c>
    </row>
    <row r="348" spans="1:4" x14ac:dyDescent="0.25">
      <c r="A348" t="str">
        <f>'Raw Data'!A351</f>
        <v>09/30/2025</v>
      </c>
      <c r="B348" t="str">
        <f>'Raw Data'!C351</f>
        <v>CR ADJ PURCH FIN CHG</v>
      </c>
      <c r="C348" t="str">
        <f>'Raw Data'!I351</f>
        <v>TBD</v>
      </c>
      <c r="D348" s="31">
        <f>'Raw Data'!F351</f>
        <v>-1.33</v>
      </c>
    </row>
    <row r="349" spans="1:4" x14ac:dyDescent="0.25">
      <c r="A349" t="str">
        <f>'Raw Data'!A352</f>
        <v>09/30/2025</v>
      </c>
      <c r="B349" t="str">
        <f>'Raw Data'!C352</f>
        <v>CR ADJ PURCH FIN CHG</v>
      </c>
      <c r="C349" t="str">
        <f>'Raw Data'!I352</f>
        <v>TBD</v>
      </c>
      <c r="D349" s="31">
        <f>'Raw Data'!F352</f>
        <v>-1.3</v>
      </c>
    </row>
    <row r="350" spans="1:4" x14ac:dyDescent="0.25">
      <c r="A350" t="str">
        <f>'Raw Data'!A353</f>
        <v>09/30/2025</v>
      </c>
      <c r="B350" t="str">
        <f>'Raw Data'!C353</f>
        <v>CR ADJ PURCH FIN CHG</v>
      </c>
      <c r="C350" t="str">
        <f>'Raw Data'!I353</f>
        <v>TBD</v>
      </c>
      <c r="D350" s="31">
        <f>'Raw Data'!F353</f>
        <v>-1.05</v>
      </c>
    </row>
    <row r="351" spans="1:4" x14ac:dyDescent="0.25">
      <c r="A351" t="str">
        <f>'Raw Data'!A354</f>
        <v>09/30/2025</v>
      </c>
      <c r="B351" t="str">
        <f>'Raw Data'!C354</f>
        <v>CR ADJ PURCH FIN CHG</v>
      </c>
      <c r="C351" t="str">
        <f>'Raw Data'!I354</f>
        <v>TBD</v>
      </c>
      <c r="D351" s="31">
        <f>'Raw Data'!F354</f>
        <v>-1.01</v>
      </c>
    </row>
    <row r="352" spans="1:4" x14ac:dyDescent="0.25">
      <c r="A352" t="str">
        <f>'Raw Data'!A355</f>
        <v>09/30/2025</v>
      </c>
      <c r="B352" t="str">
        <f>'Raw Data'!C355</f>
        <v>CR ADJ PURCH FIN CHG</v>
      </c>
      <c r="C352" t="str">
        <f>'Raw Data'!I355</f>
        <v>TBD</v>
      </c>
      <c r="D352" s="31">
        <f>'Raw Data'!F355</f>
        <v>-0.88</v>
      </c>
    </row>
    <row r="353" spans="1:4" x14ac:dyDescent="0.25">
      <c r="A353" t="str">
        <f>'Raw Data'!A356</f>
        <v>09/30/2025</v>
      </c>
      <c r="B353" t="str">
        <f>'Raw Data'!C356</f>
        <v>CR ADJ PURCH FIN CHG</v>
      </c>
      <c r="C353" t="str">
        <f>'Raw Data'!I356</f>
        <v>TBD</v>
      </c>
      <c r="D353" s="31">
        <f>'Raw Data'!F356</f>
        <v>-0.87</v>
      </c>
    </row>
    <row r="354" spans="1:4" x14ac:dyDescent="0.25">
      <c r="A354" t="str">
        <f>'Raw Data'!A357</f>
        <v>09/30/2025</v>
      </c>
      <c r="B354" t="str">
        <f>'Raw Data'!C357</f>
        <v>CR ADJ PURCH FIN CHG</v>
      </c>
      <c r="C354" t="str">
        <f>'Raw Data'!I357</f>
        <v>TBD</v>
      </c>
      <c r="D354" s="31">
        <f>'Raw Data'!F357</f>
        <v>-0.84</v>
      </c>
    </row>
    <row r="355" spans="1:4" x14ac:dyDescent="0.25">
      <c r="A355" t="str">
        <f>'Raw Data'!A358</f>
        <v>09/30/2025</v>
      </c>
      <c r="B355" t="str">
        <f>'Raw Data'!C358</f>
        <v>CR ADJ PURCH FIN CHG</v>
      </c>
      <c r="C355" t="str">
        <f>'Raw Data'!I358</f>
        <v>TBD</v>
      </c>
      <c r="D355" s="31">
        <f>'Raw Data'!F358</f>
        <v>-0.84</v>
      </c>
    </row>
    <row r="356" spans="1:4" x14ac:dyDescent="0.25">
      <c r="A356" t="str">
        <f>'Raw Data'!A359</f>
        <v>09/30/2025</v>
      </c>
      <c r="B356" t="str">
        <f>'Raw Data'!C359</f>
        <v>CR ADJ PURCH FIN CHG</v>
      </c>
      <c r="C356" t="str">
        <f>'Raw Data'!I359</f>
        <v>TBD</v>
      </c>
      <c r="D356" s="31">
        <f>'Raw Data'!F359</f>
        <v>-0.83</v>
      </c>
    </row>
    <row r="357" spans="1:4" x14ac:dyDescent="0.25">
      <c r="A357" t="str">
        <f>'Raw Data'!A360</f>
        <v>09/30/2025</v>
      </c>
      <c r="B357" t="str">
        <f>'Raw Data'!C360</f>
        <v>CR ADJ PURCH FIN CHG</v>
      </c>
      <c r="C357" t="str">
        <f>'Raw Data'!I360</f>
        <v>TBD</v>
      </c>
      <c r="D357" s="31">
        <f>'Raw Data'!F360</f>
        <v>-0.83</v>
      </c>
    </row>
    <row r="358" spans="1:4" x14ac:dyDescent="0.25">
      <c r="A358" t="str">
        <f>'Raw Data'!A361</f>
        <v>09/30/2025</v>
      </c>
      <c r="B358" t="str">
        <f>'Raw Data'!C361</f>
        <v>CR ADJ PURCH FIN CHG</v>
      </c>
      <c r="C358" t="str">
        <f>'Raw Data'!I361</f>
        <v>TBD</v>
      </c>
      <c r="D358" s="31">
        <f>'Raw Data'!F361</f>
        <v>-0.8</v>
      </c>
    </row>
    <row r="359" spans="1:4" x14ac:dyDescent="0.25">
      <c r="A359" t="str">
        <f>'Raw Data'!A362</f>
        <v>09/30/2025</v>
      </c>
      <c r="B359" t="str">
        <f>'Raw Data'!C362</f>
        <v>CR ADJ PURCH FIN CHG</v>
      </c>
      <c r="C359" t="str">
        <f>'Raw Data'!I362</f>
        <v>TBD</v>
      </c>
      <c r="D359" s="31">
        <f>'Raw Data'!F362</f>
        <v>-0.74</v>
      </c>
    </row>
    <row r="360" spans="1:4" x14ac:dyDescent="0.25">
      <c r="A360" t="str">
        <f>'Raw Data'!A363</f>
        <v>09/30/2025</v>
      </c>
      <c r="B360" t="str">
        <f>'Raw Data'!C363</f>
        <v>CR ADJ PURCH FIN CHG</v>
      </c>
      <c r="C360" t="str">
        <f>'Raw Data'!I363</f>
        <v>TBD</v>
      </c>
      <c r="D360" s="31">
        <f>'Raw Data'!F363</f>
        <v>-0.72</v>
      </c>
    </row>
    <row r="361" spans="1:4" x14ac:dyDescent="0.25">
      <c r="A361" t="str">
        <f>'Raw Data'!A364</f>
        <v>09/30/2025</v>
      </c>
      <c r="B361" t="str">
        <f>'Raw Data'!C364</f>
        <v>CR ADJ PURCH FIN CHG</v>
      </c>
      <c r="C361" t="str">
        <f>'Raw Data'!I364</f>
        <v>TBD</v>
      </c>
      <c r="D361" s="31">
        <f>'Raw Data'!F364</f>
        <v>-0.65</v>
      </c>
    </row>
    <row r="362" spans="1:4" x14ac:dyDescent="0.25">
      <c r="A362" t="str">
        <f>'Raw Data'!A365</f>
        <v>09/30/2025</v>
      </c>
      <c r="B362" t="str">
        <f>'Raw Data'!C365</f>
        <v>CR ADJ PURCH FIN CHG</v>
      </c>
      <c r="C362" t="str">
        <f>'Raw Data'!I365</f>
        <v>TBD</v>
      </c>
      <c r="D362" s="31">
        <f>'Raw Data'!F365</f>
        <v>-0.63</v>
      </c>
    </row>
    <row r="363" spans="1:4" x14ac:dyDescent="0.25">
      <c r="A363" t="str">
        <f>'Raw Data'!A366</f>
        <v>09/30/2025</v>
      </c>
      <c r="B363" t="str">
        <f>'Raw Data'!C366</f>
        <v>CR ADJ PURCH FIN CHG</v>
      </c>
      <c r="C363" t="str">
        <f>'Raw Data'!I366</f>
        <v>TBD</v>
      </c>
      <c r="D363" s="31">
        <f>'Raw Data'!F366</f>
        <v>-0.63</v>
      </c>
    </row>
    <row r="364" spans="1:4" x14ac:dyDescent="0.25">
      <c r="A364" t="str">
        <f>'Raw Data'!A367</f>
        <v>09/30/2025</v>
      </c>
      <c r="B364" t="str">
        <f>'Raw Data'!C367</f>
        <v>CR ADJ PURCH FIN CHG</v>
      </c>
      <c r="C364" t="str">
        <f>'Raw Data'!I367</f>
        <v>TBD</v>
      </c>
      <c r="D364" s="31">
        <f>'Raw Data'!F367</f>
        <v>-0.63</v>
      </c>
    </row>
    <row r="365" spans="1:4" x14ac:dyDescent="0.25">
      <c r="A365" t="str">
        <f>'Raw Data'!A368</f>
        <v>09/30/2025</v>
      </c>
      <c r="B365" t="str">
        <f>'Raw Data'!C368</f>
        <v>CR ADJ PURCH FIN CHG</v>
      </c>
      <c r="C365" t="str">
        <f>'Raw Data'!I368</f>
        <v>TBD</v>
      </c>
      <c r="D365" s="31">
        <f>'Raw Data'!F368</f>
        <v>-0.56000000000000005</v>
      </c>
    </row>
    <row r="366" spans="1:4" x14ac:dyDescent="0.25">
      <c r="A366" t="str">
        <f>'Raw Data'!A369</f>
        <v>09/30/2025</v>
      </c>
      <c r="B366" t="str">
        <f>'Raw Data'!C369</f>
        <v>CR ADJ PURCH FIN CHG</v>
      </c>
      <c r="C366" t="str">
        <f>'Raw Data'!I369</f>
        <v>TBD</v>
      </c>
      <c r="D366" s="31">
        <f>'Raw Data'!F369</f>
        <v>-0.54</v>
      </c>
    </row>
    <row r="367" spans="1:4" x14ac:dyDescent="0.25">
      <c r="A367" t="str">
        <f>'Raw Data'!A370</f>
        <v>09/30/2025</v>
      </c>
      <c r="B367" t="str">
        <f>'Raw Data'!C370</f>
        <v>CR ADJ PURCH FIN CHG</v>
      </c>
      <c r="C367" t="str">
        <f>'Raw Data'!I370</f>
        <v>TBD</v>
      </c>
      <c r="D367" s="31">
        <f>'Raw Data'!F370</f>
        <v>-0.53</v>
      </c>
    </row>
    <row r="368" spans="1:4" x14ac:dyDescent="0.25">
      <c r="A368" t="str">
        <f>'Raw Data'!A371</f>
        <v>09/30/2025</v>
      </c>
      <c r="B368" t="str">
        <f>'Raw Data'!C371</f>
        <v>CR ADJ PURCH FIN CHG</v>
      </c>
      <c r="C368" t="str">
        <f>'Raw Data'!I371</f>
        <v>TBD</v>
      </c>
      <c r="D368" s="31">
        <f>'Raw Data'!F371</f>
        <v>-0.53</v>
      </c>
    </row>
    <row r="369" spans="1:4" x14ac:dyDescent="0.25">
      <c r="A369" t="str">
        <f>'Raw Data'!A372</f>
        <v>09/30/2025</v>
      </c>
      <c r="B369" t="str">
        <f>'Raw Data'!C372</f>
        <v>CR ADJ PURCH FIN CHG</v>
      </c>
      <c r="C369" t="str">
        <f>'Raw Data'!I372</f>
        <v>TBD</v>
      </c>
      <c r="D369" s="31">
        <f>'Raw Data'!F372</f>
        <v>-0.5</v>
      </c>
    </row>
    <row r="370" spans="1:4" x14ac:dyDescent="0.25">
      <c r="A370" t="str">
        <f>'Raw Data'!A373</f>
        <v>09/30/2025</v>
      </c>
      <c r="B370" t="str">
        <f>'Raw Data'!C373</f>
        <v>CR ADJ PURCH FIN CHG</v>
      </c>
      <c r="C370" t="str">
        <f>'Raw Data'!I373</f>
        <v>TBD</v>
      </c>
      <c r="D370" s="31">
        <f>'Raw Data'!F373</f>
        <v>-0.5</v>
      </c>
    </row>
    <row r="371" spans="1:4" x14ac:dyDescent="0.25">
      <c r="A371" t="str">
        <f>'Raw Data'!A374</f>
        <v>09/30/2025</v>
      </c>
      <c r="B371" t="str">
        <f>'Raw Data'!C374</f>
        <v>CR ADJ PURCH FIN CHG</v>
      </c>
      <c r="C371" t="str">
        <f>'Raw Data'!I374</f>
        <v>TBD</v>
      </c>
      <c r="D371" s="31">
        <f>'Raw Data'!F374</f>
        <v>-0.49</v>
      </c>
    </row>
    <row r="372" spans="1:4" x14ac:dyDescent="0.25">
      <c r="A372" t="str">
        <f>'Raw Data'!A375</f>
        <v>09/30/2025</v>
      </c>
      <c r="B372" t="str">
        <f>'Raw Data'!C375</f>
        <v>CR ADJ PURCH FIN CHG</v>
      </c>
      <c r="C372" t="str">
        <f>'Raw Data'!I375</f>
        <v>TBD</v>
      </c>
      <c r="D372" s="31">
        <f>'Raw Data'!F375</f>
        <v>-0.48</v>
      </c>
    </row>
    <row r="373" spans="1:4" x14ac:dyDescent="0.25">
      <c r="A373" t="str">
        <f>'Raw Data'!A376</f>
        <v>09/30/2025</v>
      </c>
      <c r="B373" t="str">
        <f>'Raw Data'!C376</f>
        <v>CR ADJ PURCH FIN CHG</v>
      </c>
      <c r="C373" t="str">
        <f>'Raw Data'!I376</f>
        <v>TBD</v>
      </c>
      <c r="D373" s="31">
        <f>'Raw Data'!F376</f>
        <v>-0.48</v>
      </c>
    </row>
    <row r="374" spans="1:4" x14ac:dyDescent="0.25">
      <c r="A374" t="str">
        <f>'Raw Data'!A377</f>
        <v>09/30/2025</v>
      </c>
      <c r="B374" t="str">
        <f>'Raw Data'!C377</f>
        <v>CR ADJ PURCH FIN CHG</v>
      </c>
      <c r="C374" t="str">
        <f>'Raw Data'!I377</f>
        <v>TBD</v>
      </c>
      <c r="D374" s="31">
        <f>'Raw Data'!F377</f>
        <v>-0.47</v>
      </c>
    </row>
    <row r="375" spans="1:4" x14ac:dyDescent="0.25">
      <c r="A375" t="str">
        <f>'Raw Data'!A378</f>
        <v>09/30/2025</v>
      </c>
      <c r="B375" t="str">
        <f>'Raw Data'!C378</f>
        <v>CR ADJ PURCH FIN CHG</v>
      </c>
      <c r="C375" t="str">
        <f>'Raw Data'!I378</f>
        <v>TBD</v>
      </c>
      <c r="D375" s="31">
        <f>'Raw Data'!F378</f>
        <v>-0.46</v>
      </c>
    </row>
    <row r="376" spans="1:4" x14ac:dyDescent="0.25">
      <c r="A376" t="str">
        <f>'Raw Data'!A379</f>
        <v>09/30/2025</v>
      </c>
      <c r="B376" t="str">
        <f>'Raw Data'!C379</f>
        <v>CR ADJ PURCH FIN CHG</v>
      </c>
      <c r="C376" t="str">
        <f>'Raw Data'!I379</f>
        <v>TBD</v>
      </c>
      <c r="D376" s="31">
        <f>'Raw Data'!F379</f>
        <v>-0.43</v>
      </c>
    </row>
    <row r="377" spans="1:4" x14ac:dyDescent="0.25">
      <c r="A377" t="str">
        <f>'Raw Data'!A380</f>
        <v>09/30/2025</v>
      </c>
      <c r="B377" t="str">
        <f>'Raw Data'!C380</f>
        <v>CR ADJ PURCH FIN CHG</v>
      </c>
      <c r="C377" t="str">
        <f>'Raw Data'!I380</f>
        <v>TBD</v>
      </c>
      <c r="D377" s="31">
        <f>'Raw Data'!F380</f>
        <v>-0.43</v>
      </c>
    </row>
    <row r="378" spans="1:4" x14ac:dyDescent="0.25">
      <c r="A378" t="str">
        <f>'Raw Data'!A381</f>
        <v>09/30/2025</v>
      </c>
      <c r="B378" t="str">
        <f>'Raw Data'!C381</f>
        <v>CR ADJ PURCH FIN CHG</v>
      </c>
      <c r="C378" t="str">
        <f>'Raw Data'!I381</f>
        <v>TBD</v>
      </c>
      <c r="D378" s="31">
        <f>'Raw Data'!F381</f>
        <v>-0.41</v>
      </c>
    </row>
    <row r="379" spans="1:4" x14ac:dyDescent="0.25">
      <c r="A379" t="str">
        <f>'Raw Data'!A382</f>
        <v>09/30/2025</v>
      </c>
      <c r="B379" t="str">
        <f>'Raw Data'!C382</f>
        <v>CR ADJ PURCH FIN CHG</v>
      </c>
      <c r="C379" t="str">
        <f>'Raw Data'!I382</f>
        <v>TBD</v>
      </c>
      <c r="D379" s="31">
        <f>'Raw Data'!F382</f>
        <v>-0.41</v>
      </c>
    </row>
    <row r="380" spans="1:4" x14ac:dyDescent="0.25">
      <c r="A380" t="str">
        <f>'Raw Data'!A383</f>
        <v>09/30/2025</v>
      </c>
      <c r="B380" t="str">
        <f>'Raw Data'!C383</f>
        <v>CR ADJ PURCH FIN CHG</v>
      </c>
      <c r="C380" t="str">
        <f>'Raw Data'!I383</f>
        <v>TBD</v>
      </c>
      <c r="D380" s="31">
        <f>'Raw Data'!F383</f>
        <v>-0.39</v>
      </c>
    </row>
    <row r="381" spans="1:4" x14ac:dyDescent="0.25">
      <c r="A381" t="str">
        <f>'Raw Data'!A384</f>
        <v>09/30/2025</v>
      </c>
      <c r="B381" t="str">
        <f>'Raw Data'!C384</f>
        <v>CR ADJ PURCH FIN CHG</v>
      </c>
      <c r="C381" t="str">
        <f>'Raw Data'!I384</f>
        <v>TBD</v>
      </c>
      <c r="D381" s="31">
        <f>'Raw Data'!F384</f>
        <v>-0.39</v>
      </c>
    </row>
    <row r="382" spans="1:4" x14ac:dyDescent="0.25">
      <c r="A382" t="str">
        <f>'Raw Data'!A385</f>
        <v>09/30/2025</v>
      </c>
      <c r="B382" t="str">
        <f>'Raw Data'!C385</f>
        <v>CR ADJ PURCH FIN CHG</v>
      </c>
      <c r="C382" t="str">
        <f>'Raw Data'!I385</f>
        <v>TBD</v>
      </c>
      <c r="D382" s="31">
        <f>'Raw Data'!F385</f>
        <v>-0.27</v>
      </c>
    </row>
    <row r="383" spans="1:4" x14ac:dyDescent="0.25">
      <c r="A383" t="str">
        <f>'Raw Data'!A386</f>
        <v>09/30/2025</v>
      </c>
      <c r="B383" t="str">
        <f>'Raw Data'!C386</f>
        <v>CR ADJ PURCH FIN CHG</v>
      </c>
      <c r="C383" t="str">
        <f>'Raw Data'!I386</f>
        <v>TBD</v>
      </c>
      <c r="D383" s="31">
        <f>'Raw Data'!F386</f>
        <v>-0.2</v>
      </c>
    </row>
    <row r="384" spans="1:4" x14ac:dyDescent="0.25">
      <c r="A384" t="str">
        <f>'Raw Data'!A387</f>
        <v>09/30/2025</v>
      </c>
      <c r="B384" t="str">
        <f>'Raw Data'!C387</f>
        <v>CR ADJ PURCH FIN CHG</v>
      </c>
      <c r="C384" t="str">
        <f>'Raw Data'!I387</f>
        <v>TBD</v>
      </c>
      <c r="D384" s="31">
        <f>'Raw Data'!F387</f>
        <v>-0.2</v>
      </c>
    </row>
    <row r="385" spans="1:4" x14ac:dyDescent="0.25">
      <c r="A385" t="str">
        <f>'Raw Data'!A388</f>
        <v>09/30/2025</v>
      </c>
      <c r="B385" t="str">
        <f>'Raw Data'!C388</f>
        <v>CR ADJ PURCH FIN CHG</v>
      </c>
      <c r="C385" t="str">
        <f>'Raw Data'!I388</f>
        <v>TBD</v>
      </c>
      <c r="D385" s="31">
        <f>'Raw Data'!F388</f>
        <v>-0.2</v>
      </c>
    </row>
    <row r="386" spans="1:4" x14ac:dyDescent="0.25">
      <c r="A386" t="str">
        <f>'Raw Data'!A389</f>
        <v>09/30/2025</v>
      </c>
      <c r="B386" t="str">
        <f>'Raw Data'!C389</f>
        <v>CR ADJ PURCH FIN CHG</v>
      </c>
      <c r="C386" t="str">
        <f>'Raw Data'!I389</f>
        <v>TBD</v>
      </c>
      <c r="D386" s="31">
        <f>'Raw Data'!F389</f>
        <v>-0.17</v>
      </c>
    </row>
    <row r="387" spans="1:4" x14ac:dyDescent="0.25">
      <c r="A387" t="str">
        <f>'Raw Data'!A390</f>
        <v>09/30/2025</v>
      </c>
      <c r="B387" t="str">
        <f>'Raw Data'!C390</f>
        <v>CR ADJ PURCH FIN CHG</v>
      </c>
      <c r="C387" t="str">
        <f>'Raw Data'!I390</f>
        <v>TBD</v>
      </c>
      <c r="D387" s="31">
        <f>'Raw Data'!F390</f>
        <v>-0.15</v>
      </c>
    </row>
    <row r="388" spans="1:4" x14ac:dyDescent="0.25">
      <c r="A388" t="str">
        <f>'Raw Data'!A391</f>
        <v>09/30/2025</v>
      </c>
      <c r="B388" t="str">
        <f>'Raw Data'!C391</f>
        <v>CR ADJ PURCH FIN CHG</v>
      </c>
      <c r="C388" t="str">
        <f>'Raw Data'!I391</f>
        <v>TBD</v>
      </c>
      <c r="D388" s="31">
        <f>'Raw Data'!F391</f>
        <v>-7.0000000000000007E-2</v>
      </c>
    </row>
    <row r="389" spans="1:4" x14ac:dyDescent="0.25">
      <c r="A389" t="str">
        <f>'Raw Data'!A392</f>
        <v>09/30/2025</v>
      </c>
      <c r="B389" t="str">
        <f>'Raw Data'!C392</f>
        <v>DNH*GODADDY#39097588Tempe               AZ</v>
      </c>
      <c r="C389" t="str">
        <f>'Raw Data'!I392</f>
        <v>Go Daddy</v>
      </c>
      <c r="D389" s="31">
        <f>'Raw Data'!F392</f>
        <v>22.98</v>
      </c>
    </row>
    <row r="390" spans="1:4" x14ac:dyDescent="0.25">
      <c r="A390" t="str">
        <f>'Raw Data'!A393</f>
        <v>09/30/2025</v>
      </c>
      <c r="B390" t="str">
        <f>'Raw Data'!C393</f>
        <v>FRAUD CREDIT</v>
      </c>
      <c r="C390" t="str">
        <f>'Raw Data'!I393</f>
        <v>FRAUD CREDIT</v>
      </c>
      <c r="D390" s="31">
        <f>'Raw Data'!F393</f>
        <v>-397.27</v>
      </c>
    </row>
    <row r="391" spans="1:4" x14ac:dyDescent="0.25">
      <c r="A391" t="str">
        <f>'Raw Data'!A394</f>
        <v>09/30/2025</v>
      </c>
      <c r="B391" t="str">
        <f>'Raw Data'!C394</f>
        <v>FRAUD CREDIT</v>
      </c>
      <c r="C391" t="str">
        <f>'Raw Data'!I394</f>
        <v>FRAUD CREDIT</v>
      </c>
      <c r="D391" s="31">
        <f>'Raw Data'!F394</f>
        <v>-318.76</v>
      </c>
    </row>
    <row r="392" spans="1:4" x14ac:dyDescent="0.25">
      <c r="A392" t="str">
        <f>'Raw Data'!A395</f>
        <v>09/30/2025</v>
      </c>
      <c r="B392" t="str">
        <f>'Raw Data'!C395</f>
        <v>FRAUD CREDIT</v>
      </c>
      <c r="C392" t="str">
        <f>'Raw Data'!I395</f>
        <v>FRAUD CREDIT</v>
      </c>
      <c r="D392" s="31">
        <f>'Raw Data'!F395</f>
        <v>-308.27</v>
      </c>
    </row>
    <row r="393" spans="1:4" x14ac:dyDescent="0.25">
      <c r="A393" t="str">
        <f>'Raw Data'!A396</f>
        <v>09/30/2025</v>
      </c>
      <c r="B393" t="str">
        <f>'Raw Data'!C396</f>
        <v>FRAUD CREDIT</v>
      </c>
      <c r="C393" t="str">
        <f>'Raw Data'!I396</f>
        <v>FRAUD CREDIT</v>
      </c>
      <c r="D393" s="31">
        <f>'Raw Data'!F396</f>
        <v>-303.10000000000002</v>
      </c>
    </row>
    <row r="394" spans="1:4" x14ac:dyDescent="0.25">
      <c r="A394" t="str">
        <f>'Raw Data'!A397</f>
        <v>09/30/2025</v>
      </c>
      <c r="B394" t="str">
        <f>'Raw Data'!C397</f>
        <v>FRAUD CREDIT</v>
      </c>
      <c r="C394" t="str">
        <f>'Raw Data'!I397</f>
        <v>FRAUD CREDIT</v>
      </c>
      <c r="D394" s="31">
        <f>'Raw Data'!F397</f>
        <v>-298.75</v>
      </c>
    </row>
    <row r="395" spans="1:4" x14ac:dyDescent="0.25">
      <c r="A395" t="str">
        <f>'Raw Data'!A398</f>
        <v>09/30/2025</v>
      </c>
      <c r="B395" t="str">
        <f>'Raw Data'!C398</f>
        <v>FRAUD CREDIT</v>
      </c>
      <c r="C395" t="str">
        <f>'Raw Data'!I398</f>
        <v>FRAUD CREDIT</v>
      </c>
      <c r="D395" s="31">
        <f>'Raw Data'!F398</f>
        <v>-280.11</v>
      </c>
    </row>
    <row r="396" spans="1:4" x14ac:dyDescent="0.25">
      <c r="A396" t="str">
        <f>'Raw Data'!A399</f>
        <v>09/30/2025</v>
      </c>
      <c r="B396" t="str">
        <f>'Raw Data'!C399</f>
        <v>FRAUD CREDIT</v>
      </c>
      <c r="C396" t="str">
        <f>'Raw Data'!I399</f>
        <v>FRAUD CREDIT</v>
      </c>
      <c r="D396" s="31">
        <f>'Raw Data'!F399</f>
        <v>-267.93</v>
      </c>
    </row>
    <row r="397" spans="1:4" x14ac:dyDescent="0.25">
      <c r="A397" t="str">
        <f>'Raw Data'!A400</f>
        <v>09/30/2025</v>
      </c>
      <c r="B397" t="str">
        <f>'Raw Data'!C400</f>
        <v>FRAUD CREDIT</v>
      </c>
      <c r="C397" t="str">
        <f>'Raw Data'!I400</f>
        <v>FRAUD CREDIT</v>
      </c>
      <c r="D397" s="31">
        <f>'Raw Data'!F400</f>
        <v>-261.66000000000003</v>
      </c>
    </row>
    <row r="398" spans="1:4" x14ac:dyDescent="0.25">
      <c r="A398" t="str">
        <f>'Raw Data'!A401</f>
        <v>09/30/2025</v>
      </c>
      <c r="B398" t="str">
        <f>'Raw Data'!C401</f>
        <v>FRAUD CREDIT</v>
      </c>
      <c r="C398" t="str">
        <f>'Raw Data'!I401</f>
        <v>FRAUD CREDIT</v>
      </c>
      <c r="D398" s="31">
        <f>'Raw Data'!F401</f>
        <v>-252.59</v>
      </c>
    </row>
    <row r="399" spans="1:4" x14ac:dyDescent="0.25">
      <c r="A399" t="str">
        <f>'Raw Data'!A402</f>
        <v>09/30/2025</v>
      </c>
      <c r="B399" t="str">
        <f>'Raw Data'!C402</f>
        <v>FRAUD CREDIT</v>
      </c>
      <c r="C399" t="str">
        <f>'Raw Data'!I402</f>
        <v>FRAUD CREDIT</v>
      </c>
      <c r="D399" s="31">
        <f>'Raw Data'!F402</f>
        <v>-229.92</v>
      </c>
    </row>
    <row r="400" spans="1:4" x14ac:dyDescent="0.25">
      <c r="A400" t="str">
        <f>'Raw Data'!A403</f>
        <v>09/30/2025</v>
      </c>
      <c r="B400" t="str">
        <f>'Raw Data'!C403</f>
        <v>FRAUD CREDIT</v>
      </c>
      <c r="C400" t="str">
        <f>'Raw Data'!I403</f>
        <v>FRAUD CREDIT</v>
      </c>
      <c r="D400" s="31">
        <f>'Raw Data'!F403</f>
        <v>-226.25</v>
      </c>
    </row>
    <row r="401" spans="1:4" x14ac:dyDescent="0.25">
      <c r="A401" t="str">
        <f>'Raw Data'!A404</f>
        <v>09/30/2025</v>
      </c>
      <c r="B401" t="str">
        <f>'Raw Data'!C404</f>
        <v>FRAUD CREDIT</v>
      </c>
      <c r="C401" t="str">
        <f>'Raw Data'!I404</f>
        <v>FRAUD CREDIT</v>
      </c>
      <c r="D401" s="31">
        <f>'Raw Data'!F404</f>
        <v>-226.24</v>
      </c>
    </row>
    <row r="402" spans="1:4" x14ac:dyDescent="0.25">
      <c r="A402" t="str">
        <f>'Raw Data'!A405</f>
        <v>09/30/2025</v>
      </c>
      <c r="B402" t="str">
        <f>'Raw Data'!C405</f>
        <v>FRAUD CREDIT</v>
      </c>
      <c r="C402" t="str">
        <f>'Raw Data'!I405</f>
        <v>FRAUD CREDIT</v>
      </c>
      <c r="D402" s="31">
        <f>'Raw Data'!F405</f>
        <v>-225.1</v>
      </c>
    </row>
    <row r="403" spans="1:4" x14ac:dyDescent="0.25">
      <c r="A403" t="str">
        <f>'Raw Data'!A406</f>
        <v>09/30/2025</v>
      </c>
      <c r="B403" t="str">
        <f>'Raw Data'!C406</f>
        <v>FRAUD CREDIT</v>
      </c>
      <c r="C403" t="str">
        <f>'Raw Data'!I406</f>
        <v>FRAUD CREDIT</v>
      </c>
      <c r="D403" s="31">
        <f>'Raw Data'!F406</f>
        <v>-220.45</v>
      </c>
    </row>
    <row r="404" spans="1:4" x14ac:dyDescent="0.25">
      <c r="A404" t="str">
        <f>'Raw Data'!A407</f>
        <v>09/30/2025</v>
      </c>
      <c r="B404" t="str">
        <f>'Raw Data'!C407</f>
        <v>FRAUD CREDIT</v>
      </c>
      <c r="C404" t="str">
        <f>'Raw Data'!I407</f>
        <v>FRAUD CREDIT</v>
      </c>
      <c r="D404" s="31">
        <f>'Raw Data'!F407</f>
        <v>-219.03</v>
      </c>
    </row>
    <row r="405" spans="1:4" x14ac:dyDescent="0.25">
      <c r="A405" t="str">
        <f>'Raw Data'!A408</f>
        <v>09/30/2025</v>
      </c>
      <c r="B405" t="str">
        <f>'Raw Data'!C408</f>
        <v>FRAUD CREDIT</v>
      </c>
      <c r="C405" t="str">
        <f>'Raw Data'!I408</f>
        <v>FRAUD CREDIT</v>
      </c>
      <c r="D405" s="31">
        <f>'Raw Data'!F408</f>
        <v>-216.49</v>
      </c>
    </row>
    <row r="406" spans="1:4" x14ac:dyDescent="0.25">
      <c r="A406" t="str">
        <f>'Raw Data'!A409</f>
        <v>09/30/2025</v>
      </c>
      <c r="B406" t="str">
        <f>'Raw Data'!C409</f>
        <v>FRAUD CREDIT</v>
      </c>
      <c r="C406" t="str">
        <f>'Raw Data'!I409</f>
        <v>FRAUD CREDIT</v>
      </c>
      <c r="D406" s="31">
        <f>'Raw Data'!F409</f>
        <v>-210.46</v>
      </c>
    </row>
    <row r="407" spans="1:4" x14ac:dyDescent="0.25">
      <c r="A407" t="str">
        <f>'Raw Data'!A410</f>
        <v>09/30/2025</v>
      </c>
      <c r="B407" t="str">
        <f>'Raw Data'!C410</f>
        <v>FRAUD CREDIT</v>
      </c>
      <c r="C407" t="str">
        <f>'Raw Data'!I410</f>
        <v>FRAUD CREDIT</v>
      </c>
      <c r="D407" s="31">
        <f>'Raw Data'!F410</f>
        <v>-206.69</v>
      </c>
    </row>
    <row r="408" spans="1:4" x14ac:dyDescent="0.25">
      <c r="A408" t="str">
        <f>'Raw Data'!A411</f>
        <v>09/30/2025</v>
      </c>
      <c r="B408" t="str">
        <f>'Raw Data'!C411</f>
        <v>FRAUD CREDIT</v>
      </c>
      <c r="C408" t="str">
        <f>'Raw Data'!I411</f>
        <v>FRAUD CREDIT</v>
      </c>
      <c r="D408" s="31">
        <f>'Raw Data'!F411</f>
        <v>-204.1</v>
      </c>
    </row>
    <row r="409" spans="1:4" x14ac:dyDescent="0.25">
      <c r="A409" t="str">
        <f>'Raw Data'!A412</f>
        <v>09/30/2025</v>
      </c>
      <c r="B409" t="str">
        <f>'Raw Data'!C412</f>
        <v>FRAUD CREDIT</v>
      </c>
      <c r="C409" t="str">
        <f>'Raw Data'!I412</f>
        <v>FRAUD CREDIT</v>
      </c>
      <c r="D409" s="31">
        <f>'Raw Data'!F412</f>
        <v>-202.56</v>
      </c>
    </row>
    <row r="410" spans="1:4" x14ac:dyDescent="0.25">
      <c r="A410" t="str">
        <f>'Raw Data'!A413</f>
        <v>09/30/2025</v>
      </c>
      <c r="B410" t="str">
        <f>'Raw Data'!C413</f>
        <v>FRAUD CREDIT</v>
      </c>
      <c r="C410" t="str">
        <f>'Raw Data'!I413</f>
        <v>FRAUD CREDIT</v>
      </c>
      <c r="D410" s="31">
        <f>'Raw Data'!F413</f>
        <v>-201.74</v>
      </c>
    </row>
    <row r="411" spans="1:4" x14ac:dyDescent="0.25">
      <c r="A411" t="str">
        <f>'Raw Data'!A414</f>
        <v>09/30/2025</v>
      </c>
      <c r="B411" t="str">
        <f>'Raw Data'!C414</f>
        <v>FRAUD CREDIT</v>
      </c>
      <c r="C411" t="str">
        <f>'Raw Data'!I414</f>
        <v>FRAUD CREDIT</v>
      </c>
      <c r="D411" s="31">
        <f>'Raw Data'!F414</f>
        <v>-196.31</v>
      </c>
    </row>
    <row r="412" spans="1:4" x14ac:dyDescent="0.25">
      <c r="A412" t="str">
        <f>'Raw Data'!A415</f>
        <v>09/30/2025</v>
      </c>
      <c r="B412" t="str">
        <f>'Raw Data'!C415</f>
        <v>FRAUD CREDIT</v>
      </c>
      <c r="C412" t="str">
        <f>'Raw Data'!I415</f>
        <v>FRAUD CREDIT</v>
      </c>
      <c r="D412" s="31">
        <f>'Raw Data'!F415</f>
        <v>-194.84</v>
      </c>
    </row>
    <row r="413" spans="1:4" x14ac:dyDescent="0.25">
      <c r="A413" t="str">
        <f>'Raw Data'!A416</f>
        <v>09/30/2025</v>
      </c>
      <c r="B413" t="str">
        <f>'Raw Data'!C416</f>
        <v>FRAUD CREDIT</v>
      </c>
      <c r="C413" t="str">
        <f>'Raw Data'!I416</f>
        <v>FRAUD CREDIT</v>
      </c>
      <c r="D413" s="31">
        <f>'Raw Data'!F416</f>
        <v>-192.65</v>
      </c>
    </row>
    <row r="414" spans="1:4" x14ac:dyDescent="0.25">
      <c r="A414" t="str">
        <f>'Raw Data'!A417</f>
        <v>09/30/2025</v>
      </c>
      <c r="B414" t="str">
        <f>'Raw Data'!C417</f>
        <v>FRAUD CREDIT</v>
      </c>
      <c r="C414" t="str">
        <f>'Raw Data'!I417</f>
        <v>FRAUD CREDIT</v>
      </c>
      <c r="D414" s="31">
        <f>'Raw Data'!F417</f>
        <v>-191.97</v>
      </c>
    </row>
    <row r="415" spans="1:4" x14ac:dyDescent="0.25">
      <c r="A415" t="str">
        <f>'Raw Data'!A418</f>
        <v>09/30/2025</v>
      </c>
      <c r="B415" t="str">
        <f>'Raw Data'!C418</f>
        <v>FRAUD CREDIT</v>
      </c>
      <c r="C415" t="str">
        <f>'Raw Data'!I418</f>
        <v>FRAUD CREDIT</v>
      </c>
      <c r="D415" s="31">
        <f>'Raw Data'!F418</f>
        <v>-187.79</v>
      </c>
    </row>
    <row r="416" spans="1:4" x14ac:dyDescent="0.25">
      <c r="A416" t="str">
        <f>'Raw Data'!A419</f>
        <v>09/30/2025</v>
      </c>
      <c r="B416" t="str">
        <f>'Raw Data'!C419</f>
        <v>FRAUD CREDIT</v>
      </c>
      <c r="C416" t="str">
        <f>'Raw Data'!I419</f>
        <v>FRAUD CREDIT</v>
      </c>
      <c r="D416" s="31">
        <f>'Raw Data'!F419</f>
        <v>-177.54</v>
      </c>
    </row>
    <row r="417" spans="1:4" x14ac:dyDescent="0.25">
      <c r="A417" t="str">
        <f>'Raw Data'!A420</f>
        <v>09/30/2025</v>
      </c>
      <c r="B417" t="str">
        <f>'Raw Data'!C420</f>
        <v>FRAUD CREDIT</v>
      </c>
      <c r="C417" t="str">
        <f>'Raw Data'!I420</f>
        <v>FRAUD CREDIT</v>
      </c>
      <c r="D417" s="31">
        <f>'Raw Data'!F420</f>
        <v>-172.17</v>
      </c>
    </row>
    <row r="418" spans="1:4" x14ac:dyDescent="0.25">
      <c r="A418" t="str">
        <f>'Raw Data'!A421</f>
        <v>09/30/2025</v>
      </c>
      <c r="B418" t="str">
        <f>'Raw Data'!C421</f>
        <v>FRAUD CREDIT</v>
      </c>
      <c r="C418" t="str">
        <f>'Raw Data'!I421</f>
        <v>FRAUD CREDIT</v>
      </c>
      <c r="D418" s="31">
        <f>'Raw Data'!F421</f>
        <v>-165.22</v>
      </c>
    </row>
    <row r="419" spans="1:4" x14ac:dyDescent="0.25">
      <c r="A419" t="str">
        <f>'Raw Data'!A422</f>
        <v>09/30/2025</v>
      </c>
      <c r="B419" t="str">
        <f>'Raw Data'!C422</f>
        <v>FRAUD CREDIT</v>
      </c>
      <c r="C419" t="str">
        <f>'Raw Data'!I422</f>
        <v>FRAUD CREDIT</v>
      </c>
      <c r="D419" s="31">
        <f>'Raw Data'!F422</f>
        <v>-160.37</v>
      </c>
    </row>
    <row r="420" spans="1:4" x14ac:dyDescent="0.25">
      <c r="A420" t="str">
        <f>'Raw Data'!A423</f>
        <v>09/30/2025</v>
      </c>
      <c r="B420" t="str">
        <f>'Raw Data'!C423</f>
        <v>FRAUD CREDIT</v>
      </c>
      <c r="C420" t="str">
        <f>'Raw Data'!I423</f>
        <v>FRAUD CREDIT</v>
      </c>
      <c r="D420" s="31">
        <f>'Raw Data'!F423</f>
        <v>-160.13999999999999</v>
      </c>
    </row>
    <row r="421" spans="1:4" x14ac:dyDescent="0.25">
      <c r="A421" t="str">
        <f>'Raw Data'!A424</f>
        <v>09/30/2025</v>
      </c>
      <c r="B421" t="str">
        <f>'Raw Data'!C424</f>
        <v>FRAUD CREDIT</v>
      </c>
      <c r="C421" t="str">
        <f>'Raw Data'!I424</f>
        <v>FRAUD CREDIT</v>
      </c>
      <c r="D421" s="31">
        <f>'Raw Data'!F424</f>
        <v>-157.80000000000001</v>
      </c>
    </row>
    <row r="422" spans="1:4" x14ac:dyDescent="0.25">
      <c r="A422" t="str">
        <f>'Raw Data'!A425</f>
        <v>09/30/2025</v>
      </c>
      <c r="B422" t="str">
        <f>'Raw Data'!C425</f>
        <v>FRAUD CREDIT</v>
      </c>
      <c r="C422" t="str">
        <f>'Raw Data'!I425</f>
        <v>FRAUD CREDIT</v>
      </c>
      <c r="D422" s="31">
        <f>'Raw Data'!F425</f>
        <v>-151.33000000000001</v>
      </c>
    </row>
    <row r="423" spans="1:4" x14ac:dyDescent="0.25">
      <c r="A423" t="str">
        <f>'Raw Data'!A426</f>
        <v>09/30/2025</v>
      </c>
      <c r="B423" t="str">
        <f>'Raw Data'!C426</f>
        <v>FRAUD CREDIT</v>
      </c>
      <c r="C423" t="str">
        <f>'Raw Data'!I426</f>
        <v>FRAUD CREDIT</v>
      </c>
      <c r="D423" s="31">
        <f>'Raw Data'!F426</f>
        <v>-148.55000000000001</v>
      </c>
    </row>
    <row r="424" spans="1:4" x14ac:dyDescent="0.25">
      <c r="A424" t="str">
        <f>'Raw Data'!A427</f>
        <v>09/30/2025</v>
      </c>
      <c r="B424" t="str">
        <f>'Raw Data'!C427</f>
        <v>FRAUD CREDIT</v>
      </c>
      <c r="C424" t="str">
        <f>'Raw Data'!I427</f>
        <v>FRAUD CREDIT</v>
      </c>
      <c r="D424" s="31">
        <f>'Raw Data'!F427</f>
        <v>-148.51</v>
      </c>
    </row>
    <row r="425" spans="1:4" x14ac:dyDescent="0.25">
      <c r="A425" t="str">
        <f>'Raw Data'!A428</f>
        <v>09/30/2025</v>
      </c>
      <c r="B425" t="str">
        <f>'Raw Data'!C428</f>
        <v>FRAUD CREDIT</v>
      </c>
      <c r="C425" t="str">
        <f>'Raw Data'!I428</f>
        <v>FRAUD CREDIT</v>
      </c>
      <c r="D425" s="31">
        <f>'Raw Data'!F428</f>
        <v>-139.36000000000001</v>
      </c>
    </row>
    <row r="426" spans="1:4" x14ac:dyDescent="0.25">
      <c r="A426" t="str">
        <f>'Raw Data'!A429</f>
        <v>09/30/2025</v>
      </c>
      <c r="B426" t="str">
        <f>'Raw Data'!C429</f>
        <v>FRAUD CREDIT</v>
      </c>
      <c r="C426" t="str">
        <f>'Raw Data'!I429</f>
        <v>FRAUD CREDIT</v>
      </c>
      <c r="D426" s="31">
        <f>'Raw Data'!F429</f>
        <v>-138.25</v>
      </c>
    </row>
    <row r="427" spans="1:4" x14ac:dyDescent="0.25">
      <c r="A427" t="str">
        <f>'Raw Data'!A430</f>
        <v>09/30/2025</v>
      </c>
      <c r="B427" t="str">
        <f>'Raw Data'!C430</f>
        <v>FRAUD CREDIT</v>
      </c>
      <c r="C427" t="str">
        <f>'Raw Data'!I430</f>
        <v>FRAUD CREDIT</v>
      </c>
      <c r="D427" s="31">
        <f>'Raw Data'!F430</f>
        <v>-137</v>
      </c>
    </row>
    <row r="428" spans="1:4" x14ac:dyDescent="0.25">
      <c r="A428" t="str">
        <f>'Raw Data'!A431</f>
        <v>09/30/2025</v>
      </c>
      <c r="B428" t="str">
        <f>'Raw Data'!C431</f>
        <v>FRAUD CREDIT</v>
      </c>
      <c r="C428" t="str">
        <f>'Raw Data'!I431</f>
        <v>FRAUD CREDIT</v>
      </c>
      <c r="D428" s="31">
        <f>'Raw Data'!F431</f>
        <v>-133.21</v>
      </c>
    </row>
    <row r="429" spans="1:4" x14ac:dyDescent="0.25">
      <c r="A429" t="str">
        <f>'Raw Data'!A432</f>
        <v>09/30/2025</v>
      </c>
      <c r="B429" t="str">
        <f>'Raw Data'!C432</f>
        <v>FRAUD CREDIT</v>
      </c>
      <c r="C429" t="str">
        <f>'Raw Data'!I432</f>
        <v>FRAUD CREDIT</v>
      </c>
      <c r="D429" s="31">
        <f>'Raw Data'!F432</f>
        <v>-128.81</v>
      </c>
    </row>
    <row r="430" spans="1:4" x14ac:dyDescent="0.25">
      <c r="A430" t="str">
        <f>'Raw Data'!A433</f>
        <v>09/30/2025</v>
      </c>
      <c r="B430" t="str">
        <f>'Raw Data'!C433</f>
        <v>FRAUD CREDIT</v>
      </c>
      <c r="C430" t="str">
        <f>'Raw Data'!I433</f>
        <v>FRAUD CREDIT</v>
      </c>
      <c r="D430" s="31">
        <f>'Raw Data'!F433</f>
        <v>-128.72999999999999</v>
      </c>
    </row>
    <row r="431" spans="1:4" x14ac:dyDescent="0.25">
      <c r="A431" t="str">
        <f>'Raw Data'!A434</f>
        <v>09/30/2025</v>
      </c>
      <c r="B431" t="str">
        <f>'Raw Data'!C434</f>
        <v>FRAUD CREDIT</v>
      </c>
      <c r="C431" t="str">
        <f>'Raw Data'!I434</f>
        <v>FRAUD CREDIT</v>
      </c>
      <c r="D431" s="31">
        <f>'Raw Data'!F434</f>
        <v>-128.72999999999999</v>
      </c>
    </row>
    <row r="432" spans="1:4" x14ac:dyDescent="0.25">
      <c r="A432" t="str">
        <f>'Raw Data'!A435</f>
        <v>09/30/2025</v>
      </c>
      <c r="B432" t="str">
        <f>'Raw Data'!C435</f>
        <v>FRAUD CREDIT</v>
      </c>
      <c r="C432" t="str">
        <f>'Raw Data'!I435</f>
        <v>FRAUD CREDIT</v>
      </c>
      <c r="D432" s="31">
        <f>'Raw Data'!F435</f>
        <v>-125.81</v>
      </c>
    </row>
    <row r="433" spans="1:4" x14ac:dyDescent="0.25">
      <c r="A433" t="str">
        <f>'Raw Data'!A436</f>
        <v>09/30/2025</v>
      </c>
      <c r="B433" t="str">
        <f>'Raw Data'!C436</f>
        <v>FRAUD CREDIT</v>
      </c>
      <c r="C433" t="str">
        <f>'Raw Data'!I436</f>
        <v>FRAUD CREDIT</v>
      </c>
      <c r="D433" s="31">
        <f>'Raw Data'!F436</f>
        <v>-121.33</v>
      </c>
    </row>
    <row r="434" spans="1:4" x14ac:dyDescent="0.25">
      <c r="A434" t="str">
        <f>'Raw Data'!A437</f>
        <v>09/30/2025</v>
      </c>
      <c r="B434" t="str">
        <f>'Raw Data'!C437</f>
        <v>FRAUD CREDIT</v>
      </c>
      <c r="C434" t="str">
        <f>'Raw Data'!I437</f>
        <v>FRAUD CREDIT</v>
      </c>
      <c r="D434" s="31">
        <f>'Raw Data'!F437</f>
        <v>-120.96</v>
      </c>
    </row>
    <row r="435" spans="1:4" x14ac:dyDescent="0.25">
      <c r="A435" t="str">
        <f>'Raw Data'!A438</f>
        <v>09/30/2025</v>
      </c>
      <c r="B435" t="str">
        <f>'Raw Data'!C438</f>
        <v>FRAUD CREDIT</v>
      </c>
      <c r="C435" t="str">
        <f>'Raw Data'!I438</f>
        <v>FRAUD CREDIT</v>
      </c>
      <c r="D435" s="31">
        <f>'Raw Data'!F438</f>
        <v>-119.91</v>
      </c>
    </row>
    <row r="436" spans="1:4" x14ac:dyDescent="0.25">
      <c r="A436" t="str">
        <f>'Raw Data'!A439</f>
        <v>09/30/2025</v>
      </c>
      <c r="B436" t="str">
        <f>'Raw Data'!C439</f>
        <v>FRAUD CREDIT</v>
      </c>
      <c r="C436" t="str">
        <f>'Raw Data'!I439</f>
        <v>FRAUD CREDIT</v>
      </c>
      <c r="D436" s="31">
        <f>'Raw Data'!F439</f>
        <v>-119.06</v>
      </c>
    </row>
    <row r="437" spans="1:4" x14ac:dyDescent="0.25">
      <c r="A437" t="str">
        <f>'Raw Data'!A440</f>
        <v>09/30/2025</v>
      </c>
      <c r="B437" t="str">
        <f>'Raw Data'!C440</f>
        <v>FRAUD CREDIT</v>
      </c>
      <c r="C437" t="str">
        <f>'Raw Data'!I440</f>
        <v>FRAUD CREDIT</v>
      </c>
      <c r="D437" s="31">
        <f>'Raw Data'!F440</f>
        <v>-116.33</v>
      </c>
    </row>
    <row r="438" spans="1:4" x14ac:dyDescent="0.25">
      <c r="A438" t="str">
        <f>'Raw Data'!A441</f>
        <v>09/30/2025</v>
      </c>
      <c r="B438" t="str">
        <f>'Raw Data'!C441</f>
        <v>FRAUD CREDIT</v>
      </c>
      <c r="C438" t="str">
        <f>'Raw Data'!I441</f>
        <v>FRAUD CREDIT</v>
      </c>
      <c r="D438" s="31">
        <f>'Raw Data'!F441</f>
        <v>-108.39</v>
      </c>
    </row>
    <row r="439" spans="1:4" x14ac:dyDescent="0.25">
      <c r="A439" t="str">
        <f>'Raw Data'!A442</f>
        <v>09/30/2025</v>
      </c>
      <c r="B439" t="str">
        <f>'Raw Data'!C442</f>
        <v>FRAUD CREDIT</v>
      </c>
      <c r="C439" t="str">
        <f>'Raw Data'!I442</f>
        <v>FRAUD CREDIT</v>
      </c>
      <c r="D439" s="31">
        <f>'Raw Data'!F442</f>
        <v>-104.93</v>
      </c>
    </row>
    <row r="440" spans="1:4" x14ac:dyDescent="0.25">
      <c r="A440" t="str">
        <f>'Raw Data'!A443</f>
        <v>09/30/2025</v>
      </c>
      <c r="B440" t="str">
        <f>'Raw Data'!C443</f>
        <v>FRAUD CREDIT</v>
      </c>
      <c r="C440" t="str">
        <f>'Raw Data'!I443</f>
        <v>FRAUD CREDIT</v>
      </c>
      <c r="D440" s="31">
        <f>'Raw Data'!F443</f>
        <v>-102.92</v>
      </c>
    </row>
    <row r="441" spans="1:4" x14ac:dyDescent="0.25">
      <c r="A441" t="str">
        <f>'Raw Data'!A444</f>
        <v>09/30/2025</v>
      </c>
      <c r="B441" t="str">
        <f>'Raw Data'!C444</f>
        <v>FRAUD CREDIT</v>
      </c>
      <c r="C441" t="str">
        <f>'Raw Data'!I444</f>
        <v>FRAUD CREDIT</v>
      </c>
      <c r="D441" s="31">
        <f>'Raw Data'!F444</f>
        <v>-101.83</v>
      </c>
    </row>
    <row r="442" spans="1:4" x14ac:dyDescent="0.25">
      <c r="A442" t="str">
        <f>'Raw Data'!A445</f>
        <v>09/30/2025</v>
      </c>
      <c r="B442" t="str">
        <f>'Raw Data'!C445</f>
        <v>FRAUD CREDIT</v>
      </c>
      <c r="C442" t="str">
        <f>'Raw Data'!I445</f>
        <v>FRAUD CREDIT</v>
      </c>
      <c r="D442" s="31">
        <f>'Raw Data'!F445</f>
        <v>-90.92</v>
      </c>
    </row>
    <row r="443" spans="1:4" x14ac:dyDescent="0.25">
      <c r="A443" t="str">
        <f>'Raw Data'!A446</f>
        <v>09/30/2025</v>
      </c>
      <c r="B443" t="str">
        <f>'Raw Data'!C446</f>
        <v>FRAUD CREDIT</v>
      </c>
      <c r="C443" t="str">
        <f>'Raw Data'!I446</f>
        <v>FRAUD CREDIT</v>
      </c>
      <c r="D443" s="31">
        <f>'Raw Data'!F446</f>
        <v>-89.42</v>
      </c>
    </row>
    <row r="444" spans="1:4" x14ac:dyDescent="0.25">
      <c r="A444" t="str">
        <f>'Raw Data'!A447</f>
        <v>09/30/2025</v>
      </c>
      <c r="B444" t="str">
        <f>'Raw Data'!C447</f>
        <v>FRAUD CREDIT</v>
      </c>
      <c r="C444" t="str">
        <f>'Raw Data'!I447</f>
        <v>FRAUD CREDIT</v>
      </c>
      <c r="D444" s="31">
        <f>'Raw Data'!F447</f>
        <v>-88.77</v>
      </c>
    </row>
    <row r="445" spans="1:4" x14ac:dyDescent="0.25">
      <c r="A445" t="str">
        <f>'Raw Data'!A448</f>
        <v>09/30/2025</v>
      </c>
      <c r="B445" t="str">
        <f>'Raw Data'!C448</f>
        <v>FRAUD CREDIT</v>
      </c>
      <c r="C445" t="str">
        <f>'Raw Data'!I448</f>
        <v>FRAUD CREDIT</v>
      </c>
      <c r="D445" s="31">
        <f>'Raw Data'!F448</f>
        <v>-86.11</v>
      </c>
    </row>
    <row r="446" spans="1:4" x14ac:dyDescent="0.25">
      <c r="A446" t="str">
        <f>'Raw Data'!A449</f>
        <v>09/30/2025</v>
      </c>
      <c r="B446" t="str">
        <f>'Raw Data'!C449</f>
        <v>FRAUD CREDIT</v>
      </c>
      <c r="C446" t="str">
        <f>'Raw Data'!I449</f>
        <v>FRAUD CREDIT</v>
      </c>
      <c r="D446" s="31">
        <f>'Raw Data'!F449</f>
        <v>-84.26</v>
      </c>
    </row>
    <row r="447" spans="1:4" x14ac:dyDescent="0.25">
      <c r="A447" t="str">
        <f>'Raw Data'!A450</f>
        <v>09/30/2025</v>
      </c>
      <c r="B447" t="str">
        <f>'Raw Data'!C450</f>
        <v>FRAUD CREDIT</v>
      </c>
      <c r="C447" t="str">
        <f>'Raw Data'!I450</f>
        <v>FRAUD CREDIT</v>
      </c>
      <c r="D447" s="31">
        <f>'Raw Data'!F450</f>
        <v>-83.78</v>
      </c>
    </row>
    <row r="448" spans="1:4" x14ac:dyDescent="0.25">
      <c r="A448" t="str">
        <f>'Raw Data'!A451</f>
        <v>09/30/2025</v>
      </c>
      <c r="B448" t="str">
        <f>'Raw Data'!C451</f>
        <v>FRAUD CREDIT</v>
      </c>
      <c r="C448" t="str">
        <f>'Raw Data'!I451</f>
        <v>FRAUD CREDIT</v>
      </c>
      <c r="D448" s="31">
        <f>'Raw Data'!F451</f>
        <v>-80.06</v>
      </c>
    </row>
    <row r="449" spans="1:4" x14ac:dyDescent="0.25">
      <c r="A449" t="str">
        <f>'Raw Data'!A452</f>
        <v>09/30/2025</v>
      </c>
      <c r="B449" t="str">
        <f>'Raw Data'!C452</f>
        <v>FRAUD CREDIT</v>
      </c>
      <c r="C449" t="str">
        <f>'Raw Data'!I452</f>
        <v>FRAUD CREDIT</v>
      </c>
      <c r="D449" s="31">
        <f>'Raw Data'!F452</f>
        <v>-77.930000000000007</v>
      </c>
    </row>
    <row r="450" spans="1:4" x14ac:dyDescent="0.25">
      <c r="A450" t="str">
        <f>'Raw Data'!A453</f>
        <v>09/30/2025</v>
      </c>
      <c r="B450" t="str">
        <f>'Raw Data'!C453</f>
        <v>FRAUD CREDIT</v>
      </c>
      <c r="C450" t="str">
        <f>'Raw Data'!I453</f>
        <v>FRAUD CREDIT</v>
      </c>
      <c r="D450" s="31">
        <f>'Raw Data'!F453</f>
        <v>-77.58</v>
      </c>
    </row>
    <row r="451" spans="1:4" x14ac:dyDescent="0.25">
      <c r="A451" t="str">
        <f>'Raw Data'!A454</f>
        <v>09/30/2025</v>
      </c>
      <c r="B451" t="str">
        <f>'Raw Data'!C454</f>
        <v>FRAUD CREDIT</v>
      </c>
      <c r="C451" t="str">
        <f>'Raw Data'!I454</f>
        <v>FRAUD CREDIT</v>
      </c>
      <c r="D451" s="31">
        <f>'Raw Data'!F454</f>
        <v>-74.69</v>
      </c>
    </row>
    <row r="452" spans="1:4" x14ac:dyDescent="0.25">
      <c r="A452" t="str">
        <f>'Raw Data'!A455</f>
        <v>09/30/2025</v>
      </c>
      <c r="B452" t="str">
        <f>'Raw Data'!C455</f>
        <v>FRAUD CREDIT</v>
      </c>
      <c r="C452" t="str">
        <f>'Raw Data'!I455</f>
        <v>FRAUD CREDIT</v>
      </c>
      <c r="D452" s="31">
        <f>'Raw Data'!F455</f>
        <v>-74.680000000000007</v>
      </c>
    </row>
    <row r="453" spans="1:4" x14ac:dyDescent="0.25">
      <c r="A453" t="str">
        <f>'Raw Data'!A456</f>
        <v>09/30/2025</v>
      </c>
      <c r="B453" t="str">
        <f>'Raw Data'!C456</f>
        <v>FRAUD CREDIT</v>
      </c>
      <c r="C453" t="str">
        <f>'Raw Data'!I456</f>
        <v>FRAUD CREDIT</v>
      </c>
      <c r="D453" s="31">
        <f>'Raw Data'!F456</f>
        <v>-74.680000000000007</v>
      </c>
    </row>
    <row r="454" spans="1:4" x14ac:dyDescent="0.25">
      <c r="A454" t="str">
        <f>'Raw Data'!A457</f>
        <v>09/30/2025</v>
      </c>
      <c r="B454" t="str">
        <f>'Raw Data'!C457</f>
        <v>FRAUD CREDIT</v>
      </c>
      <c r="C454" t="str">
        <f>'Raw Data'!I457</f>
        <v>FRAUD CREDIT</v>
      </c>
      <c r="D454" s="31">
        <f>'Raw Data'!F457</f>
        <v>-73.849999999999994</v>
      </c>
    </row>
    <row r="455" spans="1:4" x14ac:dyDescent="0.25">
      <c r="A455" t="str">
        <f>'Raw Data'!A458</f>
        <v>09/30/2025</v>
      </c>
      <c r="B455" t="str">
        <f>'Raw Data'!C458</f>
        <v>FRAUD CREDIT</v>
      </c>
      <c r="C455" t="str">
        <f>'Raw Data'!I458</f>
        <v>FRAUD CREDIT</v>
      </c>
      <c r="D455" s="31">
        <f>'Raw Data'!F458</f>
        <v>-73.08</v>
      </c>
    </row>
    <row r="456" spans="1:4" x14ac:dyDescent="0.25">
      <c r="A456" t="str">
        <f>'Raw Data'!A459</f>
        <v>09/30/2025</v>
      </c>
      <c r="B456" t="str">
        <f>'Raw Data'!C459</f>
        <v>FRAUD CREDIT</v>
      </c>
      <c r="C456" t="str">
        <f>'Raw Data'!I459</f>
        <v>FRAUD CREDIT</v>
      </c>
      <c r="D456" s="31">
        <f>'Raw Data'!F459</f>
        <v>-70.31</v>
      </c>
    </row>
    <row r="457" spans="1:4" x14ac:dyDescent="0.25">
      <c r="A457" t="str">
        <f>'Raw Data'!A460</f>
        <v>09/30/2025</v>
      </c>
      <c r="B457" t="str">
        <f>'Raw Data'!C460</f>
        <v>FRAUD CREDIT</v>
      </c>
      <c r="C457" t="str">
        <f>'Raw Data'!I460</f>
        <v>FRAUD CREDIT</v>
      </c>
      <c r="D457" s="31">
        <f>'Raw Data'!F460</f>
        <v>-70.31</v>
      </c>
    </row>
    <row r="458" spans="1:4" x14ac:dyDescent="0.25">
      <c r="A458" t="str">
        <f>'Raw Data'!A461</f>
        <v>09/30/2025</v>
      </c>
      <c r="B458" t="str">
        <f>'Raw Data'!C461</f>
        <v>FRAUD CREDIT</v>
      </c>
      <c r="C458" t="str">
        <f>'Raw Data'!I461</f>
        <v>FRAUD CREDIT</v>
      </c>
      <c r="D458" s="31">
        <f>'Raw Data'!F461</f>
        <v>-70.150000000000006</v>
      </c>
    </row>
    <row r="459" spans="1:4" x14ac:dyDescent="0.25">
      <c r="A459" t="str">
        <f>'Raw Data'!A462</f>
        <v>09/30/2025</v>
      </c>
      <c r="B459" t="str">
        <f>'Raw Data'!C462</f>
        <v>FRAUD CREDIT</v>
      </c>
      <c r="C459" t="str">
        <f>'Raw Data'!I462</f>
        <v>FRAUD CREDIT</v>
      </c>
      <c r="D459" s="31">
        <f>'Raw Data'!F462</f>
        <v>-69.989999999999995</v>
      </c>
    </row>
    <row r="460" spans="1:4" x14ac:dyDescent="0.25">
      <c r="A460" t="str">
        <f>'Raw Data'!A463</f>
        <v>09/30/2025</v>
      </c>
      <c r="B460" t="str">
        <f>'Raw Data'!C463</f>
        <v>FRAUD CREDIT</v>
      </c>
      <c r="C460" t="str">
        <f>'Raw Data'!I463</f>
        <v>FRAUD CREDIT</v>
      </c>
      <c r="D460" s="31">
        <f>'Raw Data'!F463</f>
        <v>-69.17</v>
      </c>
    </row>
    <row r="461" spans="1:4" x14ac:dyDescent="0.25">
      <c r="A461" t="str">
        <f>'Raw Data'!A464</f>
        <v>09/30/2025</v>
      </c>
      <c r="B461" t="str">
        <f>'Raw Data'!C464</f>
        <v>FRAUD CREDIT</v>
      </c>
      <c r="C461" t="str">
        <f>'Raw Data'!I464</f>
        <v>FRAUD CREDIT</v>
      </c>
      <c r="D461" s="31">
        <f>'Raw Data'!F464</f>
        <v>-67.209999999999994</v>
      </c>
    </row>
    <row r="462" spans="1:4" x14ac:dyDescent="0.25">
      <c r="A462" t="str">
        <f>'Raw Data'!A465</f>
        <v>09/30/2025</v>
      </c>
      <c r="B462" t="str">
        <f>'Raw Data'!C465</f>
        <v>FRAUD CREDIT</v>
      </c>
      <c r="C462" t="str">
        <f>'Raw Data'!I465</f>
        <v>FRAUD CREDIT</v>
      </c>
      <c r="D462" s="31">
        <f>'Raw Data'!F465</f>
        <v>-66.25</v>
      </c>
    </row>
    <row r="463" spans="1:4" x14ac:dyDescent="0.25">
      <c r="A463" t="str">
        <f>'Raw Data'!A466</f>
        <v>09/30/2025</v>
      </c>
      <c r="B463" t="str">
        <f>'Raw Data'!C466</f>
        <v>FRAUD CREDIT</v>
      </c>
      <c r="C463" t="str">
        <f>'Raw Data'!I466</f>
        <v>FRAUD CREDIT</v>
      </c>
      <c r="D463" s="31">
        <f>'Raw Data'!F466</f>
        <v>-64.25</v>
      </c>
    </row>
    <row r="464" spans="1:4" x14ac:dyDescent="0.25">
      <c r="A464" t="str">
        <f>'Raw Data'!A467</f>
        <v>09/30/2025</v>
      </c>
      <c r="B464" t="str">
        <f>'Raw Data'!C467</f>
        <v>FRAUD CREDIT</v>
      </c>
      <c r="C464" t="str">
        <f>'Raw Data'!I467</f>
        <v>FRAUD CREDIT</v>
      </c>
      <c r="D464" s="31">
        <f>'Raw Data'!F467</f>
        <v>-63.58</v>
      </c>
    </row>
    <row r="465" spans="1:4" x14ac:dyDescent="0.25">
      <c r="A465" t="str">
        <f>'Raw Data'!A468</f>
        <v>09/30/2025</v>
      </c>
      <c r="B465" t="str">
        <f>'Raw Data'!C468</f>
        <v>FRAUD CREDIT</v>
      </c>
      <c r="C465" t="str">
        <f>'Raw Data'!I468</f>
        <v>FRAUD CREDIT</v>
      </c>
      <c r="D465" s="31">
        <f>'Raw Data'!F468</f>
        <v>-63.32</v>
      </c>
    </row>
    <row r="466" spans="1:4" x14ac:dyDescent="0.25">
      <c r="A466" t="str">
        <f>'Raw Data'!A469</f>
        <v>09/30/2025</v>
      </c>
      <c r="B466" t="str">
        <f>'Raw Data'!C469</f>
        <v>FRAUD CREDIT</v>
      </c>
      <c r="C466" t="str">
        <f>'Raw Data'!I469</f>
        <v>FRAUD CREDIT</v>
      </c>
      <c r="D466" s="31">
        <f>'Raw Data'!F469</f>
        <v>-60.6</v>
      </c>
    </row>
    <row r="467" spans="1:4" x14ac:dyDescent="0.25">
      <c r="A467" t="str">
        <f>'Raw Data'!A470</f>
        <v>09/30/2025</v>
      </c>
      <c r="B467" t="str">
        <f>'Raw Data'!C470</f>
        <v>FRAUD CREDIT</v>
      </c>
      <c r="C467" t="str">
        <f>'Raw Data'!I470</f>
        <v>FRAUD CREDIT</v>
      </c>
      <c r="D467" s="31">
        <f>'Raw Data'!F470</f>
        <v>-59.53</v>
      </c>
    </row>
    <row r="468" spans="1:4" x14ac:dyDescent="0.25">
      <c r="A468" t="str">
        <f>'Raw Data'!A471</f>
        <v>09/30/2025</v>
      </c>
      <c r="B468" t="str">
        <f>'Raw Data'!C471</f>
        <v>FRAUD CREDIT</v>
      </c>
      <c r="C468" t="str">
        <f>'Raw Data'!I471</f>
        <v>FRAUD CREDIT</v>
      </c>
      <c r="D468" s="31">
        <f>'Raw Data'!F471</f>
        <v>-59.44</v>
      </c>
    </row>
    <row r="469" spans="1:4" x14ac:dyDescent="0.25">
      <c r="A469" t="str">
        <f>'Raw Data'!A472</f>
        <v>09/30/2025</v>
      </c>
      <c r="B469" t="str">
        <f>'Raw Data'!C472</f>
        <v>FRAUD CREDIT</v>
      </c>
      <c r="C469" t="str">
        <f>'Raw Data'!I472</f>
        <v>FRAUD CREDIT</v>
      </c>
      <c r="D469" s="31">
        <f>'Raw Data'!F472</f>
        <v>-58.44</v>
      </c>
    </row>
    <row r="470" spans="1:4" x14ac:dyDescent="0.25">
      <c r="A470" t="str">
        <f>'Raw Data'!A473</f>
        <v>09/30/2025</v>
      </c>
      <c r="B470" t="str">
        <f>'Raw Data'!C473</f>
        <v>FRAUD CREDIT</v>
      </c>
      <c r="C470" t="str">
        <f>'Raw Data'!I473</f>
        <v>FRAUD CREDIT</v>
      </c>
      <c r="D470" s="31">
        <f>'Raw Data'!F473</f>
        <v>-57.36</v>
      </c>
    </row>
    <row r="471" spans="1:4" x14ac:dyDescent="0.25">
      <c r="A471" t="str">
        <f>'Raw Data'!A474</f>
        <v>09/30/2025</v>
      </c>
      <c r="B471" t="str">
        <f>'Raw Data'!C474</f>
        <v>FRAUD CREDIT</v>
      </c>
      <c r="C471" t="str">
        <f>'Raw Data'!I474</f>
        <v>FRAUD CREDIT</v>
      </c>
      <c r="D471" s="31">
        <f>'Raw Data'!F474</f>
        <v>-49.67</v>
      </c>
    </row>
    <row r="472" spans="1:4" x14ac:dyDescent="0.25">
      <c r="A472" t="str">
        <f>'Raw Data'!A475</f>
        <v>09/30/2025</v>
      </c>
      <c r="B472" t="str">
        <f>'Raw Data'!C475</f>
        <v>FRAUD CREDIT</v>
      </c>
      <c r="C472" t="str">
        <f>'Raw Data'!I475</f>
        <v>FRAUD CREDIT</v>
      </c>
      <c r="D472" s="31">
        <f>'Raw Data'!F475</f>
        <v>-48.58</v>
      </c>
    </row>
    <row r="473" spans="1:4" x14ac:dyDescent="0.25">
      <c r="A473" t="str">
        <f>'Raw Data'!A476</f>
        <v>09/30/2025</v>
      </c>
      <c r="B473" t="str">
        <f>'Raw Data'!C476</f>
        <v>FRAUD CREDIT</v>
      </c>
      <c r="C473" t="str">
        <f>'Raw Data'!I476</f>
        <v>FRAUD CREDIT</v>
      </c>
      <c r="D473" s="31">
        <f>'Raw Data'!F476</f>
        <v>-47.13</v>
      </c>
    </row>
    <row r="474" spans="1:4" x14ac:dyDescent="0.25">
      <c r="A474" t="str">
        <f>'Raw Data'!A477</f>
        <v>09/30/2025</v>
      </c>
      <c r="B474" t="str">
        <f>'Raw Data'!C477</f>
        <v>FRAUD CREDIT</v>
      </c>
      <c r="C474" t="str">
        <f>'Raw Data'!I477</f>
        <v>FRAUD CREDIT</v>
      </c>
      <c r="D474" s="31">
        <f>'Raw Data'!F477</f>
        <v>-46.91</v>
      </c>
    </row>
    <row r="475" spans="1:4" x14ac:dyDescent="0.25">
      <c r="A475" t="str">
        <f>'Raw Data'!A478</f>
        <v>09/30/2025</v>
      </c>
      <c r="B475" t="str">
        <f>'Raw Data'!C478</f>
        <v>FRAUD CREDIT</v>
      </c>
      <c r="C475" t="str">
        <f>'Raw Data'!I478</f>
        <v>FRAUD CREDIT</v>
      </c>
      <c r="D475" s="31">
        <f>'Raw Data'!F478</f>
        <v>-46.52</v>
      </c>
    </row>
    <row r="476" spans="1:4" x14ac:dyDescent="0.25">
      <c r="A476" t="str">
        <f>'Raw Data'!A479</f>
        <v>09/30/2025</v>
      </c>
      <c r="B476" t="str">
        <f>'Raw Data'!C479</f>
        <v>FRAUD CREDIT</v>
      </c>
      <c r="C476" t="str">
        <f>'Raw Data'!I479</f>
        <v>FRAUD CREDIT</v>
      </c>
      <c r="D476" s="31">
        <f>'Raw Data'!F479</f>
        <v>-46.43</v>
      </c>
    </row>
    <row r="477" spans="1:4" x14ac:dyDescent="0.25">
      <c r="A477" t="str">
        <f>'Raw Data'!A480</f>
        <v>09/30/2025</v>
      </c>
      <c r="B477" t="str">
        <f>'Raw Data'!C480</f>
        <v>FRAUD CREDIT</v>
      </c>
      <c r="C477" t="str">
        <f>'Raw Data'!I480</f>
        <v>FRAUD CREDIT</v>
      </c>
      <c r="D477" s="31">
        <f>'Raw Data'!F480</f>
        <v>-46</v>
      </c>
    </row>
    <row r="478" spans="1:4" x14ac:dyDescent="0.25">
      <c r="A478" t="str">
        <f>'Raw Data'!A481</f>
        <v>09/30/2025</v>
      </c>
      <c r="B478" t="str">
        <f>'Raw Data'!C481</f>
        <v>FRAUD CREDIT</v>
      </c>
      <c r="C478" t="str">
        <f>'Raw Data'!I481</f>
        <v>FRAUD CREDIT</v>
      </c>
      <c r="D478" s="31">
        <f>'Raw Data'!F481</f>
        <v>-45.81</v>
      </c>
    </row>
    <row r="479" spans="1:4" x14ac:dyDescent="0.25">
      <c r="A479" t="str">
        <f>'Raw Data'!A482</f>
        <v>09/30/2025</v>
      </c>
      <c r="B479" t="str">
        <f>'Raw Data'!C482</f>
        <v>FRAUD CREDIT</v>
      </c>
      <c r="C479" t="str">
        <f>'Raw Data'!I482</f>
        <v>FRAUD CREDIT</v>
      </c>
      <c r="D479" s="31">
        <f>'Raw Data'!F482</f>
        <v>-45.41</v>
      </c>
    </row>
    <row r="480" spans="1:4" x14ac:dyDescent="0.25">
      <c r="A480" t="str">
        <f>'Raw Data'!A483</f>
        <v>09/30/2025</v>
      </c>
      <c r="B480" t="str">
        <f>'Raw Data'!C483</f>
        <v>FRAUD CREDIT</v>
      </c>
      <c r="C480" t="str">
        <f>'Raw Data'!I483</f>
        <v>FRAUD CREDIT</v>
      </c>
      <c r="D480" s="31">
        <f>'Raw Data'!F483</f>
        <v>-44.9</v>
      </c>
    </row>
    <row r="481" spans="1:4" x14ac:dyDescent="0.25">
      <c r="A481" t="str">
        <f>'Raw Data'!A484</f>
        <v>09/30/2025</v>
      </c>
      <c r="B481" t="str">
        <f>'Raw Data'!C484</f>
        <v>FRAUD CREDIT</v>
      </c>
      <c r="C481" t="str">
        <f>'Raw Data'!I484</f>
        <v>FRAUD CREDIT</v>
      </c>
      <c r="D481" s="31">
        <f>'Raw Data'!F484</f>
        <v>-44.65</v>
      </c>
    </row>
    <row r="482" spans="1:4" x14ac:dyDescent="0.25">
      <c r="A482" t="str">
        <f>'Raw Data'!A485</f>
        <v>09/30/2025</v>
      </c>
      <c r="B482" t="str">
        <f>'Raw Data'!C485</f>
        <v>FRAUD CREDIT</v>
      </c>
      <c r="C482" t="str">
        <f>'Raw Data'!I485</f>
        <v>FRAUD CREDIT</v>
      </c>
      <c r="D482" s="31">
        <f>'Raw Data'!F485</f>
        <v>-44.36</v>
      </c>
    </row>
    <row r="483" spans="1:4" x14ac:dyDescent="0.25">
      <c r="A483" t="str">
        <f>'Raw Data'!A486</f>
        <v>09/30/2025</v>
      </c>
      <c r="B483" t="str">
        <f>'Raw Data'!C486</f>
        <v>FRAUD CREDIT</v>
      </c>
      <c r="C483" t="str">
        <f>'Raw Data'!I486</f>
        <v>FRAUD CREDIT</v>
      </c>
      <c r="D483" s="31">
        <f>'Raw Data'!F486</f>
        <v>-43.28</v>
      </c>
    </row>
    <row r="484" spans="1:4" x14ac:dyDescent="0.25">
      <c r="A484" t="str">
        <f>'Raw Data'!A487</f>
        <v>09/30/2025</v>
      </c>
      <c r="B484" t="str">
        <f>'Raw Data'!C487</f>
        <v>FRAUD CREDIT</v>
      </c>
      <c r="C484" t="str">
        <f>'Raw Data'!I487</f>
        <v>FRAUD CREDIT</v>
      </c>
      <c r="D484" s="31">
        <f>'Raw Data'!F487</f>
        <v>-43.27</v>
      </c>
    </row>
    <row r="485" spans="1:4" x14ac:dyDescent="0.25">
      <c r="A485" t="str">
        <f>'Raw Data'!A488</f>
        <v>09/30/2025</v>
      </c>
      <c r="B485" t="str">
        <f>'Raw Data'!C488</f>
        <v>FRAUD CREDIT</v>
      </c>
      <c r="C485" t="str">
        <f>'Raw Data'!I488</f>
        <v>FRAUD CREDIT</v>
      </c>
      <c r="D485" s="31">
        <f>'Raw Data'!F488</f>
        <v>-43.24</v>
      </c>
    </row>
    <row r="486" spans="1:4" x14ac:dyDescent="0.25">
      <c r="A486" t="str">
        <f>'Raw Data'!A489</f>
        <v>09/30/2025</v>
      </c>
      <c r="B486" t="str">
        <f>'Raw Data'!C489</f>
        <v>FRAUD CREDIT</v>
      </c>
      <c r="C486" t="str">
        <f>'Raw Data'!I489</f>
        <v>FRAUD CREDIT</v>
      </c>
      <c r="D486" s="31">
        <f>'Raw Data'!F489</f>
        <v>-43.19</v>
      </c>
    </row>
    <row r="487" spans="1:4" x14ac:dyDescent="0.25">
      <c r="A487" t="str">
        <f>'Raw Data'!A490</f>
        <v>09/30/2025</v>
      </c>
      <c r="B487" t="str">
        <f>'Raw Data'!C490</f>
        <v>FRAUD CREDIT</v>
      </c>
      <c r="C487" t="str">
        <f>'Raw Data'!I490</f>
        <v>FRAUD CREDIT</v>
      </c>
      <c r="D487" s="31">
        <f>'Raw Data'!F490</f>
        <v>-41.12</v>
      </c>
    </row>
    <row r="488" spans="1:4" x14ac:dyDescent="0.25">
      <c r="A488" t="str">
        <f>'Raw Data'!A491</f>
        <v>09/30/2025</v>
      </c>
      <c r="B488" t="str">
        <f>'Raw Data'!C491</f>
        <v>FRAUD CREDIT</v>
      </c>
      <c r="C488" t="str">
        <f>'Raw Data'!I491</f>
        <v>FRAUD CREDIT</v>
      </c>
      <c r="D488" s="31">
        <f>'Raw Data'!F491</f>
        <v>-40.020000000000003</v>
      </c>
    </row>
    <row r="489" spans="1:4" x14ac:dyDescent="0.25">
      <c r="A489" t="str">
        <f>'Raw Data'!A492</f>
        <v>09/30/2025</v>
      </c>
      <c r="B489" t="str">
        <f>'Raw Data'!C492</f>
        <v>FRAUD CREDIT</v>
      </c>
      <c r="C489" t="str">
        <f>'Raw Data'!I492</f>
        <v>FRAUD CREDIT</v>
      </c>
      <c r="D489" s="31">
        <f>'Raw Data'!F492</f>
        <v>-39.409999999999997</v>
      </c>
    </row>
    <row r="490" spans="1:4" x14ac:dyDescent="0.25">
      <c r="A490" t="str">
        <f>'Raw Data'!A493</f>
        <v>09/30/2025</v>
      </c>
      <c r="B490" t="str">
        <f>'Raw Data'!C493</f>
        <v>FRAUD CREDIT</v>
      </c>
      <c r="C490" t="str">
        <f>'Raw Data'!I493</f>
        <v>FRAUD CREDIT</v>
      </c>
      <c r="D490" s="31">
        <f>'Raw Data'!F493</f>
        <v>-39.4</v>
      </c>
    </row>
    <row r="491" spans="1:4" x14ac:dyDescent="0.25">
      <c r="A491" t="str">
        <f>'Raw Data'!A494</f>
        <v>09/30/2025</v>
      </c>
      <c r="B491" t="str">
        <f>'Raw Data'!C494</f>
        <v>FRAUD CREDIT</v>
      </c>
      <c r="C491" t="str">
        <f>'Raw Data'!I494</f>
        <v>FRAUD CREDIT</v>
      </c>
      <c r="D491" s="31">
        <f>'Raw Data'!F494</f>
        <v>-38.96</v>
      </c>
    </row>
    <row r="492" spans="1:4" x14ac:dyDescent="0.25">
      <c r="A492" t="str">
        <f>'Raw Data'!A495</f>
        <v>09/30/2025</v>
      </c>
      <c r="B492" t="str">
        <f>'Raw Data'!C495</f>
        <v>FRAUD CREDIT</v>
      </c>
      <c r="C492" t="str">
        <f>'Raw Data'!I495</f>
        <v>FRAUD CREDIT</v>
      </c>
      <c r="D492" s="31">
        <f>'Raw Data'!F495</f>
        <v>-37.880000000000003</v>
      </c>
    </row>
    <row r="493" spans="1:4" x14ac:dyDescent="0.25">
      <c r="A493" t="str">
        <f>'Raw Data'!A496</f>
        <v>09/30/2025</v>
      </c>
      <c r="B493" t="str">
        <f>'Raw Data'!C496</f>
        <v>FRAUD CREDIT</v>
      </c>
      <c r="C493" t="str">
        <f>'Raw Data'!I496</f>
        <v>FRAUD CREDIT</v>
      </c>
      <c r="D493" s="31">
        <f>'Raw Data'!F496</f>
        <v>-37.880000000000003</v>
      </c>
    </row>
    <row r="494" spans="1:4" x14ac:dyDescent="0.25">
      <c r="A494" t="str">
        <f>'Raw Data'!A497</f>
        <v>09/30/2025</v>
      </c>
      <c r="B494" t="str">
        <f>'Raw Data'!C497</f>
        <v>FRAUD CREDIT</v>
      </c>
      <c r="C494" t="str">
        <f>'Raw Data'!I497</f>
        <v>FRAUD CREDIT</v>
      </c>
      <c r="D494" s="31">
        <f>'Raw Data'!F497</f>
        <v>-37.83</v>
      </c>
    </row>
    <row r="495" spans="1:4" x14ac:dyDescent="0.25">
      <c r="A495" t="str">
        <f>'Raw Data'!A498</f>
        <v>09/30/2025</v>
      </c>
      <c r="B495" t="str">
        <f>'Raw Data'!C498</f>
        <v>FRAUD CREDIT</v>
      </c>
      <c r="C495" t="str">
        <f>'Raw Data'!I498</f>
        <v>FRAUD CREDIT</v>
      </c>
      <c r="D495" s="31">
        <f>'Raw Data'!F498</f>
        <v>-37.28</v>
      </c>
    </row>
    <row r="496" spans="1:4" x14ac:dyDescent="0.25">
      <c r="A496" t="str">
        <f>'Raw Data'!A499</f>
        <v>09/30/2025</v>
      </c>
      <c r="B496" t="str">
        <f>'Raw Data'!C499</f>
        <v>FRAUD CREDIT</v>
      </c>
      <c r="C496" t="str">
        <f>'Raw Data'!I499</f>
        <v>FRAUD CREDIT</v>
      </c>
      <c r="D496" s="31">
        <f>'Raw Data'!F499</f>
        <v>-36.590000000000003</v>
      </c>
    </row>
    <row r="497" spans="1:4" x14ac:dyDescent="0.25">
      <c r="A497" t="str">
        <f>'Raw Data'!A500</f>
        <v>09/30/2025</v>
      </c>
      <c r="B497" t="str">
        <f>'Raw Data'!C500</f>
        <v>FRAUD CREDIT</v>
      </c>
      <c r="C497" t="str">
        <f>'Raw Data'!I500</f>
        <v>FRAUD CREDIT</v>
      </c>
      <c r="D497" s="31">
        <f>'Raw Data'!F500</f>
        <v>-35.71</v>
      </c>
    </row>
    <row r="498" spans="1:4" x14ac:dyDescent="0.25">
      <c r="A498" t="str">
        <f>'Raw Data'!A501</f>
        <v>09/30/2025</v>
      </c>
      <c r="B498" t="str">
        <f>'Raw Data'!C501</f>
        <v>FRAUD CREDIT</v>
      </c>
      <c r="C498" t="str">
        <f>'Raw Data'!I501</f>
        <v>FRAUD CREDIT</v>
      </c>
      <c r="D498" s="31">
        <f>'Raw Data'!F501</f>
        <v>-35.64</v>
      </c>
    </row>
    <row r="499" spans="1:4" x14ac:dyDescent="0.25">
      <c r="A499" t="str">
        <f>'Raw Data'!A502</f>
        <v>09/30/2025</v>
      </c>
      <c r="B499" t="str">
        <f>'Raw Data'!C502</f>
        <v>FRAUD CREDIT</v>
      </c>
      <c r="C499" t="str">
        <f>'Raw Data'!I502</f>
        <v>FRAUD CREDIT</v>
      </c>
      <c r="D499" s="31">
        <f>'Raw Data'!F502</f>
        <v>-33.11</v>
      </c>
    </row>
    <row r="500" spans="1:4" x14ac:dyDescent="0.25">
      <c r="A500" t="str">
        <f>'Raw Data'!A503</f>
        <v>09/30/2025</v>
      </c>
      <c r="B500" t="str">
        <f>'Raw Data'!C503</f>
        <v>FRAUD CREDIT</v>
      </c>
      <c r="C500" t="str">
        <f>'Raw Data'!I503</f>
        <v>FRAUD CREDIT</v>
      </c>
      <c r="D500" s="31">
        <f>'Raw Data'!F503</f>
        <v>-32.869999999999997</v>
      </c>
    </row>
    <row r="501" spans="1:4" x14ac:dyDescent="0.25">
      <c r="A501" t="str">
        <f>'Raw Data'!A504</f>
        <v>09/30/2025</v>
      </c>
      <c r="B501" t="str">
        <f>'Raw Data'!C504</f>
        <v>FRAUD CREDIT</v>
      </c>
      <c r="C501" t="str">
        <f>'Raw Data'!I504</f>
        <v>FRAUD CREDIT</v>
      </c>
      <c r="D501" s="31">
        <f>'Raw Data'!F504</f>
        <v>-32.46</v>
      </c>
    </row>
    <row r="502" spans="1:4" x14ac:dyDescent="0.25">
      <c r="A502" t="str">
        <f>'Raw Data'!A505</f>
        <v>09/30/2025</v>
      </c>
      <c r="B502" t="str">
        <f>'Raw Data'!C505</f>
        <v>FRAUD CREDIT</v>
      </c>
      <c r="C502" t="str">
        <f>'Raw Data'!I505</f>
        <v>FRAUD CREDIT</v>
      </c>
      <c r="D502" s="31">
        <f>'Raw Data'!F505</f>
        <v>-32.46</v>
      </c>
    </row>
    <row r="503" spans="1:4" x14ac:dyDescent="0.25">
      <c r="A503" t="str">
        <f>'Raw Data'!A506</f>
        <v>09/30/2025</v>
      </c>
      <c r="B503" t="str">
        <f>'Raw Data'!C506</f>
        <v>FRAUD CREDIT</v>
      </c>
      <c r="C503" t="str">
        <f>'Raw Data'!I506</f>
        <v>FRAUD CREDIT</v>
      </c>
      <c r="D503" s="31">
        <f>'Raw Data'!F506</f>
        <v>-32.42</v>
      </c>
    </row>
    <row r="504" spans="1:4" x14ac:dyDescent="0.25">
      <c r="A504" t="str">
        <f>'Raw Data'!A507</f>
        <v>09/30/2025</v>
      </c>
      <c r="B504" t="str">
        <f>'Raw Data'!C507</f>
        <v>FRAUD CREDIT</v>
      </c>
      <c r="C504" t="str">
        <f>'Raw Data'!I507</f>
        <v>FRAUD CREDIT</v>
      </c>
      <c r="D504" s="31">
        <f>'Raw Data'!F507</f>
        <v>-32.229999999999997</v>
      </c>
    </row>
    <row r="505" spans="1:4" x14ac:dyDescent="0.25">
      <c r="A505" t="str">
        <f>'Raw Data'!A508</f>
        <v>09/30/2025</v>
      </c>
      <c r="B505" t="str">
        <f>'Raw Data'!C508</f>
        <v>FRAUD CREDIT</v>
      </c>
      <c r="C505" t="str">
        <f>'Raw Data'!I508</f>
        <v>FRAUD CREDIT</v>
      </c>
      <c r="D505" s="31">
        <f>'Raw Data'!F508</f>
        <v>-30.54</v>
      </c>
    </row>
    <row r="506" spans="1:4" x14ac:dyDescent="0.25">
      <c r="A506" t="str">
        <f>'Raw Data'!A509</f>
        <v>09/30/2025</v>
      </c>
      <c r="B506" t="str">
        <f>'Raw Data'!C509</f>
        <v>FRAUD CREDIT</v>
      </c>
      <c r="C506" t="str">
        <f>'Raw Data'!I509</f>
        <v>FRAUD CREDIT</v>
      </c>
      <c r="D506" s="31">
        <f>'Raw Data'!F509</f>
        <v>-29.17</v>
      </c>
    </row>
    <row r="507" spans="1:4" x14ac:dyDescent="0.25">
      <c r="A507" t="str">
        <f>'Raw Data'!A510</f>
        <v>09/30/2025</v>
      </c>
      <c r="B507" t="str">
        <f>'Raw Data'!C510</f>
        <v>FRAUD CREDIT</v>
      </c>
      <c r="C507" t="str">
        <f>'Raw Data'!I510</f>
        <v>FRAUD CREDIT</v>
      </c>
      <c r="D507" s="31">
        <f>'Raw Data'!F510</f>
        <v>-28.78</v>
      </c>
    </row>
    <row r="508" spans="1:4" x14ac:dyDescent="0.25">
      <c r="A508" t="str">
        <f>'Raw Data'!A511</f>
        <v>09/30/2025</v>
      </c>
      <c r="B508" t="str">
        <f>'Raw Data'!C511</f>
        <v>FRAUD CREDIT</v>
      </c>
      <c r="C508" t="str">
        <f>'Raw Data'!I511</f>
        <v>FRAUD CREDIT</v>
      </c>
      <c r="D508" s="31">
        <f>'Raw Data'!F511</f>
        <v>-28.13</v>
      </c>
    </row>
    <row r="509" spans="1:4" x14ac:dyDescent="0.25">
      <c r="A509" t="str">
        <f>'Raw Data'!A512</f>
        <v>09/30/2025</v>
      </c>
      <c r="B509" t="str">
        <f>'Raw Data'!C512</f>
        <v>FRAUD CREDIT</v>
      </c>
      <c r="C509" t="str">
        <f>'Raw Data'!I512</f>
        <v>FRAUD CREDIT</v>
      </c>
      <c r="D509" s="31">
        <f>'Raw Data'!F512</f>
        <v>-28.13</v>
      </c>
    </row>
    <row r="510" spans="1:4" x14ac:dyDescent="0.25">
      <c r="A510" t="str">
        <f>'Raw Data'!A513</f>
        <v>09/30/2025</v>
      </c>
      <c r="B510" t="str">
        <f>'Raw Data'!C513</f>
        <v>FRAUD CREDIT</v>
      </c>
      <c r="C510" t="str">
        <f>'Raw Data'!I513</f>
        <v>FRAUD CREDIT</v>
      </c>
      <c r="D510" s="31">
        <f>'Raw Data'!F513</f>
        <v>-27.05</v>
      </c>
    </row>
    <row r="511" spans="1:4" x14ac:dyDescent="0.25">
      <c r="A511" t="str">
        <f>'Raw Data'!A514</f>
        <v>09/30/2025</v>
      </c>
      <c r="B511" t="str">
        <f>'Raw Data'!C514</f>
        <v>FRAUD CREDIT</v>
      </c>
      <c r="C511" t="str">
        <f>'Raw Data'!I514</f>
        <v>FRAUD CREDIT</v>
      </c>
      <c r="D511" s="31">
        <f>'Raw Data'!F514</f>
        <v>-24.94</v>
      </c>
    </row>
    <row r="512" spans="1:4" x14ac:dyDescent="0.25">
      <c r="A512" t="str">
        <f>'Raw Data'!A515</f>
        <v>09/30/2025</v>
      </c>
      <c r="B512" t="str">
        <f>'Raw Data'!C515</f>
        <v>FRAUD CREDIT</v>
      </c>
      <c r="C512" t="str">
        <f>'Raw Data'!I515</f>
        <v>FRAUD CREDIT</v>
      </c>
      <c r="D512" s="31">
        <f>'Raw Data'!F515</f>
        <v>-24.35</v>
      </c>
    </row>
    <row r="513" spans="1:4" x14ac:dyDescent="0.25">
      <c r="A513" t="str">
        <f>'Raw Data'!A516</f>
        <v>09/30/2025</v>
      </c>
      <c r="B513" t="str">
        <f>'Raw Data'!C516</f>
        <v>FRAUD CREDIT</v>
      </c>
      <c r="C513" t="str">
        <f>'Raw Data'!I516</f>
        <v>FRAUD CREDIT</v>
      </c>
      <c r="D513" s="31">
        <f>'Raw Data'!F516</f>
        <v>-23.87</v>
      </c>
    </row>
    <row r="514" spans="1:4" x14ac:dyDescent="0.25">
      <c r="A514" t="str">
        <f>'Raw Data'!A517</f>
        <v>09/30/2025</v>
      </c>
      <c r="B514" t="str">
        <f>'Raw Data'!C517</f>
        <v>FRAUD CREDIT</v>
      </c>
      <c r="C514" t="str">
        <f>'Raw Data'!I517</f>
        <v>FRAUD CREDIT</v>
      </c>
      <c r="D514" s="31">
        <f>'Raw Data'!F517</f>
        <v>-23.82</v>
      </c>
    </row>
    <row r="515" spans="1:4" x14ac:dyDescent="0.25">
      <c r="A515" t="str">
        <f>'Raw Data'!A518</f>
        <v>09/30/2025</v>
      </c>
      <c r="B515" t="str">
        <f>'Raw Data'!C518</f>
        <v>FRAUD CREDIT</v>
      </c>
      <c r="C515" t="str">
        <f>'Raw Data'!I518</f>
        <v>FRAUD CREDIT</v>
      </c>
      <c r="D515" s="31">
        <f>'Raw Data'!F518</f>
        <v>-23.53</v>
      </c>
    </row>
    <row r="516" spans="1:4" x14ac:dyDescent="0.25">
      <c r="A516" t="str">
        <f>'Raw Data'!A519</f>
        <v>09/30/2025</v>
      </c>
      <c r="B516" t="str">
        <f>'Raw Data'!C519</f>
        <v>FRAUD CREDIT</v>
      </c>
      <c r="C516" t="str">
        <f>'Raw Data'!I519</f>
        <v>FRAUD CREDIT</v>
      </c>
      <c r="D516" s="31">
        <f>'Raw Data'!F519</f>
        <v>-23.53</v>
      </c>
    </row>
    <row r="517" spans="1:4" x14ac:dyDescent="0.25">
      <c r="A517" t="str">
        <f>'Raw Data'!A520</f>
        <v>09/30/2025</v>
      </c>
      <c r="B517" t="str">
        <f>'Raw Data'!C520</f>
        <v>FRAUD CREDIT</v>
      </c>
      <c r="C517" t="str">
        <f>'Raw Data'!I520</f>
        <v>FRAUD CREDIT</v>
      </c>
      <c r="D517" s="31">
        <f>'Raw Data'!F520</f>
        <v>-22.29</v>
      </c>
    </row>
    <row r="518" spans="1:4" x14ac:dyDescent="0.25">
      <c r="A518" t="str">
        <f>'Raw Data'!A521</f>
        <v>09/30/2025</v>
      </c>
      <c r="B518" t="str">
        <f>'Raw Data'!C521</f>
        <v>FRAUD CREDIT</v>
      </c>
      <c r="C518" t="str">
        <f>'Raw Data'!I521</f>
        <v>FRAUD CREDIT</v>
      </c>
      <c r="D518" s="31">
        <f>'Raw Data'!F521</f>
        <v>-21.39</v>
      </c>
    </row>
    <row r="519" spans="1:4" x14ac:dyDescent="0.25">
      <c r="A519" t="str">
        <f>'Raw Data'!A522</f>
        <v>09/30/2025</v>
      </c>
      <c r="B519" t="str">
        <f>'Raw Data'!C522</f>
        <v>FRAUD CREDIT</v>
      </c>
      <c r="C519" t="str">
        <f>'Raw Data'!I522</f>
        <v>FRAUD CREDIT</v>
      </c>
      <c r="D519" s="31">
        <f>'Raw Data'!F522</f>
        <v>-21.39</v>
      </c>
    </row>
    <row r="520" spans="1:4" x14ac:dyDescent="0.25">
      <c r="A520" t="str">
        <f>'Raw Data'!A523</f>
        <v>09/30/2025</v>
      </c>
      <c r="B520" t="str">
        <f>'Raw Data'!C523</f>
        <v>FRAUD CREDIT</v>
      </c>
      <c r="C520" t="str">
        <f>'Raw Data'!I523</f>
        <v>FRAUD CREDIT</v>
      </c>
      <c r="D520" s="31">
        <f>'Raw Data'!F523</f>
        <v>-20.8</v>
      </c>
    </row>
    <row r="521" spans="1:4" x14ac:dyDescent="0.25">
      <c r="A521" t="str">
        <f>'Raw Data'!A524</f>
        <v>09/30/2025</v>
      </c>
      <c r="B521" t="str">
        <f>'Raw Data'!C524</f>
        <v>FRAUD CREDIT</v>
      </c>
      <c r="C521" t="str">
        <f>'Raw Data'!I524</f>
        <v>FRAUD CREDIT</v>
      </c>
      <c r="D521" s="31">
        <f>'Raw Data'!F524</f>
        <v>-20.8</v>
      </c>
    </row>
    <row r="522" spans="1:4" x14ac:dyDescent="0.25">
      <c r="A522" t="str">
        <f>'Raw Data'!A525</f>
        <v>09/30/2025</v>
      </c>
      <c r="B522" t="str">
        <f>'Raw Data'!C525</f>
        <v>FRAUD CREDIT</v>
      </c>
      <c r="C522" t="str">
        <f>'Raw Data'!I525</f>
        <v>FRAUD CREDIT</v>
      </c>
      <c r="D522" s="31">
        <f>'Raw Data'!F525</f>
        <v>-20.8</v>
      </c>
    </row>
    <row r="523" spans="1:4" x14ac:dyDescent="0.25">
      <c r="A523" t="str">
        <f>'Raw Data'!A526</f>
        <v>09/30/2025</v>
      </c>
      <c r="B523" t="str">
        <f>'Raw Data'!C526</f>
        <v>FRAUD CREDIT</v>
      </c>
      <c r="C523" t="str">
        <f>'Raw Data'!I526</f>
        <v>FRAUD CREDIT</v>
      </c>
      <c r="D523" s="31">
        <f>'Raw Data'!F526</f>
        <v>-20.57</v>
      </c>
    </row>
    <row r="524" spans="1:4" x14ac:dyDescent="0.25">
      <c r="A524" t="str">
        <f>'Raw Data'!A527</f>
        <v>09/30/2025</v>
      </c>
      <c r="B524" t="str">
        <f>'Raw Data'!C527</f>
        <v>FRAUD CREDIT</v>
      </c>
      <c r="C524" t="str">
        <f>'Raw Data'!I527</f>
        <v>FRAUD CREDIT</v>
      </c>
      <c r="D524" s="31">
        <f>'Raw Data'!F527</f>
        <v>-19.89</v>
      </c>
    </row>
    <row r="525" spans="1:4" x14ac:dyDescent="0.25">
      <c r="A525" t="str">
        <f>'Raw Data'!A528</f>
        <v>09/30/2025</v>
      </c>
      <c r="B525" t="str">
        <f>'Raw Data'!C528</f>
        <v>FRAUD CREDIT</v>
      </c>
      <c r="C525" t="str">
        <f>'Raw Data'!I528</f>
        <v>FRAUD CREDIT</v>
      </c>
      <c r="D525" s="31">
        <f>'Raw Data'!F528</f>
        <v>-19.47</v>
      </c>
    </row>
    <row r="526" spans="1:4" x14ac:dyDescent="0.25">
      <c r="A526" t="str">
        <f>'Raw Data'!A529</f>
        <v>09/30/2025</v>
      </c>
      <c r="B526" t="str">
        <f>'Raw Data'!C529</f>
        <v>FRAUD CREDIT</v>
      </c>
      <c r="C526" t="str">
        <f>'Raw Data'!I529</f>
        <v>FRAUD CREDIT</v>
      </c>
      <c r="D526" s="31">
        <f>'Raw Data'!F529</f>
        <v>-19.46</v>
      </c>
    </row>
    <row r="527" spans="1:4" x14ac:dyDescent="0.25">
      <c r="A527" t="str">
        <f>'Raw Data'!A530</f>
        <v>09/30/2025</v>
      </c>
      <c r="B527" t="str">
        <f>'Raw Data'!C530</f>
        <v>FRAUD CREDIT</v>
      </c>
      <c r="C527" t="str">
        <f>'Raw Data'!I530</f>
        <v>FRAUD CREDIT</v>
      </c>
      <c r="D527" s="31">
        <f>'Raw Data'!F530</f>
        <v>-18.77</v>
      </c>
    </row>
    <row r="528" spans="1:4" x14ac:dyDescent="0.25">
      <c r="A528" t="str">
        <f>'Raw Data'!A531</f>
        <v>09/30/2025</v>
      </c>
      <c r="B528" t="str">
        <f>'Raw Data'!C531</f>
        <v>FRAUD CREDIT</v>
      </c>
      <c r="C528" t="str">
        <f>'Raw Data'!I531</f>
        <v>FRAUD CREDIT</v>
      </c>
      <c r="D528" s="31">
        <f>'Raw Data'!F531</f>
        <v>-18.39</v>
      </c>
    </row>
    <row r="529" spans="1:4" x14ac:dyDescent="0.25">
      <c r="A529" t="str">
        <f>'Raw Data'!A532</f>
        <v>09/30/2025</v>
      </c>
      <c r="B529" t="str">
        <f>'Raw Data'!C532</f>
        <v>FRAUD CREDIT</v>
      </c>
      <c r="C529" t="str">
        <f>'Raw Data'!I532</f>
        <v>FRAUD CREDIT</v>
      </c>
      <c r="D529" s="31">
        <f>'Raw Data'!F532</f>
        <v>-18.39</v>
      </c>
    </row>
    <row r="530" spans="1:4" x14ac:dyDescent="0.25">
      <c r="A530" t="str">
        <f>'Raw Data'!A533</f>
        <v>09/30/2025</v>
      </c>
      <c r="B530" t="str">
        <f>'Raw Data'!C533</f>
        <v>FRAUD CREDIT</v>
      </c>
      <c r="C530" t="str">
        <f>'Raw Data'!I533</f>
        <v>FRAUD CREDIT</v>
      </c>
      <c r="D530" s="31">
        <f>'Raw Data'!F533</f>
        <v>-18.39</v>
      </c>
    </row>
    <row r="531" spans="1:4" x14ac:dyDescent="0.25">
      <c r="A531" t="str">
        <f>'Raw Data'!A534</f>
        <v>09/30/2025</v>
      </c>
      <c r="B531" t="str">
        <f>'Raw Data'!C534</f>
        <v>FRAUD CREDIT</v>
      </c>
      <c r="C531" t="str">
        <f>'Raw Data'!I534</f>
        <v>FRAUD CREDIT</v>
      </c>
      <c r="D531" s="31">
        <f>'Raw Data'!F534</f>
        <v>-18.350000000000001</v>
      </c>
    </row>
    <row r="532" spans="1:4" x14ac:dyDescent="0.25">
      <c r="A532" t="str">
        <f>'Raw Data'!A535</f>
        <v>09/30/2025</v>
      </c>
      <c r="B532" t="str">
        <f>'Raw Data'!C535</f>
        <v>FRAUD CREDIT</v>
      </c>
      <c r="C532" t="str">
        <f>'Raw Data'!I535</f>
        <v>FRAUD CREDIT</v>
      </c>
      <c r="D532" s="31">
        <f>'Raw Data'!F535</f>
        <v>-17.309999999999999</v>
      </c>
    </row>
    <row r="533" spans="1:4" x14ac:dyDescent="0.25">
      <c r="A533" t="str">
        <f>'Raw Data'!A536</f>
        <v>09/30/2025</v>
      </c>
      <c r="B533" t="str">
        <f>'Raw Data'!C536</f>
        <v>FRAUD CREDIT</v>
      </c>
      <c r="C533" t="str">
        <f>'Raw Data'!I536</f>
        <v>FRAUD CREDIT</v>
      </c>
      <c r="D533" s="31">
        <f>'Raw Data'!F536</f>
        <v>-17.309999999999999</v>
      </c>
    </row>
    <row r="534" spans="1:4" x14ac:dyDescent="0.25">
      <c r="A534" t="str">
        <f>'Raw Data'!A537</f>
        <v>09/30/2025</v>
      </c>
      <c r="B534" t="str">
        <f>'Raw Data'!C537</f>
        <v>FRAUD CREDIT</v>
      </c>
      <c r="C534" t="str">
        <f>'Raw Data'!I537</f>
        <v>FRAUD CREDIT</v>
      </c>
      <c r="D534" s="31">
        <f>'Raw Data'!F537</f>
        <v>-16.77</v>
      </c>
    </row>
    <row r="535" spans="1:4" x14ac:dyDescent="0.25">
      <c r="A535" t="str">
        <f>'Raw Data'!A538</f>
        <v>09/30/2025</v>
      </c>
      <c r="B535" t="str">
        <f>'Raw Data'!C538</f>
        <v>FRAUD CREDIT</v>
      </c>
      <c r="C535" t="str">
        <f>'Raw Data'!I538</f>
        <v>FRAUD CREDIT</v>
      </c>
      <c r="D535" s="31">
        <f>'Raw Data'!F538</f>
        <v>-16.77</v>
      </c>
    </row>
    <row r="536" spans="1:4" x14ac:dyDescent="0.25">
      <c r="A536" t="str">
        <f>'Raw Data'!A539</f>
        <v>09/30/2025</v>
      </c>
      <c r="B536" t="str">
        <f>'Raw Data'!C539</f>
        <v>FRAUD CREDIT</v>
      </c>
      <c r="C536" t="str">
        <f>'Raw Data'!I539</f>
        <v>FRAUD CREDIT</v>
      </c>
      <c r="D536" s="31">
        <f>'Raw Data'!F539</f>
        <v>-16.23</v>
      </c>
    </row>
    <row r="537" spans="1:4" x14ac:dyDescent="0.25">
      <c r="A537" t="str">
        <f>'Raw Data'!A540</f>
        <v>09/30/2025</v>
      </c>
      <c r="B537" t="str">
        <f>'Raw Data'!C540</f>
        <v>FRAUD CREDIT</v>
      </c>
      <c r="C537" t="str">
        <f>'Raw Data'!I540</f>
        <v>FRAUD CREDIT</v>
      </c>
      <c r="D537" s="31">
        <f>'Raw Data'!F540</f>
        <v>-15.56</v>
      </c>
    </row>
    <row r="538" spans="1:4" x14ac:dyDescent="0.25">
      <c r="A538" t="str">
        <f>'Raw Data'!A541</f>
        <v>09/30/2025</v>
      </c>
      <c r="B538" t="str">
        <f>'Raw Data'!C541</f>
        <v>FRAUD CREDIT</v>
      </c>
      <c r="C538" t="str">
        <f>'Raw Data'!I541</f>
        <v>FRAUD CREDIT</v>
      </c>
      <c r="D538" s="31">
        <f>'Raw Data'!F541</f>
        <v>-14.24</v>
      </c>
    </row>
    <row r="539" spans="1:4" x14ac:dyDescent="0.25">
      <c r="A539" t="str">
        <f>'Raw Data'!A542</f>
        <v>09/30/2025</v>
      </c>
      <c r="B539" t="str">
        <f>'Raw Data'!C542</f>
        <v>FRAUD CREDIT</v>
      </c>
      <c r="C539" t="str">
        <f>'Raw Data'!I542</f>
        <v>FRAUD CREDIT</v>
      </c>
      <c r="D539" s="31">
        <f>'Raw Data'!F542</f>
        <v>-12.33</v>
      </c>
    </row>
    <row r="540" spans="1:4" x14ac:dyDescent="0.25">
      <c r="A540" t="str">
        <f>'Raw Data'!A543</f>
        <v>09/30/2025</v>
      </c>
      <c r="B540" t="str">
        <f>'Raw Data'!C543</f>
        <v>FRAUD CREDIT</v>
      </c>
      <c r="C540" t="str">
        <f>'Raw Data'!I543</f>
        <v>FRAUD CREDIT</v>
      </c>
      <c r="D540" s="31">
        <f>'Raw Data'!F543</f>
        <v>-11.86</v>
      </c>
    </row>
    <row r="541" spans="1:4" x14ac:dyDescent="0.25">
      <c r="A541" t="str">
        <f>'Raw Data'!A544</f>
        <v>09/30/2025</v>
      </c>
      <c r="B541" t="str">
        <f>'Raw Data'!C544</f>
        <v>FRAUD CREDIT</v>
      </c>
      <c r="C541" t="str">
        <f>'Raw Data'!I544</f>
        <v>FRAUD CREDIT</v>
      </c>
      <c r="D541" s="31">
        <f>'Raw Data'!F544</f>
        <v>-10.81</v>
      </c>
    </row>
    <row r="542" spans="1:4" x14ac:dyDescent="0.25">
      <c r="A542" t="str">
        <f>'Raw Data'!A545</f>
        <v>09/30/2025</v>
      </c>
      <c r="B542" t="str">
        <f>'Raw Data'!C545</f>
        <v>FRAUD CREDIT</v>
      </c>
      <c r="C542" t="str">
        <f>'Raw Data'!I545</f>
        <v>FRAUD CREDIT</v>
      </c>
      <c r="D542" s="31">
        <f>'Raw Data'!F545</f>
        <v>-10.81</v>
      </c>
    </row>
    <row r="543" spans="1:4" x14ac:dyDescent="0.25">
      <c r="A543" t="str">
        <f>'Raw Data'!A546</f>
        <v>09/30/2025</v>
      </c>
      <c r="B543" t="str">
        <f>'Raw Data'!C546</f>
        <v>FRAUD CREDIT</v>
      </c>
      <c r="C543" t="str">
        <f>'Raw Data'!I546</f>
        <v>FRAUD CREDIT</v>
      </c>
      <c r="D543" s="31">
        <f>'Raw Data'!F546</f>
        <v>-8.7200000000000006</v>
      </c>
    </row>
    <row r="544" spans="1:4" x14ac:dyDescent="0.25">
      <c r="A544" t="str">
        <f>'Raw Data'!A547</f>
        <v>09/30/2025</v>
      </c>
      <c r="B544" t="str">
        <f>'Raw Data'!C547</f>
        <v>FRAUD CREDIT</v>
      </c>
      <c r="C544" t="str">
        <f>'Raw Data'!I547</f>
        <v>FRAUD CREDIT</v>
      </c>
      <c r="D544" s="31">
        <f>'Raw Data'!F547</f>
        <v>-7.57</v>
      </c>
    </row>
    <row r="545" spans="1:4" x14ac:dyDescent="0.25">
      <c r="A545" t="str">
        <f>'Raw Data'!A548</f>
        <v>09/30/2025</v>
      </c>
      <c r="B545" t="str">
        <f>'Raw Data'!C548</f>
        <v>FRAUD CREDIT</v>
      </c>
      <c r="C545" t="str">
        <f>'Raw Data'!I548</f>
        <v>FRAUD CREDIT</v>
      </c>
      <c r="D545" s="31">
        <f>'Raw Data'!F548</f>
        <v>-7.57</v>
      </c>
    </row>
    <row r="546" spans="1:4" x14ac:dyDescent="0.25">
      <c r="A546" t="str">
        <f>'Raw Data'!A549</f>
        <v>09/30/2025</v>
      </c>
      <c r="B546" t="str">
        <f>'Raw Data'!C549</f>
        <v>FRAUD CREDIT</v>
      </c>
      <c r="C546" t="str">
        <f>'Raw Data'!I549</f>
        <v>FRAUD CREDIT</v>
      </c>
      <c r="D546" s="31">
        <f>'Raw Data'!F549</f>
        <v>-6.5</v>
      </c>
    </row>
    <row r="547" spans="1:4" x14ac:dyDescent="0.25">
      <c r="A547" t="str">
        <f>'Raw Data'!A550</f>
        <v>09/30/2025</v>
      </c>
      <c r="B547" t="str">
        <f>'Raw Data'!C550</f>
        <v>SPONSORCLOUD (SYNPROSALT LAKE CITY      UT</v>
      </c>
      <c r="C547" t="str">
        <f>'Raw Data'!I550</f>
        <v>Sponsor Cloud</v>
      </c>
      <c r="D547" s="31">
        <f>'Raw Data'!F550</f>
        <v>203.37</v>
      </c>
    </row>
    <row r="548" spans="1:4" x14ac:dyDescent="0.25">
      <c r="A548" t="str">
        <f>'Raw Data'!A551</f>
        <v>09/30/2025</v>
      </c>
      <c r="B548" t="str">
        <f>'Raw Data'!C551</f>
        <v>TST* BEETHOVEN 00200LOS ANGELES         CA</v>
      </c>
      <c r="C548" t="str">
        <f>'Raw Data'!I551</f>
        <v>Personal - Food</v>
      </c>
      <c r="D548" s="31">
        <f>'Raw Data'!F551</f>
        <v>201.1</v>
      </c>
    </row>
    <row r="549" spans="1:4" x14ac:dyDescent="0.25">
      <c r="A549" t="str">
        <f>'Raw Data'!A552</f>
        <v>09/30/2025</v>
      </c>
      <c r="B549" t="str">
        <f>'Raw Data'!C552</f>
        <v>TST* MY LAI 00041823LOS ANGELES         CA</v>
      </c>
      <c r="C549" t="str">
        <f>'Raw Data'!I552</f>
        <v>Personal - Food</v>
      </c>
      <c r="D549" s="31">
        <f>'Raw Data'!F552</f>
        <v>79.87</v>
      </c>
    </row>
    <row r="550" spans="1:4" x14ac:dyDescent="0.25">
      <c r="A550" t="str">
        <f>'Raw Data'!A553</f>
        <v>09/29/2025</v>
      </c>
      <c r="B550" t="str">
        <f>'Raw Data'!C553</f>
        <v>CVS PHARMACY        MARINA DEL REY      CA</v>
      </c>
      <c r="C550" t="str">
        <f>'Raw Data'!I553</f>
        <v>Personal - Health</v>
      </c>
      <c r="D550" s="31">
        <f>'Raw Data'!F553</f>
        <v>21.94</v>
      </c>
    </row>
    <row r="551" spans="1:4" x14ac:dyDescent="0.25">
      <c r="A551" t="str">
        <f>'Raw Data'!A554</f>
        <v>09/29/2025</v>
      </c>
      <c r="B551" t="str">
        <f>'Raw Data'!C554</f>
        <v>LUGG HOLD #OEKQFH   SAN FRANCISCO       CA</v>
      </c>
      <c r="C551" t="str">
        <f>'Raw Data'!I554</f>
        <v>Personal - House</v>
      </c>
      <c r="D551" s="31">
        <f>'Raw Data'!F554</f>
        <v>180.29</v>
      </c>
    </row>
    <row r="552" spans="1:4" x14ac:dyDescent="0.25">
      <c r="A552" t="str">
        <f>'Raw Data'!A555</f>
        <v>09/29/2025</v>
      </c>
      <c r="B552" t="str">
        <f>'Raw Data'!C555</f>
        <v>OPENAI *CHATGPT SUBSSAN FRANCISCO       CA</v>
      </c>
      <c r="C552" t="str">
        <f>'Raw Data'!I555</f>
        <v>AI Subscriptions</v>
      </c>
      <c r="D552" s="31">
        <f>'Raw Data'!F555</f>
        <v>20</v>
      </c>
    </row>
    <row r="553" spans="1:4" x14ac:dyDescent="0.25">
      <c r="A553" t="str">
        <f>'Raw Data'!A556</f>
        <v>09/29/2025</v>
      </c>
      <c r="B553" t="str">
        <f>'Raw Data'!C556</f>
        <v>PRIME VIDEO *6A18I4W888-802-3080        WA</v>
      </c>
      <c r="C553" t="str">
        <f>'Raw Data'!I556</f>
        <v>Software &amp; Subscriptions</v>
      </c>
      <c r="D553" s="31">
        <f>'Raw Data'!F556</f>
        <v>7.57</v>
      </c>
    </row>
    <row r="554" spans="1:4" x14ac:dyDescent="0.25">
      <c r="A554" t="str">
        <f>'Raw Data'!A557</f>
        <v>09/29/2025</v>
      </c>
      <c r="B554" t="str">
        <f>'Raw Data'!C557</f>
        <v>THE HANGAR          Santa Monica        CA</v>
      </c>
      <c r="C554" t="str">
        <f>'Raw Data'!I557</f>
        <v>Personal - House</v>
      </c>
      <c r="D554" s="31">
        <f>'Raw Data'!F557</f>
        <v>649.54999999999995</v>
      </c>
    </row>
    <row r="555" spans="1:4" x14ac:dyDescent="0.25">
      <c r="A555" t="str">
        <f>'Raw Data'!A558</f>
        <v>09/29/2025</v>
      </c>
      <c r="B555" t="str">
        <f>'Raw Data'!C558</f>
        <v>THE HANGAR          Santa Monica        CA</v>
      </c>
      <c r="C555" t="str">
        <f>'Raw Data'!I558</f>
        <v>Personal - House</v>
      </c>
      <c r="D555" s="31">
        <f>'Raw Data'!F558</f>
        <v>7193.05</v>
      </c>
    </row>
    <row r="556" spans="1:4" x14ac:dyDescent="0.25">
      <c r="A556" t="str">
        <f>'Raw Data'!A559</f>
        <v>09/29/2025</v>
      </c>
      <c r="B556" t="str">
        <f>'Raw Data'!C559</f>
        <v>TST* BLUEYS KITCHEN LOS ANGELES         CA</v>
      </c>
      <c r="C556" t="str">
        <f>'Raw Data'!I559</f>
        <v>Personal - Food</v>
      </c>
      <c r="D556" s="31">
        <f>'Raw Data'!F559</f>
        <v>108.82</v>
      </c>
    </row>
    <row r="557" spans="1:4" x14ac:dyDescent="0.25">
      <c r="A557" t="str">
        <f>'Raw Data'!A560</f>
        <v>09/29/2025</v>
      </c>
      <c r="B557" t="str">
        <f>'Raw Data'!C560</f>
        <v>TST* CAFE GRATITUDE VENICE              CA</v>
      </c>
      <c r="C557" t="str">
        <f>'Raw Data'!I560</f>
        <v>Personal - Food</v>
      </c>
      <c r="D557" s="31">
        <f>'Raw Data'!F560</f>
        <v>96.68</v>
      </c>
    </row>
    <row r="558" spans="1:4" x14ac:dyDescent="0.25">
      <c r="A558" t="str">
        <f>'Raw Data'!A561</f>
        <v>09/28/2025</v>
      </c>
      <c r="B558" t="str">
        <f>'Raw Data'!C561</f>
        <v>LE CAFE DE LA PLAGE-Malibu              CA</v>
      </c>
      <c r="C558" t="str">
        <f>'Raw Data'!I561</f>
        <v>Personal - Food</v>
      </c>
      <c r="D558" s="31">
        <f>'Raw Data'!F561</f>
        <v>6.49</v>
      </c>
    </row>
    <row r="559" spans="1:4" x14ac:dyDescent="0.25">
      <c r="A559" t="str">
        <f>'Raw Data'!A562</f>
        <v>09/28/2025</v>
      </c>
      <c r="B559" t="str">
        <f>'Raw Data'!C562</f>
        <v>LILY S MALIBU       MALIBU              CA</v>
      </c>
      <c r="C559" t="str">
        <f>'Raw Data'!I562</f>
        <v>Personal - Food</v>
      </c>
      <c r="D559" s="31">
        <f>'Raw Data'!F562</f>
        <v>17.02</v>
      </c>
    </row>
    <row r="560" spans="1:4" x14ac:dyDescent="0.25">
      <c r="A560" t="str">
        <f>'Raw Data'!A563</f>
        <v>09/28/2025</v>
      </c>
      <c r="B560" t="str">
        <f>'Raw Data'!C563</f>
        <v>LILY S MALIBU       MALIBU              CA</v>
      </c>
      <c r="C560" t="str">
        <f>'Raw Data'!I563</f>
        <v>Personal - Food</v>
      </c>
      <c r="D560" s="31">
        <f>'Raw Data'!F563</f>
        <v>77.02</v>
      </c>
    </row>
    <row r="561" spans="1:4" x14ac:dyDescent="0.25">
      <c r="A561" t="str">
        <f>'Raw Data'!A564</f>
        <v>09/28/2025</v>
      </c>
      <c r="B561" t="str">
        <f>'Raw Data'!C564</f>
        <v>PAYA THAI LA LLC    LOS ANGELES         CA</v>
      </c>
      <c r="C561" t="str">
        <f>'Raw Data'!I564</f>
        <v>Personal - Health</v>
      </c>
      <c r="D561" s="31">
        <f>'Raw Data'!F564</f>
        <v>165</v>
      </c>
    </row>
    <row r="562" spans="1:4" x14ac:dyDescent="0.25">
      <c r="A562" t="str">
        <f>'Raw Data'!A565</f>
        <v>09/27/2025</v>
      </c>
      <c r="B562" t="str">
        <f>'Raw Data'!C565</f>
        <v>DNH*GODADDY#39065271Tempe               AZ</v>
      </c>
      <c r="C562" t="str">
        <f>'Raw Data'!I565</f>
        <v>Go Daddy</v>
      </c>
      <c r="D562" s="31">
        <f>'Raw Data'!F565</f>
        <v>11.99</v>
      </c>
    </row>
    <row r="563" spans="1:4" x14ac:dyDescent="0.25">
      <c r="A563" t="str">
        <f>'Raw Data'!A566</f>
        <v>09/27/2025</v>
      </c>
      <c r="B563" t="str">
        <f>'Raw Data'!C566</f>
        <v>ETSY, INC.          BROOKLYN            NY</v>
      </c>
      <c r="C563" t="str">
        <f>'Raw Data'!I566</f>
        <v>Personal - House</v>
      </c>
      <c r="D563" s="31">
        <f>'Raw Data'!F566</f>
        <v>256.82</v>
      </c>
    </row>
    <row r="564" spans="1:4" x14ac:dyDescent="0.25">
      <c r="A564" t="str">
        <f>'Raw Data'!A567</f>
        <v>09/27/2025</v>
      </c>
      <c r="B564" t="str">
        <f>'Raw Data'!C567</f>
        <v>SPLICE.COM          NEW YORK            NY</v>
      </c>
      <c r="C564" t="str">
        <f>'Raw Data'!I567</f>
        <v>Software &amp; Subscriptions</v>
      </c>
      <c r="D564" s="31">
        <f>'Raw Data'!F567</f>
        <v>39.99</v>
      </c>
    </row>
    <row r="565" spans="1:4" x14ac:dyDescent="0.25">
      <c r="A565" t="str">
        <f>'Raw Data'!A568</f>
        <v>09/27/2025</v>
      </c>
      <c r="B565" t="str">
        <f>'Raw Data'!C568</f>
        <v>THE HANGAR          Santa Monica        CA</v>
      </c>
      <c r="C565" t="str">
        <f>'Raw Data'!I568</f>
        <v>Personal - House</v>
      </c>
      <c r="D565" s="31">
        <f>'Raw Data'!F568</f>
        <v>570.36</v>
      </c>
    </row>
    <row r="566" spans="1:4" x14ac:dyDescent="0.25">
      <c r="A566" t="str">
        <f>'Raw Data'!A569</f>
        <v>09/27/2025</v>
      </c>
      <c r="B566" t="str">
        <f>'Raw Data'!C569</f>
        <v>TST* BEETHOVEN 00200LOS ANGELES         CA</v>
      </c>
      <c r="C566" t="str">
        <f>'Raw Data'!I569</f>
        <v>Personal - Food</v>
      </c>
      <c r="D566" s="31">
        <f>'Raw Data'!F569</f>
        <v>129.13</v>
      </c>
    </row>
    <row r="567" spans="1:4" x14ac:dyDescent="0.25">
      <c r="A567" t="str">
        <f>'Raw Data'!A570</f>
        <v>09/26/2025</v>
      </c>
      <c r="B567" t="str">
        <f>'Raw Data'!C570</f>
        <v>DNH*GODADDY#39053759Tempe               AZ</v>
      </c>
      <c r="C567" t="str">
        <f>'Raw Data'!I570</f>
        <v>Go Daddy</v>
      </c>
      <c r="D567" s="31">
        <f>'Raw Data'!F570</f>
        <v>119.88</v>
      </c>
    </row>
    <row r="568" spans="1:4" x14ac:dyDescent="0.25">
      <c r="A568" t="str">
        <f>'Raw Data'!A571</f>
        <v>09/26/2025</v>
      </c>
      <c r="B568" t="str">
        <f>'Raw Data'!C571</f>
        <v>FAARHA INC #43159 88LOS ANGELES         CA</v>
      </c>
      <c r="C568" t="str">
        <f>'Raw Data'!I571</f>
        <v>Personal - Car</v>
      </c>
      <c r="D568" s="31">
        <f>'Raw Data'!F571</f>
        <v>3.83</v>
      </c>
    </row>
    <row r="569" spans="1:4" x14ac:dyDescent="0.25">
      <c r="A569" t="str">
        <f>'Raw Data'!A572</f>
        <v>09/26/2025</v>
      </c>
      <c r="B569" t="str">
        <f>'Raw Data'!C572</f>
        <v>HOLLYWOOD BOWL 65000LOS ANGELES         CA</v>
      </c>
      <c r="C569" t="str">
        <f>'Raw Data'!I572</f>
        <v>Personal - Entertainment</v>
      </c>
      <c r="D569" s="31">
        <f>'Raw Data'!F572</f>
        <v>16.22</v>
      </c>
    </row>
    <row r="570" spans="1:4" x14ac:dyDescent="0.25">
      <c r="A570" t="str">
        <f>'Raw Data'!A573</f>
        <v>09/26/2025</v>
      </c>
      <c r="B570" t="str">
        <f>'Raw Data'!C573</f>
        <v>LOS ANGELES PHILHARMLOS ANGELES         CA</v>
      </c>
      <c r="C570" t="str">
        <f>'Raw Data'!I573</f>
        <v>Personal - Health</v>
      </c>
      <c r="D570" s="31">
        <f>'Raw Data'!F573</f>
        <v>55</v>
      </c>
    </row>
    <row r="571" spans="1:4" x14ac:dyDescent="0.25">
      <c r="A571" t="str">
        <f>'Raw Data'!A574</f>
        <v>09/26/2025</v>
      </c>
      <c r="B571" t="str">
        <f>'Raw Data'!C574</f>
        <v>TST* TAVERNA AT THE LOS ANGELES         CA</v>
      </c>
      <c r="C571" t="str">
        <f>'Raw Data'!I574</f>
        <v>Personal - Food</v>
      </c>
      <c r="D571" s="31">
        <f>'Raw Data'!F574</f>
        <v>185.76</v>
      </c>
    </row>
    <row r="572" spans="1:4" x14ac:dyDescent="0.25">
      <c r="A572" t="str">
        <f>'Raw Data'!A575</f>
        <v>09/25/2025</v>
      </c>
      <c r="B572" t="str">
        <f>'Raw Data'!C575</f>
        <v>ALANA'S COFFEE ROASTLos Angeles         CA</v>
      </c>
      <c r="C572" t="str">
        <f>'Raw Data'!I575</f>
        <v>Personal - Food</v>
      </c>
      <c r="D572" s="31">
        <f>'Raw Data'!F575</f>
        <v>14.25</v>
      </c>
    </row>
    <row r="573" spans="1:4" x14ac:dyDescent="0.25">
      <c r="A573" t="str">
        <f>'Raw Data'!A576</f>
        <v>09/25/2025</v>
      </c>
      <c r="B573" t="str">
        <f>'Raw Data'!C576</f>
        <v>DNH*GODADDY#39035947Tempe               AZ</v>
      </c>
      <c r="C573" t="str">
        <f>'Raw Data'!I576</f>
        <v>Go Daddy</v>
      </c>
      <c r="D573" s="31">
        <f>'Raw Data'!F576</f>
        <v>15.98</v>
      </c>
    </row>
    <row r="574" spans="1:4" x14ac:dyDescent="0.25">
      <c r="A574" t="str">
        <f>'Raw Data'!A577</f>
        <v>09/25/2025</v>
      </c>
      <c r="B574" t="str">
        <f>'Raw Data'!C577</f>
        <v>FUND LAUNCH         LEHI                UT</v>
      </c>
      <c r="C574" t="str">
        <f>'Raw Data'!I577</f>
        <v>Fund Launch</v>
      </c>
      <c r="D574" s="31">
        <f>'Raw Data'!F577</f>
        <v>883</v>
      </c>
    </row>
    <row r="575" spans="1:4" x14ac:dyDescent="0.25">
      <c r="A575" t="str">
        <f>'Raw Data'!A578</f>
        <v>09/25/2025</v>
      </c>
      <c r="B575" t="str">
        <f>'Raw Data'!C578</f>
        <v>LISA HO GUINAN, D.M.MARINA DEL RE       CA</v>
      </c>
      <c r="C575" t="str">
        <f>'Raw Data'!I578</f>
        <v>Personal - Health</v>
      </c>
      <c r="D575" s="31">
        <f>'Raw Data'!F578</f>
        <v>85</v>
      </c>
    </row>
    <row r="576" spans="1:4" x14ac:dyDescent="0.25">
      <c r="A576" t="str">
        <f>'Raw Data'!A579</f>
        <v>09/25/2025</v>
      </c>
      <c r="B576" t="str">
        <f>'Raw Data'!C579</f>
        <v>PACOS TACOS 0755    LOS ANGELES         CA</v>
      </c>
      <c r="C576" t="str">
        <f>'Raw Data'!I579</f>
        <v>Personal - Food</v>
      </c>
      <c r="D576" s="31">
        <f>'Raw Data'!F579</f>
        <v>203.82</v>
      </c>
    </row>
    <row r="577" spans="1:4" x14ac:dyDescent="0.25">
      <c r="A577" t="str">
        <f>'Raw Data'!A580</f>
        <v>09/25/2025</v>
      </c>
      <c r="B577" t="str">
        <f>'Raw Data'!C580</f>
        <v>PAYPAL *WALKER EDIS 8014333008          UT</v>
      </c>
      <c r="C577" t="str">
        <f>'Raw Data'!I580</f>
        <v>Personal - House</v>
      </c>
      <c r="D577" s="31">
        <f>'Raw Data'!F580</f>
        <v>176.7</v>
      </c>
    </row>
    <row r="578" spans="1:4" x14ac:dyDescent="0.25">
      <c r="A578" t="str">
        <f>'Raw Data'!A581</f>
        <v>09/25/2025</v>
      </c>
      <c r="B578" t="str">
        <f>'Raw Data'!C581</f>
        <v>PRIME VIDEO CHANNELSAMZN.COM/BILL       WA</v>
      </c>
      <c r="C578" t="str">
        <f>'Raw Data'!I581</f>
        <v>Amazon</v>
      </c>
      <c r="D578" s="31">
        <f>'Raw Data'!F581</f>
        <v>7.57</v>
      </c>
    </row>
    <row r="579" spans="1:4" x14ac:dyDescent="0.25">
      <c r="A579" t="str">
        <f>'Raw Data'!A582</f>
        <v>09/24/2025</v>
      </c>
      <c r="B579" t="str">
        <f>'Raw Data'!C582</f>
        <v>THE MV GRAB AND GO  LOS ANGELES         CA</v>
      </c>
      <c r="C579" t="str">
        <f>'Raw Data'!I582</f>
        <v>Personal - Food</v>
      </c>
      <c r="D579" s="31">
        <f>'Raw Data'!F582</f>
        <v>71.73</v>
      </c>
    </row>
    <row r="580" spans="1:4" x14ac:dyDescent="0.25">
      <c r="A580" t="str">
        <f>'Raw Data'!A583</f>
        <v>09/23/2025</v>
      </c>
      <c r="B580" t="str">
        <f>'Raw Data'!C583</f>
        <v>DNH*GODADDY#39016385Tempe               AZ</v>
      </c>
      <c r="C580" t="str">
        <f>'Raw Data'!I583</f>
        <v>Go Daddy</v>
      </c>
      <c r="D580" s="31">
        <f>'Raw Data'!F583</f>
        <v>280.85000000000002</v>
      </c>
    </row>
    <row r="581" spans="1:4" x14ac:dyDescent="0.25">
      <c r="A581" t="str">
        <f>'Raw Data'!A584</f>
        <v>09/23/2025</v>
      </c>
      <c r="B581" t="str">
        <f>'Raw Data'!C584</f>
        <v>UNION 76 10194728   LOS ANGELES         CA</v>
      </c>
      <c r="C581" t="str">
        <f>'Raw Data'!I584</f>
        <v>Personal - Car</v>
      </c>
      <c r="D581" s="31">
        <f>'Raw Data'!F584</f>
        <v>52.65</v>
      </c>
    </row>
    <row r="582" spans="1:4" x14ac:dyDescent="0.25">
      <c r="A582" t="str">
        <f>'Raw Data'!A585</f>
        <v>09/22/2025</v>
      </c>
      <c r="B582" t="str">
        <f>'Raw Data'!C585</f>
        <v>RESTORE.COM         AUSTIN              TX</v>
      </c>
      <c r="C582" t="str">
        <f>'Raw Data'!I585</f>
        <v>Personal - Health</v>
      </c>
      <c r="D582" s="31">
        <f>'Raw Data'!F585</f>
        <v>96</v>
      </c>
    </row>
    <row r="583" spans="1:4" x14ac:dyDescent="0.25">
      <c r="A583" t="str">
        <f>'Raw Data'!A586</f>
        <v>09/22/2025</v>
      </c>
      <c r="B583" t="str">
        <f>'Raw Data'!C586</f>
        <v>RESTORE.COM         AUSTIN              TX</v>
      </c>
      <c r="C583" t="str">
        <f>'Raw Data'!I586</f>
        <v>Personal - Health</v>
      </c>
      <c r="D583" s="31">
        <f>'Raw Data'!F586</f>
        <v>199</v>
      </c>
    </row>
    <row r="584" spans="1:4" x14ac:dyDescent="0.25">
      <c r="A584" t="str">
        <f>'Raw Data'!A587</f>
        <v>09/22/2025</v>
      </c>
      <c r="B584" t="str">
        <f>'Raw Data'!C587</f>
        <v>TST* BLUEYS KITCHEN LOS ANGELES         CA</v>
      </c>
      <c r="C584" t="str">
        <f>'Raw Data'!I587</f>
        <v>Personal - Food</v>
      </c>
      <c r="D584" s="31">
        <f>'Raw Data'!F587</f>
        <v>115.28</v>
      </c>
    </row>
    <row r="585" spans="1:4" x14ac:dyDescent="0.25">
      <c r="A585" t="str">
        <f>'Raw Data'!A588</f>
        <v>09/20/2025</v>
      </c>
      <c r="B585" t="str">
        <f>'Raw Data'!C588</f>
        <v>ATLANTIC CIGARS     WEST NORRITON       PA</v>
      </c>
      <c r="C585" t="str">
        <f>'Raw Data'!I588</f>
        <v>Personal - Entertainment</v>
      </c>
      <c r="D585" s="31">
        <f>'Raw Data'!F588</f>
        <v>76.63</v>
      </c>
    </row>
    <row r="586" spans="1:4" x14ac:dyDescent="0.25">
      <c r="A586" t="str">
        <f>'Raw Data'!A589</f>
        <v>09/20/2025</v>
      </c>
      <c r="B586" t="str">
        <f>'Raw Data'!C589</f>
        <v>CAMPAIGNER SVC      888-845-4544        CA</v>
      </c>
      <c r="C586" t="str">
        <f>'Raw Data'!I589</f>
        <v>Software &amp; Subscriptions</v>
      </c>
      <c r="D586" s="31">
        <f>'Raw Data'!F589</f>
        <v>584</v>
      </c>
    </row>
    <row r="587" spans="1:4" x14ac:dyDescent="0.25">
      <c r="A587" t="str">
        <f>'Raw Data'!A590</f>
        <v>09/20/2025</v>
      </c>
      <c r="B587" t="str">
        <f>'Raw Data'!C590</f>
        <v>DNH*GODADDY#38977995Tempe               AZ</v>
      </c>
      <c r="C587" t="str">
        <f>'Raw Data'!I590</f>
        <v>Go Daddy</v>
      </c>
      <c r="D587" s="31">
        <f>'Raw Data'!F590</f>
        <v>17.97</v>
      </c>
    </row>
    <row r="588" spans="1:4" x14ac:dyDescent="0.25">
      <c r="A588" t="str">
        <f>'Raw Data'!A591</f>
        <v>09/20/2025</v>
      </c>
      <c r="B588" t="str">
        <f>'Raw Data'!C591</f>
        <v>LIVING SPACES MID CILOS ANGELES         CA</v>
      </c>
      <c r="C588" t="str">
        <f>'Raw Data'!I591</f>
        <v>Personal - House</v>
      </c>
      <c r="D588" s="31">
        <f>'Raw Data'!F591</f>
        <v>1486.02</v>
      </c>
    </row>
    <row r="589" spans="1:4" x14ac:dyDescent="0.25">
      <c r="A589" t="str">
        <f>'Raw Data'!A592</f>
        <v>09/20/2025</v>
      </c>
      <c r="B589" t="str">
        <f>'Raw Data'!C592</f>
        <v>TST* BLUEYS KITCHEN LOS ANGELES         CA</v>
      </c>
      <c r="C589" t="str">
        <f>'Raw Data'!I592</f>
        <v>Personal - Food</v>
      </c>
      <c r="D589" s="31">
        <f>'Raw Data'!F592</f>
        <v>26.57</v>
      </c>
    </row>
    <row r="590" spans="1:4" x14ac:dyDescent="0.25">
      <c r="A590" t="str">
        <f>'Raw Data'!A593</f>
        <v>09/19/2025</v>
      </c>
      <c r="B590" t="str">
        <f>'Raw Data'!C593</f>
        <v>PRIME VIDEO *WC12G67888-802-3080        WA</v>
      </c>
      <c r="C590" t="str">
        <f>'Raw Data'!I593</f>
        <v>Personal - Entertainment</v>
      </c>
      <c r="D590" s="31">
        <f>'Raw Data'!F593</f>
        <v>5.4</v>
      </c>
    </row>
    <row r="591" spans="1:4" x14ac:dyDescent="0.25">
      <c r="A591" t="str">
        <f>'Raw Data'!A594</f>
        <v>09/19/2025</v>
      </c>
      <c r="B591" t="str">
        <f>'Raw Data'!C594</f>
        <v>TST* BLUEYS KITCHEN LOS ANGELES         CA</v>
      </c>
      <c r="C591" t="str">
        <f>'Raw Data'!I594</f>
        <v>Personal - Food</v>
      </c>
      <c r="D591" s="31">
        <f>'Raw Data'!F594</f>
        <v>100.26</v>
      </c>
    </row>
    <row r="592" spans="1:4" x14ac:dyDescent="0.25">
      <c r="A592" t="str">
        <f>'Raw Data'!A595</f>
        <v>09/18/2025</v>
      </c>
      <c r="B592" t="str">
        <f>'Raw Data'!C595</f>
        <v>ALANA'S COFFEE ROASTLos Angeles         CA</v>
      </c>
      <c r="C592" t="str">
        <f>'Raw Data'!I595</f>
        <v>Personal - Food</v>
      </c>
      <c r="D592" s="31">
        <f>'Raw Data'!F595</f>
        <v>16.96</v>
      </c>
    </row>
    <row r="593" spans="1:4" x14ac:dyDescent="0.25">
      <c r="A593" t="str">
        <f>'Raw Data'!A596</f>
        <v>09/18/2025</v>
      </c>
      <c r="B593" t="str">
        <f>'Raw Data'!C596</f>
        <v>DNH*GODADDY#38957741Tempe               AZ</v>
      </c>
      <c r="C593" t="str">
        <f>'Raw Data'!I596</f>
        <v>Go Daddy</v>
      </c>
      <c r="D593" s="31">
        <f>'Raw Data'!F596</f>
        <v>43.98</v>
      </c>
    </row>
    <row r="594" spans="1:4" x14ac:dyDescent="0.25">
      <c r="A594" t="str">
        <f>'Raw Data'!A597</f>
        <v>09/18/2025</v>
      </c>
      <c r="B594" t="str">
        <f>'Raw Data'!C597</f>
        <v>TST* BLUEYS KITCHEN LOS ANGELES         CA</v>
      </c>
      <c r="C594" t="str">
        <f>'Raw Data'!I597</f>
        <v>Personal - Food</v>
      </c>
      <c r="D594" s="31">
        <f>'Raw Data'!F597</f>
        <v>102.61</v>
      </c>
    </row>
    <row r="595" spans="1:4" x14ac:dyDescent="0.25">
      <c r="A595" t="str">
        <f>'Raw Data'!A598</f>
        <v>09/17/2025</v>
      </c>
      <c r="B595" t="str">
        <f>'Raw Data'!C598</f>
        <v>CASABLANCA 00-080164VENICE              CA</v>
      </c>
      <c r="C595" t="str">
        <f>'Raw Data'!I598</f>
        <v>Personal - Food</v>
      </c>
      <c r="D595" s="31">
        <f>'Raw Data'!F598</f>
        <v>130</v>
      </c>
    </row>
    <row r="596" spans="1:4" x14ac:dyDescent="0.25">
      <c r="A596" t="str">
        <f>'Raw Data'!A599</f>
        <v>09/17/2025</v>
      </c>
      <c r="B596" t="str">
        <f>'Raw Data'!C599</f>
        <v>TST* CAFE GRATITUDE VENICE              CA</v>
      </c>
      <c r="C596" t="str">
        <f>'Raw Data'!I599</f>
        <v>Personal - Food</v>
      </c>
      <c r="D596" s="31">
        <f>'Raw Data'!F599</f>
        <v>110.57</v>
      </c>
    </row>
    <row r="597" spans="1:4" x14ac:dyDescent="0.25">
      <c r="A597" t="str">
        <f>'Raw Data'!A600</f>
        <v>09/17/2025</v>
      </c>
      <c r="B597" t="str">
        <f>'Raw Data'!C600</f>
        <v>WLA SPEEDWASH       LOS ANGELES         CA</v>
      </c>
      <c r="C597" t="str">
        <f>'Raw Data'!I600</f>
        <v>Personal - Car</v>
      </c>
      <c r="D597" s="31">
        <f>'Raw Data'!F600</f>
        <v>15</v>
      </c>
    </row>
    <row r="598" spans="1:4" x14ac:dyDescent="0.25">
      <c r="A598" t="str">
        <f>'Raw Data'!A601</f>
        <v>09/16/2025</v>
      </c>
      <c r="B598" t="str">
        <f>'Raw Data'!C601</f>
        <v>800.COM, LLC        800-800-4321        FL</v>
      </c>
      <c r="C598" t="str">
        <f>'Raw Data'!I601</f>
        <v>Software &amp; Subscriptions</v>
      </c>
      <c r="D598" s="31">
        <f>'Raw Data'!F601</f>
        <v>69.62</v>
      </c>
    </row>
    <row r="599" spans="1:4" x14ac:dyDescent="0.25">
      <c r="A599" t="str">
        <f>'Raw Data'!A602</f>
        <v>09/16/2025</v>
      </c>
      <c r="B599" t="str">
        <f>'Raw Data'!C602</f>
        <v>LEV INC             NEW YORK            NY</v>
      </c>
      <c r="C599" t="str">
        <f>'Raw Data'!I602</f>
        <v>DWG Listing Platform</v>
      </c>
      <c r="D599" s="31">
        <f>'Raw Data'!F602</f>
        <v>2000</v>
      </c>
    </row>
    <row r="600" spans="1:4" x14ac:dyDescent="0.25">
      <c r="A600" t="str">
        <f>'Raw Data'!A603</f>
        <v>09/16/2025</v>
      </c>
      <c r="B600" t="str">
        <f>'Raw Data'!C603</f>
        <v>SOCIALPILOT         LEWES               DE</v>
      </c>
      <c r="C600" t="str">
        <f>'Raw Data'!I603</f>
        <v>Software &amp; Subscriptions</v>
      </c>
      <c r="D600" s="31">
        <f>'Raw Data'!F603</f>
        <v>50</v>
      </c>
    </row>
    <row r="601" spans="1:4" x14ac:dyDescent="0.25">
      <c r="A601" t="str">
        <f>'Raw Data'!A604</f>
        <v>09/13/2025</v>
      </c>
      <c r="B601" t="str">
        <f>'Raw Data'!C604</f>
        <v>DNH*GODADDY#38895690Tempe               AZ</v>
      </c>
      <c r="C601" t="str">
        <f>'Raw Data'!I604</f>
        <v>Go Daddy</v>
      </c>
      <c r="D601" s="31">
        <f>'Raw Data'!F604</f>
        <v>43.96</v>
      </c>
    </row>
    <row r="602" spans="1:4" x14ac:dyDescent="0.25">
      <c r="A602" t="str">
        <f>'Raw Data'!A605</f>
        <v>09/12/2025</v>
      </c>
      <c r="B602" t="str">
        <f>'Raw Data'!C605</f>
        <v>PAYPAL *PADDLE.NET  4029357733          GB</v>
      </c>
      <c r="C602" t="str">
        <f>'Raw Data'!I605</f>
        <v>Software &amp; Subscriptions</v>
      </c>
      <c r="D602" s="31">
        <f>'Raw Data'!F605</f>
        <v>10</v>
      </c>
    </row>
    <row r="603" spans="1:4" x14ac:dyDescent="0.25">
      <c r="A603" t="str">
        <f>'Raw Data'!A606</f>
        <v>09/12/2025</v>
      </c>
      <c r="B603" t="str">
        <f>'Raw Data'!C606</f>
        <v>SPOTIFY USA         NEW YORK            NY</v>
      </c>
      <c r="C603" t="str">
        <f>'Raw Data'!I606</f>
        <v>Software &amp; Subscriptions</v>
      </c>
      <c r="D603" s="31">
        <f>'Raw Data'!F606</f>
        <v>12.98</v>
      </c>
    </row>
    <row r="604" spans="1:4" x14ac:dyDescent="0.25">
      <c r="A604" t="str">
        <f>'Raw Data'!A607</f>
        <v>09/12/2025</v>
      </c>
      <c r="B604" t="str">
        <f>'Raw Data'!C607</f>
        <v>THE UPS STORE 4398  LOS ANGELES         CA</v>
      </c>
      <c r="C604" t="str">
        <f>'Raw Data'!I607</f>
        <v>DWG Swag</v>
      </c>
      <c r="D604" s="31">
        <f>'Raw Data'!F607</f>
        <v>21.39</v>
      </c>
    </row>
    <row r="605" spans="1:4" x14ac:dyDescent="0.25">
      <c r="A605" t="str">
        <f>'Raw Data'!A608</f>
        <v>09/12/2025</v>
      </c>
      <c r="B605" t="str">
        <f>'Raw Data'!C608</f>
        <v>TST* BLUEYS KITCHEN LOS ANGELES         CA</v>
      </c>
      <c r="C605" t="str">
        <f>'Raw Data'!I608</f>
        <v>Personal - Food</v>
      </c>
      <c r="D605" s="31">
        <f>'Raw Data'!F608</f>
        <v>98.43</v>
      </c>
    </row>
    <row r="606" spans="1:4" x14ac:dyDescent="0.25">
      <c r="A606" t="str">
        <f>'Raw Data'!A609</f>
        <v>09/11/2025</v>
      </c>
      <c r="B606" t="str">
        <f>'Raw Data'!C609</f>
        <v>ALANA'S COFFEE ROASTLos Angeles         CA</v>
      </c>
      <c r="C606" t="str">
        <f>'Raw Data'!I609</f>
        <v>Personal - Food</v>
      </c>
      <c r="D606" s="31">
        <f>'Raw Data'!F609</f>
        <v>7</v>
      </c>
    </row>
    <row r="607" spans="1:4" x14ac:dyDescent="0.25">
      <c r="A607" t="str">
        <f>'Raw Data'!A610</f>
        <v>09/11/2025</v>
      </c>
      <c r="B607" t="str">
        <f>'Raw Data'!C610</f>
        <v>DNH*GODADDY#38876545Tempe               AZ</v>
      </c>
      <c r="C607" t="str">
        <f>'Raw Data'!I610</f>
        <v>Go Daddy</v>
      </c>
      <c r="D607" s="31">
        <f>'Raw Data'!F610</f>
        <v>57.73</v>
      </c>
    </row>
    <row r="608" spans="1:4" x14ac:dyDescent="0.25">
      <c r="A608" t="str">
        <f>'Raw Data'!A611</f>
        <v>09/11/2025</v>
      </c>
      <c r="B608" t="str">
        <f>'Raw Data'!C611</f>
        <v>LADOT METER PARKING LOS ANGELES         CA</v>
      </c>
      <c r="C608" t="str">
        <f>'Raw Data'!I611</f>
        <v>Personal - Car</v>
      </c>
      <c r="D608" s="31">
        <f>'Raw Data'!F611</f>
        <v>2</v>
      </c>
    </row>
    <row r="609" spans="1:4" x14ac:dyDescent="0.25">
      <c r="A609" t="str">
        <f>'Raw Data'!A612</f>
        <v>09/11/2025</v>
      </c>
      <c r="B609" t="str">
        <f>'Raw Data'!C612</f>
        <v>TST* MY LAI 00041823LOS ANGELES         CA</v>
      </c>
      <c r="C609" t="str">
        <f>'Raw Data'!I612</f>
        <v>Personal - Food</v>
      </c>
      <c r="D609" s="31">
        <f>'Raw Data'!F612</f>
        <v>71.66</v>
      </c>
    </row>
    <row r="610" spans="1:4" x14ac:dyDescent="0.25">
      <c r="A610" t="str">
        <f>'Raw Data'!A613</f>
        <v>09/10/2025</v>
      </c>
      <c r="B610" t="str">
        <f>'Raw Data'!C613</f>
        <v>ALANA'S COFFEE ROASTLos Angeles         CA</v>
      </c>
      <c r="C610" t="str">
        <f>'Raw Data'!I613</f>
        <v>Personal - Food</v>
      </c>
      <c r="D610" s="31">
        <f>'Raw Data'!F613</f>
        <v>11.25</v>
      </c>
    </row>
    <row r="611" spans="1:4" x14ac:dyDescent="0.25">
      <c r="A611" t="str">
        <f>'Raw Data'!A614</f>
        <v>09/10/2025</v>
      </c>
      <c r="B611" t="str">
        <f>'Raw Data'!C614</f>
        <v>DNH*GODADDY#38864949Tempe               AZ</v>
      </c>
      <c r="C611" t="str">
        <f>'Raw Data'!I614</f>
        <v>Go Daddy</v>
      </c>
      <c r="D611" s="31">
        <f>'Raw Data'!F614</f>
        <v>26.98</v>
      </c>
    </row>
    <row r="612" spans="1:4" x14ac:dyDescent="0.25">
      <c r="A612" t="str">
        <f>'Raw Data'!A615</f>
        <v>09/10/2025</v>
      </c>
      <c r="B612" t="str">
        <f>'Raw Data'!C615</f>
        <v>TST* BLUEYS KITCHEN LOS ANGELES         CA</v>
      </c>
      <c r="C612" t="str">
        <f>'Raw Data'!I615</f>
        <v>Personal - Food</v>
      </c>
      <c r="D612" s="31">
        <f>'Raw Data'!F615</f>
        <v>95.04</v>
      </c>
    </row>
    <row r="613" spans="1:4" x14ac:dyDescent="0.25">
      <c r="A613" t="str">
        <f>'Raw Data'!A616</f>
        <v>09/10/2025</v>
      </c>
      <c r="B613" t="str">
        <f>'Raw Data'!C616</f>
        <v>VENICE LIQUOR 650000LOS ANGELES         CA</v>
      </c>
      <c r="C613" t="str">
        <f>'Raw Data'!I616</f>
        <v>Personal - Food</v>
      </c>
      <c r="D613" s="31">
        <f>'Raw Data'!F616</f>
        <v>7.38</v>
      </c>
    </row>
    <row r="614" spans="1:4" x14ac:dyDescent="0.25">
      <c r="A614" t="str">
        <f>'Raw Data'!A617</f>
        <v>09/10/2025</v>
      </c>
      <c r="B614" t="str">
        <f>'Raw Data'!C617</f>
        <v>VIMEO PRO           212-625-0668        NY</v>
      </c>
      <c r="C614" t="str">
        <f>'Raw Data'!I617</f>
        <v>Software &amp; Subscriptions</v>
      </c>
      <c r="D614" s="31">
        <f>'Raw Data'!F617</f>
        <v>24</v>
      </c>
    </row>
    <row r="615" spans="1:4" x14ac:dyDescent="0.25">
      <c r="A615" t="str">
        <f>'Raw Data'!A618</f>
        <v>09/09/2025</v>
      </c>
      <c r="B615" t="str">
        <f>'Raw Data'!C618</f>
        <v>DNH*GODADDY#38849106Tempe               AZ</v>
      </c>
      <c r="C615" t="str">
        <f>'Raw Data'!I618</f>
        <v>Go Daddy</v>
      </c>
      <c r="D615" s="31">
        <f>'Raw Data'!F618</f>
        <v>13.79</v>
      </c>
    </row>
    <row r="616" spans="1:4" x14ac:dyDescent="0.25">
      <c r="A616" t="str">
        <f>'Raw Data'!A619</f>
        <v>09/09/2025</v>
      </c>
      <c r="B616" t="str">
        <f>'Raw Data'!C619</f>
        <v>SP BILLY REID - LEAPCHICAGO             IL</v>
      </c>
      <c r="C616" t="str">
        <f>'Raw Data'!I619</f>
        <v>Personal - Clothing</v>
      </c>
      <c r="D616" s="31">
        <f>'Raw Data'!F619</f>
        <v>664.55</v>
      </c>
    </row>
    <row r="617" spans="1:4" x14ac:dyDescent="0.25">
      <c r="A617" t="str">
        <f>'Raw Data'!A620</f>
        <v>09/09/2025</v>
      </c>
      <c r="B617" t="str">
        <f>'Raw Data'!C620</f>
        <v>THE UPS STORE 4398  LOS ANGELES         CA</v>
      </c>
      <c r="C617" t="str">
        <f>'Raw Data'!I620</f>
        <v>DWG Swag</v>
      </c>
      <c r="D617" s="31">
        <f>'Raw Data'!F620</f>
        <v>161.79</v>
      </c>
    </row>
    <row r="618" spans="1:4" x14ac:dyDescent="0.25">
      <c r="A618" t="str">
        <f>'Raw Data'!A621</f>
        <v>09/09/2025</v>
      </c>
      <c r="B618" t="str">
        <f>'Raw Data'!C621</f>
        <v>TST* SALT &amp; STRAW - VENICE              CA</v>
      </c>
      <c r="C618" t="str">
        <f>'Raw Data'!I621</f>
        <v>Personal - Food</v>
      </c>
      <c r="D618" s="31">
        <f>'Raw Data'!F621</f>
        <v>18.48</v>
      </c>
    </row>
    <row r="619" spans="1:4" x14ac:dyDescent="0.25">
      <c r="A619" t="str">
        <f>'Raw Data'!A622</f>
        <v>09/09/2025</v>
      </c>
      <c r="B619" t="str">
        <f>'Raw Data'!C622</f>
        <v>VITO RESTAURANT     SANTA MONICA        CA</v>
      </c>
      <c r="C619" t="str">
        <f>'Raw Data'!I622</f>
        <v>Personal - Food</v>
      </c>
      <c r="D619" s="31">
        <f>'Raw Data'!F622</f>
        <v>28.15</v>
      </c>
    </row>
    <row r="620" spans="1:4" x14ac:dyDescent="0.25">
      <c r="A620" t="str">
        <f>'Raw Data'!A623</f>
        <v>09/08/2025</v>
      </c>
      <c r="B620" t="str">
        <f>'Raw Data'!C623</f>
        <v>ALAMO RENT A CAR RIOHEREDIA             HE</v>
      </c>
      <c r="C620" t="str">
        <f>'Raw Data'!I623</f>
        <v>Team Travel (Judd)</v>
      </c>
      <c r="D620" s="31">
        <f>'Raw Data'!F623</f>
        <v>-71.16</v>
      </c>
    </row>
    <row r="621" spans="1:4" x14ac:dyDescent="0.25">
      <c r="A621" t="str">
        <f>'Raw Data'!A624</f>
        <v>09/08/2025</v>
      </c>
      <c r="B621" t="str">
        <f>'Raw Data'!C624</f>
        <v>DNH*GODADDY#38840669Tempe               AZ</v>
      </c>
      <c r="C621" t="str">
        <f>'Raw Data'!I624</f>
        <v>Go Daddy</v>
      </c>
      <c r="D621" s="31">
        <f>'Raw Data'!F624</f>
        <v>53.35</v>
      </c>
    </row>
    <row r="622" spans="1:4" x14ac:dyDescent="0.25">
      <c r="A622" t="str">
        <f>'Raw Data'!A625</f>
        <v>09/08/2025</v>
      </c>
      <c r="B622" t="str">
        <f>'Raw Data'!C625</f>
        <v>EGNYTE INC 000000001MOUNTAIN VIEW       CA</v>
      </c>
      <c r="C622" t="str">
        <f>'Raw Data'!I625</f>
        <v>DWG Operations</v>
      </c>
      <c r="D622" s="31">
        <f>'Raw Data'!F625</f>
        <v>17.63</v>
      </c>
    </row>
    <row r="623" spans="1:4" x14ac:dyDescent="0.25">
      <c r="A623" t="str">
        <f>'Raw Data'!A626</f>
        <v>09/08/2025</v>
      </c>
      <c r="B623" t="str">
        <f>'Raw Data'!C626</f>
        <v>GRANDVIEW CLEANERS 5LOS ANGELES         CA</v>
      </c>
      <c r="C623" t="str">
        <f>'Raw Data'!I626</f>
        <v>Personal - Clothing</v>
      </c>
      <c r="D623" s="31">
        <f>'Raw Data'!F626</f>
        <v>328.47</v>
      </c>
    </row>
    <row r="624" spans="1:4" x14ac:dyDescent="0.25">
      <c r="A624" t="str">
        <f>'Raw Data'!A627</f>
        <v>09/08/2025</v>
      </c>
      <c r="B624" t="str">
        <f>'Raw Data'!C627</f>
        <v>OPENAI *CHATGPT SUBSSAN FRANCISCO       CA</v>
      </c>
      <c r="C624" t="str">
        <f>'Raw Data'!I627</f>
        <v>AI Subscriptions</v>
      </c>
      <c r="D624" s="31">
        <f>'Raw Data'!F627</f>
        <v>20</v>
      </c>
    </row>
    <row r="625" spans="1:4" x14ac:dyDescent="0.25">
      <c r="A625" t="str">
        <f>'Raw Data'!A628</f>
        <v>09/08/2025</v>
      </c>
      <c r="B625" t="str">
        <f>'Raw Data'!C628</f>
        <v>THE MV GRAB AND GO  LOS ANGELES         CA</v>
      </c>
      <c r="C625" t="str">
        <f>'Raw Data'!I628</f>
        <v>Personal - Food</v>
      </c>
      <c r="D625" s="31">
        <f>'Raw Data'!F628</f>
        <v>36.729999999999997</v>
      </c>
    </row>
    <row r="626" spans="1:4" x14ac:dyDescent="0.25">
      <c r="A626" t="str">
        <f>'Raw Data'!A629</f>
        <v>09/07/2025</v>
      </c>
      <c r="B626" t="str">
        <f>'Raw Data'!C629</f>
        <v>DNH*GODADDY#38269263Tempe               AZ</v>
      </c>
      <c r="C626" t="str">
        <f>'Raw Data'!I629</f>
        <v>Go Daddy</v>
      </c>
      <c r="D626" s="31">
        <f>'Raw Data'!F629</f>
        <v>296.19</v>
      </c>
    </row>
    <row r="627" spans="1:4" x14ac:dyDescent="0.25">
      <c r="A627" t="str">
        <f>'Raw Data'!A630</f>
        <v>09/07/2025</v>
      </c>
      <c r="B627" t="str">
        <f>'Raw Data'!C630</f>
        <v>DNH*GODADDY#38824020Tempe               AZ</v>
      </c>
      <c r="C627" t="str">
        <f>'Raw Data'!I630</f>
        <v>Go Daddy</v>
      </c>
      <c r="D627" s="31">
        <f>'Raw Data'!F630</f>
        <v>10.99</v>
      </c>
    </row>
    <row r="628" spans="1:4" x14ac:dyDescent="0.25">
      <c r="A628" t="str">
        <f>'Raw Data'!A631</f>
        <v>09/07/2025</v>
      </c>
      <c r="B628" t="str">
        <f>'Raw Data'!C631</f>
        <v>LA CABANA - VENICE 5877-8144102         CA</v>
      </c>
      <c r="C628" t="str">
        <f>'Raw Data'!I631</f>
        <v>Personal - Food</v>
      </c>
      <c r="D628" s="31">
        <f>'Raw Data'!F631</f>
        <v>136.5</v>
      </c>
    </row>
    <row r="629" spans="1:4" x14ac:dyDescent="0.25">
      <c r="A629" t="str">
        <f>'Raw Data'!A632</f>
        <v>09/07/2025</v>
      </c>
      <c r="B629" t="str">
        <f>'Raw Data'!C632</f>
        <v>LS YOGA-URT         GLENDALE            CA</v>
      </c>
      <c r="C629" t="str">
        <f>'Raw Data'!I632</f>
        <v>Personal - Food</v>
      </c>
      <c r="D629" s="31">
        <f>'Raw Data'!F632</f>
        <v>9.75</v>
      </c>
    </row>
    <row r="630" spans="1:4" x14ac:dyDescent="0.25">
      <c r="A630" t="str">
        <f>'Raw Data'!A633</f>
        <v>09/07/2025</v>
      </c>
      <c r="B630" t="str">
        <f>'Raw Data'!C633</f>
        <v>READ - MEETING MANAGSEATTLE             WA</v>
      </c>
      <c r="C630" t="str">
        <f>'Raw Data'!I633</f>
        <v>DWG Operations</v>
      </c>
      <c r="D630" s="31">
        <f>'Raw Data'!F633</f>
        <v>59.5</v>
      </c>
    </row>
    <row r="631" spans="1:4" x14ac:dyDescent="0.25">
      <c r="A631" t="str">
        <f>'Raw Data'!A634</f>
        <v>09/07/2025</v>
      </c>
      <c r="B631" t="str">
        <f>'Raw Data'!C634</f>
        <v>TST* CHECKER HALL 30LOS ANGELES         CA</v>
      </c>
      <c r="C631" t="str">
        <f>'Raw Data'!I634</f>
        <v>Personal - Food</v>
      </c>
      <c r="D631" s="31">
        <f>'Raw Data'!F634</f>
        <v>12.34</v>
      </c>
    </row>
    <row r="632" spans="1:4" x14ac:dyDescent="0.25">
      <c r="A632" t="str">
        <f>'Raw Data'!A635</f>
        <v>09/06/2025</v>
      </c>
      <c r="B632" t="str">
        <f>'Raw Data'!C635</f>
        <v>ALASKA AIRLINES     SEATTLE             WA</v>
      </c>
      <c r="C632" t="str">
        <f>'Raw Data'!I635</f>
        <v>Costa Rica Trip</v>
      </c>
      <c r="D632" s="31">
        <f>'Raw Data'!F635</f>
        <v>36.9</v>
      </c>
    </row>
    <row r="633" spans="1:4" x14ac:dyDescent="0.25">
      <c r="A633" t="str">
        <f>'Raw Data'!A636</f>
        <v>09/06/2025</v>
      </c>
      <c r="B633" t="str">
        <f>'Raw Data'!C636</f>
        <v>ALASKA AIRLINES     SEATTLE             WA</v>
      </c>
      <c r="C633" t="str">
        <f>'Raw Data'!I636</f>
        <v>Costa Rica Trip</v>
      </c>
      <c r="D633" s="31">
        <f>'Raw Data'!F636</f>
        <v>47.5</v>
      </c>
    </row>
    <row r="634" spans="1:4" x14ac:dyDescent="0.25">
      <c r="A634" t="str">
        <f>'Raw Data'!A637</f>
        <v>09/06/2025</v>
      </c>
      <c r="B634" t="str">
        <f>'Raw Data'!C637</f>
        <v>AMAZON PRIME*CA6506BAMZN.COM/BILL       WA</v>
      </c>
      <c r="C634" t="str">
        <f>'Raw Data'!I637</f>
        <v>Amazon</v>
      </c>
      <c r="D634" s="31">
        <f>'Raw Data'!F637</f>
        <v>3.24</v>
      </c>
    </row>
    <row r="635" spans="1:4" x14ac:dyDescent="0.25">
      <c r="A635" t="str">
        <f>'Raw Data'!A638</f>
        <v>09/06/2025</v>
      </c>
      <c r="B635" t="str">
        <f>'Raw Data'!C638</f>
        <v>Amazon Prime        Amazon.com          WA</v>
      </c>
      <c r="C635" t="str">
        <f>'Raw Data'!I638</f>
        <v>Amazon</v>
      </c>
      <c r="D635" s="31">
        <f>'Raw Data'!F638</f>
        <v>16.23</v>
      </c>
    </row>
    <row r="636" spans="1:4" x14ac:dyDescent="0.25">
      <c r="A636" t="str">
        <f>'Raw Data'!A639</f>
        <v>09/06/2025</v>
      </c>
      <c r="B636" t="str">
        <f>'Raw Data'!C639</f>
        <v>BRAVE.COM           SAN FRANCISCO       CA</v>
      </c>
      <c r="C636" t="str">
        <f>'Raw Data'!I639</f>
        <v>Software &amp; Subscriptions</v>
      </c>
      <c r="D636" s="31">
        <f>'Raw Data'!F639</f>
        <v>9.99</v>
      </c>
    </row>
    <row r="637" spans="1:4" x14ac:dyDescent="0.25">
      <c r="A637" t="str">
        <f>'Raw Data'!A640</f>
        <v>09/06/2025</v>
      </c>
      <c r="B637" t="str">
        <f>'Raw Data'!C640</f>
        <v>CREXI               LOS ANGELES         CA</v>
      </c>
      <c r="C637" t="str">
        <f>'Raw Data'!I640</f>
        <v>DWG Listing Platform</v>
      </c>
      <c r="D637" s="31">
        <f>'Raw Data'!F640</f>
        <v>260</v>
      </c>
    </row>
    <row r="638" spans="1:4" x14ac:dyDescent="0.25">
      <c r="A638" t="str">
        <f>'Raw Data'!A641</f>
        <v>09/06/2025</v>
      </c>
      <c r="B638" t="str">
        <f>'Raw Data'!C641</f>
        <v>STARBUCKS KIOSKO AERALAJUELA            AL</v>
      </c>
      <c r="C638" t="str">
        <f>'Raw Data'!I641</f>
        <v>Costa Rica Trip</v>
      </c>
      <c r="D638" s="31">
        <f>'Raw Data'!F641</f>
        <v>8</v>
      </c>
    </row>
    <row r="639" spans="1:4" x14ac:dyDescent="0.25">
      <c r="A639" t="str">
        <f>'Raw Data'!A642</f>
        <v>09/06/2025</v>
      </c>
      <c r="B639" t="str">
        <f>'Raw Data'!C642</f>
        <v>STARBUCKS KIOSKO AERALAJUELA            AL</v>
      </c>
      <c r="C639" t="str">
        <f>'Raw Data'!I642</f>
        <v>Costa Rica Trip</v>
      </c>
      <c r="D639" s="31">
        <f>'Raw Data'!F642</f>
        <v>16</v>
      </c>
    </row>
    <row r="640" spans="1:4" x14ac:dyDescent="0.25">
      <c r="A640" t="str">
        <f>'Raw Data'!A643</f>
        <v>09/05/2025</v>
      </c>
      <c r="B640" t="str">
        <f>'Raw Data'!C643</f>
        <v>ALASKA AIRLINES     SEATTLE             WA</v>
      </c>
      <c r="C640" t="str">
        <f>'Raw Data'!I643</f>
        <v>Costa Rica Trip</v>
      </c>
      <c r="D640" s="31">
        <f>'Raw Data'!F643</f>
        <v>135.99</v>
      </c>
    </row>
    <row r="641" spans="1:4" x14ac:dyDescent="0.25">
      <c r="A641" t="str">
        <f>'Raw Data'!A644</f>
        <v>09/05/2025</v>
      </c>
      <c r="B641" t="str">
        <f>'Raw Data'!C644</f>
        <v>DNH*GODADDY#38803084Tempe               AZ</v>
      </c>
      <c r="C641" t="str">
        <f>'Raw Data'!I644</f>
        <v>Go Daddy</v>
      </c>
      <c r="D641" s="31">
        <f>'Raw Data'!F644</f>
        <v>118.13</v>
      </c>
    </row>
    <row r="642" spans="1:4" x14ac:dyDescent="0.25">
      <c r="A642" t="str">
        <f>'Raw Data'!A645</f>
        <v>09/05/2025</v>
      </c>
      <c r="B642" t="str">
        <f>'Raw Data'!C645</f>
        <v>ESTACION EUSSE TARCOPUNTARENAS</v>
      </c>
      <c r="C642" t="str">
        <f>'Raw Data'!I645</f>
        <v>Costa Rica Trip</v>
      </c>
      <c r="D642" s="31">
        <f>'Raw Data'!F645</f>
        <v>67.650000000000006</v>
      </c>
    </row>
    <row r="643" spans="1:4" x14ac:dyDescent="0.25">
      <c r="A643" t="str">
        <f>'Raw Data'!A646</f>
        <v>09/05/2025</v>
      </c>
      <c r="B643" t="str">
        <f>'Raw Data'!C646</f>
        <v>HOLIDAY INN EXPRESS ALAJUELA            AL</v>
      </c>
      <c r="C643" t="str">
        <f>'Raw Data'!I646</f>
        <v>Costa Rica Trip</v>
      </c>
      <c r="D643" s="31">
        <f>'Raw Data'!F646</f>
        <v>168.37</v>
      </c>
    </row>
    <row r="644" spans="1:4" x14ac:dyDescent="0.25">
      <c r="A644" t="str">
        <f>'Raw Data'!A647</f>
        <v>09/05/2025</v>
      </c>
      <c r="B644" t="str">
        <f>'Raw Data'!C647</f>
        <v>MINI SUPER TROVA TARPUNTARENAS</v>
      </c>
      <c r="C644" t="str">
        <f>'Raw Data'!I647</f>
        <v>Costa Rica Trip</v>
      </c>
      <c r="D644" s="31">
        <f>'Raw Data'!F647</f>
        <v>1.29</v>
      </c>
    </row>
    <row r="645" spans="1:4" x14ac:dyDescent="0.25">
      <c r="A645" t="str">
        <f>'Raw Data'!A648</f>
        <v>09/04/2025</v>
      </c>
      <c r="B645" t="str">
        <f>'Raw Data'!C648</f>
        <v>DNH*GODADDY#38791705Tempe               AZ</v>
      </c>
      <c r="C645" t="str">
        <f>'Raw Data'!I648</f>
        <v>Go Daddy</v>
      </c>
      <c r="D645" s="31">
        <f>'Raw Data'!F648</f>
        <v>119.88</v>
      </c>
    </row>
    <row r="646" spans="1:4" x14ac:dyDescent="0.25">
      <c r="A646" t="str">
        <f>'Raw Data'!A649</f>
        <v>09/04/2025</v>
      </c>
      <c r="B646" t="str">
        <f>'Raw Data'!C649</f>
        <v>INFIERNO WOOD FIRED PUNTARENAS          PU</v>
      </c>
      <c r="C646" t="str">
        <f>'Raw Data'!I649</f>
        <v>Costa Rica Trip</v>
      </c>
      <c r="D646" s="31">
        <f>'Raw Data'!F649</f>
        <v>101.07</v>
      </c>
    </row>
    <row r="647" spans="1:4" x14ac:dyDescent="0.25">
      <c r="A647" t="str">
        <f>'Raw Data'!A650</f>
        <v>09/04/2025</v>
      </c>
      <c r="B647" t="str">
        <f>'Raw Data'!C650</f>
        <v>Jaco Centro de ServiGarabito,Jaco</v>
      </c>
      <c r="C647" t="str">
        <f>'Raw Data'!I650</f>
        <v>Costa Rica Trip</v>
      </c>
      <c r="D647" s="31">
        <f>'Raw Data'!F650</f>
        <v>56.29</v>
      </c>
    </row>
    <row r="648" spans="1:4" x14ac:dyDescent="0.25">
      <c r="A648" t="str">
        <f>'Raw Data'!A651</f>
        <v>09/04/2025</v>
      </c>
      <c r="B648" t="str">
        <f>'Raw Data'!C651</f>
        <v>KINDLE SVCS*C99GU6WM888-802-3080        WA</v>
      </c>
      <c r="C648" t="str">
        <f>'Raw Data'!I651</f>
        <v>Costa Rica Trip</v>
      </c>
      <c r="D648" s="31">
        <f>'Raw Data'!F651</f>
        <v>16.77</v>
      </c>
    </row>
    <row r="649" spans="1:4" x14ac:dyDescent="0.25">
      <c r="A649" t="str">
        <f>'Raw Data'!A652</f>
        <v>09/03/2025</v>
      </c>
      <c r="B649" t="str">
        <f>'Raw Data'!C652</f>
        <v>CONTACTS+           HUNTINGTON BEACH    CA</v>
      </c>
      <c r="C649" t="str">
        <f>'Raw Data'!I652</f>
        <v>Personal - Health</v>
      </c>
      <c r="D649" s="31">
        <f>'Raw Data'!F652</f>
        <v>13.99</v>
      </c>
    </row>
    <row r="650" spans="1:4" x14ac:dyDescent="0.25">
      <c r="A650" t="str">
        <f>'Raw Data'!A653</f>
        <v>09/03/2025</v>
      </c>
      <c r="B650" t="str">
        <f>'Raw Data'!C653</f>
        <v>CRYSTAL DENTAL CARE PUNTARENAS          PU</v>
      </c>
      <c r="C650" t="str">
        <f>'Raw Data'!I653</f>
        <v>Costa Rica Trip</v>
      </c>
      <c r="D650" s="31">
        <f>'Raw Data'!F653</f>
        <v>50</v>
      </c>
    </row>
    <row r="651" spans="1:4" x14ac:dyDescent="0.25">
      <c r="A651" t="str">
        <f>'Raw Data'!A654</f>
        <v>09/03/2025</v>
      </c>
      <c r="B651" t="str">
        <f>'Raw Data'!C654</f>
        <v>LOCALS GRILL        PUNTARENAS          PU</v>
      </c>
      <c r="C651" t="str">
        <f>'Raw Data'!I654</f>
        <v>Costa Rica Trip</v>
      </c>
      <c r="D651" s="31">
        <f>'Raw Data'!F654</f>
        <v>31.15</v>
      </c>
    </row>
    <row r="652" spans="1:4" x14ac:dyDescent="0.25">
      <c r="A652" t="str">
        <f>'Raw Data'!A655</f>
        <v>09/03/2025</v>
      </c>
      <c r="B652" t="str">
        <f>'Raw Data'!C655</f>
        <v>RESTAURANTE LOS ALMEPUNTARENAS          PU</v>
      </c>
      <c r="C652" t="str">
        <f>'Raw Data'!I655</f>
        <v>Costa Rica Trip</v>
      </c>
      <c r="D652" s="31">
        <f>'Raw Data'!F655</f>
        <v>96.16</v>
      </c>
    </row>
    <row r="653" spans="1:4" x14ac:dyDescent="0.25">
      <c r="A653" t="str">
        <f>'Raw Data'!A656</f>
        <v>09/03/2025</v>
      </c>
      <c r="B653" t="str">
        <f>'Raw Data'!C656</f>
        <v>SALESMESSAGE.COM    DELRAY BEACH        FL</v>
      </c>
      <c r="C653" t="str">
        <f>'Raw Data'!I656</f>
        <v>Software &amp; Subscriptions</v>
      </c>
      <c r="D653" s="31">
        <f>'Raw Data'!F656</f>
        <v>52.14</v>
      </c>
    </row>
    <row r="654" spans="1:4" x14ac:dyDescent="0.25">
      <c r="A654" t="str">
        <f>'Raw Data'!A657</f>
        <v>09/02/2025</v>
      </c>
      <c r="B654" t="str">
        <f>'Raw Data'!C657</f>
        <v>DNH*GODADDY#38767029Tempe               AZ</v>
      </c>
      <c r="C654" t="str">
        <f>'Raw Data'!I657</f>
        <v>Go Daddy</v>
      </c>
      <c r="D654" s="31">
        <f>'Raw Data'!F657</f>
        <v>13.98</v>
      </c>
    </row>
    <row r="655" spans="1:4" x14ac:dyDescent="0.25">
      <c r="A655" t="str">
        <f>'Raw Data'!A658</f>
        <v>09/02/2025</v>
      </c>
      <c r="B655" t="str">
        <f>'Raw Data'!C658</f>
        <v>DNH*GODADDY#38768106Tempe               AZ</v>
      </c>
      <c r="C655" t="str">
        <f>'Raw Data'!I658</f>
        <v>Go Daddy</v>
      </c>
      <c r="D655" s="31">
        <f>'Raw Data'!F658</f>
        <v>5.99</v>
      </c>
    </row>
    <row r="656" spans="1:4" x14ac:dyDescent="0.25">
      <c r="A656" t="str">
        <f>'Raw Data'!A659</f>
        <v>09/02/2025</v>
      </c>
      <c r="B656" t="str">
        <f>'Raw Data'!C659</f>
        <v>GASOLINERA PARRITA  PUNTARENAS          PU</v>
      </c>
      <c r="C656" t="str">
        <f>'Raw Data'!I659</f>
        <v>Costa Rica Trip</v>
      </c>
      <c r="D656" s="31">
        <f>'Raw Data'!F659</f>
        <v>104.09</v>
      </c>
    </row>
    <row r="657" spans="1:4" x14ac:dyDescent="0.25">
      <c r="A657" t="str">
        <f>'Raw Data'!A660</f>
        <v>09/02/2025</v>
      </c>
      <c r="B657" t="str">
        <f>'Raw Data'!C660</f>
        <v>MANGO SURF SHOP JACOPUNTARENAS          PU</v>
      </c>
      <c r="C657" t="str">
        <f>'Raw Data'!I660</f>
        <v>Costa Rica Trip</v>
      </c>
      <c r="D657" s="31">
        <f>'Raw Data'!F660</f>
        <v>140.53</v>
      </c>
    </row>
    <row r="658" spans="1:4" x14ac:dyDescent="0.25">
      <c r="A658" t="str">
        <f>'Raw Data'!A661</f>
        <v>09/02/2025</v>
      </c>
      <c r="B658" t="str">
        <f>'Raw Data'!C661</f>
        <v>ZARPE O QUE PARRITA PUNTARENAS          PU</v>
      </c>
      <c r="C658" t="str">
        <f>'Raw Data'!I661</f>
        <v>Costa Rica Trip</v>
      </c>
      <c r="D658" s="31">
        <f>'Raw Data'!F661</f>
        <v>1.79</v>
      </c>
    </row>
    <row r="659" spans="1:4" x14ac:dyDescent="0.25">
      <c r="A659" t="str">
        <f>'Raw Data'!A662</f>
        <v>09/02/2025</v>
      </c>
      <c r="B659" t="str">
        <f>'Raw Data'!C662</f>
        <v>ZARPE O QUE PARRITA PUNTARENAS          PU</v>
      </c>
      <c r="C659" t="str">
        <f>'Raw Data'!I662</f>
        <v>Costa Rica Trip</v>
      </c>
      <c r="D659" s="31">
        <f>'Raw Data'!F662</f>
        <v>1.99</v>
      </c>
    </row>
    <row r="660" spans="1:4" x14ac:dyDescent="0.25">
      <c r="A660" t="str">
        <f>'Raw Data'!A663</f>
        <v>09/01/2025</v>
      </c>
      <c r="B660" t="str">
        <f>'Raw Data'!C663</f>
        <v>ABC*ICONFIT         LOS ANGELES         CA</v>
      </c>
      <c r="C660" t="str">
        <f>'Raw Data'!I663</f>
        <v>Personal - Health</v>
      </c>
      <c r="D660" s="31">
        <f>'Raw Data'!F663</f>
        <v>119.52</v>
      </c>
    </row>
    <row r="661" spans="1:4" x14ac:dyDescent="0.25">
      <c r="A661" t="str">
        <f>'Raw Data'!A664</f>
        <v>09/01/2025</v>
      </c>
      <c r="B661" t="str">
        <f>'Raw Data'!C664</f>
        <v>DELTA JACO          PUNTARENAS          PU</v>
      </c>
      <c r="C661" t="str">
        <f>'Raw Data'!I664</f>
        <v>Costa Rica Trip</v>
      </c>
      <c r="D661" s="31">
        <f>'Raw Data'!F664</f>
        <v>51</v>
      </c>
    </row>
    <row r="662" spans="1:4" x14ac:dyDescent="0.25">
      <c r="A662" t="str">
        <f>'Raw Data'!A665</f>
        <v>09/01/2025</v>
      </c>
      <c r="B662" t="str">
        <f>'Raw Data'!C665</f>
        <v>DNH*GODADDY#38756335Tempe               AZ</v>
      </c>
      <c r="C662" t="str">
        <f>'Raw Data'!I665</f>
        <v>Go Daddy</v>
      </c>
      <c r="D662" s="31">
        <f>'Raw Data'!F665</f>
        <v>30.97</v>
      </c>
    </row>
    <row r="663" spans="1:4" x14ac:dyDescent="0.25">
      <c r="A663" t="str">
        <f>'Raw Data'!A666</f>
        <v>09/01/2025</v>
      </c>
      <c r="B663" t="str">
        <f>'Raw Data'!C666</f>
        <v>LOOM SUBSCRIPTION   AUSTIN              TX</v>
      </c>
      <c r="C663" t="str">
        <f>'Raw Data'!I666</f>
        <v>Software &amp; Subscriptions</v>
      </c>
      <c r="D663" s="31">
        <f>'Raw Data'!F666</f>
        <v>20</v>
      </c>
    </row>
    <row r="664" spans="1:4" x14ac:dyDescent="0.25">
      <c r="A664" t="str">
        <f>'Raw Data'!A667</f>
        <v>09/01/2025</v>
      </c>
      <c r="B664" t="str">
        <f>'Raw Data'!C667</f>
        <v>TSUNAMI SUSHI JACO  PUNTARENAS          PU</v>
      </c>
      <c r="C664" t="str">
        <f>'Raw Data'!I667</f>
        <v>Personal - Food</v>
      </c>
      <c r="D664" s="31">
        <f>'Raw Data'!F667</f>
        <v>113.36</v>
      </c>
    </row>
    <row r="665" spans="1:4" x14ac:dyDescent="0.25">
      <c r="A665" t="str">
        <f>'Raw Data'!A668</f>
        <v>08/31/2025</v>
      </c>
      <c r="B665" t="str">
        <f>'Raw Data'!C668</f>
        <v>ALASKA AIRLINES     SEATTLE             WA</v>
      </c>
      <c r="C665" t="str">
        <f>'Raw Data'!I668</f>
        <v>Costa Rica Trip</v>
      </c>
      <c r="D665" s="31">
        <f>'Raw Data'!F668</f>
        <v>341.06</v>
      </c>
    </row>
    <row r="666" spans="1:4" x14ac:dyDescent="0.25">
      <c r="A666" t="str">
        <f>'Raw Data'!A669</f>
        <v>08/31/2025</v>
      </c>
      <c r="B666" t="str">
        <f>'Raw Data'!C669</f>
        <v>FARMACIA LA ECONOMICPUNTARENAS          PU</v>
      </c>
      <c r="C666" t="str">
        <f>'Raw Data'!I669</f>
        <v>Costa Rica Trip</v>
      </c>
      <c r="D666" s="31">
        <f>'Raw Data'!F669</f>
        <v>26.83</v>
      </c>
    </row>
    <row r="667" spans="1:4" x14ac:dyDescent="0.25">
      <c r="A667" t="str">
        <f>'Raw Data'!A670</f>
        <v>08/31/2025</v>
      </c>
      <c r="B667" t="str">
        <f>'Raw Data'!C670</f>
        <v>SPONSORCLOUD (SYNPROSALT LAKE CITY      UT</v>
      </c>
      <c r="C667" t="str">
        <f>'Raw Data'!I670</f>
        <v>Sponsor Cloud</v>
      </c>
      <c r="D667" s="31">
        <f>'Raw Data'!F670</f>
        <v>184.16</v>
      </c>
    </row>
    <row r="668" spans="1:4" x14ac:dyDescent="0.25">
      <c r="A668" t="str">
        <f>'Raw Data'!A671</f>
        <v>08/30/2025</v>
      </c>
      <c r="B668" t="str">
        <f>'Raw Data'!C671</f>
        <v>ALAMO RENT A CAR RIOHEREDIA             HE</v>
      </c>
      <c r="C668" t="str">
        <f>'Raw Data'!I671</f>
        <v>Costa Rica Trip</v>
      </c>
      <c r="D668" s="31">
        <f>'Raw Data'!F671</f>
        <v>715.95</v>
      </c>
    </row>
    <row r="669" spans="1:4" x14ac:dyDescent="0.25">
      <c r="A669" t="str">
        <f>'Raw Data'!A672</f>
        <v>08/30/2025</v>
      </c>
      <c r="B669" t="str">
        <f>'Raw Data'!C672</f>
        <v>COPA AIRLINES COPA APANAMA              PA</v>
      </c>
      <c r="C669" t="str">
        <f>'Raw Data'!I672</f>
        <v>Costa Rica Trip</v>
      </c>
      <c r="D669" s="31">
        <f>'Raw Data'!F672</f>
        <v>150</v>
      </c>
    </row>
    <row r="670" spans="1:4" x14ac:dyDescent="0.25">
      <c r="A670" t="str">
        <f>'Raw Data'!A673</f>
        <v>08/30/2025</v>
      </c>
      <c r="B670" t="str">
        <f>'Raw Data'!C673</f>
        <v>EXPEDIA 732251210120EXPEDIA.COM         WA</v>
      </c>
      <c r="C670" t="str">
        <f>'Raw Data'!I673</f>
        <v>Costa Rica Trip</v>
      </c>
      <c r="D670" s="31">
        <f>'Raw Data'!F673</f>
        <v>112</v>
      </c>
    </row>
    <row r="671" spans="1:4" x14ac:dyDescent="0.25">
      <c r="A671" t="str">
        <f>'Raw Data'!A674</f>
        <v>08/30/2025</v>
      </c>
      <c r="B671" t="str">
        <f>'Raw Data'!C674</f>
        <v>TST* THE BUTCHER'S DVENICE              CA</v>
      </c>
      <c r="C671" t="str">
        <f>'Raw Data'!I674</f>
        <v>Personal - Food</v>
      </c>
      <c r="D671" s="31">
        <f>'Raw Data'!F674</f>
        <v>202.84</v>
      </c>
    </row>
    <row r="672" spans="1:4" x14ac:dyDescent="0.25">
      <c r="A672" t="str">
        <f>'Raw Data'!A675</f>
        <v>08/30/2025</v>
      </c>
      <c r="B672" t="str">
        <f>'Raw Data'!C675</f>
        <v>Umami Burger TBIT LALos Angeles         CA</v>
      </c>
      <c r="C672" t="str">
        <f>'Raw Data'!I675</f>
        <v>Costa Rica Trip</v>
      </c>
      <c r="D672" s="31">
        <f>'Raw Data'!F675</f>
        <v>5.48</v>
      </c>
    </row>
    <row r="673" spans="1:4" x14ac:dyDescent="0.25">
      <c r="A673" t="str">
        <f>'Raw Data'!A676</f>
        <v>08/30/2025</v>
      </c>
      <c r="B673" t="str">
        <f>'Raw Data'!C676</f>
        <v>Umami Burger TBIT LALos Angeles         CA</v>
      </c>
      <c r="C673" t="str">
        <f>'Raw Data'!I676</f>
        <v>Costa Rica Trip</v>
      </c>
      <c r="D673" s="31">
        <f>'Raw Data'!F676</f>
        <v>31.92</v>
      </c>
    </row>
    <row r="674" spans="1:4" x14ac:dyDescent="0.25">
      <c r="A674" t="str">
        <f>'Raw Data'!A677</f>
        <v>08/30/2025</v>
      </c>
      <c r="B674" t="str">
        <f>'Raw Data'!C677</f>
        <v>ZARPE O QUE GUACIMA ALAJUELA            AL</v>
      </c>
      <c r="C674" t="str">
        <f>'Raw Data'!I677</f>
        <v>Costa Rica Trip</v>
      </c>
      <c r="D674" s="31">
        <f>'Raw Data'!F677</f>
        <v>14.42</v>
      </c>
    </row>
    <row r="675" spans="1:4" x14ac:dyDescent="0.25">
      <c r="A675" t="str">
        <f>'Raw Data'!A678</f>
        <v>08/29/2025</v>
      </c>
      <c r="B675" t="str">
        <f>'Raw Data'!C678</f>
        <v>COPAARP</v>
      </c>
      <c r="C675" t="str">
        <f>'Raw Data'!I678</f>
        <v>Costa Rica Trip</v>
      </c>
      <c r="D675" s="31">
        <f>'Raw Data'!F678</f>
        <v>228.22</v>
      </c>
    </row>
    <row r="676" spans="1:4" x14ac:dyDescent="0.25">
      <c r="A676" t="str">
        <f>'Raw Data'!A679</f>
        <v>08/29/2025</v>
      </c>
      <c r="B676" t="str">
        <f>'Raw Data'!C679</f>
        <v>COPA WEB CHECK IN   PANAMÁ              PA</v>
      </c>
      <c r="C676" t="str">
        <f>'Raw Data'!I679</f>
        <v>Costa Rica Trip</v>
      </c>
      <c r="D676" s="31">
        <f>'Raw Data'!F679</f>
        <v>43.29</v>
      </c>
    </row>
    <row r="677" spans="1:4" x14ac:dyDescent="0.25">
      <c r="A677" t="str">
        <f>'Raw Data'!A680</f>
        <v>08/29/2025</v>
      </c>
      <c r="B677" t="str">
        <f>'Raw Data'!C680</f>
        <v>EXPEDIA 732247548380EXPEDIA.COM         WA</v>
      </c>
      <c r="C677" t="str">
        <f>'Raw Data'!I680</f>
        <v>Costa Rica Trip</v>
      </c>
      <c r="D677" s="31">
        <f>'Raw Data'!F680</f>
        <v>35</v>
      </c>
    </row>
    <row r="678" spans="1:4" x14ac:dyDescent="0.25">
      <c r="A678" t="str">
        <f>'Raw Data'!A681</f>
        <v>08/29/2025</v>
      </c>
      <c r="B678" t="str">
        <f>'Raw Data'!C681</f>
        <v>MOON JUICE          Venice              CA</v>
      </c>
      <c r="C678" t="str">
        <f>'Raw Data'!I681</f>
        <v>Personal - Food</v>
      </c>
      <c r="D678" s="31">
        <f>'Raw Data'!F681</f>
        <v>51.24</v>
      </c>
    </row>
    <row r="679" spans="1:4" x14ac:dyDescent="0.25">
      <c r="A679" t="str">
        <f>'Raw Data'!A682</f>
        <v>08/29/2025</v>
      </c>
      <c r="B679" t="str">
        <f>'Raw Data'!C682</f>
        <v>OPENAI *CHATGPT SUBSSAN FRANCISCO       CA</v>
      </c>
      <c r="C679" t="str">
        <f>'Raw Data'!I682</f>
        <v>AI Subscriptions</v>
      </c>
      <c r="D679" s="31">
        <f>'Raw Data'!F682</f>
        <v>20</v>
      </c>
    </row>
    <row r="680" spans="1:4" x14ac:dyDescent="0.25">
      <c r="A680" t="str">
        <f>'Raw Data'!A683</f>
        <v>08/29/2025</v>
      </c>
      <c r="B680" t="str">
        <f>'Raw Data'!C683</f>
        <v>SP BILLY REID - LEAPCHICAGO             IL</v>
      </c>
      <c r="C680" t="str">
        <f>'Raw Data'!I683</f>
        <v>Personal - Clothing</v>
      </c>
      <c r="D680" s="31">
        <f>'Raw Data'!F683</f>
        <v>267.51</v>
      </c>
    </row>
    <row r="681" spans="1:4" x14ac:dyDescent="0.25">
      <c r="A681" t="str">
        <f>'Raw Data'!A684</f>
        <v>08/29/2025</v>
      </c>
      <c r="B681" t="str">
        <f>'Raw Data'!C684</f>
        <v>TST* CAFE GRATITUDE VENICE              CA</v>
      </c>
      <c r="C681" t="str">
        <f>'Raw Data'!I684</f>
        <v>Personal - Food</v>
      </c>
      <c r="D681" s="31">
        <f>'Raw Data'!F684</f>
        <v>143.36000000000001</v>
      </c>
    </row>
    <row r="682" spans="1:4" x14ac:dyDescent="0.25">
      <c r="A682" t="str">
        <f>'Raw Data'!A685</f>
        <v>08/28/2025</v>
      </c>
      <c r="B682" t="str">
        <f>'Raw Data'!C685</f>
        <v>CHEVRON 0306890/CHEVSANTA MONICA        CA</v>
      </c>
      <c r="C682" t="str">
        <f>'Raw Data'!I685</f>
        <v>Personal - Car</v>
      </c>
      <c r="D682" s="31">
        <f>'Raw Data'!F685</f>
        <v>79.14</v>
      </c>
    </row>
    <row r="683" spans="1:4" x14ac:dyDescent="0.25">
      <c r="A683" t="str">
        <f>'Raw Data'!A686</f>
        <v>08/27/2025</v>
      </c>
      <c r="B683" t="str">
        <f>'Raw Data'!C686</f>
        <v>SPLICE.COM          NEW YORK            NY</v>
      </c>
      <c r="C683" t="str">
        <f>'Raw Data'!I686</f>
        <v>Software &amp; Subscriptions</v>
      </c>
      <c r="D683" s="31">
        <f>'Raw Data'!F686</f>
        <v>39.99</v>
      </c>
    </row>
    <row r="684" spans="1:4" x14ac:dyDescent="0.25">
      <c r="A684" t="str">
        <f>'Raw Data'!A687</f>
        <v>08/26/2025</v>
      </c>
      <c r="B684" t="str">
        <f>'Raw Data'!C687</f>
        <v>VITO RESTAURANT     SANTA MONICA        CA</v>
      </c>
      <c r="C684" t="str">
        <f>'Raw Data'!I687</f>
        <v>Personal - Food</v>
      </c>
      <c r="D684" s="31">
        <f>'Raw Data'!F687</f>
        <v>53.03</v>
      </c>
    </row>
    <row r="685" spans="1:4" x14ac:dyDescent="0.25">
      <c r="A685" t="str">
        <f>'Raw Data'!A688</f>
        <v>08/25/2025</v>
      </c>
      <c r="B685" t="str">
        <f>'Raw Data'!C688</f>
        <v>AMAZON.COM          AMZN.COM/BILL       WA</v>
      </c>
      <c r="C685" t="str">
        <f>'Raw Data'!I688</f>
        <v>Amazon</v>
      </c>
      <c r="D685" s="31">
        <f>'Raw Data'!F688</f>
        <v>10.47</v>
      </c>
    </row>
    <row r="686" spans="1:4" x14ac:dyDescent="0.25">
      <c r="A686" t="str">
        <f>'Raw Data'!A689</f>
        <v>08/25/2025</v>
      </c>
      <c r="B686" t="str">
        <f>'Raw Data'!C689</f>
        <v>FUND LAUNCH         LEHI                UT</v>
      </c>
      <c r="C686" t="str">
        <f>'Raw Data'!I689</f>
        <v>Fund Launch</v>
      </c>
      <c r="D686" s="31">
        <f>'Raw Data'!F689</f>
        <v>883</v>
      </c>
    </row>
    <row r="687" spans="1:4" x14ac:dyDescent="0.25">
      <c r="A687" t="str">
        <f>'Raw Data'!A690</f>
        <v>08/25/2025</v>
      </c>
      <c r="B687" t="str">
        <f>'Raw Data'!C690</f>
        <v>PRIME VIDEO CHANNELSAMZN.COM/BILL       WA</v>
      </c>
      <c r="C687" t="str">
        <f>'Raw Data'!I690</f>
        <v>Amazon</v>
      </c>
      <c r="D687" s="31">
        <f>'Raw Data'!F690</f>
        <v>10.81</v>
      </c>
    </row>
    <row r="688" spans="1:4" x14ac:dyDescent="0.25">
      <c r="A688" t="str">
        <f>'Raw Data'!A691</f>
        <v>08/25/2025</v>
      </c>
      <c r="B688" t="str">
        <f>'Raw Data'!C691</f>
        <v>THE MV GRAB AND GO  LOS ANGELES         CA</v>
      </c>
      <c r="C688" t="str">
        <f>'Raw Data'!I691</f>
        <v>Personal - Food</v>
      </c>
      <c r="D688" s="31">
        <f>'Raw Data'!F691</f>
        <v>51.86</v>
      </c>
    </row>
    <row r="689" spans="1:4" x14ac:dyDescent="0.25">
      <c r="A689" t="str">
        <f>'Raw Data'!A692</f>
        <v>08/25/2025</v>
      </c>
      <c r="B689" t="str">
        <f>'Raw Data'!C692</f>
        <v>TST* BRENNAN'S 30066MARINA DEL RE       CA</v>
      </c>
      <c r="C689" t="str">
        <f>'Raw Data'!I692</f>
        <v>Personal - Food</v>
      </c>
      <c r="D689" s="31">
        <f>'Raw Data'!F692</f>
        <v>19.77</v>
      </c>
    </row>
    <row r="690" spans="1:4" x14ac:dyDescent="0.25">
      <c r="A690" t="str">
        <f>'Raw Data'!A693</f>
        <v>08/24/2025</v>
      </c>
      <c r="B690" t="str">
        <f>'Raw Data'!C693</f>
        <v>TST* THE LOCAL YOLK MANHATTAN BEACH     CA</v>
      </c>
      <c r="C690" t="str">
        <f>'Raw Data'!I693</f>
        <v>Personal - Food</v>
      </c>
      <c r="D690" s="31">
        <f>'Raw Data'!F693</f>
        <v>100</v>
      </c>
    </row>
    <row r="691" spans="1:4" x14ac:dyDescent="0.25">
      <c r="A691" t="str">
        <f>'Raw Data'!A694</f>
        <v>08/23/2025</v>
      </c>
      <c r="B691" t="str">
        <f>'Raw Data'!C694</f>
        <v>PACOS TACOS 0755    LOS ANGELES         CA</v>
      </c>
      <c r="C691" t="str">
        <f>'Raw Data'!I694</f>
        <v>Personal - Food</v>
      </c>
      <c r="D691" s="31">
        <f>'Raw Data'!F694</f>
        <v>190</v>
      </c>
    </row>
    <row r="692" spans="1:4" x14ac:dyDescent="0.25">
      <c r="A692" t="str">
        <f>'Raw Data'!A695</f>
        <v>08/23/2025</v>
      </c>
      <c r="B692" t="str">
        <f>'Raw Data'!C695</f>
        <v>PAYA THAI LA LLC. BLLOS ANGELES         CA</v>
      </c>
      <c r="C692" t="str">
        <f>'Raw Data'!I695</f>
        <v>Personal - Health</v>
      </c>
      <c r="D692" s="31">
        <f>'Raw Data'!F695</f>
        <v>155</v>
      </c>
    </row>
    <row r="693" spans="1:4" x14ac:dyDescent="0.25">
      <c r="A693" t="str">
        <f>'Raw Data'!A696</f>
        <v>08/23/2025</v>
      </c>
      <c r="B693" t="str">
        <f>'Raw Data'!C696</f>
        <v>TST* BLUEYS KITCHEN LOS ANGELES         CA</v>
      </c>
      <c r="C693" t="str">
        <f>'Raw Data'!I696</f>
        <v>Personal - Food</v>
      </c>
      <c r="D693" s="31">
        <f>'Raw Data'!F696</f>
        <v>73.12</v>
      </c>
    </row>
    <row r="694" spans="1:4" x14ac:dyDescent="0.25">
      <c r="A694" t="str">
        <f>'Raw Data'!A697</f>
        <v>08/22/2025</v>
      </c>
      <c r="B694" t="str">
        <f>'Raw Data'!C697</f>
        <v>6129 MOLLER RETAIL 6CULVER CITY         CA</v>
      </c>
      <c r="C694" t="str">
        <f>'Raw Data'!I697</f>
        <v>Personal - Car</v>
      </c>
      <c r="D694" s="31">
        <f>'Raw Data'!F697</f>
        <v>58.68</v>
      </c>
    </row>
    <row r="695" spans="1:4" x14ac:dyDescent="0.25">
      <c r="A695" t="str">
        <f>'Raw Data'!A698</f>
        <v>08/22/2025</v>
      </c>
      <c r="B695" t="str">
        <f>'Raw Data'!C698</f>
        <v>PAYA THAI LA LLC. BLLOS ANGELES         CA</v>
      </c>
      <c r="C695" t="str">
        <f>'Raw Data'!I698</f>
        <v>Personal - Health</v>
      </c>
      <c r="D695" s="31">
        <f>'Raw Data'!F698</f>
        <v>90</v>
      </c>
    </row>
    <row r="696" spans="1:4" x14ac:dyDescent="0.25">
      <c r="A696" t="str">
        <f>'Raw Data'!A699</f>
        <v>08/21/2025</v>
      </c>
      <c r="B696" t="str">
        <f>'Raw Data'!C699</f>
        <v>AMERICAN AIRLINES   800-433-7300        TX</v>
      </c>
      <c r="C696" t="str">
        <f>'Raw Data'!I699</f>
        <v>Miami Investor Trip</v>
      </c>
      <c r="D696" s="31">
        <f>'Raw Data'!F699</f>
        <v>26.09</v>
      </c>
    </row>
    <row r="697" spans="1:4" x14ac:dyDescent="0.25">
      <c r="A697" t="str">
        <f>'Raw Data'!A700</f>
        <v>08/21/2025</v>
      </c>
      <c r="B697" t="str">
        <f>'Raw Data'!C700</f>
        <v>American Airlines   FORT WORTH          TX</v>
      </c>
      <c r="C697" t="str">
        <f>'Raw Data'!I700</f>
        <v>Miami Investor Trip</v>
      </c>
      <c r="D697" s="31">
        <f>'Raw Data'!F700</f>
        <v>45</v>
      </c>
    </row>
    <row r="698" spans="1:4" x14ac:dyDescent="0.25">
      <c r="A698" t="str">
        <f>'Raw Data'!A701</f>
        <v>08/21/2025</v>
      </c>
      <c r="B698" t="str">
        <f>'Raw Data'!C701</f>
        <v>DNH*GODADDY#38617066Tempe               AZ</v>
      </c>
      <c r="C698" t="str">
        <f>'Raw Data'!I701</f>
        <v>Go Daddy</v>
      </c>
      <c r="D698" s="31">
        <f>'Raw Data'!F701</f>
        <v>35.18</v>
      </c>
    </row>
    <row r="699" spans="1:4" x14ac:dyDescent="0.25">
      <c r="A699" t="str">
        <f>'Raw Data'!A702</f>
        <v>08/21/2025</v>
      </c>
      <c r="B699" t="str">
        <f>'Raw Data'!C702</f>
        <v>PAR*SMOOTHIE KING SKDALLAS              TX</v>
      </c>
      <c r="C699" t="str">
        <f>'Raw Data'!I702</f>
        <v>Miami Investor Trip</v>
      </c>
      <c r="D699" s="31">
        <f>'Raw Data'!F702</f>
        <v>18.149999999999999</v>
      </c>
    </row>
    <row r="700" spans="1:4" x14ac:dyDescent="0.25">
      <c r="A700" t="str">
        <f>'Raw Data'!A703</f>
        <v>08/21/2025</v>
      </c>
      <c r="B700" t="str">
        <f>'Raw Data'!C703</f>
        <v>TARGET              WEATHERFORD         TX</v>
      </c>
      <c r="C700" t="str">
        <f>'Raw Data'!I703</f>
        <v>Personal - House</v>
      </c>
      <c r="D700" s="31">
        <f>'Raw Data'!F703</f>
        <v>20.41</v>
      </c>
    </row>
    <row r="701" spans="1:4" x14ac:dyDescent="0.25">
      <c r="A701" t="str">
        <f>'Raw Data'!A704</f>
        <v>08/20/2025</v>
      </c>
      <c r="B701" t="str">
        <f>'Raw Data'!C704</f>
        <v>CAMPAIGNER SVC      888-845-4544        CA</v>
      </c>
      <c r="C701" t="str">
        <f>'Raw Data'!I704</f>
        <v>Software &amp; Subscriptions</v>
      </c>
      <c r="D701" s="31">
        <f>'Raw Data'!F704</f>
        <v>584</v>
      </c>
    </row>
    <row r="702" spans="1:4" x14ac:dyDescent="0.25">
      <c r="A702" t="str">
        <f>'Raw Data'!A705</f>
        <v>08/20/2025</v>
      </c>
      <c r="B702" t="str">
        <f>'Raw Data'!C705</f>
        <v>CFW PARKING METER   FORT WORTH          TX</v>
      </c>
      <c r="C702" t="str">
        <f>'Raw Data'!I705</f>
        <v>Personal - Car</v>
      </c>
      <c r="D702" s="31">
        <f>'Raw Data'!F705</f>
        <v>2</v>
      </c>
    </row>
    <row r="703" spans="1:4" x14ac:dyDescent="0.25">
      <c r="A703" t="str">
        <f>'Raw Data'!A706</f>
        <v>08/20/2025</v>
      </c>
      <c r="B703" t="str">
        <f>'Raw Data'!C706</f>
        <v>CHIPOTLE 2250 2250  WEATHERFORD         TX</v>
      </c>
      <c r="C703" t="str">
        <f>'Raw Data'!I706</f>
        <v>Personal - Food</v>
      </c>
      <c r="D703" s="31">
        <f>'Raw Data'!F706</f>
        <v>20.350000000000001</v>
      </c>
    </row>
    <row r="704" spans="1:4" x14ac:dyDescent="0.25">
      <c r="A704" t="str">
        <f>'Raw Data'!A707</f>
        <v>08/20/2025</v>
      </c>
      <c r="B704" t="str">
        <f>'Raw Data'!C707</f>
        <v>SILVER LEAF CIGAR LOFORT WORTH          TX</v>
      </c>
      <c r="C704" t="str">
        <f>'Raw Data'!I707</f>
        <v>Personal - Entertainment</v>
      </c>
      <c r="D704" s="31">
        <f>'Raw Data'!F707</f>
        <v>120</v>
      </c>
    </row>
    <row r="705" spans="1:4" x14ac:dyDescent="0.25">
      <c r="A705" t="str">
        <f>'Raw Data'!A708</f>
        <v>08/19/2025</v>
      </c>
      <c r="B705" t="str">
        <f>'Raw Data'!C708</f>
        <v>AMERICAN AIRLINES   800-433-7300        TX</v>
      </c>
      <c r="C705" t="str">
        <f>'Raw Data'!I708</f>
        <v>Miami Investor Trip</v>
      </c>
      <c r="D705" s="31">
        <f>'Raw Data'!F708</f>
        <v>69.989999999999995</v>
      </c>
    </row>
    <row r="706" spans="1:4" x14ac:dyDescent="0.25">
      <c r="A706" t="str">
        <f>'Raw Data'!A709</f>
        <v>08/18/2025</v>
      </c>
      <c r="B706" t="str">
        <f>'Raw Data'!C709</f>
        <v>JABOY PRODUCTIONS LLDallas              TX</v>
      </c>
      <c r="C706" t="str">
        <f>'Raw Data'!I709</f>
        <v>DWG Conference</v>
      </c>
      <c r="D706" s="31">
        <f>'Raw Data'!F709</f>
        <v>3885</v>
      </c>
    </row>
    <row r="707" spans="1:4" x14ac:dyDescent="0.25">
      <c r="A707" t="str">
        <f>'Raw Data'!A710</f>
        <v>08/17/2025</v>
      </c>
      <c r="B707" t="str">
        <f>'Raw Data'!C710</f>
        <v>BOULEVARD OF GREENS Fort Worth          TX</v>
      </c>
      <c r="C707" t="str">
        <f>'Raw Data'!I710</f>
        <v>Personal - Food</v>
      </c>
      <c r="D707" s="31">
        <f>'Raw Data'!F710</f>
        <v>49.63</v>
      </c>
    </row>
    <row r="708" spans="1:4" x14ac:dyDescent="0.25">
      <c r="A708" t="str">
        <f>'Raw Data'!A711</f>
        <v>08/17/2025</v>
      </c>
      <c r="B708" t="str">
        <f>'Raw Data'!C711</f>
        <v>BOULEVARD OF GREENS Fort Worth          TX</v>
      </c>
      <c r="C708" t="str">
        <f>'Raw Data'!I711</f>
        <v>Personal - Food</v>
      </c>
      <c r="D708" s="31">
        <f>'Raw Data'!F711</f>
        <v>147.22999999999999</v>
      </c>
    </row>
    <row r="709" spans="1:4" x14ac:dyDescent="0.25">
      <c r="A709" t="str">
        <f>'Raw Data'!A712</f>
        <v>08/17/2025</v>
      </c>
      <c r="B709" t="str">
        <f>'Raw Data'!C712</f>
        <v>HEALTHCARE PROSOFT NLAS VEGAS           NV</v>
      </c>
      <c r="C709" t="str">
        <f>'Raw Data'!I712</f>
        <v>Personal - Health</v>
      </c>
      <c r="D709" s="31">
        <f>'Raw Data'!F712</f>
        <v>280</v>
      </c>
    </row>
    <row r="710" spans="1:4" x14ac:dyDescent="0.25">
      <c r="A710" t="str">
        <f>'Raw Data'!A713</f>
        <v>08/17/2025</v>
      </c>
      <c r="B710" t="str">
        <f>'Raw Data'!C713</f>
        <v>HOMEGOODS #1084 0000WEATHERFORD         TX</v>
      </c>
      <c r="C710" t="str">
        <f>'Raw Data'!I713</f>
        <v>Personal - House</v>
      </c>
      <c r="D710" s="31">
        <f>'Raw Data'!F713</f>
        <v>151.53</v>
      </c>
    </row>
    <row r="711" spans="1:4" x14ac:dyDescent="0.25">
      <c r="A711" t="str">
        <f>'Raw Data'!A714</f>
        <v>08/17/2025</v>
      </c>
      <c r="B711" t="str">
        <f>'Raw Data'!C714</f>
        <v>WALGREENS           WEATHERFORD         TX</v>
      </c>
      <c r="C711" t="str">
        <f>'Raw Data'!I714</f>
        <v>Personal - Health</v>
      </c>
      <c r="D711" s="31">
        <f>'Raw Data'!F714</f>
        <v>6.19</v>
      </c>
    </row>
    <row r="712" spans="1:4" x14ac:dyDescent="0.25">
      <c r="A712" t="str">
        <f>'Raw Data'!A715</f>
        <v>08/17/2025</v>
      </c>
      <c r="B712" t="str">
        <f>'Raw Data'!C715</f>
        <v>WEATHERFORD MASSAGE WEATHERFORD         TX</v>
      </c>
      <c r="C712" t="str">
        <f>'Raw Data'!I715</f>
        <v>Personal - Health</v>
      </c>
      <c r="D712" s="31">
        <f>'Raw Data'!F715</f>
        <v>280</v>
      </c>
    </row>
    <row r="713" spans="1:4" x14ac:dyDescent="0.25">
      <c r="A713" t="str">
        <f>'Raw Data'!A716</f>
        <v>08/17/2025</v>
      </c>
      <c r="B713" t="str">
        <f>'Raw Data'!C716</f>
        <v>WORLD MARKET  #135 0FT. WORTH           TX</v>
      </c>
      <c r="C713" t="str">
        <f>'Raw Data'!I716</f>
        <v>Personal - House</v>
      </c>
      <c r="D713" s="31">
        <f>'Raw Data'!F716</f>
        <v>16.989999999999998</v>
      </c>
    </row>
    <row r="714" spans="1:4" x14ac:dyDescent="0.25">
      <c r="A714" t="str">
        <f>'Raw Data'!A717</f>
        <v>08/16/2025</v>
      </c>
      <c r="B714" t="str">
        <f>'Raw Data'!C717</f>
        <v>LEV INC             NEW YORK            NY</v>
      </c>
      <c r="C714" t="str">
        <f>'Raw Data'!I717</f>
        <v>DWG Listing Platform</v>
      </c>
      <c r="D714" s="31">
        <f>'Raw Data'!F717</f>
        <v>2000</v>
      </c>
    </row>
    <row r="715" spans="1:4" x14ac:dyDescent="0.25">
      <c r="A715" t="str">
        <f>'Raw Data'!A718</f>
        <v>08/16/2025</v>
      </c>
      <c r="B715" t="str">
        <f>'Raw Data'!C718</f>
        <v>SOCIALPILOT         LEWES               DE</v>
      </c>
      <c r="C715" t="str">
        <f>'Raw Data'!I718</f>
        <v>Software &amp; Subscriptions</v>
      </c>
      <c r="D715" s="31">
        <f>'Raw Data'!F718</f>
        <v>50</v>
      </c>
    </row>
    <row r="716" spans="1:4" x14ac:dyDescent="0.25">
      <c r="A716" t="str">
        <f>'Raw Data'!A719</f>
        <v>08/14/2025</v>
      </c>
      <c r="B716" t="str">
        <f>'Raw Data'!C719</f>
        <v>DNH*GODADDY#38528650Tempe               AZ</v>
      </c>
      <c r="C716" t="str">
        <f>'Raw Data'!I719</f>
        <v>Go Daddy</v>
      </c>
      <c r="D716" s="31">
        <f>'Raw Data'!F719</f>
        <v>21.98</v>
      </c>
    </row>
    <row r="717" spans="1:4" x14ac:dyDescent="0.25">
      <c r="A717" t="str">
        <f>'Raw Data'!A720</f>
        <v>08/14/2025</v>
      </c>
      <c r="B717" t="str">
        <f>'Raw Data'!C720</f>
        <v>MOVIETAVERN W 7TH STFORT WORTH          TX</v>
      </c>
      <c r="C717" t="str">
        <f>'Raw Data'!I720</f>
        <v>Personal - Entertainment</v>
      </c>
      <c r="D717" s="31">
        <f>'Raw Data'!F720</f>
        <v>11.5</v>
      </c>
    </row>
    <row r="718" spans="1:4" x14ac:dyDescent="0.25">
      <c r="A718" t="str">
        <f>'Raw Data'!A721</f>
        <v>08/14/2025</v>
      </c>
      <c r="B718" t="str">
        <f>'Raw Data'!C721</f>
        <v>TST* SPIRAL DINER FOFORT WORTH          TX</v>
      </c>
      <c r="C718" t="str">
        <f>'Raw Data'!I721</f>
        <v>Personal - Food</v>
      </c>
      <c r="D718" s="31">
        <f>'Raw Data'!F721</f>
        <v>60.46</v>
      </c>
    </row>
    <row r="719" spans="1:4" x14ac:dyDescent="0.25">
      <c r="A719" t="str">
        <f>'Raw Data'!A722</f>
        <v>08/13/2025</v>
      </c>
      <c r="B719" t="str">
        <f>'Raw Data'!C722</f>
        <v>ALAMO RENT-A-C030105MIAMI               FL</v>
      </c>
      <c r="C719" t="str">
        <f>'Raw Data'!I722</f>
        <v>Miami Investor Trip</v>
      </c>
      <c r="D719" s="31">
        <f>'Raw Data'!F722</f>
        <v>380.02</v>
      </c>
    </row>
    <row r="720" spans="1:4" x14ac:dyDescent="0.25">
      <c r="A720" t="str">
        <f>'Raw Data'!A723</f>
        <v>08/13/2025</v>
      </c>
      <c r="B720" t="str">
        <f>'Raw Data'!C723</f>
        <v>American Airlines   FORT WORTH          TX</v>
      </c>
      <c r="C720" t="str">
        <f>'Raw Data'!I723</f>
        <v>Miami Investor Trip</v>
      </c>
      <c r="D720" s="31">
        <f>'Raw Data'!F723</f>
        <v>85</v>
      </c>
    </row>
    <row r="721" spans="1:4" x14ac:dyDescent="0.25">
      <c r="A721" t="str">
        <f>'Raw Data'!A724</f>
        <v>08/13/2025</v>
      </c>
      <c r="B721" t="str">
        <f>'Raw Data'!C724</f>
        <v>DFW AIRPORT PARKING DFW AIRPORT         TX</v>
      </c>
      <c r="C721" t="str">
        <f>'Raw Data'!I724</f>
        <v>Miami Investor Trip</v>
      </c>
      <c r="D721" s="31">
        <f>'Raw Data'!F724</f>
        <v>3</v>
      </c>
    </row>
    <row r="722" spans="1:4" x14ac:dyDescent="0.25">
      <c r="A722" t="str">
        <f>'Raw Data'!A725</f>
        <v>08/13/2025</v>
      </c>
      <c r="B722" t="str">
        <f>'Raw Data'!C725</f>
        <v>DNH*GODADDY#38528637480-505-8855        AZ</v>
      </c>
      <c r="C722" t="str">
        <f>'Raw Data'!I725</f>
        <v>Go Daddy</v>
      </c>
      <c r="D722" s="31">
        <f>'Raw Data'!F725</f>
        <v>21.98</v>
      </c>
    </row>
    <row r="723" spans="1:4" x14ac:dyDescent="0.25">
      <c r="A723" t="str">
        <f>'Raw Data'!A726</f>
        <v>08/13/2025</v>
      </c>
      <c r="B723" t="str">
        <f>'Raw Data'!C726</f>
        <v>KWIK STOP 3135 0000 MIAMI               FL</v>
      </c>
      <c r="C723" t="str">
        <f>'Raw Data'!I726</f>
        <v>Miami Investor Trip</v>
      </c>
      <c r="D723" s="31">
        <f>'Raw Data'!F726</f>
        <v>30.12</v>
      </c>
    </row>
    <row r="724" spans="1:4" x14ac:dyDescent="0.25">
      <c r="A724" t="str">
        <f>'Raw Data'!A727</f>
        <v>08/13/2025</v>
      </c>
      <c r="B724" t="str">
        <f>'Raw Data'!C727</f>
        <v>MARATHON 171140 0000MIAMI               FL</v>
      </c>
      <c r="C724" t="str">
        <f>'Raw Data'!I727</f>
        <v>Miami Investor Trip</v>
      </c>
      <c r="D724" s="31">
        <f>'Raw Data'!F727</f>
        <v>26.41</v>
      </c>
    </row>
    <row r="725" spans="1:4" x14ac:dyDescent="0.25">
      <c r="A725" t="str">
        <f>'Raw Data'!A728</f>
        <v>08/13/2025</v>
      </c>
      <c r="B725" t="str">
        <f>'Raw Data'!C728</f>
        <v>MAYFAIR HOUSE CRES  COCONUT GROVE       FL</v>
      </c>
      <c r="C725" t="str">
        <f>'Raw Data'!I728</f>
        <v>Miami Investor Trip</v>
      </c>
      <c r="D725" s="31">
        <f>'Raw Data'!F728</f>
        <v>118.66</v>
      </c>
    </row>
    <row r="726" spans="1:4" x14ac:dyDescent="0.25">
      <c r="A726" t="str">
        <f>'Raw Data'!A729</f>
        <v>08/13/2025</v>
      </c>
      <c r="B726" t="str">
        <f>'Raw Data'!C729</f>
        <v>MAYFAIR HOUSE CRES  COCONUT GROVE       FL</v>
      </c>
      <c r="C726" t="str">
        <f>'Raw Data'!I729</f>
        <v>Miami Investor Trip</v>
      </c>
      <c r="D726" s="31">
        <f>'Raw Data'!F729</f>
        <v>118.66</v>
      </c>
    </row>
    <row r="727" spans="1:4" x14ac:dyDescent="0.25">
      <c r="A727" t="str">
        <f>'Raw Data'!A730</f>
        <v>08/13/2025</v>
      </c>
      <c r="B727" t="str">
        <f>'Raw Data'!C730</f>
        <v>MAYFAIR HOUSE CRES  COCONUT GROVE       FL</v>
      </c>
      <c r="C727" t="str">
        <f>'Raw Data'!I730</f>
        <v>Miami Investor Trip</v>
      </c>
      <c r="D727" s="31">
        <f>'Raw Data'!F730</f>
        <v>331.68</v>
      </c>
    </row>
    <row r="728" spans="1:4" x14ac:dyDescent="0.25">
      <c r="A728" t="str">
        <f>'Raw Data'!A731</f>
        <v>08/13/2025</v>
      </c>
      <c r="B728" t="str">
        <f>'Raw Data'!C731</f>
        <v>ROSA'S CAFE         WEATHERFORD         TX</v>
      </c>
      <c r="C728" t="str">
        <f>'Raw Data'!I731</f>
        <v>Personal - Food</v>
      </c>
      <c r="D728" s="31">
        <f>'Raw Data'!F731</f>
        <v>19.11</v>
      </c>
    </row>
    <row r="729" spans="1:4" x14ac:dyDescent="0.25">
      <c r="A729" t="str">
        <f>'Raw Data'!A732</f>
        <v>08/13/2025</v>
      </c>
      <c r="B729" t="str">
        <f>'Raw Data'!C732</f>
        <v>STARBUCKS D15       MIAMI               FL</v>
      </c>
      <c r="C729" t="str">
        <f>'Raw Data'!I732</f>
        <v>Miami Investor Trip</v>
      </c>
      <c r="D729" s="31">
        <f>'Raw Data'!F732</f>
        <v>14.12</v>
      </c>
    </row>
    <row r="730" spans="1:4" x14ac:dyDescent="0.25">
      <c r="A730" t="str">
        <f>'Raw Data'!A733</f>
        <v>08/13/2025</v>
      </c>
      <c r="B730" t="str">
        <f>'Raw Data'!C733</f>
        <v>SUNGLASS HUT        MIAMI               FL</v>
      </c>
      <c r="C730" t="str">
        <f>'Raw Data'!I733</f>
        <v>Miami Investor Trip</v>
      </c>
      <c r="D730" s="31">
        <f>'Raw Data'!F733</f>
        <v>221.49</v>
      </c>
    </row>
    <row r="731" spans="1:4" x14ac:dyDescent="0.25">
      <c r="A731" t="str">
        <f>'Raw Data'!A734</f>
        <v>08/13/2025</v>
      </c>
      <c r="B731" t="str">
        <f>'Raw Data'!C734</f>
        <v>Sugar               Miami               FL</v>
      </c>
      <c r="C731" t="str">
        <f>'Raw Data'!I734</f>
        <v>Miami Investor Trip</v>
      </c>
      <c r="D731" s="31">
        <f>'Raw Data'!F734</f>
        <v>131.27000000000001</v>
      </c>
    </row>
    <row r="732" spans="1:4" x14ac:dyDescent="0.25">
      <c r="A732" t="str">
        <f>'Raw Data'!A735</f>
        <v>08/13/2025</v>
      </c>
      <c r="B732" t="str">
        <f>'Raw Data'!C735</f>
        <v>Sugar               Miami               FL</v>
      </c>
      <c r="C732" t="str">
        <f>'Raw Data'!I735</f>
        <v>Miami Investor Trip</v>
      </c>
      <c r="D732" s="31">
        <f>'Raw Data'!F735</f>
        <v>200</v>
      </c>
    </row>
    <row r="733" spans="1:4" x14ac:dyDescent="0.25">
      <c r="A733" t="str">
        <f>'Raw Data'!A736</f>
        <v>08/13/2025</v>
      </c>
      <c r="B733" t="str">
        <f>'Raw Data'!C736</f>
        <v>TST* GBH BAYSHORE CLMIAMI               FL</v>
      </c>
      <c r="C733" t="str">
        <f>'Raw Data'!I736</f>
        <v>Miami Investor Trip</v>
      </c>
      <c r="D733" s="31">
        <f>'Raw Data'!F736</f>
        <v>273.92</v>
      </c>
    </row>
    <row r="734" spans="1:4" x14ac:dyDescent="0.25">
      <c r="A734" t="str">
        <f>'Raw Data'!A737</f>
        <v>08/13/2025</v>
      </c>
      <c r="B734" t="str">
        <f>'Raw Data'!C737</f>
        <v>WALGREENS           WEATHERFORD         TX</v>
      </c>
      <c r="C734" t="str">
        <f>'Raw Data'!I737</f>
        <v>Personal - Health</v>
      </c>
      <c r="D734" s="31">
        <f>'Raw Data'!F737</f>
        <v>17.989999999999998</v>
      </c>
    </row>
    <row r="735" spans="1:4" x14ac:dyDescent="0.25">
      <c r="A735" t="str">
        <f>'Raw Data'!A738</f>
        <v>08/12/2025</v>
      </c>
      <c r="B735" t="str">
        <f>'Raw Data'!C738</f>
        <v>AMERICAN AIRLINES   800-433-7300        TX</v>
      </c>
      <c r="C735" t="str">
        <f>'Raw Data'!I738</f>
        <v>Miami Investor Trip</v>
      </c>
      <c r="D735" s="31">
        <f>'Raw Data'!F738</f>
        <v>35</v>
      </c>
    </row>
    <row r="736" spans="1:4" x14ac:dyDescent="0.25">
      <c r="A736" t="str">
        <f>'Raw Data'!A739</f>
        <v>08/12/2025</v>
      </c>
      <c r="B736" t="str">
        <f>'Raw Data'!C739</f>
        <v>AMERICAN AIRLINES   800-433-7300        TX</v>
      </c>
      <c r="C736" t="str">
        <f>'Raw Data'!I739</f>
        <v>Miami Investor Trip</v>
      </c>
      <c r="D736" s="31">
        <f>'Raw Data'!F739</f>
        <v>35.65</v>
      </c>
    </row>
    <row r="737" spans="1:4" x14ac:dyDescent="0.25">
      <c r="A737" t="str">
        <f>'Raw Data'!A740</f>
        <v>08/12/2025</v>
      </c>
      <c r="B737" t="str">
        <f>'Raw Data'!C740</f>
        <v>AMERICAN AIRLINES   800-433-7300        TX</v>
      </c>
      <c r="C737" t="str">
        <f>'Raw Data'!I740</f>
        <v>Miami Investor Trip</v>
      </c>
      <c r="D737" s="31">
        <f>'Raw Data'!F740</f>
        <v>35.65</v>
      </c>
    </row>
    <row r="738" spans="1:4" x14ac:dyDescent="0.25">
      <c r="A738" t="str">
        <f>'Raw Data'!A741</f>
        <v>08/12/2025</v>
      </c>
      <c r="B738" t="str">
        <f>'Raw Data'!C741</f>
        <v>AMERICAN AIRLINES   800-433-7300        TX</v>
      </c>
      <c r="C738" t="str">
        <f>'Raw Data'!I741</f>
        <v>Miami Investor Trip</v>
      </c>
      <c r="D738" s="31">
        <f>'Raw Data'!F741</f>
        <v>67</v>
      </c>
    </row>
    <row r="739" spans="1:4" x14ac:dyDescent="0.25">
      <c r="A739" t="str">
        <f>'Raw Data'!A742</f>
        <v>08/12/2025</v>
      </c>
      <c r="B739" t="str">
        <f>'Raw Data'!C742</f>
        <v>AMERICAN AIRLINES   800-433-7300        TX</v>
      </c>
      <c r="C739" t="str">
        <f>'Raw Data'!I742</f>
        <v>Miami Investor Trip</v>
      </c>
      <c r="D739" s="31">
        <f>'Raw Data'!F742</f>
        <v>67</v>
      </c>
    </row>
    <row r="740" spans="1:4" x14ac:dyDescent="0.25">
      <c r="A740" t="str">
        <f>'Raw Data'!A743</f>
        <v>08/12/2025</v>
      </c>
      <c r="B740" t="str">
        <f>'Raw Data'!C743</f>
        <v>SPOTIFY P397A56271 6NEW YORK            NY</v>
      </c>
      <c r="C740" t="str">
        <f>'Raw Data'!I743</f>
        <v>Software &amp; Subscriptions</v>
      </c>
      <c r="D740" s="31">
        <f>'Raw Data'!F743</f>
        <v>12.98</v>
      </c>
    </row>
    <row r="741" spans="1:4" x14ac:dyDescent="0.25">
      <c r="A741" t="str">
        <f>'Raw Data'!A744</f>
        <v>08/12/2025</v>
      </c>
      <c r="B741" t="str">
        <f>'Raw Data'!C744</f>
        <v>TST* SIPSIP - MAYFAIMIAMI               FL</v>
      </c>
      <c r="C741" t="str">
        <f>'Raw Data'!I744</f>
        <v>Miami Investor Trip</v>
      </c>
      <c r="D741" s="31">
        <f>'Raw Data'!F744</f>
        <v>248.6</v>
      </c>
    </row>
    <row r="742" spans="1:4" x14ac:dyDescent="0.25">
      <c r="A742" t="str">
        <f>'Raw Data'!A745</f>
        <v>08/11/2025</v>
      </c>
      <c r="B742" t="str">
        <f>'Raw Data'!C745</f>
        <v>BOUCHER BROTHERS MANMiami Beach         FL</v>
      </c>
      <c r="C742" t="str">
        <f>'Raw Data'!I745</f>
        <v>Miami Investor Trip</v>
      </c>
      <c r="D742" s="31">
        <f>'Raw Data'!F745</f>
        <v>184.58</v>
      </c>
    </row>
    <row r="743" spans="1:4" x14ac:dyDescent="0.25">
      <c r="A743" t="str">
        <f>'Raw Data'!A746</f>
        <v>08/11/2025</v>
      </c>
      <c r="B743" t="str">
        <f>'Raw Data'!C746</f>
        <v>DNH*GODADDY#38494948Tempe               AZ</v>
      </c>
      <c r="C743" t="str">
        <f>'Raw Data'!I746</f>
        <v>Go Daddy</v>
      </c>
      <c r="D743" s="31">
        <f>'Raw Data'!F746</f>
        <v>57.73</v>
      </c>
    </row>
    <row r="744" spans="1:4" x14ac:dyDescent="0.25">
      <c r="A744" t="str">
        <f>'Raw Data'!A747</f>
        <v>08/11/2025</v>
      </c>
      <c r="B744" t="str">
        <f>'Raw Data'!C747</f>
        <v>FedEx Office 0083   Plano               TX</v>
      </c>
      <c r="C744" t="str">
        <f>'Raw Data'!I747</f>
        <v>Miami Investor Trip</v>
      </c>
      <c r="D744" s="31">
        <f>'Raw Data'!F747</f>
        <v>67.819999999999993</v>
      </c>
    </row>
    <row r="745" spans="1:4" x14ac:dyDescent="0.25">
      <c r="A745" t="str">
        <f>'Raw Data'!A748</f>
        <v>08/11/2025</v>
      </c>
      <c r="B745" t="str">
        <f>'Raw Data'!C748</f>
        <v>LEVEL 6             COCONUT GROVE       FL</v>
      </c>
      <c r="C745" t="str">
        <f>'Raw Data'!I748</f>
        <v>Miami Investor Trip</v>
      </c>
      <c r="D745" s="31">
        <f>'Raw Data'!F748</f>
        <v>569.36</v>
      </c>
    </row>
    <row r="746" spans="1:4" x14ac:dyDescent="0.25">
      <c r="A746" t="str">
        <f>'Raw Data'!A749</f>
        <v>08/11/2025</v>
      </c>
      <c r="B746" t="str">
        <f>'Raw Data'!C749</f>
        <v>LOEWS MIAMI BEACH FBMIAMI BEACH         FL</v>
      </c>
      <c r="C746" t="str">
        <f>'Raw Data'!I749</f>
        <v>Miami Investor Trip</v>
      </c>
      <c r="D746" s="31">
        <f>'Raw Data'!F749</f>
        <v>250</v>
      </c>
    </row>
    <row r="747" spans="1:4" x14ac:dyDescent="0.25">
      <c r="A747" t="str">
        <f>'Raw Data'!A750</f>
        <v>08/11/2025</v>
      </c>
      <c r="B747" t="str">
        <f>'Raw Data'!C750</f>
        <v>TST* PURA VIDA COCONMIAMI               FL</v>
      </c>
      <c r="C747" t="str">
        <f>'Raw Data'!I750</f>
        <v>Miami Investor Trip</v>
      </c>
      <c r="D747" s="31">
        <f>'Raw Data'!F750</f>
        <v>78.87</v>
      </c>
    </row>
    <row r="748" spans="1:4" x14ac:dyDescent="0.25">
      <c r="A748" t="str">
        <f>'Raw Data'!A751</f>
        <v>08/10/2025</v>
      </c>
      <c r="B748" t="str">
        <f>'Raw Data'!C751</f>
        <v>AA WIFI SALES       FORT WORTH          TX</v>
      </c>
      <c r="C748" t="str">
        <f>'Raw Data'!I751</f>
        <v>Miami Investor Trip</v>
      </c>
      <c r="D748" s="31">
        <f>'Raw Data'!F751</f>
        <v>30</v>
      </c>
    </row>
    <row r="749" spans="1:4" x14ac:dyDescent="0.25">
      <c r="A749" t="str">
        <f>'Raw Data'!A752</f>
        <v>08/10/2025</v>
      </c>
      <c r="B749" t="str">
        <f>'Raw Data'!C752</f>
        <v>AMERICAN AIRLINES   800-433-7300        TX</v>
      </c>
      <c r="C749" t="str">
        <f>'Raw Data'!I752</f>
        <v>Miami Investor Trip</v>
      </c>
      <c r="D749" s="31">
        <f>'Raw Data'!F752</f>
        <v>35</v>
      </c>
    </row>
    <row r="750" spans="1:4" x14ac:dyDescent="0.25">
      <c r="A750" t="str">
        <f>'Raw Data'!A753</f>
        <v>08/10/2025</v>
      </c>
      <c r="B750" t="str">
        <f>'Raw Data'!C753</f>
        <v>American Airlines   FORT WORTH          TX</v>
      </c>
      <c r="C750" t="str">
        <f>'Raw Data'!I753</f>
        <v>Miami Investor Trip</v>
      </c>
      <c r="D750" s="31">
        <f>'Raw Data'!F753</f>
        <v>85</v>
      </c>
    </row>
    <row r="751" spans="1:4" x14ac:dyDescent="0.25">
      <c r="A751" t="str">
        <f>'Raw Data'!A754</f>
        <v>08/10/2025</v>
      </c>
      <c r="B751" t="str">
        <f>'Raw Data'!C754</f>
        <v>DNH*GODADDY#38489838Tempe               AZ</v>
      </c>
      <c r="C751" t="str">
        <f>'Raw Data'!I754</f>
        <v>Go Daddy</v>
      </c>
      <c r="D751" s="31">
        <f>'Raw Data'!F754</f>
        <v>26.98</v>
      </c>
    </row>
    <row r="752" spans="1:4" x14ac:dyDescent="0.25">
      <c r="A752" t="str">
        <f>'Raw Data'!A755</f>
        <v>08/10/2025</v>
      </c>
      <c r="B752" t="str">
        <f>'Raw Data'!C755</f>
        <v>LAX AIRP THE MARKET LOS ANGELES         CA</v>
      </c>
      <c r="C752" t="str">
        <f>'Raw Data'!I755</f>
        <v>Miami Investor Trip</v>
      </c>
      <c r="D752" s="31">
        <f>'Raw Data'!F755</f>
        <v>13.52</v>
      </c>
    </row>
    <row r="753" spans="1:4" x14ac:dyDescent="0.25">
      <c r="A753" t="str">
        <f>'Raw Data'!A756</f>
        <v>08/10/2025</v>
      </c>
      <c r="B753" t="str">
        <f>'Raw Data'!C756</f>
        <v>LAX AIRP THE MARKET LOS ANGELES         CA</v>
      </c>
      <c r="C753" t="str">
        <f>'Raw Data'!I756</f>
        <v>Miami Investor Trip</v>
      </c>
      <c r="D753" s="31">
        <f>'Raw Data'!F756</f>
        <v>49.75</v>
      </c>
    </row>
    <row r="754" spans="1:4" x14ac:dyDescent="0.25">
      <c r="A754" t="str">
        <f>'Raw Data'!A757</f>
        <v>08/10/2025</v>
      </c>
      <c r="B754" t="str">
        <f>'Raw Data'!C757</f>
        <v>STARBUCKS 85549 STARLOS ANGELES         CA</v>
      </c>
      <c r="C754" t="str">
        <f>'Raw Data'!I757</f>
        <v>Personal - Food</v>
      </c>
      <c r="D754" s="31">
        <f>'Raw Data'!F757</f>
        <v>15.91</v>
      </c>
    </row>
    <row r="755" spans="1:4" x14ac:dyDescent="0.25">
      <c r="A755" t="str">
        <f>'Raw Data'!A758</f>
        <v>08/10/2025</v>
      </c>
      <c r="B755" t="str">
        <f>'Raw Data'!C758</f>
        <v>TST* BOMBAY DARBAR CCOCOUNT GROVE       FL</v>
      </c>
      <c r="C755" t="str">
        <f>'Raw Data'!I758</f>
        <v>Miami Investor Trip</v>
      </c>
      <c r="D755" s="31">
        <f>'Raw Data'!F758</f>
        <v>187.2</v>
      </c>
    </row>
    <row r="756" spans="1:4" x14ac:dyDescent="0.25">
      <c r="A756" t="str">
        <f>'Raw Data'!A759</f>
        <v>08/10/2025</v>
      </c>
      <c r="B756" t="str">
        <f>'Raw Data'!C759</f>
        <v>VIMEO PRO           212-625-0668        NY</v>
      </c>
      <c r="C756" t="str">
        <f>'Raw Data'!I759</f>
        <v>Software &amp; Subscriptions</v>
      </c>
      <c r="D756" s="31">
        <f>'Raw Data'!F759</f>
        <v>24</v>
      </c>
    </row>
    <row r="757" spans="1:4" x14ac:dyDescent="0.25">
      <c r="A757" t="str">
        <f>'Raw Data'!A760</f>
        <v>08/09/2025</v>
      </c>
      <c r="B757" t="str">
        <f>'Raw Data'!C760</f>
        <v>DNH*GODADDY#38476075Tempe               AZ</v>
      </c>
      <c r="C757" t="str">
        <f>'Raw Data'!I760</f>
        <v>Go Daddy</v>
      </c>
      <c r="D757" s="31">
        <f>'Raw Data'!F760</f>
        <v>13.79</v>
      </c>
    </row>
    <row r="758" spans="1:4" x14ac:dyDescent="0.25">
      <c r="A758" t="str">
        <f>'Raw Data'!A761</f>
        <v>08/08/2025</v>
      </c>
      <c r="B758" t="str">
        <f>'Raw Data'!C761</f>
        <v>CVS PHARMACY        LOS ANGELES         CA</v>
      </c>
      <c r="C758" t="str">
        <f>'Raw Data'!I761</f>
        <v>Personal - Health</v>
      </c>
      <c r="D758" s="31">
        <f>'Raw Data'!F761</f>
        <v>21.94</v>
      </c>
    </row>
    <row r="759" spans="1:4" x14ac:dyDescent="0.25">
      <c r="A759" t="str">
        <f>'Raw Data'!A762</f>
        <v>08/08/2025</v>
      </c>
      <c r="B759" t="str">
        <f>'Raw Data'!C762</f>
        <v>DICE.FM             NEW YORK            NY</v>
      </c>
      <c r="C759" t="str">
        <f>'Raw Data'!I762</f>
        <v>Software &amp; Subscriptions</v>
      </c>
      <c r="D759" s="31">
        <f>'Raw Data'!F762</f>
        <v>117.42</v>
      </c>
    </row>
    <row r="760" spans="1:4" x14ac:dyDescent="0.25">
      <c r="A760" t="str">
        <f>'Raw Data'!A763</f>
        <v>08/08/2025</v>
      </c>
      <c r="B760" t="str">
        <f>'Raw Data'!C763</f>
        <v>DNH*GODADDY#38467500Tempe               AZ</v>
      </c>
      <c r="C760" t="str">
        <f>'Raw Data'!I763</f>
        <v>Go Daddy</v>
      </c>
      <c r="D760" s="31">
        <f>'Raw Data'!F763</f>
        <v>30.97</v>
      </c>
    </row>
    <row r="761" spans="1:4" x14ac:dyDescent="0.25">
      <c r="A761" t="str">
        <f>'Raw Data'!A764</f>
        <v>08/08/2025</v>
      </c>
      <c r="B761" t="str">
        <f>'Raw Data'!C764</f>
        <v>OPENAI *CHATGPT SUBSSAN FRANCISCO       CA</v>
      </c>
      <c r="C761" t="str">
        <f>'Raw Data'!I764</f>
        <v>AI Subscriptions</v>
      </c>
      <c r="D761" s="31">
        <f>'Raw Data'!F764</f>
        <v>20</v>
      </c>
    </row>
    <row r="762" spans="1:4" x14ac:dyDescent="0.25">
      <c r="A762" t="str">
        <f>'Raw Data'!A765</f>
        <v>08/08/2025</v>
      </c>
      <c r="B762" t="str">
        <f>'Raw Data'!C765</f>
        <v>TST* CAFE GRATITUDE VENICE              CA</v>
      </c>
      <c r="C762" t="str">
        <f>'Raw Data'!I765</f>
        <v>Personal - Food</v>
      </c>
      <c r="D762" s="31">
        <f>'Raw Data'!F765</f>
        <v>116.83</v>
      </c>
    </row>
    <row r="763" spans="1:4" x14ac:dyDescent="0.25">
      <c r="A763" t="str">
        <f>'Raw Data'!A766</f>
        <v>08/08/2025</v>
      </c>
      <c r="B763" t="str">
        <f>'Raw Data'!C766</f>
        <v>TST* LITTLE FATTY 00LOS ANGELES         CA</v>
      </c>
      <c r="C763" t="str">
        <f>'Raw Data'!I766</f>
        <v>Personal - Food</v>
      </c>
      <c r="D763" s="31">
        <f>'Raw Data'!F766</f>
        <v>165.89</v>
      </c>
    </row>
    <row r="764" spans="1:4" x14ac:dyDescent="0.25">
      <c r="A764" t="str">
        <f>'Raw Data'!A767</f>
        <v>08/07/2025</v>
      </c>
      <c r="B764" t="str">
        <f>'Raw Data'!C767</f>
        <v>DNH*GODADDY#38448348Tempe               AZ</v>
      </c>
      <c r="C764" t="str">
        <f>'Raw Data'!I767</f>
        <v>Go Daddy</v>
      </c>
      <c r="D764" s="31">
        <f>'Raw Data'!F767</f>
        <v>10.99</v>
      </c>
    </row>
    <row r="765" spans="1:4" x14ac:dyDescent="0.25">
      <c r="A765" t="str">
        <f>'Raw Data'!A768</f>
        <v>08/07/2025</v>
      </c>
      <c r="B765" t="str">
        <f>'Raw Data'!C768</f>
        <v>EXPEDIA 732005579674EXPEDIA.COM         WA</v>
      </c>
      <c r="C765" t="str">
        <f>'Raw Data'!I768</f>
        <v>Miami Investor Trip</v>
      </c>
      <c r="D765" s="31">
        <f>'Raw Data'!F768</f>
        <v>548.58000000000004</v>
      </c>
    </row>
    <row r="766" spans="1:4" x14ac:dyDescent="0.25">
      <c r="A766" t="str">
        <f>'Raw Data'!A769</f>
        <v>08/07/2025</v>
      </c>
      <c r="B766" t="str">
        <f>'Raw Data'!C769</f>
        <v>INFUSE  DR. BULL    WEST HOLLYWOOD      CA</v>
      </c>
      <c r="C766" t="str">
        <f>'Raw Data'!I769</f>
        <v>Personal - Health</v>
      </c>
      <c r="D766" s="31">
        <f>'Raw Data'!F769</f>
        <v>325</v>
      </c>
    </row>
    <row r="767" spans="1:4" x14ac:dyDescent="0.25">
      <c r="A767" t="str">
        <f>'Raw Data'!A770</f>
        <v>08/07/2025</v>
      </c>
      <c r="B767" t="str">
        <f>'Raw Data'!C770</f>
        <v>Points for Amex Trvl</v>
      </c>
      <c r="C767" t="str">
        <f>'Raw Data'!I770</f>
        <v>Points for Amex Trvl</v>
      </c>
      <c r="D767" s="31">
        <f>'Raw Data'!F770</f>
        <v>-377.4</v>
      </c>
    </row>
    <row r="768" spans="1:4" x14ac:dyDescent="0.25">
      <c r="A768" t="str">
        <f>'Raw Data'!A771</f>
        <v>08/07/2025</v>
      </c>
      <c r="B768" t="str">
        <f>'Raw Data'!C771</f>
        <v>Points for Amex Trvl</v>
      </c>
      <c r="C768" t="str">
        <f>'Raw Data'!I771</f>
        <v>Points for Amex Trvl</v>
      </c>
      <c r="D768" s="31">
        <f>'Raw Data'!F771</f>
        <v>-93</v>
      </c>
    </row>
    <row r="769" spans="1:4" x14ac:dyDescent="0.25">
      <c r="A769" t="str">
        <f>'Raw Data'!A772</f>
        <v>08/07/2025</v>
      </c>
      <c r="B769" t="str">
        <f>'Raw Data'!C772</f>
        <v>PwP    AMERICAN EXPRSEATTLE             WA</v>
      </c>
      <c r="C769" t="str">
        <f>'Raw Data'!I772</f>
        <v>Miami Investor Trip</v>
      </c>
      <c r="D769" s="31">
        <f>'Raw Data'!F772</f>
        <v>377.4</v>
      </c>
    </row>
    <row r="770" spans="1:4" x14ac:dyDescent="0.25">
      <c r="A770" t="str">
        <f>'Raw Data'!A773</f>
        <v>08/07/2025</v>
      </c>
      <c r="B770" t="str">
        <f>'Raw Data'!C773</f>
        <v>PwP    AMERICAN EXPRSEATTLE             WA</v>
      </c>
      <c r="C770" t="str">
        <f>'Raw Data'!I773</f>
        <v>Miami Investor Trip</v>
      </c>
      <c r="D770" s="31">
        <f>'Raw Data'!F773</f>
        <v>377.4</v>
      </c>
    </row>
    <row r="771" spans="1:4" x14ac:dyDescent="0.25">
      <c r="A771" t="str">
        <f>'Raw Data'!A774</f>
        <v>08/07/2025</v>
      </c>
      <c r="B771" t="str">
        <f>'Raw Data'!C774</f>
        <v>READ - MEETING MANAGSEATTLE             WA</v>
      </c>
      <c r="C771" t="str">
        <f>'Raw Data'!I774</f>
        <v>DWG Operations</v>
      </c>
      <c r="D771" s="31">
        <f>'Raw Data'!F774</f>
        <v>59.5</v>
      </c>
    </row>
    <row r="772" spans="1:4" x14ac:dyDescent="0.25">
      <c r="A772" t="str">
        <f>'Raw Data'!A775</f>
        <v>08/07/2025</v>
      </c>
      <c r="B772" t="str">
        <f>'Raw Data'!C775</f>
        <v>VERSAILLES CUBAN FOOLos Angeles         CA</v>
      </c>
      <c r="C772" t="str">
        <f>'Raw Data'!I775</f>
        <v>Personal - Food</v>
      </c>
      <c r="D772" s="31">
        <f>'Raw Data'!F775</f>
        <v>84.93</v>
      </c>
    </row>
    <row r="773" spans="1:4" x14ac:dyDescent="0.25">
      <c r="A773" t="str">
        <f>'Raw Data'!A776</f>
        <v>08/06/2025</v>
      </c>
      <c r="B773" t="str">
        <f>'Raw Data'!C776</f>
        <v>AMAZON PRIME*949626YAMZN.COM/BILL       WA</v>
      </c>
      <c r="C773" t="str">
        <f>'Raw Data'!I776</f>
        <v>Amazon</v>
      </c>
      <c r="D773" s="31">
        <f>'Raw Data'!F776</f>
        <v>3.24</v>
      </c>
    </row>
    <row r="774" spans="1:4" x14ac:dyDescent="0.25">
      <c r="A774" t="str">
        <f>'Raw Data'!A777</f>
        <v>08/06/2025</v>
      </c>
      <c r="B774" t="str">
        <f>'Raw Data'!C777</f>
        <v>AMERICAN AIRLINES   800-433-7300        TX</v>
      </c>
      <c r="C774" t="str">
        <f>'Raw Data'!I777</f>
        <v>Miami Investor Trip</v>
      </c>
      <c r="D774" s="31">
        <f>'Raw Data'!F777</f>
        <v>25.23</v>
      </c>
    </row>
    <row r="775" spans="1:4" x14ac:dyDescent="0.25">
      <c r="A775" t="str">
        <f>'Raw Data'!A778</f>
        <v>08/06/2025</v>
      </c>
      <c r="B775" t="str">
        <f>'Raw Data'!C778</f>
        <v>AMERICAN AIRLINES   800-433-7300        TX</v>
      </c>
      <c r="C775" t="str">
        <f>'Raw Data'!I778</f>
        <v>Miami Investor Trip</v>
      </c>
      <c r="D775" s="31">
        <f>'Raw Data'!F778</f>
        <v>684.96</v>
      </c>
    </row>
    <row r="776" spans="1:4" x14ac:dyDescent="0.25">
      <c r="A776" t="str">
        <f>'Raw Data'!A779</f>
        <v>08/06/2025</v>
      </c>
      <c r="B776" t="str">
        <f>'Raw Data'!C779</f>
        <v>Amazon Prime        Amazon.com          WA</v>
      </c>
      <c r="C776" t="str">
        <f>'Raw Data'!I779</f>
        <v>Amazon</v>
      </c>
      <c r="D776" s="31">
        <f>'Raw Data'!F779</f>
        <v>16.23</v>
      </c>
    </row>
    <row r="777" spans="1:4" x14ac:dyDescent="0.25">
      <c r="A777" t="str">
        <f>'Raw Data'!A780</f>
        <v>08/06/2025</v>
      </c>
      <c r="B777" t="str">
        <f>'Raw Data'!C780</f>
        <v>BRAVE.COM           SAN FRANCISCO       CA</v>
      </c>
      <c r="C777" t="str">
        <f>'Raw Data'!I780</f>
        <v>Software &amp; Subscriptions</v>
      </c>
      <c r="D777" s="31">
        <f>'Raw Data'!F780</f>
        <v>9.99</v>
      </c>
    </row>
    <row r="778" spans="1:4" x14ac:dyDescent="0.25">
      <c r="A778" t="str">
        <f>'Raw Data'!A781</f>
        <v>08/06/2025</v>
      </c>
      <c r="B778" t="str">
        <f>'Raw Data'!C781</f>
        <v>CREXI               LOS ANGELES         CA</v>
      </c>
      <c r="C778" t="str">
        <f>'Raw Data'!I781</f>
        <v>DWG Listing Platform</v>
      </c>
      <c r="D778" s="31">
        <f>'Raw Data'!F781</f>
        <v>260</v>
      </c>
    </row>
    <row r="779" spans="1:4" x14ac:dyDescent="0.25">
      <c r="A779" t="str">
        <f>'Raw Data'!A782</f>
        <v>08/06/2025</v>
      </c>
      <c r="B779" t="str">
        <f>'Raw Data'!C782</f>
        <v>EXPEDIA 731993134406EXPEDIA.COM         WA</v>
      </c>
      <c r="C779" t="str">
        <f>'Raw Data'!I782</f>
        <v>Miami Investor Trip</v>
      </c>
      <c r="D779" s="31">
        <f>'Raw Data'!F782</f>
        <v>2485.27</v>
      </c>
    </row>
    <row r="780" spans="1:4" x14ac:dyDescent="0.25">
      <c r="A780" t="str">
        <f>'Raw Data'!A783</f>
        <v>08/06/2025</v>
      </c>
      <c r="B780" t="str">
        <f>'Raw Data'!C783</f>
        <v>POINTS FOR AMEX TRVL</v>
      </c>
      <c r="C780" t="str">
        <f>'Raw Data'!I783</f>
        <v>Points for Amex Trvl</v>
      </c>
      <c r="D780" s="31">
        <f>'Raw Data'!F783</f>
        <v>-349.18</v>
      </c>
    </row>
    <row r="781" spans="1:4" x14ac:dyDescent="0.25">
      <c r="A781" t="str">
        <f>'Raw Data'!A784</f>
        <v>08/06/2025</v>
      </c>
      <c r="B781" t="str">
        <f>'Raw Data'!C784</f>
        <v>PwP    AMEXTRAVEL.CO800-297-2977        WA</v>
      </c>
      <c r="C781" t="str">
        <f>'Raw Data'!I784</f>
        <v>PwP AMEXTRAVEL.CO800-297-2977 WA</v>
      </c>
      <c r="D781" s="31">
        <f>'Raw Data'!F784</f>
        <v>349.18</v>
      </c>
    </row>
    <row r="782" spans="1:4" x14ac:dyDescent="0.25">
      <c r="A782" t="str">
        <f>'Raw Data'!A785</f>
        <v>08/06/2025</v>
      </c>
      <c r="B782" t="str">
        <f>'Raw Data'!C785</f>
        <v>TST* BLUEYS KITCHEN LOS ANGELES         CA</v>
      </c>
      <c r="C782" t="str">
        <f>'Raw Data'!I785</f>
        <v>Personal - Food</v>
      </c>
      <c r="D782" s="31">
        <f>'Raw Data'!F785</f>
        <v>6.59</v>
      </c>
    </row>
    <row r="783" spans="1:4" x14ac:dyDescent="0.25">
      <c r="A783" t="str">
        <f>'Raw Data'!A786</f>
        <v>08/06/2025</v>
      </c>
      <c r="B783" t="str">
        <f>'Raw Data'!C786</f>
        <v>TST* BLUEYS KITCHEN LOS ANGELES         CA</v>
      </c>
      <c r="C783" t="str">
        <f>'Raw Data'!I786</f>
        <v>Personal - Food</v>
      </c>
      <c r="D783" s="31">
        <f>'Raw Data'!F786</f>
        <v>83.67</v>
      </c>
    </row>
    <row r="784" spans="1:4" x14ac:dyDescent="0.25">
      <c r="A784" t="str">
        <f>'Raw Data'!A787</f>
        <v>08/05/2025</v>
      </c>
      <c r="B784" t="str">
        <f>'Raw Data'!C787</f>
        <v>DNH*GODADDY#38430409Tempe               AZ</v>
      </c>
      <c r="C784" t="str">
        <f>'Raw Data'!I787</f>
        <v>Go Daddy</v>
      </c>
      <c r="D784" s="31">
        <f>'Raw Data'!F787</f>
        <v>17.97</v>
      </c>
    </row>
    <row r="785" spans="1:4" x14ac:dyDescent="0.25">
      <c r="A785" t="str">
        <f>'Raw Data'!A788</f>
        <v>08/05/2025</v>
      </c>
      <c r="B785" t="str">
        <f>'Raw Data'!C788</f>
        <v>EXPEDIA.COM TRAVEL  SEATTLE             WA</v>
      </c>
      <c r="C785" t="str">
        <f>'Raw Data'!I788</f>
        <v>Miami Investor Trip</v>
      </c>
      <c r="D785" s="31">
        <f>'Raw Data'!F788</f>
        <v>288.48</v>
      </c>
    </row>
    <row r="786" spans="1:4" x14ac:dyDescent="0.25">
      <c r="A786" t="str">
        <f>'Raw Data'!A789</f>
        <v>08/05/2025</v>
      </c>
      <c r="B786" t="str">
        <f>'Raw Data'!C789</f>
        <v>EXPEDIA.COM TRAVEL  SEATTLE             WA</v>
      </c>
      <c r="C786" t="str">
        <f>'Raw Data'!I789</f>
        <v>Miami Investor Trip</v>
      </c>
      <c r="D786" s="31">
        <f>'Raw Data'!F789</f>
        <v>288.48</v>
      </c>
    </row>
    <row r="787" spans="1:4" x14ac:dyDescent="0.25">
      <c r="A787" t="str">
        <f>'Raw Data'!A790</f>
        <v>08/04/2025</v>
      </c>
      <c r="B787" t="str">
        <f>'Raw Data'!C790</f>
        <v>BOB'S WATCHES       NEWPORT BEACH       CA</v>
      </c>
      <c r="C787" t="str">
        <f>'Raw Data'!I790</f>
        <v>Personal - Clothing</v>
      </c>
      <c r="D787" s="31">
        <f>'Raw Data'!F790</f>
        <v>11081.94</v>
      </c>
    </row>
    <row r="788" spans="1:4" x14ac:dyDescent="0.25">
      <c r="A788" t="str">
        <f>'Raw Data'!A791</f>
        <v>08/04/2025</v>
      </c>
      <c r="B788" t="str">
        <f>'Raw Data'!C791</f>
        <v>CVS PHARMACY        LOS ANGELES         CA</v>
      </c>
      <c r="C788" t="str">
        <f>'Raw Data'!I791</f>
        <v>Personal - Health</v>
      </c>
      <c r="D788" s="31">
        <f>'Raw Data'!F791</f>
        <v>25.19</v>
      </c>
    </row>
    <row r="789" spans="1:4" x14ac:dyDescent="0.25">
      <c r="A789" t="str">
        <f>'Raw Data'!A792</f>
        <v>08/03/2025</v>
      </c>
      <c r="B789" t="str">
        <f>'Raw Data'!C792</f>
        <v>ADJ REDIST PURCHASE BAL</v>
      </c>
      <c r="C789" t="str">
        <f>'Raw Data'!I792</f>
        <v>ADJ REDIST PURCHASE BAL</v>
      </c>
      <c r="D789" s="31">
        <f>'Raw Data'!F792</f>
        <v>-9614.51</v>
      </c>
    </row>
    <row r="790" spans="1:4" x14ac:dyDescent="0.25">
      <c r="A790" t="str">
        <f>'Raw Data'!A793</f>
        <v>08/03/2025</v>
      </c>
      <c r="B790" t="str">
        <f>'Raw Data'!C793</f>
        <v>CONTACTS+           HUNTINGTON BEACH    CA</v>
      </c>
      <c r="C790" t="str">
        <f>'Raw Data'!I793</f>
        <v>Personal - Health</v>
      </c>
      <c r="D790" s="31">
        <f>'Raw Data'!F793</f>
        <v>13.99</v>
      </c>
    </row>
    <row r="791" spans="1:4" x14ac:dyDescent="0.25">
      <c r="A791" t="str">
        <f>'Raw Data'!A794</f>
        <v>08/03/2025</v>
      </c>
      <c r="B791" t="str">
        <f>'Raw Data'!C794</f>
        <v>CREDIT - DISTRIBUTION OF PAYMENT</v>
      </c>
      <c r="C791" t="str">
        <f>'Raw Data'!I794</f>
        <v>CREDIT - DISTRIBUTION OF PAYMENT</v>
      </c>
      <c r="D791" s="31">
        <f>'Raw Data'!F794</f>
        <v>-26819.93</v>
      </c>
    </row>
    <row r="792" spans="1:4" x14ac:dyDescent="0.25">
      <c r="A792" t="str">
        <f>'Raw Data'!A795</f>
        <v>08/03/2025</v>
      </c>
      <c r="B792" t="str">
        <f>'Raw Data'!C795</f>
        <v>DEBIT - DISTRIBUTION OF PAYMENT</v>
      </c>
      <c r="C792" t="str">
        <f>'Raw Data'!I795</f>
        <v>DEBIT - DISTRIBUTION OF PAYMENT</v>
      </c>
      <c r="D792" s="31">
        <f>'Raw Data'!F795</f>
        <v>26819.93</v>
      </c>
    </row>
    <row r="793" spans="1:4" x14ac:dyDescent="0.25">
      <c r="A793" t="str">
        <f>'Raw Data'!A796</f>
        <v>08/03/2025</v>
      </c>
      <c r="B793" t="str">
        <f>'Raw Data'!C796</f>
        <v>DR ADJ REDIST CADV PRIN</v>
      </c>
      <c r="C793" t="str">
        <f>'Raw Data'!I796</f>
        <v>DR ADJ REDIST CADV PRIN</v>
      </c>
      <c r="D793" s="31">
        <f>'Raw Data'!F796</f>
        <v>9614.51</v>
      </c>
    </row>
    <row r="794" spans="1:4" x14ac:dyDescent="0.25">
      <c r="A794" t="str">
        <f>'Raw Data'!A797</f>
        <v>08/03/2025</v>
      </c>
      <c r="B794" t="str">
        <f>'Raw Data'!C797</f>
        <v>EXPEDIA 731961053002EXPEDIA.COM         WA</v>
      </c>
      <c r="C794" t="str">
        <f>'Raw Data'!I797</f>
        <v>Team Travel (Judd)</v>
      </c>
      <c r="D794" s="31">
        <f>'Raw Data'!F797</f>
        <v>269.47000000000003</v>
      </c>
    </row>
    <row r="795" spans="1:4" x14ac:dyDescent="0.25">
      <c r="A795" t="str">
        <f>'Raw Data'!A798</f>
        <v>08/03/2025</v>
      </c>
      <c r="B795" t="str">
        <f>'Raw Data'!C798</f>
        <v>RENEWAL MEMBERSHIP FEE</v>
      </c>
      <c r="C795" t="str">
        <f>'Raw Data'!I798</f>
        <v>RENEWAL MEMBERSHIP FEE</v>
      </c>
      <c r="D795" s="31">
        <f>'Raw Data'!F798</f>
        <v>695</v>
      </c>
    </row>
    <row r="796" spans="1:4" x14ac:dyDescent="0.25">
      <c r="A796" t="str">
        <f>'Raw Data'!A799</f>
        <v>08/03/2025</v>
      </c>
      <c r="B796" t="str">
        <f>'Raw Data'!C799</f>
        <v>SALESMESSAGE.COM    DELRAY BEACH        FL</v>
      </c>
      <c r="C796" t="str">
        <f>'Raw Data'!I799</f>
        <v>Software &amp; Subscriptions</v>
      </c>
      <c r="D796" s="31">
        <f>'Raw Data'!F799</f>
        <v>52.14</v>
      </c>
    </row>
    <row r="797" spans="1:4" x14ac:dyDescent="0.25">
      <c r="A797" t="str">
        <f>'Raw Data'!A800</f>
        <v>08/02/2025</v>
      </c>
      <c r="B797" t="str">
        <f>'Raw Data'!C800</f>
        <v>DNH*GODADDY#38397437Tempe               AZ</v>
      </c>
      <c r="C797" t="str">
        <f>'Raw Data'!I800</f>
        <v>Go Daddy</v>
      </c>
      <c r="D797" s="31">
        <f>'Raw Data'!F800</f>
        <v>13.98</v>
      </c>
    </row>
    <row r="798" spans="1:4" x14ac:dyDescent="0.25">
      <c r="A798" t="str">
        <f>'Raw Data'!A801</f>
        <v>08/01/2025</v>
      </c>
      <c r="B798" t="str">
        <f>'Raw Data'!C801</f>
        <v>ABC*ICONFIT         LOS ANGELES         CA</v>
      </c>
      <c r="C798" t="str">
        <f>'Raw Data'!I801</f>
        <v>Personal - Health</v>
      </c>
      <c r="D798" s="31">
        <f>'Raw Data'!F801</f>
        <v>119.52</v>
      </c>
    </row>
    <row r="799" spans="1:4" x14ac:dyDescent="0.25">
      <c r="A799" t="str">
        <f>'Raw Data'!A802</f>
        <v>08/01/2025</v>
      </c>
      <c r="B799" t="str">
        <f>'Raw Data'!C802</f>
        <v>DNH*GODADDY#38385677Tempe               AZ</v>
      </c>
      <c r="C799" t="str">
        <f>'Raw Data'!I802</f>
        <v>Go Daddy</v>
      </c>
      <c r="D799" s="31">
        <f>'Raw Data'!F802</f>
        <v>30.97</v>
      </c>
    </row>
    <row r="800" spans="1:4" x14ac:dyDescent="0.25">
      <c r="A800" t="str">
        <f>'Raw Data'!A803</f>
        <v>08/01/2025</v>
      </c>
      <c r="B800" t="str">
        <f>'Raw Data'!C803</f>
        <v>LOOM SUBSCRIPTION   AUSTIN              TX</v>
      </c>
      <c r="C800" t="str">
        <f>'Raw Data'!I803</f>
        <v>Software &amp; Subscriptions</v>
      </c>
      <c r="D800" s="31">
        <f>'Raw Data'!F803</f>
        <v>20</v>
      </c>
    </row>
    <row r="801" spans="1:4" x14ac:dyDescent="0.25">
      <c r="A801" t="str">
        <f>'Raw Data'!A804</f>
        <v>07/31/2025</v>
      </c>
      <c r="B801" t="str">
        <f>'Raw Data'!C804</f>
        <v>CVS PHARMACY        LOS ANGELES         CA</v>
      </c>
      <c r="C801" t="str">
        <f>'Raw Data'!I804</f>
        <v>Personal - Health</v>
      </c>
      <c r="D801" s="31">
        <f>'Raw Data'!F804</f>
        <v>21.94</v>
      </c>
    </row>
    <row r="802" spans="1:4" x14ac:dyDescent="0.25">
      <c r="A802" t="str">
        <f>'Raw Data'!A805</f>
        <v>07/31/2025</v>
      </c>
      <c r="B802" t="str">
        <f>'Raw Data'!C805</f>
        <v>SP BILLY REID - LEAPCHICAGO             IL</v>
      </c>
      <c r="C802" t="str">
        <f>'Raw Data'!I805</f>
        <v>Personal - Clothing</v>
      </c>
      <c r="D802" s="31">
        <f>'Raw Data'!F805</f>
        <v>217.86</v>
      </c>
    </row>
    <row r="803" spans="1:4" x14ac:dyDescent="0.25">
      <c r="A803" t="str">
        <f>'Raw Data'!A806</f>
        <v>07/31/2025</v>
      </c>
      <c r="B803" t="str">
        <f>'Raw Data'!C806</f>
        <v>SPONSORCLOUD (SYNPROSALT LAKE CITY      UT</v>
      </c>
      <c r="C803" t="str">
        <f>'Raw Data'!I806</f>
        <v>Sponsor Cloud</v>
      </c>
      <c r="D803" s="31">
        <f>'Raw Data'!F806</f>
        <v>164.95</v>
      </c>
    </row>
    <row r="804" spans="1:4" x14ac:dyDescent="0.25">
      <c r="A804" t="str">
        <f>'Raw Data'!A807</f>
        <v>07/31/2025</v>
      </c>
      <c r="B804" t="str">
        <f>'Raw Data'!C807</f>
        <v>TST* THE CLOVERFIELDSANTA MONICA        CA</v>
      </c>
      <c r="C804" t="str">
        <f>'Raw Data'!I807</f>
        <v>Personal - Food</v>
      </c>
      <c r="D804" s="31">
        <f>'Raw Data'!F807</f>
        <v>131.66999999999999</v>
      </c>
    </row>
    <row r="805" spans="1:4" x14ac:dyDescent="0.25">
      <c r="A805" t="str">
        <f>'Raw Data'!A808</f>
        <v>07/30/2025</v>
      </c>
      <c r="B805" t="str">
        <f>'Raw Data'!C808</f>
        <v>TST* BLUEYS KITCHEN LOS ANGELES         CA</v>
      </c>
      <c r="C805" t="str">
        <f>'Raw Data'!I808</f>
        <v>Personal - Food</v>
      </c>
      <c r="D805" s="31">
        <f>'Raw Data'!F808</f>
        <v>85.33</v>
      </c>
    </row>
    <row r="806" spans="1:4" x14ac:dyDescent="0.25">
      <c r="A806" t="str">
        <f>'Raw Data'!A809</f>
        <v>07/29/2025</v>
      </c>
      <c r="B806" t="str">
        <f>'Raw Data'!C809</f>
        <v>7 FOR ALL MANKIND   CABAZON             CA</v>
      </c>
      <c r="C806" t="str">
        <f>'Raw Data'!I809</f>
        <v>Personal - Clothing</v>
      </c>
      <c r="D806" s="31">
        <f>'Raw Data'!F809</f>
        <v>1582.7</v>
      </c>
    </row>
    <row r="807" spans="1:4" x14ac:dyDescent="0.25">
      <c r="A807" t="str">
        <f>'Raw Data'!A810</f>
        <v>07/29/2025</v>
      </c>
      <c r="B807" t="str">
        <f>'Raw Data'!C810</f>
        <v>ARCO #42311 AMPM ARCCLAREMONT           CA</v>
      </c>
      <c r="C807" t="str">
        <f>'Raw Data'!I810</f>
        <v>Personal - Car</v>
      </c>
      <c r="D807" s="31">
        <f>'Raw Data'!F810</f>
        <v>47.59</v>
      </c>
    </row>
    <row r="808" spans="1:4" x14ac:dyDescent="0.25">
      <c r="A808" t="str">
        <f>'Raw Data'!A811</f>
        <v>07/29/2025</v>
      </c>
      <c r="B808" t="str">
        <f>'Raw Data'!C811</f>
        <v>OPENAI *CHATGPT SUBSSAN FRANCISCO       CA</v>
      </c>
      <c r="C808" t="str">
        <f>'Raw Data'!I811</f>
        <v>AI Subscriptions</v>
      </c>
      <c r="D808" s="31">
        <f>'Raw Data'!F811</f>
        <v>20</v>
      </c>
    </row>
    <row r="809" spans="1:4" x14ac:dyDescent="0.25">
      <c r="A809" t="str">
        <f>'Raw Data'!A812</f>
        <v>07/27/2025</v>
      </c>
      <c r="B809" t="str">
        <f>'Raw Data'!C812</f>
        <v>SPLICE.COM          NEW YORK            NY</v>
      </c>
      <c r="C809" t="str">
        <f>'Raw Data'!I812</f>
        <v>Software &amp; Subscriptions</v>
      </c>
      <c r="D809" s="31">
        <f>'Raw Data'!F812</f>
        <v>39.99</v>
      </c>
    </row>
    <row r="810" spans="1:4" x14ac:dyDescent="0.25">
      <c r="A810" t="str">
        <f>'Raw Data'!A813</f>
        <v>07/25/2025</v>
      </c>
      <c r="B810" t="str">
        <f>'Raw Data'!C813</f>
        <v>PRIME VIDEO CHANNELSAMZN.COM/BILL       WA</v>
      </c>
      <c r="C810" t="str">
        <f>'Raw Data'!I813</f>
        <v>Amazon</v>
      </c>
      <c r="D810" s="31">
        <f>'Raw Data'!F813</f>
        <v>14.06</v>
      </c>
    </row>
    <row r="811" spans="1:4" x14ac:dyDescent="0.25">
      <c r="A811" t="str">
        <f>'Raw Data'!A814</f>
        <v>07/21/2025</v>
      </c>
      <c r="B811" t="str">
        <f>'Raw Data'!C814</f>
        <v>CVS PHARMACY        LOS ANGELES         CA</v>
      </c>
      <c r="C811" t="str">
        <f>'Raw Data'!I814</f>
        <v>Personal - Health</v>
      </c>
      <c r="D811" s="31">
        <f>'Raw Data'!F814</f>
        <v>47.02</v>
      </c>
    </row>
    <row r="812" spans="1:4" x14ac:dyDescent="0.25">
      <c r="A812" t="str">
        <f>'Raw Data'!A815</f>
        <v>07/21/2025</v>
      </c>
      <c r="B812" t="str">
        <f>'Raw Data'!C815</f>
        <v>SAFETY PARK CORPORATMARINA DEL RE       CA</v>
      </c>
      <c r="C812" t="str">
        <f>'Raw Data'!I815</f>
        <v>Personal - Car</v>
      </c>
      <c r="D812" s="31">
        <f>'Raw Data'!F815</f>
        <v>13</v>
      </c>
    </row>
    <row r="813" spans="1:4" x14ac:dyDescent="0.25">
      <c r="A813" t="str">
        <f>'Raw Data'!A816</f>
        <v>07/20/2025</v>
      </c>
      <c r="B813" t="str">
        <f>'Raw Data'!C816</f>
        <v>7-ELEVEN 39095 00073LOS ANGELES         CA</v>
      </c>
      <c r="C813" t="str">
        <f>'Raw Data'!I816</f>
        <v>Personal - Car</v>
      </c>
      <c r="D813" s="31">
        <f>'Raw Data'!F816</f>
        <v>41.17</v>
      </c>
    </row>
    <row r="814" spans="1:4" x14ac:dyDescent="0.25">
      <c r="A814" t="str">
        <f>'Raw Data'!A817</f>
        <v>07/20/2025</v>
      </c>
      <c r="B814" t="str">
        <f>'Raw Data'!C817</f>
        <v>CAMPAIGNER SVC      888-845-4544        CA</v>
      </c>
      <c r="C814" t="str">
        <f>'Raw Data'!I817</f>
        <v>Software &amp; Subscriptions</v>
      </c>
      <c r="D814" s="31">
        <f>'Raw Data'!F817</f>
        <v>584</v>
      </c>
    </row>
    <row r="815" spans="1:4" x14ac:dyDescent="0.25">
      <c r="A815" t="str">
        <f>'Raw Data'!A818</f>
        <v>07/20/2025</v>
      </c>
      <c r="B815" t="str">
        <f>'Raw Data'!C818</f>
        <v>VCA ANIMAL HOSPITALSLOS ANGELES         CA</v>
      </c>
      <c r="C815" t="str">
        <f>'Raw Data'!I818</f>
        <v>Personal - House</v>
      </c>
      <c r="D815" s="31">
        <f>'Raw Data'!F818</f>
        <v>419.01</v>
      </c>
    </row>
    <row r="816" spans="1:4" x14ac:dyDescent="0.25">
      <c r="A816" t="str">
        <f>'Raw Data'!A819</f>
        <v>07/19/2025</v>
      </c>
      <c r="B816" t="str">
        <f>'Raw Data'!C819</f>
        <v>2418 AMC AMC MARINA MARINA DEL RE       CA</v>
      </c>
      <c r="C816" t="str">
        <f>'Raw Data'!I819</f>
        <v>Personal - Entertainment</v>
      </c>
      <c r="D816" s="31">
        <f>'Raw Data'!F819</f>
        <v>42.75</v>
      </c>
    </row>
    <row r="817" spans="1:4" x14ac:dyDescent="0.25">
      <c r="A817" t="str">
        <f>'Raw Data'!A820</f>
        <v>07/19/2025</v>
      </c>
      <c r="B817" t="str">
        <f>'Raw Data'!C820</f>
        <v>JACKS SURF BOARDS   SANTA MONICA        CA</v>
      </c>
      <c r="C817" t="str">
        <f>'Raw Data'!I820</f>
        <v>Personal - Entertainment</v>
      </c>
      <c r="D817" s="31">
        <f>'Raw Data'!F820</f>
        <v>234.68</v>
      </c>
    </row>
    <row r="818" spans="1:4" x14ac:dyDescent="0.25">
      <c r="A818" t="str">
        <f>'Raw Data'!A821</f>
        <v>07/18/2025</v>
      </c>
      <c r="B818" t="str">
        <f>'Raw Data'!C821</f>
        <v>TST* AE BH 00124454 BEVERLY HILLS       CA</v>
      </c>
      <c r="C818" t="str">
        <f>'Raw Data'!I821</f>
        <v>Personal - Food</v>
      </c>
      <c r="D818" s="31">
        <f>'Raw Data'!F821</f>
        <v>492.71</v>
      </c>
    </row>
    <row r="819" spans="1:4" x14ac:dyDescent="0.25">
      <c r="A819" t="str">
        <f>'Raw Data'!A822</f>
        <v>07/18/2025</v>
      </c>
      <c r="B819" t="str">
        <f>'Raw Data'!C822</f>
        <v>TST* BLUEYS KITCHEN LOS ANGELES         CA</v>
      </c>
      <c r="C819" t="str">
        <f>'Raw Data'!I822</f>
        <v>Personal - Food</v>
      </c>
      <c r="D819" s="31">
        <f>'Raw Data'!F822</f>
        <v>45.48</v>
      </c>
    </row>
    <row r="820" spans="1:4" x14ac:dyDescent="0.25">
      <c r="A820" t="str">
        <f>'Raw Data'!A823</f>
        <v>07/18/2025</v>
      </c>
      <c r="B820" t="str">
        <f>'Raw Data'!C823</f>
        <v>ZG VALET (AVRA BH)  Beverly Hills       CA</v>
      </c>
      <c r="C820" t="str">
        <f>'Raw Data'!I823</f>
        <v>Personal - Car</v>
      </c>
      <c r="D820" s="31">
        <f>'Raw Data'!F823</f>
        <v>30</v>
      </c>
    </row>
    <row r="821" spans="1:4" x14ac:dyDescent="0.25">
      <c r="A821" t="str">
        <f>'Raw Data'!A824</f>
        <v>07/17/2025</v>
      </c>
      <c r="B821" t="str">
        <f>'Raw Data'!C824</f>
        <v>INFUSE  DR. BULL    WEST HOLLYWOOD      CA</v>
      </c>
      <c r="C821" t="str">
        <f>'Raw Data'!I824</f>
        <v>Personal - Health</v>
      </c>
      <c r="D821" s="31">
        <f>'Raw Data'!F824</f>
        <v>270</v>
      </c>
    </row>
    <row r="822" spans="1:4" x14ac:dyDescent="0.25">
      <c r="A822" t="str">
        <f>'Raw Data'!A825</f>
        <v>07/16/2025</v>
      </c>
      <c r="B822" t="str">
        <f>'Raw Data'!C825</f>
        <v>EGNYTE INC 000000001MOUNTAIN VIEW       CA</v>
      </c>
      <c r="C822" t="str">
        <f>'Raw Data'!I825</f>
        <v>DWG Operations</v>
      </c>
      <c r="D822" s="31">
        <f>'Raw Data'!F825</f>
        <v>247.58</v>
      </c>
    </row>
    <row r="823" spans="1:4" x14ac:dyDescent="0.25">
      <c r="A823" t="str">
        <f>'Raw Data'!A826</f>
        <v>07/16/2025</v>
      </c>
      <c r="B823" t="str">
        <f>'Raw Data'!C826</f>
        <v>LEV INC             NEW YORK            NY</v>
      </c>
      <c r="C823" t="str">
        <f>'Raw Data'!I826</f>
        <v>DWG Listing Platform</v>
      </c>
      <c r="D823" s="31">
        <f>'Raw Data'!F826</f>
        <v>2000</v>
      </c>
    </row>
    <row r="824" spans="1:4" x14ac:dyDescent="0.25">
      <c r="A824" t="str">
        <f>'Raw Data'!A827</f>
        <v>07/16/2025</v>
      </c>
      <c r="B824" t="str">
        <f>'Raw Data'!C827</f>
        <v>SOCIALPILOT         LEWES               DE</v>
      </c>
      <c r="C824" t="str">
        <f>'Raw Data'!I827</f>
        <v>Software &amp; Subscriptions</v>
      </c>
      <c r="D824" s="31">
        <f>'Raw Data'!F827</f>
        <v>50</v>
      </c>
    </row>
    <row r="825" spans="1:4" x14ac:dyDescent="0.25">
      <c r="A825" t="str">
        <f>'Raw Data'!A828</f>
        <v>07/14/2025</v>
      </c>
      <c r="B825" t="str">
        <f>'Raw Data'!C828</f>
        <v>AMAZON MARKETPLACE NAMZN.COM/BILL       WA</v>
      </c>
      <c r="C825" t="str">
        <f>'Raw Data'!I828</f>
        <v>Amazon</v>
      </c>
      <c r="D825" s="31">
        <f>'Raw Data'!F828</f>
        <v>-174.1</v>
      </c>
    </row>
    <row r="826" spans="1:4" x14ac:dyDescent="0.25">
      <c r="A826" t="str">
        <f>'Raw Data'!A829</f>
        <v>07/13/2025</v>
      </c>
      <c r="B826" t="str">
        <f>'Raw Data'!C829</f>
        <v>AMAZON.COM          AMZN.COM/BILL       WA</v>
      </c>
      <c r="C826" t="str">
        <f>'Raw Data'!I829</f>
        <v>Amazon</v>
      </c>
      <c r="D826" s="31">
        <f>'Raw Data'!F829</f>
        <v>20.73</v>
      </c>
    </row>
    <row r="827" spans="1:4" x14ac:dyDescent="0.25">
      <c r="A827" t="str">
        <f>'Raw Data'!A830</f>
        <v>07/12/2025</v>
      </c>
      <c r="B827" t="str">
        <f>'Raw Data'!C830</f>
        <v>AMAZON MARKETPLACE NAMZN.COM/BILL       WA</v>
      </c>
      <c r="C827" t="str">
        <f>'Raw Data'!I830</f>
        <v>Amazon</v>
      </c>
      <c r="D827" s="31">
        <f>'Raw Data'!F830</f>
        <v>-413.9</v>
      </c>
    </row>
    <row r="828" spans="1:4" x14ac:dyDescent="0.25">
      <c r="A828" t="str">
        <f>'Raw Data'!A831</f>
        <v>07/12/2025</v>
      </c>
      <c r="B828" t="str">
        <f>'Raw Data'!C831</f>
        <v>AMAZON MARKEPLACE NA PA</v>
      </c>
      <c r="C828" t="str">
        <f>'Raw Data'!I831</f>
        <v>Amazon</v>
      </c>
      <c r="D828" s="31">
        <f>'Raw Data'!F831</f>
        <v>413.9</v>
      </c>
    </row>
    <row r="829" spans="1:4" x14ac:dyDescent="0.25">
      <c r="A829" t="str">
        <f>'Raw Data'!A832</f>
        <v>07/12/2025</v>
      </c>
      <c r="B829" t="str">
        <f>'Raw Data'!C832</f>
        <v>SPOTIFY USA         NEW YORK            NY</v>
      </c>
      <c r="C829" t="str">
        <f>'Raw Data'!I832</f>
        <v>Software &amp; Subscriptions</v>
      </c>
      <c r="D829" s="31">
        <f>'Raw Data'!F832</f>
        <v>12.98</v>
      </c>
    </row>
    <row r="830" spans="1:4" x14ac:dyDescent="0.25">
      <c r="A830" t="str">
        <f>'Raw Data'!A833</f>
        <v>07/11/2025</v>
      </c>
      <c r="B830" t="str">
        <f>'Raw Data'!C833</f>
        <v>AMAZON MARKETPLACE NAMZN.COM/BILL       WA</v>
      </c>
      <c r="C830" t="str">
        <f>'Raw Data'!I833</f>
        <v>Amazon</v>
      </c>
      <c r="D830" s="31">
        <f>'Raw Data'!F833</f>
        <v>-413.9</v>
      </c>
    </row>
    <row r="831" spans="1:4" x14ac:dyDescent="0.25">
      <c r="A831" t="str">
        <f>'Raw Data'!A834</f>
        <v>07/11/2025</v>
      </c>
      <c r="B831" t="str">
        <f>'Raw Data'!C834</f>
        <v>AMAZON MARKETPLACE NAMZN.COM/BILL       WA</v>
      </c>
      <c r="C831" t="str">
        <f>'Raw Data'!I834</f>
        <v>Amazon</v>
      </c>
      <c r="D831" s="31">
        <f>'Raw Data'!F834</f>
        <v>-56.16</v>
      </c>
    </row>
    <row r="832" spans="1:4" x14ac:dyDescent="0.25">
      <c r="A832" t="str">
        <f>'Raw Data'!A835</f>
        <v>07/11/2025</v>
      </c>
      <c r="B832" t="str">
        <f>'Raw Data'!C835</f>
        <v>AMAZON MARKEPLACE NA PA</v>
      </c>
      <c r="C832" t="str">
        <f>'Raw Data'!I835</f>
        <v>Amazon</v>
      </c>
      <c r="D832" s="31">
        <f>'Raw Data'!F835</f>
        <v>56.16</v>
      </c>
    </row>
    <row r="833" spans="1:4" x14ac:dyDescent="0.25">
      <c r="A833" t="str">
        <f>'Raw Data'!A836</f>
        <v>07/11/2025</v>
      </c>
      <c r="B833" t="str">
        <f>'Raw Data'!C836</f>
        <v>AMAZON MARKEPLACE NA PA</v>
      </c>
      <c r="C833" t="str">
        <f>'Raw Data'!I836</f>
        <v>Amazon</v>
      </c>
      <c r="D833" s="31">
        <f>'Raw Data'!F836</f>
        <v>413.9</v>
      </c>
    </row>
    <row r="834" spans="1:4" x14ac:dyDescent="0.25">
      <c r="A834" t="str">
        <f>'Raw Data'!A837</f>
        <v>07/11/2025</v>
      </c>
      <c r="B834" t="str">
        <f>'Raw Data'!C837</f>
        <v>DNH*GODADDY#38140784Tempe               AZ</v>
      </c>
      <c r="C834" t="str">
        <f>'Raw Data'!I837</f>
        <v>Go Daddy</v>
      </c>
      <c r="D834" s="31">
        <f>'Raw Data'!F837</f>
        <v>21.98</v>
      </c>
    </row>
    <row r="835" spans="1:4" x14ac:dyDescent="0.25">
      <c r="A835" t="str">
        <f>'Raw Data'!A838</f>
        <v>07/11/2025</v>
      </c>
      <c r="B835" t="str">
        <f>'Raw Data'!C838</f>
        <v>GODADDY.COM         SCOTTSDALE          AZ</v>
      </c>
      <c r="C835" t="str">
        <f>'Raw Data'!I838</f>
        <v>Go Daddy</v>
      </c>
      <c r="D835" s="31">
        <f>'Raw Data'!F838</f>
        <v>57.73</v>
      </c>
    </row>
    <row r="836" spans="1:4" x14ac:dyDescent="0.25">
      <c r="A836" t="str">
        <f>'Raw Data'!A839</f>
        <v>07/11/2025</v>
      </c>
      <c r="B836" t="str">
        <f>'Raw Data'!C839</f>
        <v>ONSTAR, LLC         DETROIT             MI</v>
      </c>
      <c r="C836" t="str">
        <f>'Raw Data'!I839</f>
        <v>Personal - Car</v>
      </c>
      <c r="D836" s="31">
        <f>'Raw Data'!F839</f>
        <v>34.1</v>
      </c>
    </row>
    <row r="837" spans="1:4" x14ac:dyDescent="0.25">
      <c r="A837" t="str">
        <f>'Raw Data'!A840</f>
        <v>07/10/2025</v>
      </c>
      <c r="B837" t="str">
        <f>'Raw Data'!C840</f>
        <v>AMAZON MARKETPLACE NAMZN.COM/BILL       WA</v>
      </c>
      <c r="C837" t="str">
        <f>'Raw Data'!I840</f>
        <v>Amazon</v>
      </c>
      <c r="D837" s="31">
        <f>'Raw Data'!F840</f>
        <v>-65.319999999999993</v>
      </c>
    </row>
    <row r="838" spans="1:4" x14ac:dyDescent="0.25">
      <c r="A838" t="str">
        <f>'Raw Data'!A841</f>
        <v>07/10/2025</v>
      </c>
      <c r="B838" t="str">
        <f>'Raw Data'!C841</f>
        <v>AMAZON MARKETPLACE NAMZN.COM/BILL       WA</v>
      </c>
      <c r="C838" t="str">
        <f>'Raw Data'!I841</f>
        <v>Amazon</v>
      </c>
      <c r="D838" s="31">
        <f>'Raw Data'!F841</f>
        <v>-12.67</v>
      </c>
    </row>
    <row r="839" spans="1:4" x14ac:dyDescent="0.25">
      <c r="A839" t="str">
        <f>'Raw Data'!A842</f>
        <v>07/10/2025</v>
      </c>
      <c r="B839" t="str">
        <f>'Raw Data'!C842</f>
        <v>AMAZON MARKEPLACE NA PA</v>
      </c>
      <c r="C839" t="str">
        <f>'Raw Data'!I842</f>
        <v>Amazon</v>
      </c>
      <c r="D839" s="31">
        <f>'Raw Data'!F842</f>
        <v>12.67</v>
      </c>
    </row>
    <row r="840" spans="1:4" x14ac:dyDescent="0.25">
      <c r="A840" t="str">
        <f>'Raw Data'!A843</f>
        <v>07/10/2025</v>
      </c>
      <c r="B840" t="str">
        <f>'Raw Data'!C843</f>
        <v>AMAZON MARKEPLACE NA PA</v>
      </c>
      <c r="C840" t="str">
        <f>'Raw Data'!I843</f>
        <v>Amazon</v>
      </c>
      <c r="D840" s="31">
        <f>'Raw Data'!F843</f>
        <v>65.319999999999993</v>
      </c>
    </row>
    <row r="841" spans="1:4" x14ac:dyDescent="0.25">
      <c r="A841" t="str">
        <f>'Raw Data'!A844</f>
        <v>07/10/2025</v>
      </c>
      <c r="B841" t="str">
        <f>'Raw Data'!C844</f>
        <v>AMAZON MARKEPLACE NA PA</v>
      </c>
      <c r="C841" t="str">
        <f>'Raw Data'!I844</f>
        <v>Amazon</v>
      </c>
      <c r="D841" s="31">
        <f>'Raw Data'!F844</f>
        <v>84.56</v>
      </c>
    </row>
    <row r="842" spans="1:4" x14ac:dyDescent="0.25">
      <c r="A842" t="str">
        <f>'Raw Data'!A845</f>
        <v>07/10/2025</v>
      </c>
      <c r="B842" t="str">
        <f>'Raw Data'!C845</f>
        <v>BEACON GRAND 00-0803SAN FRANCISCO       CA</v>
      </c>
      <c r="C842" t="str">
        <f>'Raw Data'!I845</f>
        <v>San Francisco Investor Meeting</v>
      </c>
      <c r="D842" s="31">
        <f>'Raw Data'!F845</f>
        <v>317.49</v>
      </c>
    </row>
    <row r="843" spans="1:4" x14ac:dyDescent="0.25">
      <c r="A843" t="str">
        <f>'Raw Data'!A846</f>
        <v>07/10/2025</v>
      </c>
      <c r="B843" t="str">
        <f>'Raw Data'!C846</f>
        <v>LAZY DOG RESTAURANT NEWARK              CA</v>
      </c>
      <c r="C843" t="str">
        <f>'Raw Data'!I846</f>
        <v>San Francisco Investor Meeting</v>
      </c>
      <c r="D843" s="31">
        <f>'Raw Data'!F846</f>
        <v>118.31</v>
      </c>
    </row>
    <row r="844" spans="1:4" x14ac:dyDescent="0.25">
      <c r="A844" t="str">
        <f>'Raw Data'!A847</f>
        <v>07/10/2025</v>
      </c>
      <c r="B844" t="str">
        <f>'Raw Data'!C847</f>
        <v>VALERO 7 ELEVEN 3794KING CITY           CA</v>
      </c>
      <c r="C844" t="str">
        <f>'Raw Data'!I847</f>
        <v>San Francisco Investor Meeting</v>
      </c>
      <c r="D844" s="31">
        <f>'Raw Data'!F847</f>
        <v>62.11</v>
      </c>
    </row>
    <row r="845" spans="1:4" x14ac:dyDescent="0.25">
      <c r="A845" t="str">
        <f>'Raw Data'!A848</f>
        <v>07/10/2025</v>
      </c>
      <c r="B845" t="str">
        <f>'Raw Data'!C848</f>
        <v>VIMEO PRO           212-625-0668        NY</v>
      </c>
      <c r="C845" t="str">
        <f>'Raw Data'!I848</f>
        <v>Software &amp; Subscriptions</v>
      </c>
      <c r="D845" s="31">
        <f>'Raw Data'!F848</f>
        <v>24</v>
      </c>
    </row>
    <row r="846" spans="1:4" x14ac:dyDescent="0.25">
      <c r="A846" t="str">
        <f>'Raw Data'!A849</f>
        <v>07/09/2025</v>
      </c>
      <c r="B846" t="str">
        <f>'Raw Data'!C849</f>
        <v>AMAZON MARKETPLACE NAMZN.COM/BILL       WA</v>
      </c>
      <c r="C846" t="str">
        <f>'Raw Data'!I849</f>
        <v>Amazon</v>
      </c>
      <c r="D846" s="31">
        <f>'Raw Data'!F849</f>
        <v>-317.85000000000002</v>
      </c>
    </row>
    <row r="847" spans="1:4" x14ac:dyDescent="0.25">
      <c r="A847" t="str">
        <f>'Raw Data'!A850</f>
        <v>07/09/2025</v>
      </c>
      <c r="B847" t="str">
        <f>'Raw Data'!C850</f>
        <v>AMAZON MARKEPLACE NA PA</v>
      </c>
      <c r="C847" t="str">
        <f>'Raw Data'!I850</f>
        <v>Amazon</v>
      </c>
      <c r="D847" s="31">
        <f>'Raw Data'!F850</f>
        <v>317.85000000000002</v>
      </c>
    </row>
    <row r="848" spans="1:4" x14ac:dyDescent="0.25">
      <c r="A848" t="str">
        <f>'Raw Data'!A851</f>
        <v>07/09/2025</v>
      </c>
      <c r="B848" t="str">
        <f>'Raw Data'!C851</f>
        <v>COONEY'S AT THE MARKSANTA BARBARA       CA</v>
      </c>
      <c r="C848" t="str">
        <f>'Raw Data'!I851</f>
        <v>San Francisco Investor Meeting</v>
      </c>
      <c r="D848" s="31">
        <f>'Raw Data'!F851</f>
        <v>10.34</v>
      </c>
    </row>
    <row r="849" spans="1:4" x14ac:dyDescent="0.25">
      <c r="A849" t="str">
        <f>'Raw Data'!A852</f>
        <v>07/09/2025</v>
      </c>
      <c r="B849" t="str">
        <f>'Raw Data'!C852</f>
        <v>EXPEDIA 731687770784EXPEDIA.COM         WA</v>
      </c>
      <c r="C849" t="str">
        <f>'Raw Data'!I852</f>
        <v>San Francisco Investor Meeting</v>
      </c>
      <c r="D849" s="31">
        <f>'Raw Data'!F852</f>
        <v>191.28</v>
      </c>
    </row>
    <row r="850" spans="1:4" x14ac:dyDescent="0.25">
      <c r="A850" t="str">
        <f>'Raw Data'!A853</f>
        <v>07/09/2025</v>
      </c>
      <c r="B850" t="str">
        <f>'Raw Data'!C853</f>
        <v>FAARHA INC #43159 88LOS ANGELES         CA</v>
      </c>
      <c r="C850" t="str">
        <f>'Raw Data'!I853</f>
        <v>San Francisco Investor Meeting</v>
      </c>
      <c r="D850" s="31">
        <f>'Raw Data'!F853</f>
        <v>56.33</v>
      </c>
    </row>
    <row r="851" spans="1:4" x14ac:dyDescent="0.25">
      <c r="A851" t="str">
        <f>'Raw Data'!A854</f>
        <v>07/09/2025</v>
      </c>
      <c r="B851" t="str">
        <f>'Raw Data'!C854</f>
        <v>INFUSE  DR. BULL    WEST HOLLYWOOD      CA</v>
      </c>
      <c r="C851" t="str">
        <f>'Raw Data'!I854</f>
        <v>Personal - Health</v>
      </c>
      <c r="D851" s="31">
        <f>'Raw Data'!F854</f>
        <v>270</v>
      </c>
    </row>
    <row r="852" spans="1:4" x14ac:dyDescent="0.25">
      <c r="A852" t="str">
        <f>'Raw Data'!A855</f>
        <v>07/09/2025</v>
      </c>
      <c r="B852" t="str">
        <f>'Raw Data'!C855</f>
        <v>RVA *SVC CHAIN      ATLANTA             GA</v>
      </c>
      <c r="C852" t="str">
        <f>'Raw Data'!I855</f>
        <v>TBD</v>
      </c>
      <c r="D852" s="31">
        <f>'Raw Data'!F855</f>
        <v>2</v>
      </c>
    </row>
    <row r="853" spans="1:4" x14ac:dyDescent="0.25">
      <c r="A853" t="str">
        <f>'Raw Data'!A856</f>
        <v>07/09/2025</v>
      </c>
      <c r="B853" t="str">
        <f>'Raw Data'!C856</f>
        <v>RVA AZ DEPT OF REVENPHOENIX             AZ</v>
      </c>
      <c r="C853" t="str">
        <f>'Raw Data'!I856</f>
        <v>Deal Specific - 260 S Hibbert</v>
      </c>
      <c r="D853" s="31">
        <f>'Raw Data'!F856</f>
        <v>32</v>
      </c>
    </row>
    <row r="854" spans="1:4" x14ac:dyDescent="0.25">
      <c r="A854" t="str">
        <f>'Raw Data'!A857</f>
        <v>07/09/2025</v>
      </c>
      <c r="B854" t="str">
        <f>'Raw Data'!C857</f>
        <v>STAPLES 01299       FREMONT             CA</v>
      </c>
      <c r="C854" t="str">
        <f>'Raw Data'!I857</f>
        <v>San Francisco Investor Meeting</v>
      </c>
      <c r="D854" s="31">
        <f>'Raw Data'!F857</f>
        <v>716.79</v>
      </c>
    </row>
    <row r="855" spans="1:4" x14ac:dyDescent="0.25">
      <c r="A855" t="str">
        <f>'Raw Data'!A858</f>
        <v>07/09/2025</v>
      </c>
      <c r="B855" t="str">
        <f>'Raw Data'!C858</f>
        <v>TST* CORAZON COCINA SANTA BARBARA       CA</v>
      </c>
      <c r="C855" t="str">
        <f>'Raw Data'!I858</f>
        <v>San Francisco Investor Meeting</v>
      </c>
      <c r="D855" s="31">
        <f>'Raw Data'!F858</f>
        <v>51.2</v>
      </c>
    </row>
    <row r="856" spans="1:4" x14ac:dyDescent="0.25">
      <c r="A856" t="str">
        <f>'Raw Data'!A859</f>
        <v>07/08/2025</v>
      </c>
      <c r="B856" t="str">
        <f>'Raw Data'!C859</f>
        <v>AMAZON MARKETPLACE NAMZN.COM/BILL       WA</v>
      </c>
      <c r="C856" t="str">
        <f>'Raw Data'!I859</f>
        <v>Amazon</v>
      </c>
      <c r="D856" s="31">
        <f>'Raw Data'!F859</f>
        <v>-620.85</v>
      </c>
    </row>
    <row r="857" spans="1:4" x14ac:dyDescent="0.25">
      <c r="A857" t="str">
        <f>'Raw Data'!A860</f>
        <v>07/08/2025</v>
      </c>
      <c r="B857" t="str">
        <f>'Raw Data'!C860</f>
        <v>AMAZON MARKEPLACE NA PA</v>
      </c>
      <c r="C857" t="str">
        <f>'Raw Data'!I860</f>
        <v>Amazon</v>
      </c>
      <c r="D857" s="31">
        <f>'Raw Data'!F860</f>
        <v>620.85</v>
      </c>
    </row>
    <row r="858" spans="1:4" x14ac:dyDescent="0.25">
      <c r="A858" t="str">
        <f>'Raw Data'!A861</f>
        <v>07/08/2025</v>
      </c>
      <c r="B858" t="str">
        <f>'Raw Data'!C861</f>
        <v>AMAZON.COM          AMZN.COM/BILL       WA</v>
      </c>
      <c r="C858" t="str">
        <f>'Raw Data'!I861</f>
        <v>Amazon</v>
      </c>
      <c r="D858" s="31">
        <f>'Raw Data'!F861</f>
        <v>264.94</v>
      </c>
    </row>
    <row r="859" spans="1:4" x14ac:dyDescent="0.25">
      <c r="A859" t="str">
        <f>'Raw Data'!A862</f>
        <v>07/08/2025</v>
      </c>
      <c r="B859" t="str">
        <f>'Raw Data'!C862</f>
        <v>BT*BREVITAS         SAN FRANCISCO       CA</v>
      </c>
      <c r="C859" t="str">
        <f>'Raw Data'!I862</f>
        <v>DWG Listing Platform</v>
      </c>
      <c r="D859" s="31">
        <f>'Raw Data'!F862</f>
        <v>125</v>
      </c>
    </row>
    <row r="860" spans="1:4" x14ac:dyDescent="0.25">
      <c r="A860" t="str">
        <f>'Raw Data'!A863</f>
        <v>07/08/2025</v>
      </c>
      <c r="B860" t="str">
        <f>'Raw Data'!C863</f>
        <v>OPENAI *CHATGPT SUBSSAN FRANCISCO       CA</v>
      </c>
      <c r="C860" t="str">
        <f>'Raw Data'!I863</f>
        <v>AI Subscriptions</v>
      </c>
      <c r="D860" s="31">
        <f>'Raw Data'!F863</f>
        <v>20</v>
      </c>
    </row>
    <row r="861" spans="1:4" x14ac:dyDescent="0.25">
      <c r="A861" t="str">
        <f>'Raw Data'!A864</f>
        <v>07/08/2025</v>
      </c>
      <c r="B861" t="str">
        <f>'Raw Data'!C864</f>
        <v>SAFELITE AUTO GLASS COLUMBUS            OH</v>
      </c>
      <c r="C861" t="str">
        <f>'Raw Data'!I864</f>
        <v>Personal - Car</v>
      </c>
      <c r="D861" s="31">
        <f>'Raw Data'!F864</f>
        <v>50</v>
      </c>
    </row>
    <row r="862" spans="1:4" x14ac:dyDescent="0.25">
      <c r="A862" t="str">
        <f>'Raw Data'!A865</f>
        <v>07/08/2025</v>
      </c>
      <c r="B862" t="str">
        <f>'Raw Data'!C865</f>
        <v>XL TECHNOLOGIES LLC SARASOTA            FL</v>
      </c>
      <c r="C862" t="str">
        <f>'Raw Data'!I865</f>
        <v>AI Subscriptions</v>
      </c>
      <c r="D862" s="31">
        <f>'Raw Data'!F865</f>
        <v>49</v>
      </c>
    </row>
    <row r="863" spans="1:4" x14ac:dyDescent="0.25">
      <c r="A863" t="str">
        <f>'Raw Data'!A866</f>
        <v>07/07/2025</v>
      </c>
      <c r="B863" t="str">
        <f>'Raw Data'!C866</f>
        <v>DNH*GODADDY#38092984Tempe               AZ</v>
      </c>
      <c r="C863" t="str">
        <f>'Raw Data'!I866</f>
        <v>Go Daddy</v>
      </c>
      <c r="D863" s="31">
        <f>'Raw Data'!F866</f>
        <v>10.99</v>
      </c>
    </row>
    <row r="864" spans="1:4" x14ac:dyDescent="0.25">
      <c r="A864" t="str">
        <f>'Raw Data'!A867</f>
        <v>07/07/2025</v>
      </c>
      <c r="B864" t="str">
        <f>'Raw Data'!C867</f>
        <v>GRANDVIEW CLEANERS 5LOS ANGELES         CA</v>
      </c>
      <c r="C864" t="str">
        <f>'Raw Data'!I867</f>
        <v>Personal - House</v>
      </c>
      <c r="D864" s="31">
        <f>'Raw Data'!F867</f>
        <v>152.22</v>
      </c>
    </row>
    <row r="865" spans="1:4" x14ac:dyDescent="0.25">
      <c r="A865" t="str">
        <f>'Raw Data'!A868</f>
        <v>07/07/2025</v>
      </c>
      <c r="B865" t="str">
        <f>'Raw Data'!C868</f>
        <v>READ - MEETING MANAGSEATTLE             WA</v>
      </c>
      <c r="C865" t="str">
        <f>'Raw Data'!I868</f>
        <v>DWG Operations</v>
      </c>
      <c r="D865" s="31">
        <f>'Raw Data'!F868</f>
        <v>59.5</v>
      </c>
    </row>
    <row r="866" spans="1:4" x14ac:dyDescent="0.25">
      <c r="A866" t="str">
        <f>'Raw Data'!A869</f>
        <v>07/07/2025</v>
      </c>
      <c r="B866" t="str">
        <f>'Raw Data'!C869</f>
        <v>TST* GREENLEAF - VENLOS ANGELES         CA</v>
      </c>
      <c r="C866" t="str">
        <f>'Raw Data'!I869</f>
        <v>Personal - Food</v>
      </c>
      <c r="D866" s="31">
        <f>'Raw Data'!F869</f>
        <v>29.96</v>
      </c>
    </row>
    <row r="867" spans="1:4" x14ac:dyDescent="0.25">
      <c r="A867" t="str">
        <f>'Raw Data'!A870</f>
        <v>07/06/2025</v>
      </c>
      <c r="B867" t="str">
        <f>'Raw Data'!C870</f>
        <v>AMAZON MARKETPLACE NAMZN.COM/BILL       WA</v>
      </c>
      <c r="C867" t="str">
        <f>'Raw Data'!I870</f>
        <v>Amazon</v>
      </c>
      <c r="D867" s="31">
        <f>'Raw Data'!F870</f>
        <v>-529.75</v>
      </c>
    </row>
    <row r="868" spans="1:4" x14ac:dyDescent="0.25">
      <c r="A868" t="str">
        <f>'Raw Data'!A871</f>
        <v>07/06/2025</v>
      </c>
      <c r="B868" t="str">
        <f>'Raw Data'!C871</f>
        <v>AMAZON MARKETPLACE NAMZN.COM/BILL       WA</v>
      </c>
      <c r="C868" t="str">
        <f>'Raw Data'!I871</f>
        <v>Amazon</v>
      </c>
      <c r="D868" s="31">
        <f>'Raw Data'!F871</f>
        <v>-181.41</v>
      </c>
    </row>
    <row r="869" spans="1:4" x14ac:dyDescent="0.25">
      <c r="A869" t="str">
        <f>'Raw Data'!A872</f>
        <v>07/06/2025</v>
      </c>
      <c r="B869" t="str">
        <f>'Raw Data'!C872</f>
        <v>AMAZON MARKETPLACE NAMZN.COM/BILL       WA</v>
      </c>
      <c r="C869" t="str">
        <f>'Raw Data'!I872</f>
        <v>Amazon</v>
      </c>
      <c r="D869" s="31">
        <f>'Raw Data'!F872</f>
        <v>-158.32</v>
      </c>
    </row>
    <row r="870" spans="1:4" x14ac:dyDescent="0.25">
      <c r="A870" t="str">
        <f>'Raw Data'!A873</f>
        <v>07/06/2025</v>
      </c>
      <c r="B870" t="str">
        <f>'Raw Data'!C873</f>
        <v>AMAZON MARKEPLACE NA PA</v>
      </c>
      <c r="C870" t="str">
        <f>'Raw Data'!I873</f>
        <v>Amazon</v>
      </c>
      <c r="D870" s="31">
        <f>'Raw Data'!F873</f>
        <v>158.32</v>
      </c>
    </row>
    <row r="871" spans="1:4" x14ac:dyDescent="0.25">
      <c r="A871" t="str">
        <f>'Raw Data'!A874</f>
        <v>07/06/2025</v>
      </c>
      <c r="B871" t="str">
        <f>'Raw Data'!C874</f>
        <v>AMAZON MARKEPLACE NA PA</v>
      </c>
      <c r="C871" t="str">
        <f>'Raw Data'!I874</f>
        <v>Amazon</v>
      </c>
      <c r="D871" s="31">
        <f>'Raw Data'!F874</f>
        <v>181.41</v>
      </c>
    </row>
    <row r="872" spans="1:4" x14ac:dyDescent="0.25">
      <c r="A872" t="str">
        <f>'Raw Data'!A875</f>
        <v>07/06/2025</v>
      </c>
      <c r="B872" t="str">
        <f>'Raw Data'!C875</f>
        <v>AMAZON MARKEPLACE NA PA</v>
      </c>
      <c r="C872" t="str">
        <f>'Raw Data'!I875</f>
        <v>Amazon</v>
      </c>
      <c r="D872" s="31">
        <f>'Raw Data'!F875</f>
        <v>529.75</v>
      </c>
    </row>
    <row r="873" spans="1:4" x14ac:dyDescent="0.25">
      <c r="A873" t="str">
        <f>'Raw Data'!A876</f>
        <v>07/06/2025</v>
      </c>
      <c r="B873" t="str">
        <f>'Raw Data'!C876</f>
        <v>AMAZON PRIME*N31RK8IAMZN.COM/BILL       WA</v>
      </c>
      <c r="C873" t="str">
        <f>'Raw Data'!I876</f>
        <v>Amazon</v>
      </c>
      <c r="D873" s="31">
        <f>'Raw Data'!F876</f>
        <v>3.24</v>
      </c>
    </row>
    <row r="874" spans="1:4" x14ac:dyDescent="0.25">
      <c r="A874" t="str">
        <f>'Raw Data'!A877</f>
        <v>07/06/2025</v>
      </c>
      <c r="B874" t="str">
        <f>'Raw Data'!C877</f>
        <v>AMAZON.COM          AMZN.COM/BILL       WA</v>
      </c>
      <c r="C874" t="str">
        <f>'Raw Data'!I877</f>
        <v>Amazon</v>
      </c>
      <c r="D874" s="31">
        <f>'Raw Data'!F877</f>
        <v>165.62</v>
      </c>
    </row>
    <row r="875" spans="1:4" x14ac:dyDescent="0.25">
      <c r="A875" t="str">
        <f>'Raw Data'!A878</f>
        <v>07/06/2025</v>
      </c>
      <c r="B875" t="str">
        <f>'Raw Data'!C878</f>
        <v>Amazon Prime        Amazon.com          WA</v>
      </c>
      <c r="C875" t="str">
        <f>'Raw Data'!I878</f>
        <v>Amazon</v>
      </c>
      <c r="D875" s="31">
        <f>'Raw Data'!F878</f>
        <v>16.23</v>
      </c>
    </row>
    <row r="876" spans="1:4" x14ac:dyDescent="0.25">
      <c r="A876" t="str">
        <f>'Raw Data'!A879</f>
        <v>07/06/2025</v>
      </c>
      <c r="B876" t="str">
        <f>'Raw Data'!C879</f>
        <v>BRAVE.COM           SAN FRANCISCO       CA</v>
      </c>
      <c r="C876" t="str">
        <f>'Raw Data'!I879</f>
        <v>Software &amp; Subscriptions</v>
      </c>
      <c r="D876" s="31">
        <f>'Raw Data'!F879</f>
        <v>9.99</v>
      </c>
    </row>
    <row r="877" spans="1:4" x14ac:dyDescent="0.25">
      <c r="A877" t="str">
        <f>'Raw Data'!A880</f>
        <v>07/06/2025</v>
      </c>
      <c r="B877" t="str">
        <f>'Raw Data'!C880</f>
        <v>CREXI               LOS ANGELES         CA</v>
      </c>
      <c r="C877" t="str">
        <f>'Raw Data'!I880</f>
        <v>DWG Listing Platform</v>
      </c>
      <c r="D877" s="31">
        <f>'Raw Data'!F880</f>
        <v>260</v>
      </c>
    </row>
    <row r="878" spans="1:4" x14ac:dyDescent="0.25">
      <c r="A878" t="str">
        <f>'Raw Data'!A881</f>
        <v>07/06/2025</v>
      </c>
      <c r="B878" t="str">
        <f>'Raw Data'!C881</f>
        <v>DNH*GODADDY#38079792Tempe               AZ</v>
      </c>
      <c r="C878" t="str">
        <f>'Raw Data'!I881</f>
        <v>Go Daddy</v>
      </c>
      <c r="D878" s="31">
        <f>'Raw Data'!F881</f>
        <v>30.97</v>
      </c>
    </row>
    <row r="879" spans="1:4" x14ac:dyDescent="0.25">
      <c r="A879" t="str">
        <f>'Raw Data'!A882</f>
        <v>07/06/2025</v>
      </c>
      <c r="B879" t="str">
        <f>'Raw Data'!C882</f>
        <v>RAHEL VEGAN, INC. 00CENTRAL LA          CA</v>
      </c>
      <c r="C879" t="str">
        <f>'Raw Data'!I882</f>
        <v>Personal - Food</v>
      </c>
      <c r="D879" s="31">
        <f>'Raw Data'!F882</f>
        <v>147.54</v>
      </c>
    </row>
    <row r="880" spans="1:4" x14ac:dyDescent="0.25">
      <c r="A880" t="str">
        <f>'Raw Data'!A883</f>
        <v>07/06/2025</v>
      </c>
      <c r="B880" t="str">
        <f>'Raw Data'!C883</f>
        <v>TST* BLUEYS KITCHEN LOS ANGELES         CA</v>
      </c>
      <c r="C880" t="str">
        <f>'Raw Data'!I883</f>
        <v>Personal - Food</v>
      </c>
      <c r="D880" s="31">
        <f>'Raw Data'!F883</f>
        <v>32.950000000000003</v>
      </c>
    </row>
    <row r="881" spans="1:4" x14ac:dyDescent="0.25">
      <c r="A881" t="str">
        <f>'Raw Data'!A884</f>
        <v>07/05/2025</v>
      </c>
      <c r="B881" t="str">
        <f>'Raw Data'!C884</f>
        <v>AMAZON MARKETPLACE NAMZN.COM/BILL       WA</v>
      </c>
      <c r="C881" t="str">
        <f>'Raw Data'!I884</f>
        <v>Amazon</v>
      </c>
      <c r="D881" s="31">
        <f>'Raw Data'!F884</f>
        <v>-511.91</v>
      </c>
    </row>
    <row r="882" spans="1:4" x14ac:dyDescent="0.25">
      <c r="A882" t="str">
        <f>'Raw Data'!A885</f>
        <v>07/05/2025</v>
      </c>
      <c r="B882" t="str">
        <f>'Raw Data'!C885</f>
        <v>AMAZON MARKEPLACE NA PA</v>
      </c>
      <c r="C882" t="str">
        <f>'Raw Data'!I885</f>
        <v>Amazon</v>
      </c>
      <c r="D882" s="31">
        <f>'Raw Data'!F885</f>
        <v>511.91</v>
      </c>
    </row>
    <row r="883" spans="1:4" x14ac:dyDescent="0.25">
      <c r="A883" t="str">
        <f>'Raw Data'!A886</f>
        <v>07/05/2025</v>
      </c>
      <c r="B883" t="str">
        <f>'Raw Data'!C886</f>
        <v>DNH*GODADDY#38070961Tempe               AZ</v>
      </c>
      <c r="C883" t="str">
        <f>'Raw Data'!I886</f>
        <v>Go Daddy</v>
      </c>
      <c r="D883" s="31">
        <f>'Raw Data'!F886</f>
        <v>17.97</v>
      </c>
    </row>
    <row r="884" spans="1:4" x14ac:dyDescent="0.25">
      <c r="A884" t="str">
        <f>'Raw Data'!A887</f>
        <v>07/05/2025</v>
      </c>
      <c r="B884" t="str">
        <f>'Raw Data'!C887</f>
        <v>HOLLYWOOD BOWL 65000LOS ANGELES         CA</v>
      </c>
      <c r="C884" t="str">
        <f>'Raw Data'!I887</f>
        <v>Personal - Entertainment</v>
      </c>
      <c r="D884" s="31">
        <f>'Raw Data'!F887</f>
        <v>19.760000000000002</v>
      </c>
    </row>
    <row r="885" spans="1:4" x14ac:dyDescent="0.25">
      <c r="A885" t="str">
        <f>'Raw Data'!A888</f>
        <v>07/05/2025</v>
      </c>
      <c r="B885" t="str">
        <f>'Raw Data'!C888</f>
        <v>HOLLYWOOD BOWL 65000LOS ANGELES         CA</v>
      </c>
      <c r="C885" t="str">
        <f>'Raw Data'!I888</f>
        <v>Personal - Entertainment</v>
      </c>
      <c r="D885" s="31">
        <f>'Raw Data'!F888</f>
        <v>62.01</v>
      </c>
    </row>
    <row r="886" spans="1:4" x14ac:dyDescent="0.25">
      <c r="A886" t="str">
        <f>'Raw Data'!A889</f>
        <v>07/05/2025</v>
      </c>
      <c r="B886" t="str">
        <f>'Raw Data'!C889</f>
        <v>LADOT METER PARKING LOS ANGELES         CA</v>
      </c>
      <c r="C886" t="str">
        <f>'Raw Data'!I889</f>
        <v>Personal - Car</v>
      </c>
      <c r="D886" s="31">
        <f>'Raw Data'!F889</f>
        <v>1</v>
      </c>
    </row>
    <row r="887" spans="1:4" x14ac:dyDescent="0.25">
      <c r="A887" t="str">
        <f>'Raw Data'!A890</f>
        <v>07/04/2025</v>
      </c>
      <c r="B887" t="str">
        <f>'Raw Data'!C890</f>
        <v>AMAZON MARKETPLACE NAMZN.COM/BILL       WA</v>
      </c>
      <c r="C887" t="str">
        <f>'Raw Data'!I890</f>
        <v>Amazon</v>
      </c>
      <c r="D887" s="31">
        <f>'Raw Data'!F890</f>
        <v>-41.11</v>
      </c>
    </row>
    <row r="888" spans="1:4" x14ac:dyDescent="0.25">
      <c r="A888" t="str">
        <f>'Raw Data'!A891</f>
        <v>07/04/2025</v>
      </c>
      <c r="B888" t="str">
        <f>'Raw Data'!C891</f>
        <v>AMAZON MARKEPLACE NA PA</v>
      </c>
      <c r="C888" t="str">
        <f>'Raw Data'!I891</f>
        <v>Amazon</v>
      </c>
      <c r="D888" s="31">
        <f>'Raw Data'!F891</f>
        <v>41.11</v>
      </c>
    </row>
    <row r="889" spans="1:4" x14ac:dyDescent="0.25">
      <c r="A889" t="str">
        <f>'Raw Data'!A892</f>
        <v>07/04/2025</v>
      </c>
      <c r="B889" t="str">
        <f>'Raw Data'!C892</f>
        <v>DNH*GODADDY#38054724Tempe               AZ</v>
      </c>
      <c r="C889" t="str">
        <f>'Raw Data'!I892</f>
        <v>Go Daddy</v>
      </c>
      <c r="D889" s="31">
        <f>'Raw Data'!F892</f>
        <v>40.97</v>
      </c>
    </row>
    <row r="890" spans="1:4" x14ac:dyDescent="0.25">
      <c r="A890" t="str">
        <f>'Raw Data'!A893</f>
        <v>07/04/2025</v>
      </c>
      <c r="B890" t="str">
        <f>'Raw Data'!C893</f>
        <v>EVITE, INC.         LOS ANGELES         CA</v>
      </c>
      <c r="C890" t="str">
        <f>'Raw Data'!I893</f>
        <v>San Francisco Investor Meeting</v>
      </c>
      <c r="D890" s="31">
        <f>'Raw Data'!F893</f>
        <v>106.58</v>
      </c>
    </row>
    <row r="891" spans="1:4" x14ac:dyDescent="0.25">
      <c r="A891" t="str">
        <f>'Raw Data'!A894</f>
        <v>07/04/2025</v>
      </c>
      <c r="B891" t="str">
        <f>'Raw Data'!C894</f>
        <v>LA CABANA - VENICE 5877-8144102         CA</v>
      </c>
      <c r="C891" t="str">
        <f>'Raw Data'!I894</f>
        <v>Personal - Food</v>
      </c>
      <c r="D891" s="31">
        <f>'Raw Data'!F894</f>
        <v>137.1</v>
      </c>
    </row>
    <row r="892" spans="1:4" x14ac:dyDescent="0.25">
      <c r="A892" t="str">
        <f>'Raw Data'!A895</f>
        <v>07/04/2025</v>
      </c>
      <c r="B892" t="str">
        <f>'Raw Data'!C895</f>
        <v>TST* CAFE GRATITUDE VENICE              CA</v>
      </c>
      <c r="C892" t="str">
        <f>'Raw Data'!I895</f>
        <v>Personal - Food</v>
      </c>
      <c r="D892" s="31">
        <f>'Raw Data'!F895</f>
        <v>56.28</v>
      </c>
    </row>
    <row r="893" spans="1:4" x14ac:dyDescent="0.25">
      <c r="A893" t="str">
        <f>'Raw Data'!A896</f>
        <v>07/03/2025</v>
      </c>
      <c r="B893" t="str">
        <f>'Raw Data'!C896</f>
        <v>AMAZON MARKETPLACE NAMZN.COM/BILL       WA</v>
      </c>
      <c r="C893" t="str">
        <f>'Raw Data'!I896</f>
        <v>Amazon</v>
      </c>
      <c r="D893" s="31">
        <f>'Raw Data'!F896</f>
        <v>-413.9</v>
      </c>
    </row>
    <row r="894" spans="1:4" x14ac:dyDescent="0.25">
      <c r="A894" t="str">
        <f>'Raw Data'!A897</f>
        <v>07/03/2025</v>
      </c>
      <c r="B894" t="str">
        <f>'Raw Data'!C897</f>
        <v>AMAZON MARKETPLACE NAMZN.COM/BILL       WA</v>
      </c>
      <c r="C894" t="str">
        <f>'Raw Data'!I897</f>
        <v>Amazon</v>
      </c>
      <c r="D894" s="31">
        <f>'Raw Data'!F897</f>
        <v>-43.04</v>
      </c>
    </row>
    <row r="895" spans="1:4" x14ac:dyDescent="0.25">
      <c r="A895" t="str">
        <f>'Raw Data'!A898</f>
        <v>07/03/2025</v>
      </c>
      <c r="B895" t="str">
        <f>'Raw Data'!C898</f>
        <v>AMAZON MARKETPLACE NAMZN.COM/BILL       WA</v>
      </c>
      <c r="C895" t="str">
        <f>'Raw Data'!I898</f>
        <v>Amazon</v>
      </c>
      <c r="D895" s="31">
        <f>'Raw Data'!F898</f>
        <v>-28.05</v>
      </c>
    </row>
    <row r="896" spans="1:4" x14ac:dyDescent="0.25">
      <c r="A896" t="str">
        <f>'Raw Data'!A899</f>
        <v>07/03/2025</v>
      </c>
      <c r="B896" t="str">
        <f>'Raw Data'!C899</f>
        <v>AMAZON MARKEPLACE NA PA</v>
      </c>
      <c r="C896" t="str">
        <f>'Raw Data'!I899</f>
        <v>Amazon</v>
      </c>
      <c r="D896" s="31">
        <f>'Raw Data'!F899</f>
        <v>28.05</v>
      </c>
    </row>
    <row r="897" spans="1:4" x14ac:dyDescent="0.25">
      <c r="A897" t="str">
        <f>'Raw Data'!A900</f>
        <v>07/03/2025</v>
      </c>
      <c r="B897" t="str">
        <f>'Raw Data'!C900</f>
        <v>AMAZON MARKEPLACE NA PA</v>
      </c>
      <c r="C897" t="str">
        <f>'Raw Data'!I900</f>
        <v>Amazon</v>
      </c>
      <c r="D897" s="31">
        <f>'Raw Data'!F900</f>
        <v>43.04</v>
      </c>
    </row>
    <row r="898" spans="1:4" x14ac:dyDescent="0.25">
      <c r="A898" t="str">
        <f>'Raw Data'!A901</f>
        <v>07/03/2025</v>
      </c>
      <c r="B898" t="str">
        <f>'Raw Data'!C901</f>
        <v>AMAZON MARKEPLACE NA PA</v>
      </c>
      <c r="C898" t="str">
        <f>'Raw Data'!I901</f>
        <v>Amazon</v>
      </c>
      <c r="D898" s="31">
        <f>'Raw Data'!F901</f>
        <v>413.9</v>
      </c>
    </row>
    <row r="899" spans="1:4" x14ac:dyDescent="0.25">
      <c r="A899" t="str">
        <f>'Raw Data'!A902</f>
        <v>07/03/2025</v>
      </c>
      <c r="B899" t="str">
        <f>'Raw Data'!C902</f>
        <v>CONTACTS+           HUNTINGTON BEACH    CA</v>
      </c>
      <c r="C899" t="str">
        <f>'Raw Data'!I902</f>
        <v>Personal - Health</v>
      </c>
      <c r="D899" s="31">
        <f>'Raw Data'!F902</f>
        <v>13.99</v>
      </c>
    </row>
    <row r="900" spans="1:4" x14ac:dyDescent="0.25">
      <c r="A900" t="str">
        <f>'Raw Data'!A903</f>
        <v>07/03/2025</v>
      </c>
      <c r="B900" t="str">
        <f>'Raw Data'!C903</f>
        <v>PAYA THAI LA LLC. BLLOS ANGELES         CA</v>
      </c>
      <c r="C900" t="str">
        <f>'Raw Data'!I903</f>
        <v>Personal - Health</v>
      </c>
      <c r="D900" s="31">
        <f>'Raw Data'!F903</f>
        <v>150</v>
      </c>
    </row>
    <row r="901" spans="1:4" x14ac:dyDescent="0.25">
      <c r="A901" t="str">
        <f>'Raw Data'!A904</f>
        <v>07/03/2025</v>
      </c>
      <c r="B901" t="str">
        <f>'Raw Data'!C904</f>
        <v>RESTORE.COM         AUSTIN              TX</v>
      </c>
      <c r="C901" t="str">
        <f>'Raw Data'!I904</f>
        <v>Personal - Health</v>
      </c>
      <c r="D901" s="31">
        <f>'Raw Data'!F904</f>
        <v>179</v>
      </c>
    </row>
    <row r="902" spans="1:4" x14ac:dyDescent="0.25">
      <c r="A902" t="str">
        <f>'Raw Data'!A905</f>
        <v>07/03/2025</v>
      </c>
      <c r="B902" t="str">
        <f>'Raw Data'!C905</f>
        <v>SALESMESSAGE.COM    DELRAY BEACH        FL</v>
      </c>
      <c r="C902" t="str">
        <f>'Raw Data'!I905</f>
        <v>Software &amp; Subscriptions</v>
      </c>
      <c r="D902" s="31">
        <f>'Raw Data'!F905</f>
        <v>52.14</v>
      </c>
    </row>
    <row r="903" spans="1:4" x14ac:dyDescent="0.25">
      <c r="A903" t="str">
        <f>'Raw Data'!A906</f>
        <v>07/03/2025</v>
      </c>
      <c r="B903" t="str">
        <f>'Raw Data'!C906</f>
        <v>TST* BLUEYS KITCHEN LOS ANGELES         CA</v>
      </c>
      <c r="C903" t="str">
        <f>'Raw Data'!I906</f>
        <v>Personal - Food</v>
      </c>
      <c r="D903" s="31">
        <f>'Raw Data'!F906</f>
        <v>135.18</v>
      </c>
    </row>
    <row r="904" spans="1:4" x14ac:dyDescent="0.25">
      <c r="A904" t="str">
        <f>'Raw Data'!A907</f>
        <v>07/02/2025</v>
      </c>
      <c r="B904" t="str">
        <f>'Raw Data'!C907</f>
        <v>ALANA'S COFFEE ROASTLos Angeles         CA</v>
      </c>
      <c r="C904" t="str">
        <f>'Raw Data'!I907</f>
        <v>Personal - Food</v>
      </c>
      <c r="D904" s="31">
        <f>'Raw Data'!F907</f>
        <v>19.55</v>
      </c>
    </row>
    <row r="905" spans="1:4" x14ac:dyDescent="0.25">
      <c r="A905" t="str">
        <f>'Raw Data'!A908</f>
        <v>07/02/2025</v>
      </c>
      <c r="B905" t="str">
        <f>'Raw Data'!C908</f>
        <v>AMAZON MARKETPLACE NAMZN.COM/BILL       WA</v>
      </c>
      <c r="C905" t="str">
        <f>'Raw Data'!I908</f>
        <v>Amazon</v>
      </c>
      <c r="D905" s="31">
        <f>'Raw Data'!F908</f>
        <v>-620.85</v>
      </c>
    </row>
    <row r="906" spans="1:4" x14ac:dyDescent="0.25">
      <c r="A906" t="str">
        <f>'Raw Data'!A909</f>
        <v>07/02/2025</v>
      </c>
      <c r="B906" t="str">
        <f>'Raw Data'!C909</f>
        <v>AMAZON MARKETPLACE NAMZN.COM/BILL       WA</v>
      </c>
      <c r="C906" t="str">
        <f>'Raw Data'!I909</f>
        <v>Amazon</v>
      </c>
      <c r="D906" s="31">
        <f>'Raw Data'!F909</f>
        <v>-286.52</v>
      </c>
    </row>
    <row r="907" spans="1:4" x14ac:dyDescent="0.25">
      <c r="A907" t="str">
        <f>'Raw Data'!A910</f>
        <v>07/02/2025</v>
      </c>
      <c r="B907" t="str">
        <f>'Raw Data'!C910</f>
        <v>AMAZON MARKETPLACE NAMZN.COM/BILL       WA</v>
      </c>
      <c r="C907" t="str">
        <f>'Raw Data'!I910</f>
        <v>Amazon</v>
      </c>
      <c r="D907" s="31">
        <f>'Raw Data'!F910</f>
        <v>-19.47</v>
      </c>
    </row>
    <row r="908" spans="1:4" x14ac:dyDescent="0.25">
      <c r="A908" t="str">
        <f>'Raw Data'!A911</f>
        <v>07/02/2025</v>
      </c>
      <c r="B908" t="str">
        <f>'Raw Data'!C911</f>
        <v>AMAZON MARKEPLACE NA PA</v>
      </c>
      <c r="C908" t="str">
        <f>'Raw Data'!I911</f>
        <v>Amazon</v>
      </c>
      <c r="D908" s="31">
        <f>'Raw Data'!F911</f>
        <v>19.47</v>
      </c>
    </row>
    <row r="909" spans="1:4" x14ac:dyDescent="0.25">
      <c r="A909" t="str">
        <f>'Raw Data'!A912</f>
        <v>07/02/2025</v>
      </c>
      <c r="B909" t="str">
        <f>'Raw Data'!C912</f>
        <v>AMAZON MARKEPLACE NA PA</v>
      </c>
      <c r="C909" t="str">
        <f>'Raw Data'!I912</f>
        <v>Amazon</v>
      </c>
      <c r="D909" s="31">
        <f>'Raw Data'!F912</f>
        <v>286.52</v>
      </c>
    </row>
    <row r="910" spans="1:4" x14ac:dyDescent="0.25">
      <c r="A910" t="str">
        <f>'Raw Data'!A913</f>
        <v>07/02/2025</v>
      </c>
      <c r="B910" t="str">
        <f>'Raw Data'!C913</f>
        <v>AMAZON MARKEPLACE NA PA</v>
      </c>
      <c r="C910" t="str">
        <f>'Raw Data'!I913</f>
        <v>Amazon</v>
      </c>
      <c r="D910" s="31">
        <f>'Raw Data'!F913</f>
        <v>620.85</v>
      </c>
    </row>
    <row r="911" spans="1:4" x14ac:dyDescent="0.25">
      <c r="A911" t="str">
        <f>'Raw Data'!A914</f>
        <v>07/02/2025</v>
      </c>
      <c r="B911" t="str">
        <f>'Raw Data'!C914</f>
        <v>AMAZON.COM          AMZN.COM/BILL       WA</v>
      </c>
      <c r="C911" t="str">
        <f>'Raw Data'!I914</f>
        <v>Amazon</v>
      </c>
      <c r="D911" s="31">
        <f>'Raw Data'!F914</f>
        <v>23.8</v>
      </c>
    </row>
    <row r="912" spans="1:4" x14ac:dyDescent="0.25">
      <c r="A912" t="str">
        <f>'Raw Data'!A915</f>
        <v>07/01/2025</v>
      </c>
      <c r="B912" t="str">
        <f>'Raw Data'!C915</f>
        <v>ABC*ICONFIT         LOS ANGELES         CA</v>
      </c>
      <c r="C912" t="str">
        <f>'Raw Data'!I915</f>
        <v>Personal - Health</v>
      </c>
      <c r="D912" s="31">
        <f>'Raw Data'!F915</f>
        <v>119.52</v>
      </c>
    </row>
    <row r="913" spans="1:4" x14ac:dyDescent="0.25">
      <c r="A913" t="str">
        <f>'Raw Data'!A916</f>
        <v>07/01/2025</v>
      </c>
      <c r="B913" t="str">
        <f>'Raw Data'!C916</f>
        <v>ALANA'S COFFEE ROASTLos Angeles         CA</v>
      </c>
      <c r="C913" t="str">
        <f>'Raw Data'!I916</f>
        <v>Personal - Food</v>
      </c>
      <c r="D913" s="31">
        <f>'Raw Data'!F916</f>
        <v>14.09</v>
      </c>
    </row>
    <row r="914" spans="1:4" x14ac:dyDescent="0.25">
      <c r="A914" t="str">
        <f>'Raw Data'!A917</f>
        <v>07/01/2025</v>
      </c>
      <c r="B914" t="str">
        <f>'Raw Data'!C917</f>
        <v>DNH*GODADDY#38026734Tempe               AZ</v>
      </c>
      <c r="C914" t="str">
        <f>'Raw Data'!I917</f>
        <v>Go Daddy</v>
      </c>
      <c r="D914" s="31">
        <f>'Raw Data'!F917</f>
        <v>30.97</v>
      </c>
    </row>
    <row r="915" spans="1:4" x14ac:dyDescent="0.25">
      <c r="A915" t="str">
        <f>'Raw Data'!A918</f>
        <v>07/01/2025</v>
      </c>
      <c r="B915" t="str">
        <f>'Raw Data'!C918</f>
        <v>EXPEDIA 731602238354EXPEDIA.COM         WA</v>
      </c>
      <c r="C915" t="str">
        <f>'Raw Data'!I918</f>
        <v>San Francisco Investor Meeting</v>
      </c>
      <c r="D915" s="31">
        <f>'Raw Data'!F918</f>
        <v>34.729999999999997</v>
      </c>
    </row>
    <row r="916" spans="1:4" x14ac:dyDescent="0.25">
      <c r="A916" t="str">
        <f>'Raw Data'!A919</f>
        <v>07/01/2025</v>
      </c>
      <c r="B916" t="str">
        <f>'Raw Data'!C919</f>
        <v>EXPEDIA.COM TRAVEL  SEATTLE             WA</v>
      </c>
      <c r="C916" t="str">
        <f>'Raw Data'!I919</f>
        <v>San Francisco Investor Meeting</v>
      </c>
      <c r="D916" s="31">
        <f>'Raw Data'!F919</f>
        <v>448.18</v>
      </c>
    </row>
    <row r="917" spans="1:4" x14ac:dyDescent="0.25">
      <c r="A917" t="str">
        <f>'Raw Data'!A920</f>
        <v>07/01/2025</v>
      </c>
      <c r="B917" t="str">
        <f>'Raw Data'!C920</f>
        <v>LOOM SUBSCRIPTION   AUSTIN              TX</v>
      </c>
      <c r="C917" t="str">
        <f>'Raw Data'!I920</f>
        <v>Software &amp; Subscriptions</v>
      </c>
      <c r="D917" s="31">
        <f>'Raw Data'!F920</f>
        <v>20</v>
      </c>
    </row>
    <row r="918" spans="1:4" x14ac:dyDescent="0.25">
      <c r="A918" t="str">
        <f>'Raw Data'!A921</f>
        <v>06/30/2025</v>
      </c>
      <c r="B918" t="str">
        <f>'Raw Data'!C921</f>
        <v>AMAZON MARKETPLACE NAMZN.COM/BILL       WA</v>
      </c>
      <c r="C918" t="str">
        <f>'Raw Data'!I921</f>
        <v>Amazon</v>
      </c>
      <c r="D918" s="31">
        <f>'Raw Data'!F921</f>
        <v>-317.85000000000002</v>
      </c>
    </row>
    <row r="919" spans="1:4" x14ac:dyDescent="0.25">
      <c r="A919" t="str">
        <f>'Raw Data'!A922</f>
        <v>06/30/2025</v>
      </c>
      <c r="B919" t="str">
        <f>'Raw Data'!C922</f>
        <v>AMAZON MARKEPLACE NA PA</v>
      </c>
      <c r="C919" t="str">
        <f>'Raw Data'!I922</f>
        <v>Amazon</v>
      </c>
      <c r="D919" s="31">
        <f>'Raw Data'!F922</f>
        <v>317.85000000000002</v>
      </c>
    </row>
    <row r="920" spans="1:4" x14ac:dyDescent="0.25">
      <c r="A920" t="str">
        <f>'Raw Data'!A923</f>
        <v>06/30/2025</v>
      </c>
      <c r="B920" t="str">
        <f>'Raw Data'!C923</f>
        <v>SPONSORCLOUD (SYNPROSALT LAKE CITY      UT</v>
      </c>
      <c r="C920" t="str">
        <f>'Raw Data'!I923</f>
        <v>Sponsor Cloud</v>
      </c>
      <c r="D920" s="31">
        <f>'Raw Data'!F923</f>
        <v>168.97</v>
      </c>
    </row>
    <row r="921" spans="1:4" x14ac:dyDescent="0.25">
      <c r="A921" t="str">
        <f>'Raw Data'!A924</f>
        <v>06/30/2025</v>
      </c>
      <c r="B921" t="str">
        <f>'Raw Data'!C924</f>
        <v>TST* KINDRED 3005768SAN DIEGO           CA</v>
      </c>
      <c r="C921" t="str">
        <f>'Raw Data'!I924</f>
        <v>Personal - Food</v>
      </c>
      <c r="D921" s="31">
        <f>'Raw Data'!F924</f>
        <v>40.17</v>
      </c>
    </row>
    <row r="922" spans="1:4" x14ac:dyDescent="0.25">
      <c r="A922" t="str">
        <f>'Raw Data'!A925</f>
        <v>06/29/2025</v>
      </c>
      <c r="B922" t="str">
        <f>'Raw Data'!C925</f>
        <v>AMAZON MARKETPLACE NAMZN.COM/BILL       WA</v>
      </c>
      <c r="C922" t="str">
        <f>'Raw Data'!I925</f>
        <v>Amazon</v>
      </c>
      <c r="D922" s="31">
        <f>'Raw Data'!F925</f>
        <v>-529.75</v>
      </c>
    </row>
    <row r="923" spans="1:4" x14ac:dyDescent="0.25">
      <c r="A923" t="str">
        <f>'Raw Data'!A926</f>
        <v>06/29/2025</v>
      </c>
      <c r="B923" t="str">
        <f>'Raw Data'!C926</f>
        <v>AMAZON MARKETPLACE NAMZN.COM/BILL       WA</v>
      </c>
      <c r="C923" t="str">
        <f>'Raw Data'!I926</f>
        <v>Amazon</v>
      </c>
      <c r="D923" s="31">
        <f>'Raw Data'!F926</f>
        <v>-291.97000000000003</v>
      </c>
    </row>
    <row r="924" spans="1:4" x14ac:dyDescent="0.25">
      <c r="A924" t="str">
        <f>'Raw Data'!A927</f>
        <v>06/29/2025</v>
      </c>
      <c r="B924" t="str">
        <f>'Raw Data'!C927</f>
        <v>AMAZON MARKETPLACE NAMZN.COM/BILL       WA</v>
      </c>
      <c r="C924" t="str">
        <f>'Raw Data'!I927</f>
        <v>Amazon</v>
      </c>
      <c r="D924" s="31">
        <f>'Raw Data'!F927</f>
        <v>-206.95</v>
      </c>
    </row>
    <row r="925" spans="1:4" x14ac:dyDescent="0.25">
      <c r="A925" t="str">
        <f>'Raw Data'!A928</f>
        <v>06/29/2025</v>
      </c>
      <c r="B925" t="str">
        <f>'Raw Data'!C928</f>
        <v>AMAZON MARKETPLACE NAMZN.COM/BILL       WA</v>
      </c>
      <c r="C925" t="str">
        <f>'Raw Data'!I928</f>
        <v>Amazon</v>
      </c>
      <c r="D925" s="31">
        <f>'Raw Data'!F928</f>
        <v>-51.92</v>
      </c>
    </row>
    <row r="926" spans="1:4" x14ac:dyDescent="0.25">
      <c r="A926" t="str">
        <f>'Raw Data'!A929</f>
        <v>06/29/2025</v>
      </c>
      <c r="B926" t="str">
        <f>'Raw Data'!C929</f>
        <v>AMAZON MARKEPLACE NA PA</v>
      </c>
      <c r="C926" t="str">
        <f>'Raw Data'!I929</f>
        <v>Amazon</v>
      </c>
      <c r="D926" s="31">
        <f>'Raw Data'!F929</f>
        <v>51.92</v>
      </c>
    </row>
    <row r="927" spans="1:4" x14ac:dyDescent="0.25">
      <c r="A927" t="str">
        <f>'Raw Data'!A930</f>
        <v>06/29/2025</v>
      </c>
      <c r="B927" t="str">
        <f>'Raw Data'!C930</f>
        <v>AMAZON MARKEPLACE NA PA</v>
      </c>
      <c r="C927" t="str">
        <f>'Raw Data'!I930</f>
        <v>Amazon</v>
      </c>
      <c r="D927" s="31">
        <f>'Raw Data'!F930</f>
        <v>206.95</v>
      </c>
    </row>
    <row r="928" spans="1:4" x14ac:dyDescent="0.25">
      <c r="A928" t="str">
        <f>'Raw Data'!A931</f>
        <v>06/29/2025</v>
      </c>
      <c r="B928" t="str">
        <f>'Raw Data'!C931</f>
        <v>AMAZON MARKEPLACE NA PA</v>
      </c>
      <c r="C928" t="str">
        <f>'Raw Data'!I931</f>
        <v>Amazon</v>
      </c>
      <c r="D928" s="31">
        <f>'Raw Data'!F931</f>
        <v>291.97000000000003</v>
      </c>
    </row>
    <row r="929" spans="1:4" x14ac:dyDescent="0.25">
      <c r="A929" t="str">
        <f>'Raw Data'!A932</f>
        <v>06/29/2025</v>
      </c>
      <c r="B929" t="str">
        <f>'Raw Data'!C932</f>
        <v>AMAZON MARKEPLACE NA PA</v>
      </c>
      <c r="C929" t="str">
        <f>'Raw Data'!I932</f>
        <v>Amazon</v>
      </c>
      <c r="D929" s="31">
        <f>'Raw Data'!F932</f>
        <v>529.75</v>
      </c>
    </row>
    <row r="930" spans="1:4" x14ac:dyDescent="0.25">
      <c r="A930" t="str">
        <f>'Raw Data'!A933</f>
        <v>06/29/2025</v>
      </c>
      <c r="B930" t="str">
        <f>'Raw Data'!C933</f>
        <v>DONNA JEAN          SAN DIEGO           CA</v>
      </c>
      <c r="C930" t="str">
        <f>'Raw Data'!I933</f>
        <v>San Diego - Judd/Angela Trip</v>
      </c>
      <c r="D930" s="31">
        <f>'Raw Data'!F933</f>
        <v>124.98</v>
      </c>
    </row>
    <row r="931" spans="1:4" x14ac:dyDescent="0.25">
      <c r="A931" t="str">
        <f>'Raw Data'!A934</f>
        <v>06/29/2025</v>
      </c>
      <c r="B931" t="str">
        <f>'Raw Data'!C934</f>
        <v>EXPEDIA 731574954754EXPEDIA.COM         WA</v>
      </c>
      <c r="C931" t="str">
        <f>'Raw Data'!I934</f>
        <v>San Diego - Judd/Angela Trip</v>
      </c>
      <c r="D931" s="31">
        <f>'Raw Data'!F934</f>
        <v>584.6</v>
      </c>
    </row>
    <row r="932" spans="1:4" x14ac:dyDescent="0.25">
      <c r="A932" t="str">
        <f>'Raw Data'!A935</f>
        <v>06/29/2025</v>
      </c>
      <c r="B932" t="str">
        <f>'Raw Data'!C935</f>
        <v>LA VALENCIA - H LODGLA JOLLA            CA</v>
      </c>
      <c r="C932" t="str">
        <f>'Raw Data'!I935</f>
        <v>San Diego - Judd/Angela Trip</v>
      </c>
      <c r="D932" s="31">
        <f>'Raw Data'!F935</f>
        <v>247.25</v>
      </c>
    </row>
    <row r="933" spans="1:4" x14ac:dyDescent="0.25">
      <c r="A933" t="str">
        <f>'Raw Data'!A936</f>
        <v>06/29/2025</v>
      </c>
      <c r="B933" t="str">
        <f>'Raw Data'!C936</f>
        <v>OPENAI *CHATGPT SUBSSAN FRANCISCO       CA</v>
      </c>
      <c r="C933" t="str">
        <f>'Raw Data'!I936</f>
        <v>AI Subscriptions</v>
      </c>
      <c r="D933" s="31">
        <f>'Raw Data'!F936</f>
        <v>20</v>
      </c>
    </row>
    <row r="934" spans="1:4" x14ac:dyDescent="0.25">
      <c r="A934" t="str">
        <f>'Raw Data'!A937</f>
        <v>06/29/2025</v>
      </c>
      <c r="B934" t="str">
        <f>'Raw Data'!C937</f>
        <v>SHELL SERVICE STATIOSAN DIEGO           CA</v>
      </c>
      <c r="C934" t="str">
        <f>'Raw Data'!I937</f>
        <v>San Diego - Judd/Angela Trip</v>
      </c>
      <c r="D934" s="31">
        <f>'Raw Data'!F937</f>
        <v>68.290000000000006</v>
      </c>
    </row>
    <row r="935" spans="1:4" x14ac:dyDescent="0.25">
      <c r="A935" t="str">
        <f>'Raw Data'!A938</f>
        <v>06/29/2025</v>
      </c>
      <c r="B935" t="str">
        <f>'Raw Data'!C938</f>
        <v>SP TOTEM TRILOGY BOUSAN DIEGO           CA</v>
      </c>
      <c r="C935" t="str">
        <f>'Raw Data'!I938</f>
        <v>San Diego - Judd/Angela Trip</v>
      </c>
      <c r="D935" s="31">
        <f>'Raw Data'!F938</f>
        <v>32.31</v>
      </c>
    </row>
    <row r="936" spans="1:4" x14ac:dyDescent="0.25">
      <c r="A936" t="str">
        <f>'Raw Data'!A939</f>
        <v>06/29/2025</v>
      </c>
      <c r="B936" t="str">
        <f>'Raw Data'!C939</f>
        <v>SP TOTEM TRILOGY BOUSAN DIEGO           CA</v>
      </c>
      <c r="C936" t="str">
        <f>'Raw Data'!I939</f>
        <v>San Diego - Judd/Angela Trip</v>
      </c>
      <c r="D936" s="31">
        <f>'Raw Data'!F939</f>
        <v>262.91000000000003</v>
      </c>
    </row>
    <row r="937" spans="1:4" x14ac:dyDescent="0.25">
      <c r="A937" t="str">
        <f>'Raw Data'!A940</f>
        <v>06/29/2025</v>
      </c>
      <c r="B937" t="str">
        <f>'Raw Data'!C940</f>
        <v>TRILOGY SANCTUARY   La Jolla            CA</v>
      </c>
      <c r="C937" t="str">
        <f>'Raw Data'!I940</f>
        <v>San Diego - Judd/Angela Trip</v>
      </c>
      <c r="D937" s="31">
        <f>'Raw Data'!F940</f>
        <v>72</v>
      </c>
    </row>
    <row r="938" spans="1:4" x14ac:dyDescent="0.25">
      <c r="A938" t="str">
        <f>'Raw Data'!A941</f>
        <v>06/29/2025</v>
      </c>
      <c r="B938" t="str">
        <f>'Raw Data'!C941</f>
        <v>TRILOGY SANCTUARY   SAN DIEGO           CA</v>
      </c>
      <c r="C938" t="str">
        <f>'Raw Data'!I941</f>
        <v>San Diego - Judd/Angela Trip</v>
      </c>
      <c r="D938" s="31">
        <f>'Raw Data'!F941</f>
        <v>28</v>
      </c>
    </row>
    <row r="939" spans="1:4" x14ac:dyDescent="0.25">
      <c r="A939" t="str">
        <f>'Raw Data'!A942</f>
        <v>06/29/2025</v>
      </c>
      <c r="B939" t="str">
        <f>'Raw Data'!C942</f>
        <v>TRILOGY SANCTUARY   SAN DIEGO           CA</v>
      </c>
      <c r="C939" t="str">
        <f>'Raw Data'!I942</f>
        <v>San Diego - Judd/Angela Trip</v>
      </c>
      <c r="D939" s="31">
        <f>'Raw Data'!F942</f>
        <v>28</v>
      </c>
    </row>
    <row r="940" spans="1:4" x14ac:dyDescent="0.25">
      <c r="A940" t="str">
        <f>'Raw Data'!A943</f>
        <v>06/29/2025</v>
      </c>
      <c r="B940" t="str">
        <f>'Raw Data'!C943</f>
        <v>TST* QUIXOTE 0012789SAN DIEGO           CA</v>
      </c>
      <c r="C940" t="str">
        <f>'Raw Data'!I943</f>
        <v>San Diego - Judd/Angela Trip</v>
      </c>
      <c r="D940" s="31">
        <f>'Raw Data'!F943</f>
        <v>17</v>
      </c>
    </row>
    <row r="941" spans="1:4" x14ac:dyDescent="0.25">
      <c r="A941" t="str">
        <f>'Raw Data'!A944</f>
        <v>06/29/2025</v>
      </c>
      <c r="B941" t="str">
        <f>'Raw Data'!C944</f>
        <v>TST* QUIXOTE 0012789SAN DIEGO           CA</v>
      </c>
      <c r="C941" t="str">
        <f>'Raw Data'!I944</f>
        <v>San Diego - Judd/Angela Trip</v>
      </c>
      <c r="D941" s="31">
        <f>'Raw Data'!F944</f>
        <v>180.1</v>
      </c>
    </row>
    <row r="942" spans="1:4" x14ac:dyDescent="0.25">
      <c r="A942" t="str">
        <f>'Raw Data'!A945</f>
        <v>06/28/2025</v>
      </c>
      <c r="B942" t="str">
        <f>'Raw Data'!C945</f>
        <v>CITY OF SANTA MONICASANTA MONICA        CA</v>
      </c>
      <c r="C942" t="str">
        <f>'Raw Data'!I945</f>
        <v>Personal - Car</v>
      </c>
      <c r="D942" s="31">
        <f>'Raw Data'!F945</f>
        <v>2.5</v>
      </c>
    </row>
    <row r="943" spans="1:4" x14ac:dyDescent="0.25">
      <c r="A943" t="str">
        <f>'Raw Data'!A946</f>
        <v>06/28/2025</v>
      </c>
      <c r="B943" t="str">
        <f>'Raw Data'!C946</f>
        <v>MAINLY MOZART INC   SAN DIEGO           CA</v>
      </c>
      <c r="C943" t="str">
        <f>'Raw Data'!I946</f>
        <v>San Diego - Judd/Angela Trip</v>
      </c>
      <c r="D943" s="31">
        <f>'Raw Data'!F946</f>
        <v>265</v>
      </c>
    </row>
    <row r="944" spans="1:4" x14ac:dyDescent="0.25">
      <c r="A944" t="str">
        <f>'Raw Data'!A947</f>
        <v>06/27/2025</v>
      </c>
      <c r="B944" t="str">
        <f>'Raw Data'!C947</f>
        <v>AMAZON MARKETPLACE NAMZN.COM/BILL       WA</v>
      </c>
      <c r="C944" t="str">
        <f>'Raw Data'!I947</f>
        <v>Amazon</v>
      </c>
      <c r="D944" s="31">
        <f>'Raw Data'!F947</f>
        <v>-66.25</v>
      </c>
    </row>
    <row r="945" spans="1:4" x14ac:dyDescent="0.25">
      <c r="A945" t="str">
        <f>'Raw Data'!A948</f>
        <v>06/27/2025</v>
      </c>
      <c r="B945" t="str">
        <f>'Raw Data'!C948</f>
        <v>AMAZON MARKEPLACE NA PA</v>
      </c>
      <c r="C945" t="str">
        <f>'Raw Data'!I948</f>
        <v>Amazon</v>
      </c>
      <c r="D945" s="31">
        <f>'Raw Data'!F948</f>
        <v>66.25</v>
      </c>
    </row>
    <row r="946" spans="1:4" x14ac:dyDescent="0.25">
      <c r="A946" t="str">
        <f>'Raw Data'!A949</f>
        <v>06/27/2025</v>
      </c>
      <c r="B946" t="str">
        <f>'Raw Data'!C949</f>
        <v>AMAZON.COM          AMZN.COM/BILL       WA</v>
      </c>
      <c r="C946" t="str">
        <f>'Raw Data'!I949</f>
        <v>Amazon</v>
      </c>
      <c r="D946" s="31">
        <f>'Raw Data'!F949</f>
        <v>16.440000000000001</v>
      </c>
    </row>
    <row r="947" spans="1:4" x14ac:dyDescent="0.25">
      <c r="A947" t="str">
        <f>'Raw Data'!A950</f>
        <v>06/27/2025</v>
      </c>
      <c r="B947" t="str">
        <f>'Raw Data'!C950</f>
        <v>CUSTOMER SERVICE PAYMENT - THANK YOU</v>
      </c>
      <c r="C947" t="str">
        <f>'Raw Data'!I950</f>
        <v>Online AMEX Payment</v>
      </c>
      <c r="D947" s="31">
        <f>'Raw Data'!F950</f>
        <v>-37008.699999999997</v>
      </c>
    </row>
    <row r="948" spans="1:4" x14ac:dyDescent="0.25">
      <c r="A948" t="str">
        <f>'Raw Data'!A951</f>
        <v>06/27/2025</v>
      </c>
      <c r="B948" t="str">
        <f>'Raw Data'!C951</f>
        <v>DNH*GODADDY#37979925Tempe               AZ</v>
      </c>
      <c r="C948" t="str">
        <f>'Raw Data'!I951</f>
        <v>Go Daddy</v>
      </c>
      <c r="D948" s="31">
        <f>'Raw Data'!F951</f>
        <v>11.99</v>
      </c>
    </row>
    <row r="949" spans="1:4" x14ac:dyDescent="0.25">
      <c r="A949" t="str">
        <f>'Raw Data'!A952</f>
        <v>06/27/2025</v>
      </c>
      <c r="B949" t="str">
        <f>'Raw Data'!C952</f>
        <v>LAGARDERE TR AND PARATLANTA             GA</v>
      </c>
      <c r="C949" t="str">
        <f>'Raw Data'!I952</f>
        <v>Personal - Car</v>
      </c>
      <c r="D949" s="31">
        <f>'Raw Data'!F952</f>
        <v>3.99</v>
      </c>
    </row>
    <row r="950" spans="1:4" x14ac:dyDescent="0.25">
      <c r="A950" t="str">
        <f>'Raw Data'!A953</f>
        <v>06/27/2025</v>
      </c>
      <c r="B950" t="str">
        <f>'Raw Data'!C953</f>
        <v>OPENAI *CHATGPT SUBSSAN FRANCISCO       CA</v>
      </c>
      <c r="C950" t="str">
        <f>'Raw Data'!I953</f>
        <v>AI Subscriptions</v>
      </c>
      <c r="D950" s="31">
        <f>'Raw Data'!F953</f>
        <v>20</v>
      </c>
    </row>
    <row r="951" spans="1:4" x14ac:dyDescent="0.25">
      <c r="A951" t="str">
        <f>'Raw Data'!A954</f>
        <v>06/27/2025</v>
      </c>
      <c r="B951" t="str">
        <f>'Raw Data'!C954</f>
        <v>RIDEYELLOW          Los Angeles         CA</v>
      </c>
      <c r="C951" t="str">
        <f>'Raw Data'!I954</f>
        <v>Personal - Car</v>
      </c>
      <c r="D951" s="31">
        <f>'Raw Data'!F954</f>
        <v>57.23</v>
      </c>
    </row>
    <row r="952" spans="1:4" x14ac:dyDescent="0.25">
      <c r="A952" t="str">
        <f>'Raw Data'!A955</f>
        <v>06/27/2025</v>
      </c>
      <c r="B952" t="str">
        <f>'Raw Data'!C955</f>
        <v>SPLICE.COM          NEW YORK            NY</v>
      </c>
      <c r="C952" t="str">
        <f>'Raw Data'!I955</f>
        <v>Software &amp; Subscriptions</v>
      </c>
      <c r="D952" s="31">
        <f>'Raw Data'!F955</f>
        <v>39.99</v>
      </c>
    </row>
    <row r="953" spans="1:4" x14ac:dyDescent="0.25">
      <c r="A953" t="str">
        <f>'Raw Data'!A956</f>
        <v>06/27/2025</v>
      </c>
      <c r="B953" t="str">
        <f>'Raw Data'!C956</f>
        <v>TST* BLUEYS KITCHEN LOS ANGELES         CA</v>
      </c>
      <c r="C953" t="str">
        <f>'Raw Data'!I956</f>
        <v>Personal - Food</v>
      </c>
      <c r="D953" s="31">
        <f>'Raw Data'!F956</f>
        <v>44.29</v>
      </c>
    </row>
    <row r="954" spans="1:4" x14ac:dyDescent="0.25">
      <c r="A954" t="str">
        <f>'Raw Data'!A957</f>
        <v>06/27/2025</v>
      </c>
      <c r="B954" t="str">
        <f>'Raw Data'!C957</f>
        <v>WILDFLOWER BREAD CO PHOENIX             AZ</v>
      </c>
      <c r="C954" t="str">
        <f>'Raw Data'!I957</f>
        <v>Personal - Food</v>
      </c>
      <c r="D954" s="31">
        <f>'Raw Data'!F957</f>
        <v>9.74</v>
      </c>
    </row>
    <row r="955" spans="1:4" x14ac:dyDescent="0.25">
      <c r="A955" t="str">
        <f>'Raw Data'!A958</f>
        <v>06/26/2025</v>
      </c>
      <c r="B955" t="str">
        <f>'Raw Data'!C958</f>
        <v>BEST BUY            CULVER CITY         CA</v>
      </c>
      <c r="C955" t="str">
        <f>'Raw Data'!I958</f>
        <v>DWG Operations</v>
      </c>
      <c r="D955" s="31">
        <f>'Raw Data'!F958</f>
        <v>1263.68</v>
      </c>
    </row>
    <row r="956" spans="1:4" x14ac:dyDescent="0.25">
      <c r="A956" t="str">
        <f>'Raw Data'!A959</f>
        <v>06/26/2025</v>
      </c>
      <c r="B956" t="str">
        <f>'Raw Data'!C959</f>
        <v>DEPARTMENT OF REAL ESACRAMENTO          CA</v>
      </c>
      <c r="C956" t="str">
        <f>'Raw Data'!I959</f>
        <v>DWG Operations</v>
      </c>
      <c r="D956" s="31">
        <f>'Raw Data'!F959</f>
        <v>525</v>
      </c>
    </row>
    <row r="957" spans="1:4" x14ac:dyDescent="0.25">
      <c r="A957" t="str">
        <f>'Raw Data'!A960</f>
        <v>06/25/2025</v>
      </c>
      <c r="B957" t="str">
        <f>'Raw Data'!C960</f>
        <v>AMAZON MARKETPLACE NAMZN.COM/BILL       WA</v>
      </c>
      <c r="C957" t="str">
        <f>'Raw Data'!I960</f>
        <v>Amazon</v>
      </c>
      <c r="D957" s="31">
        <f>'Raw Data'!F960</f>
        <v>-620.85</v>
      </c>
    </row>
    <row r="958" spans="1:4" x14ac:dyDescent="0.25">
      <c r="A958" t="str">
        <f>'Raw Data'!A961</f>
        <v>06/25/2025</v>
      </c>
      <c r="B958" t="str">
        <f>'Raw Data'!C961</f>
        <v>AMAZON MARKETPLACE NAMZN.COM/BILL       WA</v>
      </c>
      <c r="C958" t="str">
        <f>'Raw Data'!I961</f>
        <v>Amazon</v>
      </c>
      <c r="D958" s="31">
        <f>'Raw Data'!F961</f>
        <v>-124.4</v>
      </c>
    </row>
    <row r="959" spans="1:4" x14ac:dyDescent="0.25">
      <c r="A959" t="str">
        <f>'Raw Data'!A962</f>
        <v>06/25/2025</v>
      </c>
      <c r="B959" t="str">
        <f>'Raw Data'!C962</f>
        <v>AMAZON MARKEPLACE NA PA</v>
      </c>
      <c r="C959" t="str">
        <f>'Raw Data'!I962</f>
        <v>Amazon</v>
      </c>
      <c r="D959" s="31">
        <f>'Raw Data'!F962</f>
        <v>124.4</v>
      </c>
    </row>
    <row r="960" spans="1:4" x14ac:dyDescent="0.25">
      <c r="A960" t="str">
        <f>'Raw Data'!A963</f>
        <v>06/25/2025</v>
      </c>
      <c r="B960" t="str">
        <f>'Raw Data'!C963</f>
        <v>AMAZON MARKEPLACE NA PA</v>
      </c>
      <c r="C960" t="str">
        <f>'Raw Data'!I963</f>
        <v>Amazon</v>
      </c>
      <c r="D960" s="31">
        <f>'Raw Data'!F963</f>
        <v>620.85</v>
      </c>
    </row>
    <row r="961" spans="1:4" x14ac:dyDescent="0.25">
      <c r="A961" t="str">
        <f>'Raw Data'!A964</f>
        <v>06/25/2025</v>
      </c>
      <c r="B961" t="str">
        <f>'Raw Data'!C964</f>
        <v>AMAZON.COM          AMZN.COM/BILL       WA</v>
      </c>
      <c r="C961" t="str">
        <f>'Raw Data'!I964</f>
        <v>Amazon</v>
      </c>
      <c r="D961" s="31">
        <f>'Raw Data'!F964</f>
        <v>101.16</v>
      </c>
    </row>
    <row r="962" spans="1:4" x14ac:dyDescent="0.25">
      <c r="A962" t="str">
        <f>'Raw Data'!A965</f>
        <v>06/25/2025</v>
      </c>
      <c r="B962" t="str">
        <f>'Raw Data'!C965</f>
        <v>AMERICAN AIRLINES   800-433-7300        TX</v>
      </c>
      <c r="C962" t="str">
        <f>'Raw Data'!I965</f>
        <v>Team Travel (Judd)</v>
      </c>
      <c r="D962" s="31">
        <f>'Raw Data'!F965</f>
        <v>30.58</v>
      </c>
    </row>
    <row r="963" spans="1:4" x14ac:dyDescent="0.25">
      <c r="A963" t="str">
        <f>'Raw Data'!A966</f>
        <v>06/25/2025</v>
      </c>
      <c r="B963" t="str">
        <f>'Raw Data'!C966</f>
        <v>DNH*GODADDY#37958647Tempe               AZ</v>
      </c>
      <c r="C963" t="str">
        <f>'Raw Data'!I966</f>
        <v>Go Daddy</v>
      </c>
      <c r="D963" s="31">
        <f>'Raw Data'!F966</f>
        <v>15.98</v>
      </c>
    </row>
    <row r="964" spans="1:4" x14ac:dyDescent="0.25">
      <c r="A964" t="str">
        <f>'Raw Data'!A967</f>
        <v>06/25/2025</v>
      </c>
      <c r="B964" t="str">
        <f>'Raw Data'!C967</f>
        <v>PRIME VIDEO CHANNELSAMZN.COM/BILL       WA</v>
      </c>
      <c r="C964" t="str">
        <f>'Raw Data'!I967</f>
        <v>Amazon</v>
      </c>
      <c r="D964" s="31">
        <f>'Raw Data'!F967</f>
        <v>14.06</v>
      </c>
    </row>
    <row r="965" spans="1:4" x14ac:dyDescent="0.25">
      <c r="A965" t="str">
        <f>'Raw Data'!A968</f>
        <v>06/25/2025</v>
      </c>
      <c r="B965" t="str">
        <f>'Raw Data'!C968</f>
        <v>RAINRETAIL*MARTY PATFORT WORTH          TX</v>
      </c>
      <c r="C965" t="str">
        <f>'Raw Data'!I968</f>
        <v>Personal - House</v>
      </c>
      <c r="D965" s="31">
        <f>'Raw Data'!F968</f>
        <v>451.87</v>
      </c>
    </row>
    <row r="966" spans="1:4" x14ac:dyDescent="0.25">
      <c r="A966" t="str">
        <f>'Raw Data'!A969</f>
        <v>06/24/2025</v>
      </c>
      <c r="B966" t="str">
        <f>'Raw Data'!C969</f>
        <v>Points for Amex Trvl</v>
      </c>
      <c r="C966" t="str">
        <f>'Raw Data'!I969</f>
        <v>Points for Amex Trvl</v>
      </c>
      <c r="D966" s="31">
        <f>'Raw Data'!F969</f>
        <v>-50</v>
      </c>
    </row>
    <row r="967" spans="1:4" x14ac:dyDescent="0.25">
      <c r="A967" t="str">
        <f>'Raw Data'!A970</f>
        <v>06/24/2025</v>
      </c>
      <c r="B967" t="str">
        <f>'Raw Data'!C970</f>
        <v>PwP    AMERICAN EXPRSEATTLE             WA</v>
      </c>
      <c r="C967" t="str">
        <f>'Raw Data'!I970</f>
        <v>Team Travel (Judd)</v>
      </c>
      <c r="D967" s="31">
        <f>'Raw Data'!F970</f>
        <v>265.48</v>
      </c>
    </row>
    <row r="968" spans="1:4" x14ac:dyDescent="0.25">
      <c r="A968" t="str">
        <f>'Raw Data'!A971</f>
        <v>06/24/2025</v>
      </c>
      <c r="B968" t="str">
        <f>'Raw Data'!C971</f>
        <v>RE RENEWAL 760325333PALM SPRINGS        CA</v>
      </c>
      <c r="C968" t="str">
        <f>'Raw Data'!I971</f>
        <v>Palm Spring Trip - Judd</v>
      </c>
      <c r="D968" s="31">
        <f>'Raw Data'!F971</f>
        <v>549</v>
      </c>
    </row>
    <row r="969" spans="1:4" x14ac:dyDescent="0.25">
      <c r="A969" t="str">
        <f>'Raw Data'!A972</f>
        <v>06/23/2025</v>
      </c>
      <c r="B969" t="str">
        <f>'Raw Data'!C972</f>
        <v>AMAZON MARKETPLACE NAMZN.COM/BILL       WA</v>
      </c>
      <c r="C969" t="str">
        <f>'Raw Data'!I972</f>
        <v>Amazon</v>
      </c>
      <c r="D969" s="31">
        <f>'Raw Data'!F972</f>
        <v>-423.8</v>
      </c>
    </row>
    <row r="970" spans="1:4" x14ac:dyDescent="0.25">
      <c r="A970" t="str">
        <f>'Raw Data'!A973</f>
        <v>06/23/2025</v>
      </c>
      <c r="B970" t="str">
        <f>'Raw Data'!C973</f>
        <v>AMAZON MARKETPLACE NAMZN.COM/BILL       WA</v>
      </c>
      <c r="C970" t="str">
        <f>'Raw Data'!I973</f>
        <v>Amazon</v>
      </c>
      <c r="D970" s="31">
        <f>'Raw Data'!F973</f>
        <v>-129.9</v>
      </c>
    </row>
    <row r="971" spans="1:4" x14ac:dyDescent="0.25">
      <c r="A971" t="str">
        <f>'Raw Data'!A974</f>
        <v>06/23/2025</v>
      </c>
      <c r="B971" t="str">
        <f>'Raw Data'!C974</f>
        <v>AMAZON MARKEPLACE NA PA</v>
      </c>
      <c r="C971" t="str">
        <f>'Raw Data'!I974</f>
        <v>Amazon</v>
      </c>
      <c r="D971" s="31">
        <f>'Raw Data'!F974</f>
        <v>129.9</v>
      </c>
    </row>
    <row r="972" spans="1:4" x14ac:dyDescent="0.25">
      <c r="A972" t="str">
        <f>'Raw Data'!A975</f>
        <v>06/23/2025</v>
      </c>
      <c r="B972" t="str">
        <f>'Raw Data'!C975</f>
        <v>AMAZON MARKEPLACE NA PA</v>
      </c>
      <c r="C972" t="str">
        <f>'Raw Data'!I975</f>
        <v>Amazon</v>
      </c>
      <c r="D972" s="31">
        <f>'Raw Data'!F975</f>
        <v>423.8</v>
      </c>
    </row>
    <row r="973" spans="1:4" x14ac:dyDescent="0.25">
      <c r="A973" t="str">
        <f>'Raw Data'!A976</f>
        <v>06/23/2025</v>
      </c>
      <c r="B973" t="str">
        <f>'Raw Data'!C976</f>
        <v>CORPORATE FILINGS LLSHERIDAN            WY</v>
      </c>
      <c r="C973" t="str">
        <f>'Raw Data'!I976</f>
        <v>DWG Operations</v>
      </c>
      <c r="D973" s="31">
        <f>'Raw Data'!F976</f>
        <v>35</v>
      </c>
    </row>
    <row r="974" spans="1:4" x14ac:dyDescent="0.25">
      <c r="A974" t="str">
        <f>'Raw Data'!A977</f>
        <v>06/23/2025</v>
      </c>
      <c r="B974" t="str">
        <f>'Raw Data'!C977</f>
        <v>DNH*GODADDY#37933846Tempe               AZ</v>
      </c>
      <c r="C974" t="str">
        <f>'Raw Data'!I977</f>
        <v>Go Daddy</v>
      </c>
      <c r="D974" s="31">
        <f>'Raw Data'!F977</f>
        <v>40.97</v>
      </c>
    </row>
    <row r="975" spans="1:4" x14ac:dyDescent="0.25">
      <c r="A975" t="str">
        <f>'Raw Data'!A978</f>
        <v>06/22/2025</v>
      </c>
      <c r="B975" t="str">
        <f>'Raw Data'!C978</f>
        <v>AMAZON MARKETPLACE NAMZN.COM/BILL       WA</v>
      </c>
      <c r="C975" t="str">
        <f>'Raw Data'!I978</f>
        <v>Amazon</v>
      </c>
      <c r="D975" s="31">
        <f>'Raw Data'!F978</f>
        <v>-249.86</v>
      </c>
    </row>
    <row r="976" spans="1:4" x14ac:dyDescent="0.25">
      <c r="A976" t="str">
        <f>'Raw Data'!A979</f>
        <v>06/22/2025</v>
      </c>
      <c r="B976" t="str">
        <f>'Raw Data'!C979</f>
        <v>AMAZON MARKEPLACE NA PA</v>
      </c>
      <c r="C976" t="str">
        <f>'Raw Data'!I979</f>
        <v>Amazon</v>
      </c>
      <c r="D976" s="31">
        <f>'Raw Data'!F979</f>
        <v>249.86</v>
      </c>
    </row>
    <row r="977" spans="1:4" x14ac:dyDescent="0.25">
      <c r="A977" t="str">
        <f>'Raw Data'!A980</f>
        <v>06/22/2025</v>
      </c>
      <c r="B977" t="str">
        <f>'Raw Data'!C980</f>
        <v>DNH*GODADDY#37914390Tempe               AZ</v>
      </c>
      <c r="C977" t="str">
        <f>'Raw Data'!I980</f>
        <v>Go Daddy</v>
      </c>
      <c r="D977" s="31">
        <f>'Raw Data'!F980</f>
        <v>12.17</v>
      </c>
    </row>
    <row r="978" spans="1:4" x14ac:dyDescent="0.25">
      <c r="A978" t="str">
        <f>'Raw Data'!A981</f>
        <v>06/21/2025</v>
      </c>
      <c r="B978" t="str">
        <f>'Raw Data'!C981</f>
        <v>AMAZON MARKETPLACE NAMZN.COM/BILL       WA</v>
      </c>
      <c r="C978" t="str">
        <f>'Raw Data'!I981</f>
        <v>Amazon</v>
      </c>
      <c r="D978" s="31">
        <f>'Raw Data'!F981</f>
        <v>-529.75</v>
      </c>
    </row>
    <row r="979" spans="1:4" x14ac:dyDescent="0.25">
      <c r="A979" t="str">
        <f>'Raw Data'!A982</f>
        <v>06/21/2025</v>
      </c>
      <c r="B979" t="str">
        <f>'Raw Data'!C982</f>
        <v>AMAZON MARKETPLACE NAMZN.COM/BILL       WA</v>
      </c>
      <c r="C979" t="str">
        <f>'Raw Data'!I982</f>
        <v>Amazon</v>
      </c>
      <c r="D979" s="31">
        <f>'Raw Data'!F982</f>
        <v>-163.34</v>
      </c>
    </row>
    <row r="980" spans="1:4" x14ac:dyDescent="0.25">
      <c r="A980" t="str">
        <f>'Raw Data'!A983</f>
        <v>06/21/2025</v>
      </c>
      <c r="B980" t="str">
        <f>'Raw Data'!C983</f>
        <v>AMAZON MARKEPLACE NA PA</v>
      </c>
      <c r="C980" t="str">
        <f>'Raw Data'!I983</f>
        <v>Amazon</v>
      </c>
      <c r="D980" s="31">
        <f>'Raw Data'!F983</f>
        <v>163.34</v>
      </c>
    </row>
    <row r="981" spans="1:4" x14ac:dyDescent="0.25">
      <c r="A981" t="str">
        <f>'Raw Data'!A984</f>
        <v>06/21/2025</v>
      </c>
      <c r="B981" t="str">
        <f>'Raw Data'!C984</f>
        <v>AMAZON MARKEPLACE NA PA</v>
      </c>
      <c r="C981" t="str">
        <f>'Raw Data'!I984</f>
        <v>Amazon</v>
      </c>
      <c r="D981" s="31">
        <f>'Raw Data'!F984</f>
        <v>529.75</v>
      </c>
    </row>
    <row r="982" spans="1:4" x14ac:dyDescent="0.25">
      <c r="A982" t="str">
        <f>'Raw Data'!A985</f>
        <v>06/21/2025</v>
      </c>
      <c r="B982" t="str">
        <f>'Raw Data'!C985</f>
        <v>AMAZON.COM          AMZN.COM/BILL       WA</v>
      </c>
      <c r="C982" t="str">
        <f>'Raw Data'!I985</f>
        <v>Amazon</v>
      </c>
      <c r="D982" s="31">
        <f>'Raw Data'!F985</f>
        <v>162.33000000000001</v>
      </c>
    </row>
    <row r="983" spans="1:4" x14ac:dyDescent="0.25">
      <c r="A983" t="str">
        <f>'Raw Data'!A986</f>
        <v>06/21/2025</v>
      </c>
      <c r="B983" t="str">
        <f>'Raw Data'!C986</f>
        <v>LA VAPE &amp; SMOKE SHOPLOS ANGELES         CA</v>
      </c>
      <c r="C983" t="str">
        <f>'Raw Data'!I986</f>
        <v>Personal - Entertainment</v>
      </c>
      <c r="D983" s="31">
        <f>'Raw Data'!F986</f>
        <v>27.15</v>
      </c>
    </row>
    <row r="984" spans="1:4" x14ac:dyDescent="0.25">
      <c r="A984" t="str">
        <f>'Raw Data'!A987</f>
        <v>06/21/2025</v>
      </c>
      <c r="B984" t="str">
        <f>'Raw Data'!C987</f>
        <v>PRIME VIDEO *NO03I71888-802-3080        WA</v>
      </c>
      <c r="C984" t="str">
        <f>'Raw Data'!I987</f>
        <v>Personal - Entertainment</v>
      </c>
      <c r="D984" s="31">
        <f>'Raw Data'!F987</f>
        <v>3.02</v>
      </c>
    </row>
    <row r="985" spans="1:4" x14ac:dyDescent="0.25">
      <c r="A985" t="str">
        <f>'Raw Data'!A988</f>
        <v>06/21/2025</v>
      </c>
      <c r="B985" t="str">
        <f>'Raw Data'!C988</f>
        <v>PRIME VIDEO *NQ2JH1F888-802-3080        WA</v>
      </c>
      <c r="C985" t="str">
        <f>'Raw Data'!I988</f>
        <v>Personal - Entertainment</v>
      </c>
      <c r="D985" s="31">
        <f>'Raw Data'!F988</f>
        <v>4.0999999999999996</v>
      </c>
    </row>
    <row r="986" spans="1:4" x14ac:dyDescent="0.25">
      <c r="A986" t="str">
        <f>'Raw Data'!A989</f>
        <v>06/21/2025</v>
      </c>
      <c r="B986" t="str">
        <f>'Raw Data'!C989</f>
        <v>SP BEIGE SAMPLE     SAN DIMAS           CA</v>
      </c>
      <c r="C986" t="str">
        <f>'Raw Data'!I989</f>
        <v>Personal - House</v>
      </c>
      <c r="D986" s="31">
        <f>'Raw Data'!F989</f>
        <v>43.9</v>
      </c>
    </row>
    <row r="987" spans="1:4" x14ac:dyDescent="0.25">
      <c r="A987" t="str">
        <f>'Raw Data'!A990</f>
        <v>06/20/2025</v>
      </c>
      <c r="B987" t="str">
        <f>'Raw Data'!C990</f>
        <v>AMAZON MARKETPLACE NAMZN.COM/BILL       WA</v>
      </c>
      <c r="C987" t="str">
        <f>'Raw Data'!I990</f>
        <v>Amazon</v>
      </c>
      <c r="D987" s="31">
        <f>'Raw Data'!F990</f>
        <v>-620.85</v>
      </c>
    </row>
    <row r="988" spans="1:4" x14ac:dyDescent="0.25">
      <c r="A988" t="str">
        <f>'Raw Data'!A991</f>
        <v>06/20/2025</v>
      </c>
      <c r="B988" t="str">
        <f>'Raw Data'!C991</f>
        <v>AMAZON MARKEPLACE NA PA</v>
      </c>
      <c r="C988" t="str">
        <f>'Raw Data'!I991</f>
        <v>Amazon</v>
      </c>
      <c r="D988" s="31">
        <f>'Raw Data'!F991</f>
        <v>620.85</v>
      </c>
    </row>
    <row r="989" spans="1:4" x14ac:dyDescent="0.25">
      <c r="A989" t="str">
        <f>'Raw Data'!A992</f>
        <v>06/20/2025</v>
      </c>
      <c r="B989" t="str">
        <f>'Raw Data'!C992</f>
        <v>CAMPAIGNER SVC      888-845-4544        CA</v>
      </c>
      <c r="C989" t="str">
        <f>'Raw Data'!I992</f>
        <v>Software &amp; Subscriptions</v>
      </c>
      <c r="D989" s="31">
        <f>'Raw Data'!F992</f>
        <v>584</v>
      </c>
    </row>
    <row r="990" spans="1:4" x14ac:dyDescent="0.25">
      <c r="A990" t="str">
        <f>'Raw Data'!A993</f>
        <v>06/20/2025</v>
      </c>
      <c r="B990" t="str">
        <f>'Raw Data'!C993</f>
        <v>DNH*GODADDY#37898466Tempe               AZ</v>
      </c>
      <c r="C990" t="str">
        <f>'Raw Data'!I993</f>
        <v>Go Daddy</v>
      </c>
      <c r="D990" s="31">
        <f>'Raw Data'!F993</f>
        <v>17.97</v>
      </c>
    </row>
    <row r="991" spans="1:4" x14ac:dyDescent="0.25">
      <c r="A991" t="str">
        <f>'Raw Data'!A994</f>
        <v>06/19/2025</v>
      </c>
      <c r="B991" t="str">
        <f>'Raw Data'!C994</f>
        <v>AMAZON MARKETPLACE NAMZN.COM/BILL       WA</v>
      </c>
      <c r="C991" t="str">
        <f>'Raw Data'!I994</f>
        <v>Amazon</v>
      </c>
      <c r="D991" s="31">
        <f>'Raw Data'!F994</f>
        <v>-317.85000000000002</v>
      </c>
    </row>
    <row r="992" spans="1:4" x14ac:dyDescent="0.25">
      <c r="A992" t="str">
        <f>'Raw Data'!A995</f>
        <v>06/19/2025</v>
      </c>
      <c r="B992" t="str">
        <f>'Raw Data'!C995</f>
        <v>AMAZON MARKETPLACE NAMZN.COM/BILL       WA</v>
      </c>
      <c r="C992" t="str">
        <f>'Raw Data'!I995</f>
        <v>Amazon</v>
      </c>
      <c r="D992" s="31">
        <f>'Raw Data'!F995</f>
        <v>-92.11</v>
      </c>
    </row>
    <row r="993" spans="1:4" x14ac:dyDescent="0.25">
      <c r="A993" t="str">
        <f>'Raw Data'!A996</f>
        <v>06/19/2025</v>
      </c>
      <c r="B993" t="str">
        <f>'Raw Data'!C996</f>
        <v>AMAZON MARKETPLACE NAMZN.COM/BILL       WA</v>
      </c>
      <c r="C993" t="str">
        <f>'Raw Data'!I996</f>
        <v>Amazon</v>
      </c>
      <c r="D993" s="31">
        <f>'Raw Data'!F996</f>
        <v>-45.71</v>
      </c>
    </row>
    <row r="994" spans="1:4" x14ac:dyDescent="0.25">
      <c r="A994" t="str">
        <f>'Raw Data'!A997</f>
        <v>06/19/2025</v>
      </c>
      <c r="B994" t="str">
        <f>'Raw Data'!C997</f>
        <v>AMAZON MARKETPLACE NAMZN.COM/BILL       WA</v>
      </c>
      <c r="C994" t="str">
        <f>'Raw Data'!I997</f>
        <v>Amazon</v>
      </c>
      <c r="D994" s="31">
        <f>'Raw Data'!F997</f>
        <v>-32.33</v>
      </c>
    </row>
    <row r="995" spans="1:4" x14ac:dyDescent="0.25">
      <c r="A995" t="str">
        <f>'Raw Data'!A998</f>
        <v>06/19/2025</v>
      </c>
      <c r="B995" t="str">
        <f>'Raw Data'!C998</f>
        <v>AMAZON MARKEPLACE NA PA</v>
      </c>
      <c r="C995" t="str">
        <f>'Raw Data'!I998</f>
        <v>Amazon</v>
      </c>
      <c r="D995" s="31">
        <f>'Raw Data'!F998</f>
        <v>32.33</v>
      </c>
    </row>
    <row r="996" spans="1:4" x14ac:dyDescent="0.25">
      <c r="A996" t="str">
        <f>'Raw Data'!A999</f>
        <v>06/19/2025</v>
      </c>
      <c r="B996" t="str">
        <f>'Raw Data'!C999</f>
        <v>AMAZON MARKEPLACE NA PA</v>
      </c>
      <c r="C996" t="str">
        <f>'Raw Data'!I999</f>
        <v>Amazon</v>
      </c>
      <c r="D996" s="31">
        <f>'Raw Data'!F999</f>
        <v>45.71</v>
      </c>
    </row>
    <row r="997" spans="1:4" x14ac:dyDescent="0.25">
      <c r="A997" t="str">
        <f>'Raw Data'!A1000</f>
        <v>06/19/2025</v>
      </c>
      <c r="B997" t="str">
        <f>'Raw Data'!C1000</f>
        <v>AMAZON MARKEPLACE NA PA</v>
      </c>
      <c r="C997" t="str">
        <f>'Raw Data'!I1000</f>
        <v>Amazon</v>
      </c>
      <c r="D997" s="31">
        <f>'Raw Data'!F1000</f>
        <v>92.11</v>
      </c>
    </row>
    <row r="998" spans="1:4" x14ac:dyDescent="0.25">
      <c r="A998" t="str">
        <f>'Raw Data'!A1001</f>
        <v>06/19/2025</v>
      </c>
      <c r="B998" t="str">
        <f>'Raw Data'!C1001</f>
        <v>AMAZON MARKEPLACE NA PA</v>
      </c>
      <c r="C998" t="str">
        <f>'Raw Data'!I1001</f>
        <v>Amazon</v>
      </c>
      <c r="D998" s="31">
        <f>'Raw Data'!F1001</f>
        <v>317.85000000000002</v>
      </c>
    </row>
    <row r="999" spans="1:4" x14ac:dyDescent="0.25">
      <c r="A999" t="str">
        <f>'Raw Data'!A1002</f>
        <v>06/19/2025</v>
      </c>
      <c r="B999" t="str">
        <f>'Raw Data'!C1002</f>
        <v>AMAZON.COM          AMZN.COM/BILL       WA</v>
      </c>
      <c r="C999" t="str">
        <f>'Raw Data'!I1002</f>
        <v>Amazon</v>
      </c>
      <c r="D999" s="31">
        <f>'Raw Data'!F1002</f>
        <v>17.309999999999999</v>
      </c>
    </row>
    <row r="1000" spans="1:4" x14ac:dyDescent="0.25">
      <c r="A1000" t="str">
        <f>'Raw Data'!A1003</f>
        <v>06/19/2025</v>
      </c>
      <c r="B1000" t="str">
        <f>'Raw Data'!C1003</f>
        <v>AMAZON.COM          AMZN.COM/BILL       WA</v>
      </c>
      <c r="C1000" t="str">
        <f>'Raw Data'!I1003</f>
        <v>Amazon</v>
      </c>
      <c r="D1000" s="31">
        <f>'Raw Data'!F1003</f>
        <v>27.25</v>
      </c>
    </row>
    <row r="1001" spans="1:4" x14ac:dyDescent="0.25">
      <c r="A1001" t="str">
        <f>'Raw Data'!A1004</f>
        <v>06/18/2025</v>
      </c>
      <c r="B1001" t="str">
        <f>'Raw Data'!C1004</f>
        <v>ALPHAGRAPHICS US 607WEATHERFORD         TX</v>
      </c>
      <c r="C1001" t="str">
        <f>'Raw Data'!I1004</f>
        <v>TBD</v>
      </c>
      <c r="D1001" s="31">
        <f>'Raw Data'!F1004</f>
        <v>1050.71</v>
      </c>
    </row>
    <row r="1002" spans="1:4" x14ac:dyDescent="0.25">
      <c r="A1002" t="str">
        <f>'Raw Data'!A1005</f>
        <v>06/18/2025</v>
      </c>
      <c r="B1002" t="str">
        <f>'Raw Data'!C1005</f>
        <v>AMAZON MARKETPLACE NAMZN.COM/BILL       WA</v>
      </c>
      <c r="C1002" t="str">
        <f>'Raw Data'!I1005</f>
        <v>Amazon</v>
      </c>
      <c r="D1002" s="31">
        <f>'Raw Data'!F1005</f>
        <v>-529.75</v>
      </c>
    </row>
    <row r="1003" spans="1:4" x14ac:dyDescent="0.25">
      <c r="A1003" t="str">
        <f>'Raw Data'!A1006</f>
        <v>06/18/2025</v>
      </c>
      <c r="B1003" t="str">
        <f>'Raw Data'!C1006</f>
        <v>AMAZON MARKEPLACE NA PA</v>
      </c>
      <c r="C1003" t="str">
        <f>'Raw Data'!I1006</f>
        <v>Amazon</v>
      </c>
      <c r="D1003" s="31">
        <f>'Raw Data'!F1006</f>
        <v>529.75</v>
      </c>
    </row>
    <row r="1004" spans="1:4" x14ac:dyDescent="0.25">
      <c r="A1004" t="str">
        <f>'Raw Data'!A1007</f>
        <v>06/18/2025</v>
      </c>
      <c r="B1004" t="str">
        <f>'Raw Data'!C1007</f>
        <v>CARMO COMPANIES     NEW YORK            NY</v>
      </c>
      <c r="C1004" t="str">
        <f>'Raw Data'!I1007</f>
        <v>DWG Conference</v>
      </c>
      <c r="D1004" s="31">
        <f>'Raw Data'!F1007</f>
        <v>1700</v>
      </c>
    </row>
    <row r="1005" spans="1:4" x14ac:dyDescent="0.25">
      <c r="A1005" t="str">
        <f>'Raw Data'!A1008</f>
        <v>06/18/2025</v>
      </c>
      <c r="B1005" t="str">
        <f>'Raw Data'!C1008</f>
        <v>DNH*GODADDY#37875102Tempe               AZ</v>
      </c>
      <c r="C1005" t="str">
        <f>'Raw Data'!I1008</f>
        <v>Go Daddy</v>
      </c>
      <c r="D1005" s="31">
        <f>'Raw Data'!F1008</f>
        <v>15.98</v>
      </c>
    </row>
    <row r="1006" spans="1:4" x14ac:dyDescent="0.25">
      <c r="A1006" t="str">
        <f>'Raw Data'!A1009</f>
        <v>06/17/2025</v>
      </c>
      <c r="B1006" t="str">
        <f>'Raw Data'!C1009</f>
        <v>AMAZON MARKETPLACE NAMZN.COM/BILL       WA</v>
      </c>
      <c r="C1006" t="str">
        <f>'Raw Data'!I1009</f>
        <v>Amazon</v>
      </c>
      <c r="D1006" s="31">
        <f>'Raw Data'!F1009</f>
        <v>-33.299999999999997</v>
      </c>
    </row>
    <row r="1007" spans="1:4" x14ac:dyDescent="0.25">
      <c r="A1007" t="str">
        <f>'Raw Data'!A1010</f>
        <v>06/17/2025</v>
      </c>
      <c r="B1007" t="str">
        <f>'Raw Data'!C1010</f>
        <v>AMAZON MARKETPLACE NAMZN.COM/BILL       WA</v>
      </c>
      <c r="C1007" t="str">
        <f>'Raw Data'!I1010</f>
        <v>Amazon</v>
      </c>
      <c r="D1007" s="31">
        <f>'Raw Data'!F1010</f>
        <v>-32.46</v>
      </c>
    </row>
    <row r="1008" spans="1:4" x14ac:dyDescent="0.25">
      <c r="A1008" t="str">
        <f>'Raw Data'!A1011</f>
        <v>06/17/2025</v>
      </c>
      <c r="B1008" t="str">
        <f>'Raw Data'!C1011</f>
        <v>AMAZON MARKEPLACE NA PA</v>
      </c>
      <c r="C1008" t="str">
        <f>'Raw Data'!I1011</f>
        <v>Amazon</v>
      </c>
      <c r="D1008" s="31">
        <f>'Raw Data'!F1011</f>
        <v>32.46</v>
      </c>
    </row>
    <row r="1009" spans="1:4" x14ac:dyDescent="0.25">
      <c r="A1009" t="str">
        <f>'Raw Data'!A1012</f>
        <v>06/17/2025</v>
      </c>
      <c r="B1009" t="str">
        <f>'Raw Data'!C1012</f>
        <v>AMAZON MARKEPLACE NA PA</v>
      </c>
      <c r="C1009" t="str">
        <f>'Raw Data'!I1012</f>
        <v>Amazon</v>
      </c>
      <c r="D1009" s="31">
        <f>'Raw Data'!F1012</f>
        <v>33.299999999999997</v>
      </c>
    </row>
    <row r="1010" spans="1:4" x14ac:dyDescent="0.25">
      <c r="A1010" t="str">
        <f>'Raw Data'!A1013</f>
        <v>06/17/2025</v>
      </c>
      <c r="B1010" t="str">
        <f>'Raw Data'!C1013</f>
        <v>AMAZON.COM          AMZN.COM/BILL       WA</v>
      </c>
      <c r="C1010" t="str">
        <f>'Raw Data'!I1013</f>
        <v>Amazon</v>
      </c>
      <c r="D1010" s="31">
        <f>'Raw Data'!F1013</f>
        <v>30.4</v>
      </c>
    </row>
    <row r="1011" spans="1:4" x14ac:dyDescent="0.25">
      <c r="A1011" t="str">
        <f>'Raw Data'!A1014</f>
        <v>06/17/2025</v>
      </c>
      <c r="B1011" t="str">
        <f>'Raw Data'!C1014</f>
        <v>AMAZON.COM          AMZN.COM/BILL       WA</v>
      </c>
      <c r="C1011" t="str">
        <f>'Raw Data'!I1014</f>
        <v>Amazon</v>
      </c>
      <c r="D1011" s="31">
        <f>'Raw Data'!F1014</f>
        <v>63.73</v>
      </c>
    </row>
    <row r="1012" spans="1:4" x14ac:dyDescent="0.25">
      <c r="A1012" t="str">
        <f>'Raw Data'!A1015</f>
        <v>06/17/2025</v>
      </c>
      <c r="B1012" t="str">
        <f>'Raw Data'!C1015</f>
        <v>DNH*GODADDY#37865867Tempe               AZ</v>
      </c>
      <c r="C1012" t="str">
        <f>'Raw Data'!I1015</f>
        <v>Go Daddy</v>
      </c>
      <c r="D1012" s="31">
        <f>'Raw Data'!F1015</f>
        <v>13.98</v>
      </c>
    </row>
    <row r="1013" spans="1:4" x14ac:dyDescent="0.25">
      <c r="A1013" t="str">
        <f>'Raw Data'!A1016</f>
        <v>06/16/2025</v>
      </c>
      <c r="B1013" t="str">
        <f>'Raw Data'!C1016</f>
        <v>AMAZON MARKETPLACE NAMZN.COM/BILL       WA</v>
      </c>
      <c r="C1013" t="str">
        <f>'Raw Data'!I1016</f>
        <v>Amazon</v>
      </c>
      <c r="D1013" s="31">
        <f>'Raw Data'!F1016</f>
        <v>-218.55</v>
      </c>
    </row>
    <row r="1014" spans="1:4" x14ac:dyDescent="0.25">
      <c r="A1014" t="str">
        <f>'Raw Data'!A1017</f>
        <v>06/16/2025</v>
      </c>
      <c r="B1014" t="str">
        <f>'Raw Data'!C1017</f>
        <v>AMAZON MARKETPLACE NAMZN.COM/BILL       WA</v>
      </c>
      <c r="C1014" t="str">
        <f>'Raw Data'!I1017</f>
        <v>Amazon</v>
      </c>
      <c r="D1014" s="31">
        <f>'Raw Data'!F1017</f>
        <v>-46.32</v>
      </c>
    </row>
    <row r="1015" spans="1:4" x14ac:dyDescent="0.25">
      <c r="A1015" t="str">
        <f>'Raw Data'!A1018</f>
        <v>06/16/2025</v>
      </c>
      <c r="B1015" t="str">
        <f>'Raw Data'!C1018</f>
        <v>AMAZON MARKEPLACE NA PA</v>
      </c>
      <c r="C1015" t="str">
        <f>'Raw Data'!I1018</f>
        <v>Amazon</v>
      </c>
      <c r="D1015" s="31">
        <f>'Raw Data'!F1018</f>
        <v>46.32</v>
      </c>
    </row>
    <row r="1016" spans="1:4" x14ac:dyDescent="0.25">
      <c r="A1016" t="str">
        <f>'Raw Data'!A1019</f>
        <v>06/16/2025</v>
      </c>
      <c r="B1016" t="str">
        <f>'Raw Data'!C1019</f>
        <v>AMAZON MARKEPLACE NA PA</v>
      </c>
      <c r="C1016" t="str">
        <f>'Raw Data'!I1019</f>
        <v>Amazon</v>
      </c>
      <c r="D1016" s="31">
        <f>'Raw Data'!F1019</f>
        <v>218.55</v>
      </c>
    </row>
    <row r="1017" spans="1:4" x14ac:dyDescent="0.25">
      <c r="A1017" t="str">
        <f>'Raw Data'!A1020</f>
        <v>06/16/2025</v>
      </c>
      <c r="B1017" t="str">
        <f>'Raw Data'!C1020</f>
        <v>AMAZON.COM          AMZN.COM/BILL       WA</v>
      </c>
      <c r="C1017" t="str">
        <f>'Raw Data'!I1020</f>
        <v>Amazon</v>
      </c>
      <c r="D1017" s="31">
        <f>'Raw Data'!F1020</f>
        <v>59.53</v>
      </c>
    </row>
    <row r="1018" spans="1:4" x14ac:dyDescent="0.25">
      <c r="A1018" t="str">
        <f>'Raw Data'!A1021</f>
        <v>06/16/2025</v>
      </c>
      <c r="B1018" t="str">
        <f>'Raw Data'!C1021</f>
        <v>AMAZON.COM          AMZN.COM/BILL       WA</v>
      </c>
      <c r="C1018" t="str">
        <f>'Raw Data'!I1021</f>
        <v>Amazon</v>
      </c>
      <c r="D1018" s="31">
        <f>'Raw Data'!F1021</f>
        <v>225.66</v>
      </c>
    </row>
    <row r="1019" spans="1:4" x14ac:dyDescent="0.25">
      <c r="A1019" t="str">
        <f>'Raw Data'!A1022</f>
        <v>06/16/2025</v>
      </c>
      <c r="B1019" t="str">
        <f>'Raw Data'!C1022</f>
        <v>AMAZON.COM          AMZN.COM/BILL       WA</v>
      </c>
      <c r="C1019" t="str">
        <f>'Raw Data'!I1022</f>
        <v>Amazon</v>
      </c>
      <c r="D1019" s="31">
        <f>'Raw Data'!F1022</f>
        <v>321.49</v>
      </c>
    </row>
    <row r="1020" spans="1:4" x14ac:dyDescent="0.25">
      <c r="A1020" t="str">
        <f>'Raw Data'!A1023</f>
        <v>06/16/2025</v>
      </c>
      <c r="B1020" t="str">
        <f>'Raw Data'!C1023</f>
        <v>LEV INC             NEW YORK            NY</v>
      </c>
      <c r="C1020" t="str">
        <f>'Raw Data'!I1023</f>
        <v>TBD</v>
      </c>
      <c r="D1020" s="31">
        <f>'Raw Data'!F1023</f>
        <v>2000</v>
      </c>
    </row>
    <row r="1021" spans="1:4" x14ac:dyDescent="0.25">
      <c r="A1021" t="str">
        <f>'Raw Data'!A1024</f>
        <v>06/16/2025</v>
      </c>
      <c r="B1021" t="str">
        <f>'Raw Data'!C1024</f>
        <v>SOCIALPILOT         LEWES               DE</v>
      </c>
      <c r="C1021" t="str">
        <f>'Raw Data'!I1024</f>
        <v>Software &amp; Subscriptions</v>
      </c>
      <c r="D1021" s="31">
        <f>'Raw Data'!F1024</f>
        <v>50</v>
      </c>
    </row>
    <row r="1022" spans="1:4" x14ac:dyDescent="0.25">
      <c r="A1022" t="str">
        <f>'Raw Data'!A1025</f>
        <v>06/15/2025</v>
      </c>
      <c r="B1022" t="str">
        <f>'Raw Data'!C1025</f>
        <v>AMAZON MARKETPLACE NAMZN.COM/BILL       WA</v>
      </c>
      <c r="C1022" t="str">
        <f>'Raw Data'!I1025</f>
        <v>Amazon</v>
      </c>
      <c r="D1022" s="31">
        <f>'Raw Data'!F1025</f>
        <v>-329.7</v>
      </c>
    </row>
    <row r="1023" spans="1:4" x14ac:dyDescent="0.25">
      <c r="A1023" t="str">
        <f>'Raw Data'!A1026</f>
        <v>06/15/2025</v>
      </c>
      <c r="B1023" t="str">
        <f>'Raw Data'!C1026</f>
        <v>AMAZON MARKETPLACE NAMZN.COM/BILL       WA</v>
      </c>
      <c r="C1023" t="str">
        <f>'Raw Data'!I1026</f>
        <v>Amazon</v>
      </c>
      <c r="D1023" s="31">
        <f>'Raw Data'!F1026</f>
        <v>-87.96</v>
      </c>
    </row>
    <row r="1024" spans="1:4" x14ac:dyDescent="0.25">
      <c r="A1024" t="str">
        <f>'Raw Data'!A1027</f>
        <v>06/15/2025</v>
      </c>
      <c r="B1024" t="str">
        <f>'Raw Data'!C1027</f>
        <v>AMAZON MARKEPLACE NA PA</v>
      </c>
      <c r="C1024" t="str">
        <f>'Raw Data'!I1027</f>
        <v>Amazon</v>
      </c>
      <c r="D1024" s="31">
        <f>'Raw Data'!F1027</f>
        <v>87.96</v>
      </c>
    </row>
    <row r="1025" spans="1:4" x14ac:dyDescent="0.25">
      <c r="A1025" t="str">
        <f>'Raw Data'!A1028</f>
        <v>06/15/2025</v>
      </c>
      <c r="B1025" t="str">
        <f>'Raw Data'!C1028</f>
        <v>AMAZON MARKEPLACE NA PA</v>
      </c>
      <c r="C1025" t="str">
        <f>'Raw Data'!I1028</f>
        <v>Amazon</v>
      </c>
      <c r="D1025" s="31">
        <f>'Raw Data'!F1028</f>
        <v>329.7</v>
      </c>
    </row>
    <row r="1026" spans="1:4" x14ac:dyDescent="0.25">
      <c r="A1026" t="str">
        <f>'Raw Data'!A1029</f>
        <v>06/15/2025</v>
      </c>
      <c r="B1026" t="str">
        <f>'Raw Data'!C1029</f>
        <v>DNH*GODADDY#37842445Tempe               AZ</v>
      </c>
      <c r="C1026" t="str">
        <f>'Raw Data'!I1029</f>
        <v>Go Daddy</v>
      </c>
      <c r="D1026" s="31">
        <f>'Raw Data'!F1029</f>
        <v>8.99</v>
      </c>
    </row>
    <row r="1027" spans="1:4" x14ac:dyDescent="0.25">
      <c r="A1027" t="str">
        <f>'Raw Data'!A1030</f>
        <v>06/15/2025</v>
      </c>
      <c r="B1027" t="str">
        <f>'Raw Data'!C1030</f>
        <v>STAPLES.COM         800-333-3330        MA</v>
      </c>
      <c r="C1027" t="str">
        <f>'Raw Data'!I1030</f>
        <v>TBD</v>
      </c>
      <c r="D1027" s="31">
        <f>'Raw Data'!F1030</f>
        <v>462.7</v>
      </c>
    </row>
    <row r="1028" spans="1:4" x14ac:dyDescent="0.25">
      <c r="A1028" t="str">
        <f>'Raw Data'!A1031</f>
        <v>06/14/2025</v>
      </c>
      <c r="B1028" t="str">
        <f>'Raw Data'!C1031</f>
        <v>AMAZON MARKETPLACE NAMZN.COM/BILL       WA</v>
      </c>
      <c r="C1028" t="str">
        <f>'Raw Data'!I1031</f>
        <v>Amazon</v>
      </c>
      <c r="D1028" s="31">
        <f>'Raw Data'!F1031</f>
        <v>-423.8</v>
      </c>
    </row>
    <row r="1029" spans="1:4" x14ac:dyDescent="0.25">
      <c r="A1029" t="str">
        <f>'Raw Data'!A1032</f>
        <v>06/14/2025</v>
      </c>
      <c r="B1029" t="str">
        <f>'Raw Data'!C1032</f>
        <v>AMAZON MARKETPLACE NAMZN.COM/BILL       WA</v>
      </c>
      <c r="C1029" t="str">
        <f>'Raw Data'!I1032</f>
        <v>Amazon</v>
      </c>
      <c r="D1029" s="31">
        <f>'Raw Data'!F1032</f>
        <v>-413.9</v>
      </c>
    </row>
    <row r="1030" spans="1:4" x14ac:dyDescent="0.25">
      <c r="A1030" t="str">
        <f>'Raw Data'!A1033</f>
        <v>06/14/2025</v>
      </c>
      <c r="B1030" t="str">
        <f>'Raw Data'!C1033</f>
        <v>AMAZON MARKETPLACE NAMZN.COM/BILL       WA</v>
      </c>
      <c r="C1030" t="str">
        <f>'Raw Data'!I1033</f>
        <v>Amazon</v>
      </c>
      <c r="D1030" s="31">
        <f>'Raw Data'!F1033</f>
        <v>-33.799999999999997</v>
      </c>
    </row>
    <row r="1031" spans="1:4" x14ac:dyDescent="0.25">
      <c r="A1031" t="str">
        <f>'Raw Data'!A1034</f>
        <v>06/14/2025</v>
      </c>
      <c r="B1031" t="str">
        <f>'Raw Data'!C1034</f>
        <v>AMAZON MARKEPLACE NA PA</v>
      </c>
      <c r="C1031" t="str">
        <f>'Raw Data'!I1034</f>
        <v>Amazon</v>
      </c>
      <c r="D1031" s="31">
        <f>'Raw Data'!F1034</f>
        <v>33.799999999999997</v>
      </c>
    </row>
    <row r="1032" spans="1:4" x14ac:dyDescent="0.25">
      <c r="A1032" t="str">
        <f>'Raw Data'!A1035</f>
        <v>06/14/2025</v>
      </c>
      <c r="B1032" t="str">
        <f>'Raw Data'!C1035</f>
        <v>AMAZON MARKEPLACE NA PA</v>
      </c>
      <c r="C1032" t="str">
        <f>'Raw Data'!I1035</f>
        <v>Amazon</v>
      </c>
      <c r="D1032" s="31">
        <f>'Raw Data'!F1035</f>
        <v>413.9</v>
      </c>
    </row>
    <row r="1033" spans="1:4" x14ac:dyDescent="0.25">
      <c r="A1033" t="str">
        <f>'Raw Data'!A1036</f>
        <v>06/14/2025</v>
      </c>
      <c r="B1033" t="str">
        <f>'Raw Data'!C1036</f>
        <v>AMAZON MARKEPLACE NA PA</v>
      </c>
      <c r="C1033" t="str">
        <f>'Raw Data'!I1036</f>
        <v>Amazon</v>
      </c>
      <c r="D1033" s="31">
        <f>'Raw Data'!F1036</f>
        <v>423.8</v>
      </c>
    </row>
    <row r="1034" spans="1:4" x14ac:dyDescent="0.25">
      <c r="A1034" t="str">
        <f>'Raw Data'!A1037</f>
        <v>06/14/2025</v>
      </c>
      <c r="B1034" t="str">
        <f>'Raw Data'!C1037</f>
        <v>AMAZON.COM          AMZN.COM/BILL       WA</v>
      </c>
      <c r="C1034" t="str">
        <f>'Raw Data'!I1037</f>
        <v>Amazon</v>
      </c>
      <c r="D1034" s="31">
        <f>'Raw Data'!F1037</f>
        <v>40.25</v>
      </c>
    </row>
    <row r="1035" spans="1:4" x14ac:dyDescent="0.25">
      <c r="A1035" t="str">
        <f>'Raw Data'!A1038</f>
        <v>06/14/2025</v>
      </c>
      <c r="B1035" t="str">
        <f>'Raw Data'!C1038</f>
        <v>DNH*GODADDY#37832922Tempe               AZ</v>
      </c>
      <c r="C1035" t="str">
        <f>'Raw Data'!I1038</f>
        <v>Go Daddy</v>
      </c>
      <c r="D1035" s="31">
        <f>'Raw Data'!F1038</f>
        <v>30.97</v>
      </c>
    </row>
    <row r="1036" spans="1:4" x14ac:dyDescent="0.25">
      <c r="A1036" t="str">
        <f>'Raw Data'!A1039</f>
        <v>06/14/2025</v>
      </c>
      <c r="B1036" t="str">
        <f>'Raw Data'!C1039</f>
        <v>TCKTWEB*ACEFREHLEYTHSAN FRANCISCO       CA</v>
      </c>
      <c r="C1036" t="str">
        <f>'Raw Data'!I1039</f>
        <v>Personal - Entertainment</v>
      </c>
      <c r="D1036" s="31">
        <f>'Raw Data'!F1039</f>
        <v>339.8</v>
      </c>
    </row>
    <row r="1037" spans="1:4" x14ac:dyDescent="0.25">
      <c r="A1037" t="str">
        <f>'Raw Data'!A1040</f>
        <v>06/14/2025</v>
      </c>
      <c r="B1037" t="str">
        <f>'Raw Data'!C1040</f>
        <v>WI SPA              LOS ANGELES         CA</v>
      </c>
      <c r="C1037" t="str">
        <f>'Raw Data'!I1040</f>
        <v>Personal - Health</v>
      </c>
      <c r="D1037" s="31">
        <f>'Raw Data'!F1040</f>
        <v>25</v>
      </c>
    </row>
    <row r="1038" spans="1:4" x14ac:dyDescent="0.25">
      <c r="A1038" t="str">
        <f>'Raw Data'!A1041</f>
        <v>06/14/2025</v>
      </c>
      <c r="B1038" t="str">
        <f>'Raw Data'!C1041</f>
        <v>WI SPA              LOS ANGELES         CA</v>
      </c>
      <c r="C1038" t="str">
        <f>'Raw Data'!I1041</f>
        <v>Personal - Health</v>
      </c>
      <c r="D1038" s="31">
        <f>'Raw Data'!F1041</f>
        <v>80</v>
      </c>
    </row>
    <row r="1039" spans="1:4" x14ac:dyDescent="0.25">
      <c r="A1039" t="str">
        <f>'Raw Data'!A1042</f>
        <v>06/14/2025</v>
      </c>
      <c r="B1039" t="str">
        <f>'Raw Data'!C1042</f>
        <v>WI SPA              LOS ANGELES         CA</v>
      </c>
      <c r="C1039" t="str">
        <f>'Raw Data'!I1042</f>
        <v>Personal - Health</v>
      </c>
      <c r="D1039" s="31">
        <f>'Raw Data'!F1042</f>
        <v>90</v>
      </c>
    </row>
    <row r="1040" spans="1:4" x14ac:dyDescent="0.25">
      <c r="A1040" t="str">
        <f>'Raw Data'!A1043</f>
        <v>06/13/2025</v>
      </c>
      <c r="B1040" t="str">
        <f>'Raw Data'!C1043</f>
        <v>AMAZON MARKETPLACE NAMZN.COM/BILL       WA</v>
      </c>
      <c r="C1040" t="str">
        <f>'Raw Data'!I1043</f>
        <v>Amazon</v>
      </c>
      <c r="D1040" s="31">
        <f>'Raw Data'!F1043</f>
        <v>-60.15</v>
      </c>
    </row>
    <row r="1041" spans="1:4" x14ac:dyDescent="0.25">
      <c r="A1041" t="str">
        <f>'Raw Data'!A1044</f>
        <v>06/13/2025</v>
      </c>
      <c r="B1041" t="str">
        <f>'Raw Data'!C1044</f>
        <v>AMAZON MARKEPLACE NA PA</v>
      </c>
      <c r="C1041" t="str">
        <f>'Raw Data'!I1044</f>
        <v>Amazon</v>
      </c>
      <c r="D1041" s="31">
        <f>'Raw Data'!F1044</f>
        <v>60.15</v>
      </c>
    </row>
    <row r="1042" spans="1:4" x14ac:dyDescent="0.25">
      <c r="A1042" t="str">
        <f>'Raw Data'!A1045</f>
        <v>06/13/2025</v>
      </c>
      <c r="B1042" t="str">
        <f>'Raw Data'!C1045</f>
        <v>DNH*GODADDY#37821790Tempe               AZ</v>
      </c>
      <c r="C1042" t="str">
        <f>'Raw Data'!I1045</f>
        <v>Go Daddy</v>
      </c>
      <c r="D1042" s="31">
        <f>'Raw Data'!F1045</f>
        <v>30.97</v>
      </c>
    </row>
    <row r="1043" spans="1:4" x14ac:dyDescent="0.25">
      <c r="A1043" t="str">
        <f>'Raw Data'!A1046</f>
        <v>06/13/2025</v>
      </c>
      <c r="B1043" t="str">
        <f>'Raw Data'!C1046</f>
        <v>IKEA.COM            BALTIMORE           MD</v>
      </c>
      <c r="C1043" t="str">
        <f>'Raw Data'!I1046</f>
        <v>Personal - House</v>
      </c>
      <c r="D1043" s="31">
        <f>'Raw Data'!F1046</f>
        <v>760.4</v>
      </c>
    </row>
    <row r="1044" spans="1:4" x14ac:dyDescent="0.25">
      <c r="A1044" t="str">
        <f>'Raw Data'!A1047</f>
        <v>06/13/2025</v>
      </c>
      <c r="B1044" t="str">
        <f>'Raw Data'!C1047</f>
        <v>PROPERTYBLAST.COM   800-418-4452        FL</v>
      </c>
      <c r="C1044" t="str">
        <f>'Raw Data'!I1047</f>
        <v>DWG Marketing</v>
      </c>
      <c r="D1044" s="31">
        <f>'Raw Data'!F1047</f>
        <v>59</v>
      </c>
    </row>
    <row r="1045" spans="1:4" x14ac:dyDescent="0.25">
      <c r="A1045" t="str">
        <f>'Raw Data'!A1048</f>
        <v>06/12/2025</v>
      </c>
      <c r="B1045" t="str">
        <f>'Raw Data'!C1048</f>
        <v>AMAZON MARKETPLACE NAMZN.COM/BILL       WA</v>
      </c>
      <c r="C1045" t="str">
        <f>'Raw Data'!I1048</f>
        <v>Amazon</v>
      </c>
      <c r="D1045" s="31">
        <f>'Raw Data'!F1048</f>
        <v>-620.85</v>
      </c>
    </row>
    <row r="1046" spans="1:4" x14ac:dyDescent="0.25">
      <c r="A1046" t="str">
        <f>'Raw Data'!A1049</f>
        <v>06/12/2025</v>
      </c>
      <c r="B1046" t="str">
        <f>'Raw Data'!C1049</f>
        <v>AMAZON MARKEPLACE NA PA</v>
      </c>
      <c r="C1046" t="str">
        <f>'Raw Data'!I1049</f>
        <v>Amazon</v>
      </c>
      <c r="D1046" s="31">
        <f>'Raw Data'!F1049</f>
        <v>620.85</v>
      </c>
    </row>
    <row r="1047" spans="1:4" x14ac:dyDescent="0.25">
      <c r="A1047" t="str">
        <f>'Raw Data'!A1050</f>
        <v>06/12/2025</v>
      </c>
      <c r="B1047" t="str">
        <f>'Raw Data'!C1050</f>
        <v>SPOTIFY USA         NEW YORK            NY</v>
      </c>
      <c r="C1047" t="str">
        <f>'Raw Data'!I1050</f>
        <v>Software &amp; Subscriptions</v>
      </c>
      <c r="D1047" s="31">
        <f>'Raw Data'!F1050</f>
        <v>12.98</v>
      </c>
    </row>
    <row r="1048" spans="1:4" x14ac:dyDescent="0.25">
      <c r="A1048" t="str">
        <f>'Raw Data'!A1051</f>
        <v>06/11/2025</v>
      </c>
      <c r="B1048" t="str">
        <f>'Raw Data'!C1051</f>
        <v>DNH*GODADDY#37796865Tempe               AZ</v>
      </c>
      <c r="C1048" t="str">
        <f>'Raw Data'!I1051</f>
        <v>Go Daddy</v>
      </c>
      <c r="D1048" s="31">
        <f>'Raw Data'!F1051</f>
        <v>57.73</v>
      </c>
    </row>
    <row r="1049" spans="1:4" x14ac:dyDescent="0.25">
      <c r="A1049" t="str">
        <f>'Raw Data'!A1052</f>
        <v>06/11/2025</v>
      </c>
      <c r="B1049" t="str">
        <f>'Raw Data'!C1052</f>
        <v>ONSTAR, LLC         DETROIT             MI</v>
      </c>
      <c r="C1049" t="str">
        <f>'Raw Data'!I1052</f>
        <v>Personal - Car</v>
      </c>
      <c r="D1049" s="31">
        <f>'Raw Data'!F1052</f>
        <v>34.1</v>
      </c>
    </row>
    <row r="1050" spans="1:4" x14ac:dyDescent="0.25">
      <c r="A1050" t="str">
        <f>'Raw Data'!A1053</f>
        <v>06/10/2025</v>
      </c>
      <c r="B1050" t="str">
        <f>'Raw Data'!C1053</f>
        <v>TST* THE BUTCHER'S DVENICE              CA</v>
      </c>
      <c r="C1050" t="str">
        <f>'Raw Data'!I1053</f>
        <v>Personal - Food</v>
      </c>
      <c r="D1050" s="31">
        <f>'Raw Data'!F1053</f>
        <v>127.4</v>
      </c>
    </row>
    <row r="1051" spans="1:4" x14ac:dyDescent="0.25">
      <c r="A1051" t="str">
        <f>'Raw Data'!A1054</f>
        <v>06/10/2025</v>
      </c>
      <c r="B1051" t="str">
        <f>'Raw Data'!C1054</f>
        <v>VIMEO PRO           212-625-0668        NY</v>
      </c>
      <c r="C1051" t="str">
        <f>'Raw Data'!I1054</f>
        <v>Software &amp; Subscriptions</v>
      </c>
      <c r="D1051" s="31">
        <f>'Raw Data'!F1054</f>
        <v>24</v>
      </c>
    </row>
    <row r="1052" spans="1:4" x14ac:dyDescent="0.25">
      <c r="A1052" t="str">
        <f>'Raw Data'!A1055</f>
        <v>06/09/2025</v>
      </c>
      <c r="B1052" t="str">
        <f>'Raw Data'!C1055</f>
        <v>INFUSE  DR. BULL    WEST HOLLYWOOD      CA</v>
      </c>
      <c r="C1052" t="str">
        <f>'Raw Data'!I1055</f>
        <v>Personal - Health</v>
      </c>
      <c r="D1052" s="31">
        <f>'Raw Data'!F1055</f>
        <v>270</v>
      </c>
    </row>
    <row r="1053" spans="1:4" x14ac:dyDescent="0.25">
      <c r="A1053" t="str">
        <f>'Raw Data'!A1056</f>
        <v>06/09/2025</v>
      </c>
      <c r="B1053" t="str">
        <f>'Raw Data'!C1056</f>
        <v>TST* THE BUTCHER'S DVENICE              CA</v>
      </c>
      <c r="C1053" t="str">
        <f>'Raw Data'!I1056</f>
        <v>Personal - Food</v>
      </c>
      <c r="D1053" s="31">
        <f>'Raw Data'!F1056</f>
        <v>49.86</v>
      </c>
    </row>
    <row r="1054" spans="1:4" x14ac:dyDescent="0.25">
      <c r="A1054" t="str">
        <f>'Raw Data'!A1057</f>
        <v>06/08/2025</v>
      </c>
      <c r="B1054" t="str">
        <f>'Raw Data'!C1057</f>
        <v>CVS PHARMACY        LOS ANGELES         CA</v>
      </c>
      <c r="C1054" t="str">
        <f>'Raw Data'!I1057</f>
        <v>Personal - Health</v>
      </c>
      <c r="D1054" s="31">
        <f>'Raw Data'!F1057</f>
        <v>14.44</v>
      </c>
    </row>
    <row r="1055" spans="1:4" x14ac:dyDescent="0.25">
      <c r="A1055" t="str">
        <f>'Raw Data'!A1058</f>
        <v>06/08/2025</v>
      </c>
      <c r="B1055" t="str">
        <f>'Raw Data'!C1058</f>
        <v>M&amp;B PHO SHOW INC 000CULVER CITY         CA</v>
      </c>
      <c r="C1055" t="str">
        <f>'Raw Data'!I1058</f>
        <v>Personal - Food</v>
      </c>
      <c r="D1055" s="31">
        <f>'Raw Data'!F1058</f>
        <v>114.56</v>
      </c>
    </row>
    <row r="1056" spans="1:4" x14ac:dyDescent="0.25">
      <c r="A1056" t="str">
        <f>'Raw Data'!A1059</f>
        <v>06/08/2025</v>
      </c>
      <c r="B1056" t="str">
        <f>'Raw Data'!C1059</f>
        <v>OPENAI *CHATGPT SUBSSAN FRANCISCO       CA</v>
      </c>
      <c r="C1056" t="str">
        <f>'Raw Data'!I1059</f>
        <v>AI Subscriptions</v>
      </c>
      <c r="D1056" s="31">
        <f>'Raw Data'!F1059</f>
        <v>20</v>
      </c>
    </row>
    <row r="1057" spans="1:4" x14ac:dyDescent="0.25">
      <c r="A1057" t="str">
        <f>'Raw Data'!A1060</f>
        <v>06/08/2025</v>
      </c>
      <c r="B1057" t="str">
        <f>'Raw Data'!C1060</f>
        <v>TST* CAFE GRATITUDE VENICE              CA</v>
      </c>
      <c r="C1057" t="str">
        <f>'Raw Data'!I1060</f>
        <v>Personal - Food</v>
      </c>
      <c r="D1057" s="31">
        <f>'Raw Data'!F1060</f>
        <v>182.58</v>
      </c>
    </row>
    <row r="1058" spans="1:4" x14ac:dyDescent="0.25">
      <c r="A1058" t="str">
        <f>'Raw Data'!A1061</f>
        <v>06/08/2025</v>
      </c>
      <c r="B1058" t="str">
        <f>'Raw Data'!C1061</f>
        <v>XL TECHNOLOGIES LLC SARASOTA            FL</v>
      </c>
      <c r="C1058" t="str">
        <f>'Raw Data'!I1061</f>
        <v>AI Subscriptions</v>
      </c>
      <c r="D1058" s="31">
        <f>'Raw Data'!F1061</f>
        <v>49</v>
      </c>
    </row>
    <row r="1059" spans="1:4" x14ac:dyDescent="0.25">
      <c r="A1059" t="str">
        <f>'Raw Data'!A1062</f>
        <v>06/07/2025</v>
      </c>
      <c r="B1059" t="str">
        <f>'Raw Data'!C1062</f>
        <v>DNH*GODADDY#37749193Tempe               AZ</v>
      </c>
      <c r="C1059" t="str">
        <f>'Raw Data'!I1062</f>
        <v>Go Daddy</v>
      </c>
      <c r="D1059" s="31">
        <f>'Raw Data'!F1062</f>
        <v>10.99</v>
      </c>
    </row>
    <row r="1060" spans="1:4" x14ac:dyDescent="0.25">
      <c r="A1060" t="str">
        <f>'Raw Data'!A1063</f>
        <v>06/07/2025</v>
      </c>
      <c r="B1060" t="str">
        <f>'Raw Data'!C1063</f>
        <v>HANDY J CAR WASH 650LOS ANGELES         CA</v>
      </c>
      <c r="C1060" t="str">
        <f>'Raw Data'!I1063</f>
        <v>Personal - Car</v>
      </c>
      <c r="D1060" s="31">
        <f>'Raw Data'!F1063</f>
        <v>68</v>
      </c>
    </row>
    <row r="1061" spans="1:4" x14ac:dyDescent="0.25">
      <c r="A1061" t="str">
        <f>'Raw Data'!A1064</f>
        <v>06/07/2025</v>
      </c>
      <c r="B1061" t="str">
        <f>'Raw Data'!C1064</f>
        <v>MOON JUICE          Venice              CA</v>
      </c>
      <c r="C1061" t="str">
        <f>'Raw Data'!I1064</f>
        <v>Personal - Food</v>
      </c>
      <c r="D1061" s="31">
        <f>'Raw Data'!F1064</f>
        <v>61.32</v>
      </c>
    </row>
    <row r="1062" spans="1:4" x14ac:dyDescent="0.25">
      <c r="A1062" t="str">
        <f>'Raw Data'!A1065</f>
        <v>06/07/2025</v>
      </c>
      <c r="B1062" t="str">
        <f>'Raw Data'!C1065</f>
        <v>PAYA THAI LA LLC. BLLOS ANGELES         CA</v>
      </c>
      <c r="C1062" t="str">
        <f>'Raw Data'!I1065</f>
        <v>Personal - Health</v>
      </c>
      <c r="D1062" s="31">
        <f>'Raw Data'!F1065</f>
        <v>160</v>
      </c>
    </row>
    <row r="1063" spans="1:4" x14ac:dyDescent="0.25">
      <c r="A1063" t="str">
        <f>'Raw Data'!A1066</f>
        <v>06/07/2025</v>
      </c>
      <c r="B1063" t="str">
        <f>'Raw Data'!C1066</f>
        <v>READ - MEETING MANAGSEATTLE             WA</v>
      </c>
      <c r="C1063" t="str">
        <f>'Raw Data'!I1066</f>
        <v>DWG Operations</v>
      </c>
      <c r="D1063" s="31">
        <f>'Raw Data'!F1066</f>
        <v>59.5</v>
      </c>
    </row>
    <row r="1064" spans="1:4" x14ac:dyDescent="0.25">
      <c r="A1064" t="str">
        <f>'Raw Data'!A1067</f>
        <v>06/07/2025</v>
      </c>
      <c r="B1064" t="str">
        <f>'Raw Data'!C1067</f>
        <v>VENICE LIQUOR 650000LOS ANGELES         CA</v>
      </c>
      <c r="C1064" t="str">
        <f>'Raw Data'!I1067</f>
        <v>Personal - Food</v>
      </c>
      <c r="D1064" s="31">
        <f>'Raw Data'!F1067</f>
        <v>12.75</v>
      </c>
    </row>
    <row r="1065" spans="1:4" x14ac:dyDescent="0.25">
      <c r="A1065" t="str">
        <f>'Raw Data'!A1068</f>
        <v>06/07/2025</v>
      </c>
      <c r="B1065" t="str">
        <f>'Raw Data'!C1068</f>
        <v>VENICE LIQUOR 650000LOS ANGELES         CA</v>
      </c>
      <c r="C1065" t="str">
        <f>'Raw Data'!I1068</f>
        <v>Personal - Food</v>
      </c>
      <c r="D1065" s="31">
        <f>'Raw Data'!F1068</f>
        <v>15.12</v>
      </c>
    </row>
    <row r="1066" spans="1:4" x14ac:dyDescent="0.25">
      <c r="A1066" t="str">
        <f>'Raw Data'!A1069</f>
        <v>06/06/2025</v>
      </c>
      <c r="B1066" t="str">
        <f>'Raw Data'!C1069</f>
        <v>ALANA'S COFFEE ROASTLos Angeles         CA</v>
      </c>
      <c r="C1066" t="str">
        <f>'Raw Data'!I1069</f>
        <v>Personal - Food</v>
      </c>
      <c r="D1066" s="31">
        <f>'Raw Data'!F1069</f>
        <v>20.12</v>
      </c>
    </row>
    <row r="1067" spans="1:4" x14ac:dyDescent="0.25">
      <c r="A1067" t="str">
        <f>'Raw Data'!A1070</f>
        <v>06/06/2025</v>
      </c>
      <c r="B1067" t="str">
        <f>'Raw Data'!C1070</f>
        <v>AMAZON MARKETPLACE NAMZN.COM/BILL       WA</v>
      </c>
      <c r="C1067" t="str">
        <f>'Raw Data'!I1070</f>
        <v>Amazon</v>
      </c>
      <c r="D1067" s="31">
        <f>'Raw Data'!F1070</f>
        <v>-620.85</v>
      </c>
    </row>
    <row r="1068" spans="1:4" x14ac:dyDescent="0.25">
      <c r="A1068" t="str">
        <f>'Raw Data'!A1071</f>
        <v>06/06/2025</v>
      </c>
      <c r="B1068" t="str">
        <f>'Raw Data'!C1071</f>
        <v>AMAZON MARKEPLACE NA PA</v>
      </c>
      <c r="C1068" t="str">
        <f>'Raw Data'!I1071</f>
        <v>Amazon</v>
      </c>
      <c r="D1068" s="31">
        <f>'Raw Data'!F1071</f>
        <v>620.85</v>
      </c>
    </row>
    <row r="1069" spans="1:4" x14ac:dyDescent="0.25">
      <c r="A1069" t="str">
        <f>'Raw Data'!A1072</f>
        <v>06/06/2025</v>
      </c>
      <c r="B1069" t="str">
        <f>'Raw Data'!C1072</f>
        <v>AMAZON PRIME*N62MH49AMZN.COM/BILL       WA</v>
      </c>
      <c r="C1069" t="str">
        <f>'Raw Data'!I1072</f>
        <v>Amazon</v>
      </c>
      <c r="D1069" s="31">
        <f>'Raw Data'!F1072</f>
        <v>3.24</v>
      </c>
    </row>
    <row r="1070" spans="1:4" x14ac:dyDescent="0.25">
      <c r="A1070" t="str">
        <f>'Raw Data'!A1073</f>
        <v>06/06/2025</v>
      </c>
      <c r="B1070" t="str">
        <f>'Raw Data'!C1073</f>
        <v>Amazon Prime        Amazon.com          WA</v>
      </c>
      <c r="C1070" t="str">
        <f>'Raw Data'!I1073</f>
        <v>Amazon</v>
      </c>
      <c r="D1070" s="31">
        <f>'Raw Data'!F1073</f>
        <v>16.23</v>
      </c>
    </row>
    <row r="1071" spans="1:4" x14ac:dyDescent="0.25">
      <c r="A1071" t="str">
        <f>'Raw Data'!A1074</f>
        <v>06/06/2025</v>
      </c>
      <c r="B1071" t="str">
        <f>'Raw Data'!C1074</f>
        <v>BRAVE.COM           SAN FRANCISCO       CA</v>
      </c>
      <c r="C1071" t="str">
        <f>'Raw Data'!I1074</f>
        <v>Software &amp; Subscriptions</v>
      </c>
      <c r="D1071" s="31">
        <f>'Raw Data'!F1074</f>
        <v>9.99</v>
      </c>
    </row>
    <row r="1072" spans="1:4" x14ac:dyDescent="0.25">
      <c r="A1072" t="str">
        <f>'Raw Data'!A1075</f>
        <v>06/06/2025</v>
      </c>
      <c r="B1072" t="str">
        <f>'Raw Data'!C1075</f>
        <v>CREXI               LOS ANGELES         CA</v>
      </c>
      <c r="C1072" t="str">
        <f>'Raw Data'!I1075</f>
        <v>DWG Listing Platform</v>
      </c>
      <c r="D1072" s="31">
        <f>'Raw Data'!F1075</f>
        <v>260</v>
      </c>
    </row>
    <row r="1073" spans="1:4" x14ac:dyDescent="0.25">
      <c r="A1073" t="str">
        <f>'Raw Data'!A1076</f>
        <v>06/06/2025</v>
      </c>
      <c r="B1073" t="str">
        <f>'Raw Data'!C1076</f>
        <v>DNH*GODADDY#37736901Tempe               AZ</v>
      </c>
      <c r="C1073" t="str">
        <f>'Raw Data'!I1076</f>
        <v>Go Daddy</v>
      </c>
      <c r="D1073" s="31">
        <f>'Raw Data'!F1076</f>
        <v>30.97</v>
      </c>
    </row>
    <row r="1074" spans="1:4" x14ac:dyDescent="0.25">
      <c r="A1074" t="str">
        <f>'Raw Data'!A1077</f>
        <v>06/06/2025</v>
      </c>
      <c r="B1074" t="str">
        <f>'Raw Data'!C1077</f>
        <v>LARES RESTAURANT    SANTA MONICA        CA</v>
      </c>
      <c r="C1074" t="str">
        <f>'Raw Data'!I1077</f>
        <v>Personal - Food</v>
      </c>
      <c r="D1074" s="31">
        <f>'Raw Data'!F1077</f>
        <v>60.97</v>
      </c>
    </row>
    <row r="1075" spans="1:4" x14ac:dyDescent="0.25">
      <c r="A1075" t="str">
        <f>'Raw Data'!A1078</f>
        <v>06/06/2025</v>
      </c>
      <c r="B1075" t="str">
        <f>'Raw Data'!C1078</f>
        <v>STARBUCKS STORE 2264LOS ANGELES         CA</v>
      </c>
      <c r="C1075" t="str">
        <f>'Raw Data'!I1078</f>
        <v>Personal - Food</v>
      </c>
      <c r="D1075" s="31">
        <f>'Raw Data'!F1078</f>
        <v>21.7</v>
      </c>
    </row>
    <row r="1076" spans="1:4" x14ac:dyDescent="0.25">
      <c r="A1076" t="str">
        <f>'Raw Data'!A1079</f>
        <v>06/05/2025</v>
      </c>
      <c r="B1076" t="str">
        <f>'Raw Data'!C1079</f>
        <v>ALPHAGRAPHICS US 607WEATHERFORD         TX</v>
      </c>
      <c r="C1076" t="str">
        <f>'Raw Data'!I1079</f>
        <v>DWG Marketing</v>
      </c>
      <c r="D1076" s="31">
        <f>'Raw Data'!F1079</f>
        <v>1100</v>
      </c>
    </row>
    <row r="1077" spans="1:4" x14ac:dyDescent="0.25">
      <c r="A1077" t="str">
        <f>'Raw Data'!A1080</f>
        <v>06/05/2025</v>
      </c>
      <c r="B1077" t="str">
        <f>'Raw Data'!C1080</f>
        <v>AMAZON MARKETPLACE NAMZN.COM/BILL       WA</v>
      </c>
      <c r="C1077" t="str">
        <f>'Raw Data'!I1080</f>
        <v>Amazon</v>
      </c>
      <c r="D1077" s="31">
        <f>'Raw Data'!F1080</f>
        <v>-620.85</v>
      </c>
    </row>
    <row r="1078" spans="1:4" x14ac:dyDescent="0.25">
      <c r="A1078" t="str">
        <f>'Raw Data'!A1081</f>
        <v>06/05/2025</v>
      </c>
      <c r="B1078" t="str">
        <f>'Raw Data'!C1081</f>
        <v>AMAZON MARKEPLACE NA PA</v>
      </c>
      <c r="C1078" t="str">
        <f>'Raw Data'!I1081</f>
        <v>Amazon</v>
      </c>
      <c r="D1078" s="31">
        <f>'Raw Data'!F1081</f>
        <v>620.85</v>
      </c>
    </row>
    <row r="1079" spans="1:4" x14ac:dyDescent="0.25">
      <c r="A1079" t="str">
        <f>'Raw Data'!A1082</f>
        <v>06/05/2025</v>
      </c>
      <c r="B1079" t="str">
        <f>'Raw Data'!C1082</f>
        <v>BUDGET RENT A CAR   COLUMBUS            OH</v>
      </c>
      <c r="C1079" t="str">
        <f>'Raw Data'!I1082</f>
        <v>Ohio Site Visit</v>
      </c>
      <c r="D1079" s="31">
        <f>'Raw Data'!F1082</f>
        <v>705.64</v>
      </c>
    </row>
    <row r="1080" spans="1:4" x14ac:dyDescent="0.25">
      <c r="A1080" t="str">
        <f>'Raw Data'!A1083</f>
        <v>06/05/2025</v>
      </c>
      <c r="B1080" t="str">
        <f>'Raw Data'!C1083</f>
        <v>DNH*GODADDY#37723686Tempe               AZ</v>
      </c>
      <c r="C1080" t="str">
        <f>'Raw Data'!I1083</f>
        <v>Go Daddy</v>
      </c>
      <c r="D1080" s="31">
        <f>'Raw Data'!F1083</f>
        <v>17.97</v>
      </c>
    </row>
    <row r="1081" spans="1:4" x14ac:dyDescent="0.25">
      <c r="A1081" t="str">
        <f>'Raw Data'!A1084</f>
        <v>06/05/2025</v>
      </c>
      <c r="B1081" t="str">
        <f>'Raw Data'!C1084</f>
        <v>DRURY PLAZA HOTEL CLCLEVELAND           OH</v>
      </c>
      <c r="C1081" t="str">
        <f>'Raw Data'!I1084</f>
        <v>Ohio Site Visit</v>
      </c>
      <c r="D1081" s="31">
        <f>'Raw Data'!F1084</f>
        <v>-43.2</v>
      </c>
    </row>
    <row r="1082" spans="1:4" x14ac:dyDescent="0.25">
      <c r="A1082" t="str">
        <f>'Raw Data'!A1085</f>
        <v>06/05/2025</v>
      </c>
      <c r="B1082" t="str">
        <f>'Raw Data'!C1085</f>
        <v>DRURY PLAZA HOTEL CLCLEVELAND           OH</v>
      </c>
      <c r="C1082" t="str">
        <f>'Raw Data'!I1085</f>
        <v>Ohio Site Visit</v>
      </c>
      <c r="D1082" s="31">
        <f>'Raw Data'!F1085</f>
        <v>199.74</v>
      </c>
    </row>
    <row r="1083" spans="1:4" x14ac:dyDescent="0.25">
      <c r="A1083" t="str">
        <f>'Raw Data'!A1086</f>
        <v>06/05/2025</v>
      </c>
      <c r="B1083" t="str">
        <f>'Raw Data'!C1086</f>
        <v>DRURY PLAZA HOTEL CLCLEVELAND           OH</v>
      </c>
      <c r="C1083" t="str">
        <f>'Raw Data'!I1086</f>
        <v>Ohio Site Visit</v>
      </c>
      <c r="D1083" s="31">
        <f>'Raw Data'!F1086</f>
        <v>266.44</v>
      </c>
    </row>
    <row r="1084" spans="1:4" x14ac:dyDescent="0.25">
      <c r="A1084" t="str">
        <f>'Raw Data'!A1087</f>
        <v>06/05/2025</v>
      </c>
      <c r="B1084" t="str">
        <f>'Raw Data'!C1087</f>
        <v>GRADUATE COLUMBUS GRCOLUMBUS            OH</v>
      </c>
      <c r="C1084" t="str">
        <f>'Raw Data'!I1087</f>
        <v>Ohio Site Visit</v>
      </c>
      <c r="D1084" s="31">
        <f>'Raw Data'!F1087</f>
        <v>40</v>
      </c>
    </row>
    <row r="1085" spans="1:4" x14ac:dyDescent="0.25">
      <c r="A1085" t="str">
        <f>'Raw Data'!A1088</f>
        <v>06/05/2025</v>
      </c>
      <c r="B1085" t="str">
        <f>'Raw Data'!C1088</f>
        <v>STARBUCKS C         CLEVELAND           OH</v>
      </c>
      <c r="C1085" t="str">
        <f>'Raw Data'!I1088</f>
        <v>Ohio Site Visit</v>
      </c>
      <c r="D1085" s="31">
        <f>'Raw Data'!F1088</f>
        <v>9.0500000000000007</v>
      </c>
    </row>
    <row r="1086" spans="1:4" x14ac:dyDescent="0.25">
      <c r="A1086" t="str">
        <f>'Raw Data'!A1089</f>
        <v>06/05/2025</v>
      </c>
      <c r="B1086" t="str">
        <f>'Raw Data'!C1089</f>
        <v>TST* DONS LIGHTHOUSECLEVELAND           OH</v>
      </c>
      <c r="C1086" t="str">
        <f>'Raw Data'!I1089</f>
        <v>Ohio Site Visit</v>
      </c>
      <c r="D1086" s="31">
        <f>'Raw Data'!F1089</f>
        <v>113.69</v>
      </c>
    </row>
    <row r="1087" spans="1:4" x14ac:dyDescent="0.25">
      <c r="A1087" t="str">
        <f>'Raw Data'!A1090</f>
        <v>06/05/2025</v>
      </c>
      <c r="B1087" t="str">
        <f>'Raw Data'!C1090</f>
        <v>TST* DRURY HOTELS  CCLEVELAND           OH</v>
      </c>
      <c r="C1087" t="str">
        <f>'Raw Data'!I1090</f>
        <v>Ohio Site Visit</v>
      </c>
      <c r="D1087" s="31">
        <f>'Raw Data'!F1090</f>
        <v>8.59</v>
      </c>
    </row>
    <row r="1088" spans="1:4" x14ac:dyDescent="0.25">
      <c r="A1088" t="str">
        <f>'Raw Data'!A1091</f>
        <v>06/05/2025</v>
      </c>
      <c r="B1088" t="str">
        <f>'Raw Data'!C1091</f>
        <v>TST* GRADUATE HOTELSCOLUMBUS            OH</v>
      </c>
      <c r="C1088" t="str">
        <f>'Raw Data'!I1091</f>
        <v>Ohio Site Visit</v>
      </c>
      <c r="D1088" s="31">
        <f>'Raw Data'!F1091</f>
        <v>5.76</v>
      </c>
    </row>
    <row r="1089" spans="1:4" x14ac:dyDescent="0.25">
      <c r="A1089" t="str">
        <f>'Raw Data'!A1092</f>
        <v>06/05/2025</v>
      </c>
      <c r="B1089" t="str">
        <f>'Raw Data'!C1092</f>
        <v>TST* TAVERNA AT THE LOS ANGELES         CA</v>
      </c>
      <c r="C1089" t="str">
        <f>'Raw Data'!I1092</f>
        <v>Personal - Food</v>
      </c>
      <c r="D1089" s="31">
        <f>'Raw Data'!F1092</f>
        <v>139.38</v>
      </c>
    </row>
    <row r="1090" spans="1:4" x14ac:dyDescent="0.25">
      <c r="A1090" t="str">
        <f>'Raw Data'!A1093</f>
        <v>06/05/2025</v>
      </c>
      <c r="B1090" t="str">
        <f>'Raw Data'!C1093</f>
        <v>VENICE LIQUOR 650000LOS ANGELES         CA</v>
      </c>
      <c r="C1090" t="str">
        <f>'Raw Data'!I1093</f>
        <v>Personal - Food</v>
      </c>
      <c r="D1090" s="31">
        <f>'Raw Data'!F1093</f>
        <v>20.63</v>
      </c>
    </row>
    <row r="1091" spans="1:4" x14ac:dyDescent="0.25">
      <c r="A1091" t="str">
        <f>'Raw Data'!A1094</f>
        <v>06/04/2025</v>
      </c>
      <c r="B1091" t="str">
        <f>'Raw Data'!C1094</f>
        <v>BLUE AGAVE 0000     CLEVELAND           OH</v>
      </c>
      <c r="C1091" t="str">
        <f>'Raw Data'!I1094</f>
        <v>Ohio Site Visit</v>
      </c>
      <c r="D1091" s="31">
        <f>'Raw Data'!F1094</f>
        <v>83.7</v>
      </c>
    </row>
    <row r="1092" spans="1:4" x14ac:dyDescent="0.25">
      <c r="A1092" t="str">
        <f>'Raw Data'!A1095</f>
        <v>06/04/2025</v>
      </c>
      <c r="B1092" t="str">
        <f>'Raw Data'!C1095</f>
        <v>BP#8989931SANDUSKY CFOSTORIA            OH</v>
      </c>
      <c r="C1092" t="str">
        <f>'Raw Data'!I1095</f>
        <v>Ohio Site Visit</v>
      </c>
      <c r="D1092" s="31">
        <f>'Raw Data'!F1095</f>
        <v>21.43</v>
      </c>
    </row>
    <row r="1093" spans="1:4" x14ac:dyDescent="0.25">
      <c r="A1093" t="str">
        <f>'Raw Data'!A1096</f>
        <v>06/04/2025</v>
      </c>
      <c r="B1093" t="str">
        <f>'Raw Data'!C1096</f>
        <v>DNH*GODADDY#37711192Tempe               AZ</v>
      </c>
      <c r="C1093" t="str">
        <f>'Raw Data'!I1096</f>
        <v>Go Daddy</v>
      </c>
      <c r="D1093" s="31">
        <f>'Raw Data'!F1096</f>
        <v>40.97</v>
      </c>
    </row>
    <row r="1094" spans="1:4" x14ac:dyDescent="0.25">
      <c r="A1094" t="str">
        <f>'Raw Data'!A1097</f>
        <v>06/04/2025</v>
      </c>
      <c r="B1094" t="str">
        <f>'Raw Data'!C1097</f>
        <v>NATIVE COLD PRESSED Columbus            OH</v>
      </c>
      <c r="C1094" t="str">
        <f>'Raw Data'!I1097</f>
        <v>Ohio Site Visit</v>
      </c>
      <c r="D1094" s="31">
        <f>'Raw Data'!F1097</f>
        <v>77.05</v>
      </c>
    </row>
    <row r="1095" spans="1:4" x14ac:dyDescent="0.25">
      <c r="A1095" t="str">
        <f>'Raw Data'!A1098</f>
        <v>06/04/2025</v>
      </c>
      <c r="B1095" t="str">
        <f>'Raw Data'!C1098</f>
        <v>RIO FRESH CAFE II LLColumbus            OH</v>
      </c>
      <c r="C1095" t="str">
        <f>'Raw Data'!I1098</f>
        <v>Ohio Site Visit</v>
      </c>
      <c r="D1095" s="31">
        <f>'Raw Data'!F1098</f>
        <v>27.48</v>
      </c>
    </row>
    <row r="1096" spans="1:4" x14ac:dyDescent="0.25">
      <c r="A1096" t="str">
        <f>'Raw Data'!A1099</f>
        <v>06/04/2025</v>
      </c>
      <c r="B1096" t="str">
        <f>'Raw Data'!C1099</f>
        <v>SOUTH VILLAGE GRILLECOLUMBUS            OH</v>
      </c>
      <c r="C1096" t="str">
        <f>'Raw Data'!I1099</f>
        <v>Ohio Site Visit</v>
      </c>
      <c r="D1096" s="31">
        <f>'Raw Data'!F1099</f>
        <v>107.69</v>
      </c>
    </row>
    <row r="1097" spans="1:4" x14ac:dyDescent="0.25">
      <c r="A1097" t="str">
        <f>'Raw Data'!A1100</f>
        <v>06/04/2025</v>
      </c>
      <c r="B1097" t="str">
        <f>'Raw Data'!C1100</f>
        <v>SPEEDWAY            1-800-643-1949      OH</v>
      </c>
      <c r="C1097" t="str">
        <f>'Raw Data'!I1100</f>
        <v>Ohio Site Visit</v>
      </c>
      <c r="D1097" s="31">
        <f>'Raw Data'!F1100</f>
        <v>26.06</v>
      </c>
    </row>
    <row r="1098" spans="1:4" x14ac:dyDescent="0.25">
      <c r="A1098" t="str">
        <f>'Raw Data'!A1101</f>
        <v>06/04/2025</v>
      </c>
      <c r="B1098" t="str">
        <f>'Raw Data'!C1101</f>
        <v>UNITED AIRLINES     HOUSTON             TX</v>
      </c>
      <c r="C1098" t="str">
        <f>'Raw Data'!I1101</f>
        <v>Ohio Site Visit</v>
      </c>
      <c r="D1098" s="31">
        <f>'Raw Data'!F1101</f>
        <v>139.74</v>
      </c>
    </row>
    <row r="1099" spans="1:4" x14ac:dyDescent="0.25">
      <c r="A1099" t="str">
        <f>'Raw Data'!A1102</f>
        <v>06/03/2025</v>
      </c>
      <c r="B1099" t="str">
        <f>'Raw Data'!C1102</f>
        <v>ALAMO TOLL          MESA                AZ</v>
      </c>
      <c r="C1099" t="str">
        <f>'Raw Data'!I1102</f>
        <v>Team Travel (Judd)</v>
      </c>
      <c r="D1099" s="31">
        <f>'Raw Data'!F1102</f>
        <v>11.65</v>
      </c>
    </row>
    <row r="1100" spans="1:4" x14ac:dyDescent="0.25">
      <c r="A1100" t="str">
        <f>'Raw Data'!A1103</f>
        <v>06/03/2025</v>
      </c>
      <c r="B1100" t="str">
        <f>'Raw Data'!C1103</f>
        <v>AMAZON MARKETPLACE NAMZN.COM/BILL       WA</v>
      </c>
      <c r="C1100" t="str">
        <f>'Raw Data'!I1103</f>
        <v>Amazon</v>
      </c>
      <c r="D1100" s="31">
        <f>'Raw Data'!F1103</f>
        <v>-620.85</v>
      </c>
    </row>
    <row r="1101" spans="1:4" x14ac:dyDescent="0.25">
      <c r="A1101" t="str">
        <f>'Raw Data'!A1104</f>
        <v>06/03/2025</v>
      </c>
      <c r="B1101" t="str">
        <f>'Raw Data'!C1104</f>
        <v>AMAZON MARKETPLACE NAMZN.COM/BILL       WA</v>
      </c>
      <c r="C1101" t="str">
        <f>'Raw Data'!I1104</f>
        <v>Amazon</v>
      </c>
      <c r="D1101" s="31">
        <f>'Raw Data'!F1104</f>
        <v>-139.56</v>
      </c>
    </row>
    <row r="1102" spans="1:4" x14ac:dyDescent="0.25">
      <c r="A1102" t="str">
        <f>'Raw Data'!A1105</f>
        <v>06/03/2025</v>
      </c>
      <c r="B1102" t="str">
        <f>'Raw Data'!C1105</f>
        <v>AMAZON MARKEPLACE NA PA</v>
      </c>
      <c r="C1102" t="str">
        <f>'Raw Data'!I1105</f>
        <v>Amazon</v>
      </c>
      <c r="D1102" s="31">
        <f>'Raw Data'!F1105</f>
        <v>139.56</v>
      </c>
    </row>
    <row r="1103" spans="1:4" x14ac:dyDescent="0.25">
      <c r="A1103" t="str">
        <f>'Raw Data'!A1106</f>
        <v>06/03/2025</v>
      </c>
      <c r="B1103" t="str">
        <f>'Raw Data'!C1106</f>
        <v>AMAZON MARKEPLACE NA PA</v>
      </c>
      <c r="C1103" t="str">
        <f>'Raw Data'!I1106</f>
        <v>Amazon</v>
      </c>
      <c r="D1103" s="31">
        <f>'Raw Data'!F1106</f>
        <v>620.85</v>
      </c>
    </row>
    <row r="1104" spans="1:4" x14ac:dyDescent="0.25">
      <c r="A1104" t="str">
        <f>'Raw Data'!A1107</f>
        <v>06/03/2025</v>
      </c>
      <c r="B1104" t="str">
        <f>'Raw Data'!C1107</f>
        <v>CONTACTS+           HUNTINGTON BEACH    CA</v>
      </c>
      <c r="C1104" t="str">
        <f>'Raw Data'!I1107</f>
        <v>Personal - Health</v>
      </c>
      <c r="D1104" s="31">
        <f>'Raw Data'!F1107</f>
        <v>13.99</v>
      </c>
    </row>
    <row r="1105" spans="1:4" x14ac:dyDescent="0.25">
      <c r="A1105" t="str">
        <f>'Raw Data'!A1108</f>
        <v>06/03/2025</v>
      </c>
      <c r="B1105" t="str">
        <f>'Raw Data'!C1108</f>
        <v>LS SAMSON MENS EMPORCOLUMBUS            OH</v>
      </c>
      <c r="C1105" t="str">
        <f>'Raw Data'!I1108</f>
        <v>Ohio Site Visit</v>
      </c>
      <c r="D1105" s="31">
        <f>'Raw Data'!F1108</f>
        <v>127.44</v>
      </c>
    </row>
    <row r="1106" spans="1:4" x14ac:dyDescent="0.25">
      <c r="A1106" t="str">
        <f>'Raw Data'!A1109</f>
        <v>06/03/2025</v>
      </c>
      <c r="B1106" t="str">
        <f>'Raw Data'!C1109</f>
        <v>LS SAMSON MENS EMPORCOLUMBUS            OH</v>
      </c>
      <c r="C1106" t="str">
        <f>'Raw Data'!I1109</f>
        <v>Ohio Site Visit</v>
      </c>
      <c r="D1106" s="31">
        <f>'Raw Data'!F1109</f>
        <v>138.24</v>
      </c>
    </row>
    <row r="1107" spans="1:4" x14ac:dyDescent="0.25">
      <c r="A1107" t="str">
        <f>'Raw Data'!A1110</f>
        <v>06/03/2025</v>
      </c>
      <c r="B1107" t="str">
        <f>'Raw Data'!C1110</f>
        <v>SALESMESSAGE.COM    DELRAY BEACH        FL</v>
      </c>
      <c r="C1107" t="str">
        <f>'Raw Data'!I1110</f>
        <v>Software &amp; Subscriptions</v>
      </c>
      <c r="D1107" s="31">
        <f>'Raw Data'!F1110</f>
        <v>52.14</v>
      </c>
    </row>
    <row r="1108" spans="1:4" x14ac:dyDescent="0.25">
      <c r="A1108" t="str">
        <f>'Raw Data'!A1111</f>
        <v>06/03/2025</v>
      </c>
      <c r="B1108" t="str">
        <f>'Raw Data'!C1111</f>
        <v>STARBUCKS 85549 STARLOS ANGELES         CA</v>
      </c>
      <c r="C1108" t="str">
        <f>'Raw Data'!I1111</f>
        <v>Personal - Food</v>
      </c>
      <c r="D1108" s="31">
        <f>'Raw Data'!F1111</f>
        <v>6.77</v>
      </c>
    </row>
    <row r="1109" spans="1:4" x14ac:dyDescent="0.25">
      <c r="A1109" t="str">
        <f>'Raw Data'!A1112</f>
        <v>06/03/2025</v>
      </c>
      <c r="B1109" t="str">
        <f>'Raw Data'!C1112</f>
        <v>Starbucks PS CMH    Columbus            OH</v>
      </c>
      <c r="C1109" t="str">
        <f>'Raw Data'!I1112</f>
        <v>Ohio Site Visit</v>
      </c>
      <c r="D1109" s="31">
        <f>'Raw Data'!F1112</f>
        <v>7.05</v>
      </c>
    </row>
    <row r="1110" spans="1:4" x14ac:dyDescent="0.25">
      <c r="A1110" t="str">
        <f>'Raw Data'!A1113</f>
        <v>06/03/2025</v>
      </c>
      <c r="B1110" t="str">
        <f>'Raw Data'!C1113</f>
        <v>TST* LAUGH FACTORY -LOS ANGELES         CA</v>
      </c>
      <c r="C1110" t="str">
        <f>'Raw Data'!I1113</f>
        <v>Personal - Entertainment</v>
      </c>
      <c r="D1110" s="31">
        <f>'Raw Data'!F1113</f>
        <v>137.44999999999999</v>
      </c>
    </row>
    <row r="1111" spans="1:4" x14ac:dyDescent="0.25">
      <c r="A1111" t="str">
        <f>'Raw Data'!A1114</f>
        <v>06/03/2025</v>
      </c>
      <c r="B1111" t="str">
        <f>'Raw Data'!C1114</f>
        <v>UEP*THE 698 RESTAURACOLUMBUS            OH</v>
      </c>
      <c r="C1111" t="str">
        <f>'Raw Data'!I1114</f>
        <v>Ohio Site Visit</v>
      </c>
      <c r="D1111" s="31">
        <f>'Raw Data'!F1114</f>
        <v>80</v>
      </c>
    </row>
    <row r="1112" spans="1:4" x14ac:dyDescent="0.25">
      <c r="A1112" t="str">
        <f>'Raw Data'!A1115</f>
        <v>06/02/2025</v>
      </c>
      <c r="B1112" t="str">
        <f>'Raw Data'!C1115</f>
        <v>AMAZON MARKETPLACE NAMZN.COM/BILL       WA</v>
      </c>
      <c r="C1112" t="str">
        <f>'Raw Data'!I1115</f>
        <v>Amazon</v>
      </c>
      <c r="D1112" s="31">
        <f>'Raw Data'!F1115</f>
        <v>-221.39</v>
      </c>
    </row>
    <row r="1113" spans="1:4" x14ac:dyDescent="0.25">
      <c r="A1113" t="str">
        <f>'Raw Data'!A1116</f>
        <v>06/02/2025</v>
      </c>
      <c r="B1113" t="str">
        <f>'Raw Data'!C1116</f>
        <v>AMAZON MARKETPLACE NAMZN.COM/BILL       WA</v>
      </c>
      <c r="C1113" t="str">
        <f>'Raw Data'!I1116</f>
        <v>Amazon</v>
      </c>
      <c r="D1113" s="31">
        <f>'Raw Data'!F1116</f>
        <v>-139.76</v>
      </c>
    </row>
    <row r="1114" spans="1:4" x14ac:dyDescent="0.25">
      <c r="A1114" t="str">
        <f>'Raw Data'!A1117</f>
        <v>06/02/2025</v>
      </c>
      <c r="B1114" t="str">
        <f>'Raw Data'!C1117</f>
        <v>AMAZON MARKEPLACE NA PA</v>
      </c>
      <c r="C1114" t="str">
        <f>'Raw Data'!I1117</f>
        <v>Amazon</v>
      </c>
      <c r="D1114" s="31">
        <f>'Raw Data'!F1117</f>
        <v>139.76</v>
      </c>
    </row>
    <row r="1115" spans="1:4" x14ac:dyDescent="0.25">
      <c r="A1115" t="str">
        <f>'Raw Data'!A1118</f>
        <v>06/02/2025</v>
      </c>
      <c r="B1115" t="str">
        <f>'Raw Data'!C1118</f>
        <v>AMAZON MARKEPLACE NA PA</v>
      </c>
      <c r="C1115" t="str">
        <f>'Raw Data'!I1118</f>
        <v>Amazon</v>
      </c>
      <c r="D1115" s="31">
        <f>'Raw Data'!F1118</f>
        <v>221.39</v>
      </c>
    </row>
    <row r="1116" spans="1:4" x14ac:dyDescent="0.25">
      <c r="A1116" t="str">
        <f>'Raw Data'!A1119</f>
        <v>06/02/2025</v>
      </c>
      <c r="B1116" t="str">
        <f>'Raw Data'!C1119</f>
        <v>AMAZON.COM          AMZN.COM/BILL       WA</v>
      </c>
      <c r="C1116" t="str">
        <f>'Raw Data'!I1119</f>
        <v>Amazon</v>
      </c>
      <c r="D1116" s="31">
        <f>'Raw Data'!F1119</f>
        <v>75.75</v>
      </c>
    </row>
    <row r="1117" spans="1:4" x14ac:dyDescent="0.25">
      <c r="A1117" t="str">
        <f>'Raw Data'!A1120</f>
        <v>06/02/2025</v>
      </c>
      <c r="B1117" t="str">
        <f>'Raw Data'!C1120</f>
        <v>AMAZON.COM          AMZN.COM/BILL       WA</v>
      </c>
      <c r="C1117" t="str">
        <f>'Raw Data'!I1120</f>
        <v>Amazon</v>
      </c>
      <c r="D1117" s="31">
        <f>'Raw Data'!F1120</f>
        <v>134.25</v>
      </c>
    </row>
    <row r="1118" spans="1:4" x14ac:dyDescent="0.25">
      <c r="A1118" t="str">
        <f>'Raw Data'!A1121</f>
        <v>06/02/2025</v>
      </c>
      <c r="B1118" t="str">
        <f>'Raw Data'!C1121</f>
        <v>POINTS FOR AMEX TRVL</v>
      </c>
      <c r="C1118" t="str">
        <f>'Raw Data'!I1121</f>
        <v>Points for Amex Trvl</v>
      </c>
      <c r="D1118" s="31">
        <f>'Raw Data'!F1121</f>
        <v>-140</v>
      </c>
    </row>
    <row r="1119" spans="1:4" x14ac:dyDescent="0.25">
      <c r="A1119" t="str">
        <f>'Raw Data'!A1122</f>
        <v>06/02/2025</v>
      </c>
      <c r="B1119" t="str">
        <f>'Raw Data'!C1122</f>
        <v>Points for Amex Trvl</v>
      </c>
      <c r="C1119" t="str">
        <f>'Raw Data'!I1122</f>
        <v>Points for Amex Trvl</v>
      </c>
      <c r="D1119" s="31">
        <f>'Raw Data'!F1122</f>
        <v>-558.48</v>
      </c>
    </row>
    <row r="1120" spans="1:4" x14ac:dyDescent="0.25">
      <c r="A1120" t="str">
        <f>'Raw Data'!A1123</f>
        <v>06/02/2025</v>
      </c>
      <c r="B1120" t="str">
        <f>'Raw Data'!C1123</f>
        <v>Points for Amex Trvl</v>
      </c>
      <c r="C1120" t="str">
        <f>'Raw Data'!I1123</f>
        <v>Points for Amex Trvl</v>
      </c>
      <c r="D1120" s="31">
        <f>'Raw Data'!F1123</f>
        <v>-323.48</v>
      </c>
    </row>
    <row r="1121" spans="1:4" x14ac:dyDescent="0.25">
      <c r="A1121" t="str">
        <f>'Raw Data'!A1124</f>
        <v>06/02/2025</v>
      </c>
      <c r="B1121" t="str">
        <f>'Raw Data'!C1124</f>
        <v>PwP    AMERICAN EXPRSEATTLE             WA</v>
      </c>
      <c r="C1121" t="str">
        <f>'Raw Data'!I1124</f>
        <v>Ohio Site Visit</v>
      </c>
      <c r="D1121" s="31">
        <f>'Raw Data'!F1124</f>
        <v>323.48</v>
      </c>
    </row>
    <row r="1122" spans="1:4" x14ac:dyDescent="0.25">
      <c r="A1122" t="str">
        <f>'Raw Data'!A1125</f>
        <v>06/02/2025</v>
      </c>
      <c r="B1122" t="str">
        <f>'Raw Data'!C1125</f>
        <v>PwP    AMERICAN EXPRSEATTLE             WA</v>
      </c>
      <c r="C1122" t="str">
        <f>'Raw Data'!I1125</f>
        <v>Ohio Site Visit</v>
      </c>
      <c r="D1122" s="31">
        <f>'Raw Data'!F1125</f>
        <v>558.48</v>
      </c>
    </row>
    <row r="1123" spans="1:4" x14ac:dyDescent="0.25">
      <c r="A1123" t="str">
        <f>'Raw Data'!A1126</f>
        <v>06/02/2025</v>
      </c>
      <c r="B1123" t="str">
        <f>'Raw Data'!C1126</f>
        <v>PwP    AMEXTRAVEL.CO800-297-2977        WA</v>
      </c>
      <c r="C1123" t="str">
        <f>'Raw Data'!I1126</f>
        <v>Ohio Site Visit</v>
      </c>
      <c r="D1123" s="31">
        <f>'Raw Data'!F1126</f>
        <v>258.42</v>
      </c>
    </row>
    <row r="1124" spans="1:4" x14ac:dyDescent="0.25">
      <c r="A1124" t="str">
        <f>'Raw Data'!A1127</f>
        <v>06/01/2025</v>
      </c>
      <c r="B1124" t="str">
        <f>'Raw Data'!C1127</f>
        <v>ABC*ICONFIT         LOS ANGELES         CA</v>
      </c>
      <c r="C1124" t="str">
        <f>'Raw Data'!I1127</f>
        <v>Personal - Health</v>
      </c>
      <c r="D1124" s="31">
        <f>'Raw Data'!F1127</f>
        <v>119.52</v>
      </c>
    </row>
    <row r="1125" spans="1:4" x14ac:dyDescent="0.25">
      <c r="A1125" t="str">
        <f>'Raw Data'!A1128</f>
        <v>06/01/2025</v>
      </c>
      <c r="B1125" t="str">
        <f>'Raw Data'!C1128</f>
        <v>ALANA'S COFFEE ROASTLos Angeles         CA</v>
      </c>
      <c r="C1125" t="str">
        <f>'Raw Data'!I1128</f>
        <v>Personal - Food</v>
      </c>
      <c r="D1125" s="31">
        <f>'Raw Data'!F1128</f>
        <v>11.25</v>
      </c>
    </row>
    <row r="1126" spans="1:4" x14ac:dyDescent="0.25">
      <c r="A1126" t="str">
        <f>'Raw Data'!A1129</f>
        <v>06/01/2025</v>
      </c>
      <c r="B1126" t="str">
        <f>'Raw Data'!C1129</f>
        <v>AMAZON MARKETPLACE NAMZN.COM/BILL       WA</v>
      </c>
      <c r="C1126" t="str">
        <f>'Raw Data'!I1129</f>
        <v>Amazon</v>
      </c>
      <c r="D1126" s="31">
        <f>'Raw Data'!F1129</f>
        <v>-59.17</v>
      </c>
    </row>
    <row r="1127" spans="1:4" x14ac:dyDescent="0.25">
      <c r="A1127" t="str">
        <f>'Raw Data'!A1130</f>
        <v>06/01/2025</v>
      </c>
      <c r="B1127" t="str">
        <f>'Raw Data'!C1130</f>
        <v>AMAZON MARKETPLACE NAMZN.COM/BILL       WA</v>
      </c>
      <c r="C1127" t="str">
        <f>'Raw Data'!I1130</f>
        <v>Amazon</v>
      </c>
      <c r="D1127" s="31">
        <f>'Raw Data'!F1130</f>
        <v>-32.42</v>
      </c>
    </row>
    <row r="1128" spans="1:4" x14ac:dyDescent="0.25">
      <c r="A1128" t="str">
        <f>'Raw Data'!A1131</f>
        <v>06/01/2025</v>
      </c>
      <c r="B1128" t="str">
        <f>'Raw Data'!C1131</f>
        <v>AMAZON MARKEPLACE NA PA</v>
      </c>
      <c r="C1128" t="str">
        <f>'Raw Data'!I1131</f>
        <v>Amazon</v>
      </c>
      <c r="D1128" s="31">
        <f>'Raw Data'!F1131</f>
        <v>32.42</v>
      </c>
    </row>
    <row r="1129" spans="1:4" x14ac:dyDescent="0.25">
      <c r="A1129" t="str">
        <f>'Raw Data'!A1132</f>
        <v>06/01/2025</v>
      </c>
      <c r="B1129" t="str">
        <f>'Raw Data'!C1132</f>
        <v>AMAZON MARKEPLACE NA PA</v>
      </c>
      <c r="C1129" t="str">
        <f>'Raw Data'!I1132</f>
        <v>Amazon</v>
      </c>
      <c r="D1129" s="31">
        <f>'Raw Data'!F1132</f>
        <v>59.17</v>
      </c>
    </row>
    <row r="1130" spans="1:4" x14ac:dyDescent="0.25">
      <c r="A1130" t="str">
        <f>'Raw Data'!A1133</f>
        <v>06/01/2025</v>
      </c>
      <c r="B1130" t="str">
        <f>'Raw Data'!C1133</f>
        <v>AMAZON.COM          AMZN.COM/BILL       WA</v>
      </c>
      <c r="C1130" t="str">
        <f>'Raw Data'!I1133</f>
        <v>Amazon</v>
      </c>
      <c r="D1130" s="31">
        <f>'Raw Data'!F1133</f>
        <v>33.81</v>
      </c>
    </row>
    <row r="1131" spans="1:4" x14ac:dyDescent="0.25">
      <c r="A1131" t="str">
        <f>'Raw Data'!A1134</f>
        <v>06/01/2025</v>
      </c>
      <c r="B1131" t="str">
        <f>'Raw Data'!C1134</f>
        <v>DNH*GODADDY#37675720Tempe               AZ</v>
      </c>
      <c r="C1131" t="str">
        <f>'Raw Data'!I1134</f>
        <v>Go Daddy</v>
      </c>
      <c r="D1131" s="31">
        <f>'Raw Data'!F1134</f>
        <v>30.97</v>
      </c>
    </row>
    <row r="1132" spans="1:4" x14ac:dyDescent="0.25">
      <c r="A1132" t="str">
        <f>'Raw Data'!A1135</f>
        <v>06/01/2025</v>
      </c>
      <c r="B1132" t="str">
        <f>'Raw Data'!C1135</f>
        <v>EVERLANE* R256818126SAN FRANCISCO       CA</v>
      </c>
      <c r="C1132" t="str">
        <f>'Raw Data'!I1135</f>
        <v>Personal - Clothing</v>
      </c>
      <c r="D1132" s="31">
        <f>'Raw Data'!F1135</f>
        <v>129.51</v>
      </c>
    </row>
    <row r="1133" spans="1:4" x14ac:dyDescent="0.25">
      <c r="A1133" t="str">
        <f>'Raw Data'!A1136</f>
        <v>06/01/2025</v>
      </c>
      <c r="B1133" t="str">
        <f>'Raw Data'!C1136</f>
        <v>LOOM SUBSCRIPTION   AUSTIN              TX</v>
      </c>
      <c r="C1133" t="str">
        <f>'Raw Data'!I1136</f>
        <v>Software &amp; Subscriptions</v>
      </c>
      <c r="D1133" s="31">
        <f>'Raw Data'!F1136</f>
        <v>20</v>
      </c>
    </row>
    <row r="1134" spans="1:4" x14ac:dyDescent="0.25">
      <c r="A1134" t="str">
        <f>'Raw Data'!A1137</f>
        <v>06/01/2025</v>
      </c>
      <c r="B1134" t="str">
        <f>'Raw Data'!C1137</f>
        <v>SP AVIATOR NATION   VENICE              CA</v>
      </c>
      <c r="C1134" t="str">
        <f>'Raw Data'!I1137</f>
        <v>Personal - Clothing</v>
      </c>
      <c r="D1134" s="31">
        <f>'Raw Data'!F1137</f>
        <v>82.32</v>
      </c>
    </row>
    <row r="1135" spans="1:4" x14ac:dyDescent="0.25">
      <c r="A1135" t="str">
        <f>'Raw Data'!A1138</f>
        <v>06/01/2025</v>
      </c>
      <c r="B1135" t="str">
        <f>'Raw Data'!C1138</f>
        <v>TST* BLUEYS KITCHEN LOS ANGELES         CA</v>
      </c>
      <c r="C1135" t="str">
        <f>'Raw Data'!I1138</f>
        <v>Personal - Food</v>
      </c>
      <c r="D1135" s="31">
        <f>'Raw Data'!F1138</f>
        <v>22.02</v>
      </c>
    </row>
    <row r="1136" spans="1:4" x14ac:dyDescent="0.25">
      <c r="A1136" t="str">
        <f>'Raw Data'!A1139</f>
        <v>05/31/2025</v>
      </c>
      <c r="B1136" t="str">
        <f>'Raw Data'!C1139</f>
        <v>AMAZON.COM          AMZN.COM/BILL       WA</v>
      </c>
      <c r="C1136" t="str">
        <f>'Raw Data'!I1139</f>
        <v>Amazon</v>
      </c>
      <c r="D1136" s="31">
        <f>'Raw Data'!F1139</f>
        <v>69.39</v>
      </c>
    </row>
    <row r="1137" spans="1:4" x14ac:dyDescent="0.25">
      <c r="A1137" t="str">
        <f>'Raw Data'!A1140</f>
        <v>05/31/2025</v>
      </c>
      <c r="B1137" t="str">
        <f>'Raw Data'!C1140</f>
        <v>SPONSORCLOUD (SYNPROSALT LAKE CITY      UT</v>
      </c>
      <c r="C1137" t="str">
        <f>'Raw Data'!I1140</f>
        <v>Sponsor Cloud</v>
      </c>
      <c r="D1137" s="31">
        <f>'Raw Data'!F1140</f>
        <v>169.95</v>
      </c>
    </row>
    <row r="1138" spans="1:4" x14ac:dyDescent="0.25">
      <c r="A1138" t="str">
        <f>'Raw Data'!A1141</f>
        <v>05/30/2025</v>
      </c>
      <c r="B1138" t="str">
        <f>'Raw Data'!C1141</f>
        <v>AMAZON MARKETPLACE NAMZN.COM/BILL       WA</v>
      </c>
      <c r="C1138" t="str">
        <f>'Raw Data'!I1141</f>
        <v>Amazon</v>
      </c>
      <c r="D1138" s="31">
        <f>'Raw Data'!F1141</f>
        <v>-638.12</v>
      </c>
    </row>
    <row r="1139" spans="1:4" x14ac:dyDescent="0.25">
      <c r="A1139" t="str">
        <f>'Raw Data'!A1142</f>
        <v>05/30/2025</v>
      </c>
      <c r="B1139" t="str">
        <f>'Raw Data'!C1142</f>
        <v>AMAZON MARKEPLACE NA PA</v>
      </c>
      <c r="C1139" t="str">
        <f>'Raw Data'!I1142</f>
        <v>Amazon</v>
      </c>
      <c r="D1139" s="31">
        <f>'Raw Data'!F1142</f>
        <v>638.12</v>
      </c>
    </row>
    <row r="1140" spans="1:4" x14ac:dyDescent="0.25">
      <c r="A1140" t="str">
        <f>'Raw Data'!A1143</f>
        <v>05/30/2025</v>
      </c>
      <c r="B1140" t="str">
        <f>'Raw Data'!C1143</f>
        <v>TST* TAVERNA AT THE LOS ANGELES         CA</v>
      </c>
      <c r="C1140" t="str">
        <f>'Raw Data'!I1143</f>
        <v>Personal - Food</v>
      </c>
      <c r="D1140" s="31">
        <f>'Raw Data'!F1143</f>
        <v>167</v>
      </c>
    </row>
    <row r="1141" spans="1:4" x14ac:dyDescent="0.25">
      <c r="A1141" t="str">
        <f>'Raw Data'!A1144</f>
        <v>05/30/2025</v>
      </c>
      <c r="B1141" t="str">
        <f>'Raw Data'!C1144</f>
        <v>VENICE SMOKES 580400LOS ANGELES         CA</v>
      </c>
      <c r="C1141" t="str">
        <f>'Raw Data'!I1144</f>
        <v>Personal - Entertainment</v>
      </c>
      <c r="D1141" s="31">
        <f>'Raw Data'!F1144</f>
        <v>160.5</v>
      </c>
    </row>
    <row r="1142" spans="1:4" x14ac:dyDescent="0.25">
      <c r="A1142" t="str">
        <f>'Raw Data'!A1145</f>
        <v>05/29/2025</v>
      </c>
      <c r="B1142" t="str">
        <f>'Raw Data'!C1145</f>
        <v>ALAMO TOLL          MESA                AZ</v>
      </c>
      <c r="C1142" t="str">
        <f>'Raw Data'!I1145</f>
        <v>Arizona Site Visit</v>
      </c>
      <c r="D1142" s="31">
        <f>'Raw Data'!F1145</f>
        <v>9.73</v>
      </c>
    </row>
    <row r="1143" spans="1:4" x14ac:dyDescent="0.25">
      <c r="A1143" t="str">
        <f>'Raw Data'!A1146</f>
        <v>05/29/2025</v>
      </c>
      <c r="B1143" t="str">
        <f>'Raw Data'!C1146</f>
        <v>AMAZON.COM          AMZN.COM/BILL       WA</v>
      </c>
      <c r="C1143" t="str">
        <f>'Raw Data'!I1146</f>
        <v>Amazon</v>
      </c>
      <c r="D1143" s="31">
        <f>'Raw Data'!F1146</f>
        <v>42.63</v>
      </c>
    </row>
    <row r="1144" spans="1:4" x14ac:dyDescent="0.25">
      <c r="A1144" t="str">
        <f>'Raw Data'!A1147</f>
        <v>05/29/2025</v>
      </c>
      <c r="B1144" t="str">
        <f>'Raw Data'!C1147</f>
        <v>GREEN TEMPE         TEMPE               AZ</v>
      </c>
      <c r="C1144" t="str">
        <f>'Raw Data'!I1147</f>
        <v>Arizona Site Visit</v>
      </c>
      <c r="D1144" s="31">
        <f>'Raw Data'!F1147</f>
        <v>46.71</v>
      </c>
    </row>
    <row r="1145" spans="1:4" x14ac:dyDescent="0.25">
      <c r="A1145" t="str">
        <f>'Raw Data'!A1148</f>
        <v>05/29/2025</v>
      </c>
      <c r="B1145" t="str">
        <f>'Raw Data'!C1148</f>
        <v>HILLSIDE SPOT 650000PHOENIX             AZ</v>
      </c>
      <c r="C1145" t="str">
        <f>'Raw Data'!I1148</f>
        <v>Arizona Site Visit</v>
      </c>
      <c r="D1145" s="31">
        <f>'Raw Data'!F1148</f>
        <v>48.82</v>
      </c>
    </row>
    <row r="1146" spans="1:4" x14ac:dyDescent="0.25">
      <c r="A1146" t="str">
        <f>'Raw Data'!A1149</f>
        <v>05/29/2025</v>
      </c>
      <c r="B1146" t="str">
        <f>'Raw Data'!C1149</f>
        <v>NATURAL LIFE 6905501TEMPE               AZ</v>
      </c>
      <c r="C1146" t="str">
        <f>'Raw Data'!I1149</f>
        <v>Arizona Site Visit</v>
      </c>
      <c r="D1146" s="31">
        <f>'Raw Data'!F1149</f>
        <v>21.83</v>
      </c>
    </row>
    <row r="1147" spans="1:4" x14ac:dyDescent="0.25">
      <c r="A1147" t="str">
        <f>'Raw Data'!A1150</f>
        <v>05/29/2025</v>
      </c>
      <c r="B1147" t="str">
        <f>'Raw Data'!C1150</f>
        <v>OPENAI *CHATGPT SUBSSAN FRANCISCO       CA</v>
      </c>
      <c r="C1147" t="str">
        <f>'Raw Data'!I1150</f>
        <v>AI Subscriptions</v>
      </c>
      <c r="D1147" s="31">
        <f>'Raw Data'!F1150</f>
        <v>20</v>
      </c>
    </row>
    <row r="1148" spans="1:4" x14ac:dyDescent="0.25">
      <c r="A1148" t="str">
        <f>'Raw Data'!A1151</f>
        <v>05/29/2025</v>
      </c>
      <c r="B1148" t="str">
        <f>'Raw Data'!C1151</f>
        <v>QT 1402 OUTSIDE/QUIKPHOENIX             AZ</v>
      </c>
      <c r="C1148" t="str">
        <f>'Raw Data'!I1151</f>
        <v>Arizona Site Visit</v>
      </c>
      <c r="D1148" s="31">
        <f>'Raw Data'!F1151</f>
        <v>45.75</v>
      </c>
    </row>
    <row r="1149" spans="1:4" x14ac:dyDescent="0.25">
      <c r="A1149" t="str">
        <f>'Raw Data'!A1152</f>
        <v>05/29/2025</v>
      </c>
      <c r="B1149" t="str">
        <f>'Raw Data'!C1152</f>
        <v>TST* MAD HATTER KAVAPHOENIX             AZ</v>
      </c>
      <c r="C1149" t="str">
        <f>'Raw Data'!I1152</f>
        <v>Arizona Site Visit</v>
      </c>
      <c r="D1149" s="31">
        <f>'Raw Data'!F1152</f>
        <v>24.99</v>
      </c>
    </row>
    <row r="1150" spans="1:4" x14ac:dyDescent="0.25">
      <c r="A1150" t="str">
        <f>'Raw Data'!A1153</f>
        <v>05/28/2025</v>
      </c>
      <c r="B1150" t="str">
        <f>'Raw Data'!C1153</f>
        <v>AMAZON MARKETPLACE NAMZN.COM/BILL       WA</v>
      </c>
      <c r="C1150" t="str">
        <f>'Raw Data'!I1153</f>
        <v>Amazon</v>
      </c>
      <c r="D1150" s="31">
        <f>'Raw Data'!F1153</f>
        <v>-227.3</v>
      </c>
    </row>
    <row r="1151" spans="1:4" x14ac:dyDescent="0.25">
      <c r="A1151" t="str">
        <f>'Raw Data'!A1154</f>
        <v>05/28/2025</v>
      </c>
      <c r="B1151" t="str">
        <f>'Raw Data'!C1154</f>
        <v>AMAZON MARKETPLACE NAMZN.COM/BILL       WA</v>
      </c>
      <c r="C1151" t="str">
        <f>'Raw Data'!I1154</f>
        <v>Amazon</v>
      </c>
      <c r="D1151" s="31">
        <f>'Raw Data'!F1154</f>
        <v>-197.28</v>
      </c>
    </row>
    <row r="1152" spans="1:4" x14ac:dyDescent="0.25">
      <c r="A1152" t="str">
        <f>'Raw Data'!A1155</f>
        <v>05/28/2025</v>
      </c>
      <c r="B1152" t="str">
        <f>'Raw Data'!C1155</f>
        <v>AMAZON MARKEPLACE NA PA</v>
      </c>
      <c r="C1152" t="str">
        <f>'Raw Data'!I1155</f>
        <v>Amazon</v>
      </c>
      <c r="D1152" s="31">
        <f>'Raw Data'!F1155</f>
        <v>197.28</v>
      </c>
    </row>
    <row r="1153" spans="1:4" x14ac:dyDescent="0.25">
      <c r="A1153" t="str">
        <f>'Raw Data'!A1156</f>
        <v>05/28/2025</v>
      </c>
      <c r="B1153" t="str">
        <f>'Raw Data'!C1156</f>
        <v>AMAZON MARKEPLACE NA PA</v>
      </c>
      <c r="C1153" t="str">
        <f>'Raw Data'!I1156</f>
        <v>Amazon</v>
      </c>
      <c r="D1153" s="31">
        <f>'Raw Data'!F1156</f>
        <v>227.3</v>
      </c>
    </row>
    <row r="1154" spans="1:4" x14ac:dyDescent="0.25">
      <c r="A1154" t="str">
        <f>'Raw Data'!A1157</f>
        <v>05/28/2025</v>
      </c>
      <c r="B1154" t="str">
        <f>'Raw Data'!C1157</f>
        <v>AMERICAN AIRLINES 45DALLAS              TX</v>
      </c>
      <c r="C1154" t="str">
        <f>'Raw Data'!I1157</f>
        <v>Arizona Site Visit</v>
      </c>
      <c r="D1154" s="31">
        <f>'Raw Data'!F1157</f>
        <v>30</v>
      </c>
    </row>
    <row r="1155" spans="1:4" x14ac:dyDescent="0.25">
      <c r="A1155" t="str">
        <f>'Raw Data'!A1158</f>
        <v>05/28/2025</v>
      </c>
      <c r="B1155" t="str">
        <f>'Raw Data'!C1158</f>
        <v>DNH*GODADDY#37634142Tempe               AZ</v>
      </c>
      <c r="C1155" t="str">
        <f>'Raw Data'!I1158</f>
        <v>Go Daddy</v>
      </c>
      <c r="D1155" s="31">
        <f>'Raw Data'!F1158</f>
        <v>47.88</v>
      </c>
    </row>
    <row r="1156" spans="1:4" x14ac:dyDescent="0.25">
      <c r="A1156" t="str">
        <f>'Raw Data'!A1159</f>
        <v>05/28/2025</v>
      </c>
      <c r="B1156" t="str">
        <f>'Raw Data'!C1159</f>
        <v>DUNKIN DONUT GROVE DDALLAS              TX</v>
      </c>
      <c r="C1156" t="str">
        <f>'Raw Data'!I1159</f>
        <v>Personal - Food</v>
      </c>
      <c r="D1156" s="31">
        <f>'Raw Data'!F1159</f>
        <v>8.6999999999999993</v>
      </c>
    </row>
    <row r="1157" spans="1:4" x14ac:dyDescent="0.25">
      <c r="A1157" t="str">
        <f>'Raw Data'!A1160</f>
        <v>05/28/2025</v>
      </c>
      <c r="B1157" t="str">
        <f>'Raw Data'!C1160</f>
        <v>GROVE DFW RED MANGO DALLAS              TX</v>
      </c>
      <c r="C1157" t="str">
        <f>'Raw Data'!I1160</f>
        <v>Personal - Food</v>
      </c>
      <c r="D1157" s="31">
        <f>'Raw Data'!F1160</f>
        <v>15.63</v>
      </c>
    </row>
    <row r="1158" spans="1:4" x14ac:dyDescent="0.25">
      <c r="A1158" t="str">
        <f>'Raw Data'!A1161</f>
        <v>05/27/2025</v>
      </c>
      <c r="B1158" t="str">
        <f>'Raw Data'!C1161</f>
        <v>ALAMO RENT-A-C036110DALLAS              TX</v>
      </c>
      <c r="C1158" t="str">
        <f>'Raw Data'!I1161</f>
        <v>Arizona Site Visit</v>
      </c>
      <c r="D1158" s="31">
        <f>'Raw Data'!F1161</f>
        <v>373.32</v>
      </c>
    </row>
    <row r="1159" spans="1:4" x14ac:dyDescent="0.25">
      <c r="A1159" t="str">
        <f>'Raw Data'!A1162</f>
        <v>05/27/2025</v>
      </c>
      <c r="B1159" t="str">
        <f>'Raw Data'!C1162</f>
        <v>AMAZON MARKETPLACE NAMZN.COM/BILL       WA</v>
      </c>
      <c r="C1159" t="str">
        <f>'Raw Data'!I1162</f>
        <v>Amazon</v>
      </c>
      <c r="D1159" s="31">
        <f>'Raw Data'!F1162</f>
        <v>-49.67</v>
      </c>
    </row>
    <row r="1160" spans="1:4" x14ac:dyDescent="0.25">
      <c r="A1160" t="str">
        <f>'Raw Data'!A1163</f>
        <v>05/27/2025</v>
      </c>
      <c r="B1160" t="str">
        <f>'Raw Data'!C1163</f>
        <v>AMAZON MARKEPLACE NA PA</v>
      </c>
      <c r="C1160" t="str">
        <f>'Raw Data'!I1163</f>
        <v>Amazon</v>
      </c>
      <c r="D1160" s="31">
        <f>'Raw Data'!F1163</f>
        <v>49.67</v>
      </c>
    </row>
    <row r="1161" spans="1:4" x14ac:dyDescent="0.25">
      <c r="A1161" t="str">
        <f>'Raw Data'!A1164</f>
        <v>05/27/2025</v>
      </c>
      <c r="B1161" t="str">
        <f>'Raw Data'!C1164</f>
        <v>AMAZON.COM          AMZN.COM/BILL       WA</v>
      </c>
      <c r="C1161" t="str">
        <f>'Raw Data'!I1164</f>
        <v>Amazon</v>
      </c>
      <c r="D1161" s="31">
        <f>'Raw Data'!F1164</f>
        <v>84.75</v>
      </c>
    </row>
    <row r="1162" spans="1:4" x14ac:dyDescent="0.25">
      <c r="A1162" t="str">
        <f>'Raw Data'!A1165</f>
        <v>05/27/2025</v>
      </c>
      <c r="B1162" t="str">
        <f>'Raw Data'!C1165</f>
        <v>DNH*GODADDY#37629810Tempe               AZ</v>
      </c>
      <c r="C1162" t="str">
        <f>'Raw Data'!I1165</f>
        <v>Go Daddy</v>
      </c>
      <c r="D1162" s="31">
        <f>'Raw Data'!F1165</f>
        <v>11.99</v>
      </c>
    </row>
    <row r="1163" spans="1:4" x14ac:dyDescent="0.25">
      <c r="A1163" t="str">
        <f>'Raw Data'!A1166</f>
        <v>05/27/2025</v>
      </c>
      <c r="B1163" t="str">
        <f>'Raw Data'!C1166</f>
        <v>GIBSONS ACE HARDWAREWEATHERFORD         TX</v>
      </c>
      <c r="C1163" t="str">
        <f>'Raw Data'!I1166</f>
        <v>Personal - House</v>
      </c>
      <c r="D1163" s="31">
        <f>'Raw Data'!F1166</f>
        <v>243.55</v>
      </c>
    </row>
    <row r="1164" spans="1:4" x14ac:dyDescent="0.25">
      <c r="A1164" t="str">
        <f>'Raw Data'!A1167</f>
        <v>05/27/2025</v>
      </c>
      <c r="B1164" t="str">
        <f>'Raw Data'!C1167</f>
        <v>MALAI KITCHEN  FORT FORT WORTH          TX</v>
      </c>
      <c r="C1164" t="str">
        <f>'Raw Data'!I1167</f>
        <v>Personal - Food</v>
      </c>
      <c r="D1164" s="31">
        <f>'Raw Data'!F1167</f>
        <v>180.47</v>
      </c>
    </row>
    <row r="1165" spans="1:4" x14ac:dyDescent="0.25">
      <c r="A1165" t="str">
        <f>'Raw Data'!A1168</f>
        <v>05/27/2025</v>
      </c>
      <c r="B1165" t="str">
        <f>'Raw Data'!C1168</f>
        <v>MR PUFF SMOKE SHOP  WEATHERFORD         TX</v>
      </c>
      <c r="C1165" t="str">
        <f>'Raw Data'!I1168</f>
        <v>Personal - Entertainment</v>
      </c>
      <c r="D1165" s="31">
        <f>'Raw Data'!F1168</f>
        <v>21.64</v>
      </c>
    </row>
    <row r="1166" spans="1:4" x14ac:dyDescent="0.25">
      <c r="A1166" t="str">
        <f>'Raw Data'!A1169</f>
        <v>05/27/2025</v>
      </c>
      <c r="B1166" t="str">
        <f>'Raw Data'!C1169</f>
        <v>OPENAI *CHATGPT SUBSSAN FRANCISCO       CA</v>
      </c>
      <c r="C1166" t="str">
        <f>'Raw Data'!I1169</f>
        <v>AI Subscriptions</v>
      </c>
      <c r="D1166" s="31">
        <f>'Raw Data'!F1169</f>
        <v>20</v>
      </c>
    </row>
    <row r="1167" spans="1:4" x14ac:dyDescent="0.25">
      <c r="A1167" t="str">
        <f>'Raw Data'!A1170</f>
        <v>05/27/2025</v>
      </c>
      <c r="B1167" t="str">
        <f>'Raw Data'!C1170</f>
        <v>SPLICE.COM          NEW YORK            NY</v>
      </c>
      <c r="C1167" t="str">
        <f>'Raw Data'!I1170</f>
        <v>Software &amp; Subscriptions</v>
      </c>
      <c r="D1167" s="31">
        <f>'Raw Data'!F1170</f>
        <v>39.99</v>
      </c>
    </row>
    <row r="1168" spans="1:4" x14ac:dyDescent="0.25">
      <c r="A1168" t="str">
        <f>'Raw Data'!A1171</f>
        <v>05/26/2025</v>
      </c>
      <c r="B1168" t="str">
        <f>'Raw Data'!C1171</f>
        <v>AMAZON MARKETPLACE NAMZN.COM/BILL       WA</v>
      </c>
      <c r="C1168" t="str">
        <f>'Raw Data'!I1171</f>
        <v>Amazon</v>
      </c>
      <c r="D1168" s="31">
        <f>'Raw Data'!F1171</f>
        <v>-423.8</v>
      </c>
    </row>
    <row r="1169" spans="1:4" x14ac:dyDescent="0.25">
      <c r="A1169" t="str">
        <f>'Raw Data'!A1172</f>
        <v>05/26/2025</v>
      </c>
      <c r="B1169" t="str">
        <f>'Raw Data'!C1172</f>
        <v>AMAZON MARKETPLACE NAMZN.COM/BILL       WA</v>
      </c>
      <c r="C1169" t="str">
        <f>'Raw Data'!I1172</f>
        <v>Amazon</v>
      </c>
      <c r="D1169" s="31">
        <f>'Raw Data'!F1172</f>
        <v>-413.9</v>
      </c>
    </row>
    <row r="1170" spans="1:4" x14ac:dyDescent="0.25">
      <c r="A1170" t="str">
        <f>'Raw Data'!A1173</f>
        <v>05/26/2025</v>
      </c>
      <c r="B1170" t="str">
        <f>'Raw Data'!C1173</f>
        <v>AMAZON MARKEPLACE NA PA</v>
      </c>
      <c r="C1170" t="str">
        <f>'Raw Data'!I1173</f>
        <v>Amazon</v>
      </c>
      <c r="D1170" s="31">
        <f>'Raw Data'!F1173</f>
        <v>413.9</v>
      </c>
    </row>
    <row r="1171" spans="1:4" x14ac:dyDescent="0.25">
      <c r="A1171" t="str">
        <f>'Raw Data'!A1174</f>
        <v>05/26/2025</v>
      </c>
      <c r="B1171" t="str">
        <f>'Raw Data'!C1174</f>
        <v>AMAZON MARKEPLACE NA PA</v>
      </c>
      <c r="C1171" t="str">
        <f>'Raw Data'!I1174</f>
        <v>Amazon</v>
      </c>
      <c r="D1171" s="31">
        <f>'Raw Data'!F1174</f>
        <v>423.8</v>
      </c>
    </row>
    <row r="1172" spans="1:4" x14ac:dyDescent="0.25">
      <c r="A1172" t="str">
        <f>'Raw Data'!A1175</f>
        <v>05/26/2025</v>
      </c>
      <c r="B1172" t="str">
        <f>'Raw Data'!C1175</f>
        <v>CUSTOMER SERVICE PAYMENT - THANK YOU</v>
      </c>
      <c r="C1172" t="str">
        <f>'Raw Data'!I1175</f>
        <v>Online AMEX Payment</v>
      </c>
      <c r="D1172" s="31">
        <f>'Raw Data'!F1175</f>
        <v>-20000</v>
      </c>
    </row>
    <row r="1173" spans="1:4" x14ac:dyDescent="0.25">
      <c r="A1173" t="str">
        <f>'Raw Data'!A1176</f>
        <v>05/26/2025</v>
      </c>
      <c r="B1173" t="str">
        <f>'Raw Data'!C1176</f>
        <v>CUSTOMER SERVICE PAYMENT - THANK YOU</v>
      </c>
      <c r="C1173" t="str">
        <f>'Raw Data'!I1176</f>
        <v>Online AMEX Payment</v>
      </c>
      <c r="D1173" s="31">
        <f>'Raw Data'!F1176</f>
        <v>-1109.5</v>
      </c>
    </row>
    <row r="1174" spans="1:4" x14ac:dyDescent="0.25">
      <c r="A1174" t="str">
        <f>'Raw Data'!A1177</f>
        <v>05/26/2025</v>
      </c>
      <c r="B1174" t="str">
        <f>'Raw Data'!C1177</f>
        <v>DNH*GODADDY#37615579Tempe               AZ</v>
      </c>
      <c r="C1174" t="str">
        <f>'Raw Data'!I1177</f>
        <v>Go Daddy</v>
      </c>
      <c r="D1174" s="31">
        <f>'Raw Data'!F1177</f>
        <v>35.159999999999997</v>
      </c>
    </row>
    <row r="1175" spans="1:4" x14ac:dyDescent="0.25">
      <c r="A1175" t="str">
        <f>'Raw Data'!A1178</f>
        <v>05/26/2025</v>
      </c>
      <c r="B1175" t="str">
        <f>'Raw Data'!C1178</f>
        <v>EXXONMOBIL 4758     WEATHERFORD         TX</v>
      </c>
      <c r="C1175" t="str">
        <f>'Raw Data'!I1178</f>
        <v>Personal - Car</v>
      </c>
      <c r="D1175" s="31">
        <f>'Raw Data'!F1178</f>
        <v>48.99</v>
      </c>
    </row>
    <row r="1176" spans="1:4" x14ac:dyDescent="0.25">
      <c r="A1176" t="str">
        <f>'Raw Data'!A1179</f>
        <v>05/26/2025</v>
      </c>
      <c r="B1176" t="str">
        <f>'Raw Data'!C1179</f>
        <v>THE HOME DEPOT      WEATHERFORD         TX</v>
      </c>
      <c r="C1176" t="str">
        <f>'Raw Data'!I1179</f>
        <v>Personal - House</v>
      </c>
      <c r="D1176" s="31">
        <f>'Raw Data'!F1179</f>
        <v>129.51</v>
      </c>
    </row>
    <row r="1177" spans="1:4" x14ac:dyDescent="0.25">
      <c r="A1177" t="str">
        <f>'Raw Data'!A1180</f>
        <v>05/25/2025</v>
      </c>
      <c r="B1177" t="str">
        <f>'Raw Data'!C1180</f>
        <v>AMAZON MARKETPLACE NAMZN.COM/BILL       WA</v>
      </c>
      <c r="C1177" t="str">
        <f>'Raw Data'!I1180</f>
        <v>Amazon</v>
      </c>
      <c r="D1177" s="31">
        <f>'Raw Data'!F1180</f>
        <v>-413.9</v>
      </c>
    </row>
    <row r="1178" spans="1:4" x14ac:dyDescent="0.25">
      <c r="A1178" t="str">
        <f>'Raw Data'!A1181</f>
        <v>05/25/2025</v>
      </c>
      <c r="B1178" t="str">
        <f>'Raw Data'!C1181</f>
        <v>AMAZON MARKEPLACE NA PA</v>
      </c>
      <c r="C1178" t="str">
        <f>'Raw Data'!I1181</f>
        <v>Amazon</v>
      </c>
      <c r="D1178" s="31">
        <f>'Raw Data'!F1181</f>
        <v>413.9</v>
      </c>
    </row>
    <row r="1179" spans="1:4" x14ac:dyDescent="0.25">
      <c r="A1179" t="str">
        <f>'Raw Data'!A1182</f>
        <v>05/25/2025</v>
      </c>
      <c r="B1179" t="str">
        <f>'Raw Data'!C1182</f>
        <v>BEARCAT CAFE        JEFFERSON           LA</v>
      </c>
      <c r="C1179" t="str">
        <f>'Raw Data'!I1182</f>
        <v>Personal - Food</v>
      </c>
      <c r="D1179" s="31">
        <f>'Raw Data'!F1182</f>
        <v>382.86</v>
      </c>
    </row>
    <row r="1180" spans="1:4" x14ac:dyDescent="0.25">
      <c r="A1180" t="str">
        <f>'Raw Data'!A1183</f>
        <v>05/25/2025</v>
      </c>
      <c r="B1180" t="str">
        <f>'Raw Data'!C1183</f>
        <v>DNH*GODADDY#37606538Tempe               AZ</v>
      </c>
      <c r="C1180" t="str">
        <f>'Raw Data'!I1183</f>
        <v>Go Daddy</v>
      </c>
      <c r="D1180" s="31">
        <f>'Raw Data'!F1183</f>
        <v>15.98</v>
      </c>
    </row>
    <row r="1181" spans="1:4" x14ac:dyDescent="0.25">
      <c r="A1181" t="str">
        <f>'Raw Data'!A1184</f>
        <v>05/25/2025</v>
      </c>
      <c r="B1181" t="str">
        <f>'Raw Data'!C1184</f>
        <v>ENTERPRISE REN190049KENNER              LA</v>
      </c>
      <c r="C1181" t="str">
        <f>'Raw Data'!I1184</f>
        <v>New Orleans Family Trip</v>
      </c>
      <c r="D1181" s="31">
        <f>'Raw Data'!F1184</f>
        <v>853.89</v>
      </c>
    </row>
    <row r="1182" spans="1:4" x14ac:dyDescent="0.25">
      <c r="A1182" t="str">
        <f>'Raw Data'!A1185</f>
        <v>05/25/2025</v>
      </c>
      <c r="B1182" t="str">
        <f>'Raw Data'!C1185</f>
        <v>MAC MSY             Kenner              LA</v>
      </c>
      <c r="C1182" t="str">
        <f>'Raw Data'!I1185</f>
        <v>New Orleans Family Trip</v>
      </c>
      <c r="D1182" s="31">
        <f>'Raw Data'!F1185</f>
        <v>197.55</v>
      </c>
    </row>
    <row r="1183" spans="1:4" x14ac:dyDescent="0.25">
      <c r="A1183" t="str">
        <f>'Raw Data'!A1186</f>
        <v>05/25/2025</v>
      </c>
      <c r="B1183" t="str">
        <f>'Raw Data'!C1186</f>
        <v>PEPPERONIS CAFE 0688NEW ORLEANS         LA</v>
      </c>
      <c r="C1183" t="str">
        <f>'Raw Data'!I1186</f>
        <v>New Orleans Family Trip</v>
      </c>
      <c r="D1183" s="31">
        <f>'Raw Data'!F1186</f>
        <v>8</v>
      </c>
    </row>
    <row r="1184" spans="1:4" x14ac:dyDescent="0.25">
      <c r="A1184" t="str">
        <f>'Raw Data'!A1187</f>
        <v>05/25/2025</v>
      </c>
      <c r="B1184" t="str">
        <f>'Raw Data'!C1187</f>
        <v>PRIME VIDEO CHANNELSAMZN.COM/BILL       WA</v>
      </c>
      <c r="C1184" t="str">
        <f>'Raw Data'!I1187</f>
        <v>Amazon</v>
      </c>
      <c r="D1184" s="31">
        <f>'Raw Data'!F1187</f>
        <v>11.63</v>
      </c>
    </row>
    <row r="1185" spans="1:4" x14ac:dyDescent="0.25">
      <c r="A1185" t="str">
        <f>'Raw Data'!A1188</f>
        <v>05/25/2025</v>
      </c>
      <c r="B1185" t="str">
        <f>'Raw Data'!C1188</f>
        <v>Starbucks B West MSYKenner              LA</v>
      </c>
      <c r="C1185" t="str">
        <f>'Raw Data'!I1188</f>
        <v>New Orleans Family Trip</v>
      </c>
      <c r="D1185" s="31">
        <f>'Raw Data'!F1188</f>
        <v>34.79</v>
      </c>
    </row>
    <row r="1186" spans="1:4" x14ac:dyDescent="0.25">
      <c r="A1186" t="str">
        <f>'Raw Data'!A1189</f>
        <v>05/24/2025</v>
      </c>
      <c r="B1186" t="str">
        <f>'Raw Data'!C1189</f>
        <v>AIRBOAT ADVENTURES  Lafitte             LA</v>
      </c>
      <c r="C1186" t="str">
        <f>'Raw Data'!I1189</f>
        <v>New Orleans Family Trip</v>
      </c>
      <c r="D1186" s="31">
        <f>'Raw Data'!F1189</f>
        <v>34</v>
      </c>
    </row>
    <row r="1187" spans="1:4" x14ac:dyDescent="0.25">
      <c r="A1187" t="str">
        <f>'Raw Data'!A1190</f>
        <v>05/24/2025</v>
      </c>
      <c r="B1187" t="str">
        <f>'Raw Data'!C1190</f>
        <v>TST* SABA - NEW ORLENEW ORLEANS         LA</v>
      </c>
      <c r="C1187" t="str">
        <f>'Raw Data'!I1190</f>
        <v>New Orleans Family Trip</v>
      </c>
      <c r="D1187" s="31">
        <f>'Raw Data'!F1190</f>
        <v>1200</v>
      </c>
    </row>
    <row r="1188" spans="1:4" x14ac:dyDescent="0.25">
      <c r="A1188" t="str">
        <f>'Raw Data'!A1191</f>
        <v>05/24/2025</v>
      </c>
      <c r="B1188" t="str">
        <f>'Raw Data'!C1191</f>
        <v>YVONNE LAFLEUR YOU BNEW ORLEANS         LA</v>
      </c>
      <c r="C1188" t="str">
        <f>'Raw Data'!I1191</f>
        <v>New Orleans Family Trip</v>
      </c>
      <c r="D1188" s="31">
        <f>'Raw Data'!F1191</f>
        <v>370.7</v>
      </c>
    </row>
    <row r="1189" spans="1:4" x14ac:dyDescent="0.25">
      <c r="A1189" t="str">
        <f>'Raw Data'!A1192</f>
        <v>05/24/2025</v>
      </c>
      <c r="B1189" t="str">
        <f>'Raw Data'!C1192</f>
        <v>YVONNE LAFLEUR YOU BNEW ORLEANS         LA</v>
      </c>
      <c r="C1189" t="str">
        <f>'Raw Data'!I1192</f>
        <v>New Orleans Family Trip</v>
      </c>
      <c r="D1189" s="31">
        <f>'Raw Data'!F1192</f>
        <v>602.79999999999995</v>
      </c>
    </row>
    <row r="1190" spans="1:4" x14ac:dyDescent="0.25">
      <c r="A1190" t="str">
        <f>'Raw Data'!A1193</f>
        <v>05/23/2025</v>
      </c>
      <c r="B1190" t="str">
        <f>'Raw Data'!C1193</f>
        <v>AAA RELAXING STATIONNEW ORLEANS         LA</v>
      </c>
      <c r="C1190" t="str">
        <f>'Raw Data'!I1193</f>
        <v>New Orleans Family Trip</v>
      </c>
      <c r="D1190" s="31">
        <f>'Raw Data'!F1193</f>
        <v>294</v>
      </c>
    </row>
    <row r="1191" spans="1:4" x14ac:dyDescent="0.25">
      <c r="A1191" t="str">
        <f>'Raw Data'!A1194</f>
        <v>05/23/2025</v>
      </c>
      <c r="B1191" t="str">
        <f>'Raw Data'!C1194</f>
        <v>AMAZON MARKETPLACE NAMZN.COM/BILL       WA</v>
      </c>
      <c r="C1191" t="str">
        <f>'Raw Data'!I1194</f>
        <v>Amazon</v>
      </c>
      <c r="D1191" s="31">
        <f>'Raw Data'!F1194</f>
        <v>-620.85</v>
      </c>
    </row>
    <row r="1192" spans="1:4" x14ac:dyDescent="0.25">
      <c r="A1192" t="str">
        <f>'Raw Data'!A1195</f>
        <v>05/23/2025</v>
      </c>
      <c r="B1192" t="str">
        <f>'Raw Data'!C1195</f>
        <v>AMAZON MARKETPLACE NAMZN.COM/BILL       WA</v>
      </c>
      <c r="C1192" t="str">
        <f>'Raw Data'!I1195</f>
        <v>Amazon</v>
      </c>
      <c r="D1192" s="31">
        <f>'Raw Data'!F1195</f>
        <v>-423.8</v>
      </c>
    </row>
    <row r="1193" spans="1:4" x14ac:dyDescent="0.25">
      <c r="A1193" t="str">
        <f>'Raw Data'!A1196</f>
        <v>05/23/2025</v>
      </c>
      <c r="B1193" t="str">
        <f>'Raw Data'!C1196</f>
        <v>AMAZON MARKEPLACE NA PA</v>
      </c>
      <c r="C1193" t="str">
        <f>'Raw Data'!I1196</f>
        <v>Amazon</v>
      </c>
      <c r="D1193" s="31">
        <f>'Raw Data'!F1196</f>
        <v>423.8</v>
      </c>
    </row>
    <row r="1194" spans="1:4" x14ac:dyDescent="0.25">
      <c r="A1194" t="str">
        <f>'Raw Data'!A1197</f>
        <v>05/23/2025</v>
      </c>
      <c r="B1194" t="str">
        <f>'Raw Data'!C1197</f>
        <v>AMAZON MARKEPLACE NA PA</v>
      </c>
      <c r="C1194" t="str">
        <f>'Raw Data'!I1197</f>
        <v>Amazon</v>
      </c>
      <c r="D1194" s="31">
        <f>'Raw Data'!F1197</f>
        <v>620.85</v>
      </c>
    </row>
    <row r="1195" spans="1:4" x14ac:dyDescent="0.25">
      <c r="A1195" t="str">
        <f>'Raw Data'!A1198</f>
        <v>05/23/2025</v>
      </c>
      <c r="B1195" t="str">
        <f>'Raw Data'!C1198</f>
        <v>BACKATOWN           NEW ORLEANS         LA</v>
      </c>
      <c r="C1195" t="str">
        <f>'Raw Data'!I1198</f>
        <v>New Orleans Family Trip</v>
      </c>
      <c r="D1195" s="31">
        <f>'Raw Data'!F1198</f>
        <v>13.5</v>
      </c>
    </row>
    <row r="1196" spans="1:4" x14ac:dyDescent="0.25">
      <c r="A1196" t="str">
        <f>'Raw Data'!A1199</f>
        <v>05/23/2025</v>
      </c>
      <c r="B1196" t="str">
        <f>'Raw Data'!C1199</f>
        <v>DNH*GODADDY#37577243Tempe               AZ</v>
      </c>
      <c r="C1196" t="str">
        <f>'Raw Data'!I1199</f>
        <v>Go Daddy</v>
      </c>
      <c r="D1196" s="31">
        <f>'Raw Data'!F1199</f>
        <v>40.97</v>
      </c>
    </row>
    <row r="1197" spans="1:4" x14ac:dyDescent="0.25">
      <c r="A1197" t="str">
        <f>'Raw Data'!A1200</f>
        <v>05/23/2025</v>
      </c>
      <c r="B1197" t="str">
        <f>'Raw Data'!C1200</f>
        <v>HEAVENS MOISTURE    New Orleans         LA</v>
      </c>
      <c r="C1197" t="str">
        <f>'Raw Data'!I1200</f>
        <v>New Orleans Family Trip</v>
      </c>
      <c r="D1197" s="31">
        <f>'Raw Data'!F1200</f>
        <v>66.3</v>
      </c>
    </row>
    <row r="1198" spans="1:4" x14ac:dyDescent="0.25">
      <c r="A1198" t="str">
        <f>'Raw Data'!A1201</f>
        <v>05/23/2025</v>
      </c>
      <c r="B1198" t="str">
        <f>'Raw Data'!C1201</f>
        <v>TST* ANTOINES RESTAUNEW ORLEANS         LA</v>
      </c>
      <c r="C1198" t="str">
        <f>'Raw Data'!I1201</f>
        <v>New Orleans Family Trip</v>
      </c>
      <c r="D1198" s="31">
        <f>'Raw Data'!F1201</f>
        <v>1154.44</v>
      </c>
    </row>
    <row r="1199" spans="1:4" x14ac:dyDescent="0.25">
      <c r="A1199" t="str">
        <f>'Raw Data'!A1202</f>
        <v>05/23/2025</v>
      </c>
      <c r="B1199" t="str">
        <f>'Raw Data'!C1202</f>
        <v>TST* MEALS FROM THE NEW ORLEANS         LA</v>
      </c>
      <c r="C1199" t="str">
        <f>'Raw Data'!I1202</f>
        <v>New Orleans Family Trip</v>
      </c>
      <c r="D1199" s="31">
        <f>'Raw Data'!F1202</f>
        <v>126.61</v>
      </c>
    </row>
    <row r="1200" spans="1:4" x14ac:dyDescent="0.25">
      <c r="A1200" t="str">
        <f>'Raw Data'!A1203</f>
        <v>05/23/2025</v>
      </c>
      <c r="B1200" t="str">
        <f>'Raw Data'!C1203</f>
        <v>VOODOO AUTHENTICA INNEW ORLEANS         LA</v>
      </c>
      <c r="C1200" t="str">
        <f>'Raw Data'!I1203</f>
        <v>New Orleans Family Trip</v>
      </c>
      <c r="D1200" s="31">
        <f>'Raw Data'!F1203</f>
        <v>38.590000000000003</v>
      </c>
    </row>
    <row r="1201" spans="1:4" x14ac:dyDescent="0.25">
      <c r="A1201" t="str">
        <f>'Raw Data'!A1204</f>
        <v>05/23/2025</v>
      </c>
      <c r="B1201" t="str">
        <f>'Raw Data'!C1204</f>
        <v>VOODOO AUTHENTICA INNEW ORLEANS         LA</v>
      </c>
      <c r="C1201" t="str">
        <f>'Raw Data'!I1204</f>
        <v>New Orleans Family Trip</v>
      </c>
      <c r="D1201" s="31">
        <f>'Raw Data'!F1204</f>
        <v>167.58</v>
      </c>
    </row>
    <row r="1202" spans="1:4" x14ac:dyDescent="0.25">
      <c r="A1202" t="str">
        <f>'Raw Data'!A1205</f>
        <v>05/22/2025</v>
      </c>
      <c r="B1202" t="str">
        <f>'Raw Data'!C1205</f>
        <v>ADMIRAL ENFORCEMENT NEW ORLEANS         LA</v>
      </c>
      <c r="C1202" t="str">
        <f>'Raw Data'!I1205</f>
        <v>New Orleans Family Trip</v>
      </c>
      <c r="D1202" s="31">
        <f>'Raw Data'!F1205</f>
        <v>140.96</v>
      </c>
    </row>
    <row r="1203" spans="1:4" x14ac:dyDescent="0.25">
      <c r="A1203" t="str">
        <f>'Raw Data'!A1206</f>
        <v>05/22/2025</v>
      </c>
      <c r="B1203" t="str">
        <f>'Raw Data'!C1206</f>
        <v>ALAMO RENT-A-C036110DALLAS              TX</v>
      </c>
      <c r="C1203" t="str">
        <f>'Raw Data'!I1206</f>
        <v>New Orleans Family Trip</v>
      </c>
      <c r="D1203" s="31">
        <f>'Raw Data'!F1206</f>
        <v>948.81</v>
      </c>
    </row>
    <row r="1204" spans="1:4" x14ac:dyDescent="0.25">
      <c r="A1204" t="str">
        <f>'Raw Data'!A1207</f>
        <v>05/22/2025</v>
      </c>
      <c r="B1204" t="str">
        <f>'Raw Data'!C1207</f>
        <v>AMERICAN AIRLINES   800-433-7300        TX</v>
      </c>
      <c r="C1204" t="str">
        <f>'Raw Data'!I1207</f>
        <v>New Orleans Family Trip</v>
      </c>
      <c r="D1204" s="31">
        <f>'Raw Data'!F1207</f>
        <v>35</v>
      </c>
    </row>
    <row r="1205" spans="1:4" x14ac:dyDescent="0.25">
      <c r="A1205" t="str">
        <f>'Raw Data'!A1208</f>
        <v>05/22/2025</v>
      </c>
      <c r="B1205" t="str">
        <f>'Raw Data'!C1208</f>
        <v>AMERICAN AIRLINES   800-433-7300        TX</v>
      </c>
      <c r="C1205" t="str">
        <f>'Raw Data'!I1208</f>
        <v>New Orleans Family Trip</v>
      </c>
      <c r="D1205" s="31">
        <f>'Raw Data'!F1208</f>
        <v>35</v>
      </c>
    </row>
    <row r="1206" spans="1:4" x14ac:dyDescent="0.25">
      <c r="A1206" t="str">
        <f>'Raw Data'!A1209</f>
        <v>05/22/2025</v>
      </c>
      <c r="B1206" t="str">
        <f>'Raw Data'!C1209</f>
        <v>DNH*GODADDY#37567776Tempe               AZ</v>
      </c>
      <c r="C1206" t="str">
        <f>'Raw Data'!I1209</f>
        <v>Go Daddy</v>
      </c>
      <c r="D1206" s="31">
        <f>'Raw Data'!F1209</f>
        <v>23.88</v>
      </c>
    </row>
    <row r="1207" spans="1:4" x14ac:dyDescent="0.25">
      <c r="A1207" t="str">
        <f>'Raw Data'!A1210</f>
        <v>05/22/2025</v>
      </c>
      <c r="B1207" t="str">
        <f>'Raw Data'!C1210</f>
        <v>DNH*GODADDY#37568861Tempe               AZ</v>
      </c>
      <c r="C1207" t="str">
        <f>'Raw Data'!I1210</f>
        <v>Go Daddy</v>
      </c>
      <c r="D1207" s="31">
        <f>'Raw Data'!F1210</f>
        <v>203.88</v>
      </c>
    </row>
    <row r="1208" spans="1:4" x14ac:dyDescent="0.25">
      <c r="A1208" t="str">
        <f>'Raw Data'!A1211</f>
        <v>05/22/2025</v>
      </c>
      <c r="B1208" t="str">
        <f>'Raw Data'!C1211</f>
        <v>HAPPY HOOKAH 631 650NEW ORLEANS         LA</v>
      </c>
      <c r="C1208" t="str">
        <f>'Raw Data'!I1211</f>
        <v>New Orleans Family Trip</v>
      </c>
      <c r="D1208" s="31">
        <f>'Raw Data'!F1211</f>
        <v>11.45</v>
      </c>
    </row>
    <row r="1209" spans="1:4" x14ac:dyDescent="0.25">
      <c r="A1209" t="str">
        <f>'Raw Data'!A1212</f>
        <v>05/22/2025</v>
      </c>
      <c r="B1209" t="str">
        <f>'Raw Data'!C1212</f>
        <v>OLD ABSINTHE HOUSE 2504-5240114         LA</v>
      </c>
      <c r="C1209" t="str">
        <f>'Raw Data'!I1212</f>
        <v>New Orleans Family Trip</v>
      </c>
      <c r="D1209" s="31">
        <f>'Raw Data'!F1212</f>
        <v>105.28</v>
      </c>
    </row>
    <row r="1210" spans="1:4" x14ac:dyDescent="0.25">
      <c r="A1210" t="str">
        <f>'Raw Data'!A1213</f>
        <v>05/22/2025</v>
      </c>
      <c r="B1210" t="str">
        <f>'Raw Data'!C1213</f>
        <v>PY *DKB GROUP LLC 00NEW ORLEANS         LA</v>
      </c>
      <c r="C1210" t="str">
        <f>'Raw Data'!I1213</f>
        <v>New Orleans Family Trip</v>
      </c>
      <c r="D1210" s="31">
        <f>'Raw Data'!F1213</f>
        <v>5.88</v>
      </c>
    </row>
    <row r="1211" spans="1:4" x14ac:dyDescent="0.25">
      <c r="A1211" t="str">
        <f>'Raw Data'!A1214</f>
        <v>05/22/2025</v>
      </c>
      <c r="B1211" t="str">
        <f>'Raw Data'!C1214</f>
        <v>PY *DKB GROUP LLC 00NEW ORLEANS         LA</v>
      </c>
      <c r="C1211" t="str">
        <f>'Raw Data'!I1214</f>
        <v>New Orleans Family Trip</v>
      </c>
      <c r="D1211" s="31">
        <f>'Raw Data'!F1214</f>
        <v>105.25</v>
      </c>
    </row>
    <row r="1212" spans="1:4" x14ac:dyDescent="0.25">
      <c r="A1212" t="str">
        <f>'Raw Data'!A1215</f>
        <v>05/21/2025</v>
      </c>
      <c r="B1212" t="str">
        <f>'Raw Data'!C1215</f>
        <v>AMAZON MARKETPLACE NAMZN.COM/BILL       WA</v>
      </c>
      <c r="C1212" t="str">
        <f>'Raw Data'!I1215</f>
        <v>Amazon</v>
      </c>
      <c r="D1212" s="31">
        <f>'Raw Data'!F1215</f>
        <v>-317.85000000000002</v>
      </c>
    </row>
    <row r="1213" spans="1:4" x14ac:dyDescent="0.25">
      <c r="A1213" t="str">
        <f>'Raw Data'!A1216</f>
        <v>05/21/2025</v>
      </c>
      <c r="B1213" t="str">
        <f>'Raw Data'!C1216</f>
        <v>AMAZON MARKETPLACE NAMZN.COM/BILL       WA</v>
      </c>
      <c r="C1213" t="str">
        <f>'Raw Data'!I1216</f>
        <v>Amazon</v>
      </c>
      <c r="D1213" s="31">
        <f>'Raw Data'!F1216</f>
        <v>-206.95</v>
      </c>
    </row>
    <row r="1214" spans="1:4" x14ac:dyDescent="0.25">
      <c r="A1214" t="str">
        <f>'Raw Data'!A1217</f>
        <v>05/21/2025</v>
      </c>
      <c r="B1214" t="str">
        <f>'Raw Data'!C1217</f>
        <v>AMAZON MARKEPLACE NA PA</v>
      </c>
      <c r="C1214" t="str">
        <f>'Raw Data'!I1217</f>
        <v>Amazon</v>
      </c>
      <c r="D1214" s="31">
        <f>'Raw Data'!F1217</f>
        <v>206.95</v>
      </c>
    </row>
    <row r="1215" spans="1:4" x14ac:dyDescent="0.25">
      <c r="A1215" t="str">
        <f>'Raw Data'!A1218</f>
        <v>05/21/2025</v>
      </c>
      <c r="B1215" t="str">
        <f>'Raw Data'!C1218</f>
        <v>AMAZON MARKEPLACE NA PA</v>
      </c>
      <c r="C1215" t="str">
        <f>'Raw Data'!I1218</f>
        <v>Amazon</v>
      </c>
      <c r="D1215" s="31">
        <f>'Raw Data'!F1218</f>
        <v>317.85000000000002</v>
      </c>
    </row>
    <row r="1216" spans="1:4" x14ac:dyDescent="0.25">
      <c r="A1216" t="str">
        <f>'Raw Data'!A1219</f>
        <v>05/21/2025</v>
      </c>
      <c r="B1216" t="str">
        <f>'Raw Data'!C1219</f>
        <v>AMERICAN AIRLINES 45800-433-7300        TX</v>
      </c>
      <c r="C1216" t="str">
        <f>'Raw Data'!I1219</f>
        <v>New Orleans Family Trip</v>
      </c>
      <c r="D1216" s="31">
        <f>'Raw Data'!F1219</f>
        <v>72.38</v>
      </c>
    </row>
    <row r="1217" spans="1:4" x14ac:dyDescent="0.25">
      <c r="A1217" t="str">
        <f>'Raw Data'!A1220</f>
        <v>05/21/2025</v>
      </c>
      <c r="B1217" t="str">
        <f>'Raw Data'!C1220</f>
        <v>AMERICAN AIRLINES 45800-433-7300        TX</v>
      </c>
      <c r="C1217" t="str">
        <f>'Raw Data'!I1220</f>
        <v>New Orleans Family Trip</v>
      </c>
      <c r="D1217" s="31">
        <f>'Raw Data'!F1220</f>
        <v>72.38</v>
      </c>
    </row>
    <row r="1218" spans="1:4" x14ac:dyDescent="0.25">
      <c r="A1218" t="str">
        <f>'Raw Data'!A1221</f>
        <v>05/21/2025</v>
      </c>
      <c r="B1218" t="str">
        <f>'Raw Data'!C1221</f>
        <v>AMERICAN AIRLINES 45800-433-7300        TX</v>
      </c>
      <c r="C1218" t="str">
        <f>'Raw Data'!I1221</f>
        <v>New Orleans Family Trip</v>
      </c>
      <c r="D1218" s="31">
        <f>'Raw Data'!F1221</f>
        <v>82.06</v>
      </c>
    </row>
    <row r="1219" spans="1:4" x14ac:dyDescent="0.25">
      <c r="A1219" t="str">
        <f>'Raw Data'!A1222</f>
        <v>05/21/2025</v>
      </c>
      <c r="B1219" t="str">
        <f>'Raw Data'!C1222</f>
        <v>AMERICAN AIRLINES 45800-433-7300        TX</v>
      </c>
      <c r="C1219" t="str">
        <f>'Raw Data'!I1222</f>
        <v>New Orleans Family Trip</v>
      </c>
      <c r="D1219" s="31">
        <f>'Raw Data'!F1222</f>
        <v>82.06</v>
      </c>
    </row>
    <row r="1220" spans="1:4" x14ac:dyDescent="0.25">
      <c r="A1220" t="str">
        <f>'Raw Data'!A1223</f>
        <v>05/21/2025</v>
      </c>
      <c r="B1220" t="str">
        <f>'Raw Data'!C1223</f>
        <v>AMERICAN AIRLINES 45800-433-7300        TX</v>
      </c>
      <c r="C1220" t="str">
        <f>'Raw Data'!I1223</f>
        <v>New Orleans Family Trip</v>
      </c>
      <c r="D1220" s="31">
        <f>'Raw Data'!F1223</f>
        <v>82.06</v>
      </c>
    </row>
    <row r="1221" spans="1:4" x14ac:dyDescent="0.25">
      <c r="A1221" t="str">
        <f>'Raw Data'!A1224</f>
        <v>05/20/2025</v>
      </c>
      <c r="B1221" t="str">
        <f>'Raw Data'!C1224</f>
        <v>AMAZON MARKETPLACE NAMZN.COM/BILL       WA</v>
      </c>
      <c r="C1221" t="str">
        <f>'Raw Data'!I1224</f>
        <v>Amazon</v>
      </c>
      <c r="D1221" s="31">
        <f>'Raw Data'!F1224</f>
        <v>-439.6</v>
      </c>
    </row>
    <row r="1222" spans="1:4" x14ac:dyDescent="0.25">
      <c r="A1222" t="str">
        <f>'Raw Data'!A1225</f>
        <v>05/20/2025</v>
      </c>
      <c r="B1222" t="str">
        <f>'Raw Data'!C1225</f>
        <v>AMAZON MARKEPLACE NA PA</v>
      </c>
      <c r="C1222" t="str">
        <f>'Raw Data'!I1225</f>
        <v>Amazon</v>
      </c>
      <c r="D1222" s="31">
        <f>'Raw Data'!F1225</f>
        <v>439.6</v>
      </c>
    </row>
    <row r="1223" spans="1:4" x14ac:dyDescent="0.25">
      <c r="A1223" t="str">
        <f>'Raw Data'!A1226</f>
        <v>05/20/2025</v>
      </c>
      <c r="B1223" t="str">
        <f>'Raw Data'!C1226</f>
        <v>BLU JASMINE 0000    HUDSON OAKS         TX</v>
      </c>
      <c r="C1223" t="str">
        <f>'Raw Data'!I1226</f>
        <v>Personal - Food</v>
      </c>
      <c r="D1223" s="31">
        <f>'Raw Data'!F1226</f>
        <v>197.02</v>
      </c>
    </row>
    <row r="1224" spans="1:4" x14ac:dyDescent="0.25">
      <c r="A1224" t="str">
        <f>'Raw Data'!A1227</f>
        <v>05/20/2025</v>
      </c>
      <c r="B1224" t="str">
        <f>'Raw Data'!C1227</f>
        <v>CAMPAIGNER SVC      888-845-4544        CA</v>
      </c>
      <c r="C1224" t="str">
        <f>'Raw Data'!I1227</f>
        <v>Software &amp; Subscriptions</v>
      </c>
      <c r="D1224" s="31">
        <f>'Raw Data'!F1227</f>
        <v>584</v>
      </c>
    </row>
    <row r="1225" spans="1:4" x14ac:dyDescent="0.25">
      <c r="A1225" t="str">
        <f>'Raw Data'!A1228</f>
        <v>05/20/2025</v>
      </c>
      <c r="B1225" t="str">
        <f>'Raw Data'!C1228</f>
        <v>DNH*GODADDY#37538909Tempe               AZ</v>
      </c>
      <c r="C1225" t="str">
        <f>'Raw Data'!I1228</f>
        <v>Go Daddy</v>
      </c>
      <c r="D1225" s="31">
        <f>'Raw Data'!F1228</f>
        <v>17.97</v>
      </c>
    </row>
    <row r="1226" spans="1:4" x14ac:dyDescent="0.25">
      <c r="A1226" t="str">
        <f>'Raw Data'!A1229</f>
        <v>05/19/2025</v>
      </c>
      <c r="B1226" t="str">
        <f>'Raw Data'!C1229</f>
        <v>AMAZON MARKETPLACE NAMZN.COM/BILL       WA</v>
      </c>
      <c r="C1226" t="str">
        <f>'Raw Data'!I1229</f>
        <v>Amazon</v>
      </c>
      <c r="D1226" s="31">
        <f>'Raw Data'!F1229</f>
        <v>-33.51</v>
      </c>
    </row>
    <row r="1227" spans="1:4" x14ac:dyDescent="0.25">
      <c r="A1227" t="str">
        <f>'Raw Data'!A1230</f>
        <v>05/19/2025</v>
      </c>
      <c r="B1227" t="str">
        <f>'Raw Data'!C1230</f>
        <v>AMAZON MARKEPLACE NA PA</v>
      </c>
      <c r="C1227" t="str">
        <f>'Raw Data'!I1230</f>
        <v>Amazon</v>
      </c>
      <c r="D1227" s="31">
        <f>'Raw Data'!F1230</f>
        <v>33.51</v>
      </c>
    </row>
    <row r="1228" spans="1:4" x14ac:dyDescent="0.25">
      <c r="A1228" t="str">
        <f>'Raw Data'!A1231</f>
        <v>05/19/2025</v>
      </c>
      <c r="B1228" t="str">
        <f>'Raw Data'!C1231</f>
        <v>PY *LAS PALMAS LUNCHDALLAS              TX</v>
      </c>
      <c r="C1228" t="str">
        <f>'Raw Data'!I1231</f>
        <v>Personal - Food</v>
      </c>
      <c r="D1228" s="31">
        <f>'Raw Data'!F1231</f>
        <v>262.58</v>
      </c>
    </row>
    <row r="1229" spans="1:4" x14ac:dyDescent="0.25">
      <c r="A1229" t="str">
        <f>'Raw Data'!A1232</f>
        <v>05/19/2025</v>
      </c>
      <c r="B1229" t="str">
        <f>'Raw Data'!C1232</f>
        <v>TST* GRANADA THEATERDALLAS              TX</v>
      </c>
      <c r="C1229" t="str">
        <f>'Raw Data'!I1232</f>
        <v>Personal - Food</v>
      </c>
      <c r="D1229" s="31">
        <f>'Raw Data'!F1232</f>
        <v>53.64</v>
      </c>
    </row>
    <row r="1230" spans="1:4" x14ac:dyDescent="0.25">
      <c r="A1230" t="str">
        <f>'Raw Data'!A1233</f>
        <v>05/18/2025</v>
      </c>
      <c r="B1230" t="str">
        <f>'Raw Data'!C1233</f>
        <v>AMAZON MARKETPLACE NAMZN.COM/BILL       WA</v>
      </c>
      <c r="C1230" t="str">
        <f>'Raw Data'!I1233</f>
        <v>Amazon</v>
      </c>
      <c r="D1230" s="31">
        <f>'Raw Data'!F1233</f>
        <v>-620.85</v>
      </c>
    </row>
    <row r="1231" spans="1:4" x14ac:dyDescent="0.25">
      <c r="A1231" t="str">
        <f>'Raw Data'!A1234</f>
        <v>05/18/2025</v>
      </c>
      <c r="B1231" t="str">
        <f>'Raw Data'!C1234</f>
        <v>AMAZON MARKETPLACE NAMZN.COM/BILL       WA</v>
      </c>
      <c r="C1231" t="str">
        <f>'Raw Data'!I1234</f>
        <v>Amazon</v>
      </c>
      <c r="D1231" s="31">
        <f>'Raw Data'!F1234</f>
        <v>-27.05</v>
      </c>
    </row>
    <row r="1232" spans="1:4" x14ac:dyDescent="0.25">
      <c r="A1232" t="str">
        <f>'Raw Data'!A1235</f>
        <v>05/18/2025</v>
      </c>
      <c r="B1232" t="str">
        <f>'Raw Data'!C1235</f>
        <v>AMAZON MARKEPLACE NA PA</v>
      </c>
      <c r="C1232" t="str">
        <f>'Raw Data'!I1235</f>
        <v>Amazon</v>
      </c>
      <c r="D1232" s="31">
        <f>'Raw Data'!F1235</f>
        <v>27.05</v>
      </c>
    </row>
    <row r="1233" spans="1:4" x14ac:dyDescent="0.25">
      <c r="A1233" t="str">
        <f>'Raw Data'!A1236</f>
        <v>05/18/2025</v>
      </c>
      <c r="B1233" t="str">
        <f>'Raw Data'!C1236</f>
        <v>AMAZON MARKEPLACE NA PA</v>
      </c>
      <c r="C1233" t="str">
        <f>'Raw Data'!I1236</f>
        <v>Amazon</v>
      </c>
      <c r="D1233" s="31">
        <f>'Raw Data'!F1236</f>
        <v>620.85</v>
      </c>
    </row>
    <row r="1234" spans="1:4" x14ac:dyDescent="0.25">
      <c r="A1234" t="str">
        <f>'Raw Data'!A1237</f>
        <v>05/18/2025</v>
      </c>
      <c r="B1234" t="str">
        <f>'Raw Data'!C1237</f>
        <v>CHEVRON 0203569/CHEVDALLAS              TX</v>
      </c>
      <c r="C1234" t="str">
        <f>'Raw Data'!I1237</f>
        <v>Personal - Car</v>
      </c>
      <c r="D1234" s="31">
        <f>'Raw Data'!F1237</f>
        <v>73.19</v>
      </c>
    </row>
    <row r="1235" spans="1:4" x14ac:dyDescent="0.25">
      <c r="A1235" t="str">
        <f>'Raw Data'!A1238</f>
        <v>05/18/2025</v>
      </c>
      <c r="B1235" t="str">
        <f>'Raw Data'!C1238</f>
        <v>DNH*GODADDY#37515664Tempe               AZ</v>
      </c>
      <c r="C1235" t="str">
        <f>'Raw Data'!I1238</f>
        <v>Go Daddy</v>
      </c>
      <c r="D1235" s="31">
        <f>'Raw Data'!F1238</f>
        <v>15.98</v>
      </c>
    </row>
    <row r="1236" spans="1:4" x14ac:dyDescent="0.25">
      <c r="A1236" t="str">
        <f>'Raw Data'!A1239</f>
        <v>05/18/2025</v>
      </c>
      <c r="B1236" t="str">
        <f>'Raw Data'!C1239</f>
        <v>THE DAMNED (COR)    NEW YORK            NY</v>
      </c>
      <c r="C1236" t="str">
        <f>'Raw Data'!I1239</f>
        <v>Personal - Entertainment</v>
      </c>
      <c r="D1236" s="31">
        <f>'Raw Data'!F1239</f>
        <v>245</v>
      </c>
    </row>
    <row r="1237" spans="1:4" x14ac:dyDescent="0.25">
      <c r="A1237" t="str">
        <f>'Raw Data'!A1240</f>
        <v>05/18/2025</v>
      </c>
      <c r="B1237" t="str">
        <f>'Raw Data'!C1240</f>
        <v>TRX VAPE AND CIGAR 5DALLAS              TX</v>
      </c>
      <c r="C1237" t="str">
        <f>'Raw Data'!I1240</f>
        <v>Personal - Entertainment</v>
      </c>
      <c r="D1237" s="31">
        <f>'Raw Data'!F1240</f>
        <v>18.39</v>
      </c>
    </row>
    <row r="1238" spans="1:4" x14ac:dyDescent="0.25">
      <c r="A1238" t="str">
        <f>'Raw Data'!A1241</f>
        <v>05/17/2025</v>
      </c>
      <c r="B1238" t="str">
        <f>'Raw Data'!C1241</f>
        <v>AMAZON MARKETPLACE NAMZN.COM/BILL       WA</v>
      </c>
      <c r="C1238" t="str">
        <f>'Raw Data'!I1241</f>
        <v>Amazon</v>
      </c>
      <c r="D1238" s="31">
        <f>'Raw Data'!F1241</f>
        <v>-468.44</v>
      </c>
    </row>
    <row r="1239" spans="1:4" x14ac:dyDescent="0.25">
      <c r="A1239" t="str">
        <f>'Raw Data'!A1242</f>
        <v>05/17/2025</v>
      </c>
      <c r="B1239" t="str">
        <f>'Raw Data'!C1242</f>
        <v>AMAZON MARKEPLACE NA PA</v>
      </c>
      <c r="C1239" t="str">
        <f>'Raw Data'!I1242</f>
        <v>Amazon</v>
      </c>
      <c r="D1239" s="31">
        <f>'Raw Data'!F1242</f>
        <v>468.44</v>
      </c>
    </row>
    <row r="1240" spans="1:4" x14ac:dyDescent="0.25">
      <c r="A1240" t="str">
        <f>'Raw Data'!A1243</f>
        <v>05/17/2025</v>
      </c>
      <c r="B1240" t="str">
        <f>'Raw Data'!C1243</f>
        <v>DNH*GODADDY#37506600Tempe               AZ</v>
      </c>
      <c r="C1240" t="str">
        <f>'Raw Data'!I1243</f>
        <v>Go Daddy</v>
      </c>
      <c r="D1240" s="31">
        <f>'Raw Data'!F1243</f>
        <v>13.98</v>
      </c>
    </row>
    <row r="1241" spans="1:4" x14ac:dyDescent="0.25">
      <c r="A1241" t="str">
        <f>'Raw Data'!A1244</f>
        <v>05/17/2025</v>
      </c>
      <c r="B1241" t="str">
        <f>'Raw Data'!C1244</f>
        <v>HOTEL DROVER - CATERFORT WORTH          TX</v>
      </c>
      <c r="C1241" t="str">
        <f>'Raw Data'!I1244</f>
        <v>Personal - Food</v>
      </c>
      <c r="D1241" s="31">
        <f>'Raw Data'!F1244</f>
        <v>364.18</v>
      </c>
    </row>
    <row r="1242" spans="1:4" x14ac:dyDescent="0.25">
      <c r="A1242" t="str">
        <f>'Raw Data'!A1245</f>
        <v>05/17/2025</v>
      </c>
      <c r="B1242" t="str">
        <f>'Raw Data'!C1245</f>
        <v>HOTEL DROVER AUTOGRAFORT WORTH          TX</v>
      </c>
      <c r="C1242" t="str">
        <f>'Raw Data'!I1245</f>
        <v>Personal - Food</v>
      </c>
      <c r="D1242" s="31">
        <f>'Raw Data'!F1245</f>
        <v>35</v>
      </c>
    </row>
    <row r="1243" spans="1:4" x14ac:dyDescent="0.25">
      <c r="A1243" t="str">
        <f>'Raw Data'!A1246</f>
        <v>05/17/2025</v>
      </c>
      <c r="B1243" t="str">
        <f>'Raw Data'!C1246</f>
        <v>MAVERICK FINE WESTERFORT WORTH          TX</v>
      </c>
      <c r="C1243" t="str">
        <f>'Raw Data'!I1246</f>
        <v>Personal - Clothing</v>
      </c>
      <c r="D1243" s="31">
        <f>'Raw Data'!F1246</f>
        <v>361.71</v>
      </c>
    </row>
    <row r="1244" spans="1:4" x14ac:dyDescent="0.25">
      <c r="A1244" t="str">
        <f>'Raw Data'!A1247</f>
        <v>05/17/2025</v>
      </c>
      <c r="B1244" t="str">
        <f>'Raw Data'!C1247</f>
        <v>THE BRANDON LAW FIRMLANTANA             TX</v>
      </c>
      <c r="C1244" t="str">
        <f>'Raw Data'!I1247</f>
        <v>The Brandon Law Firm</v>
      </c>
      <c r="D1244" s="31">
        <f>'Raw Data'!F1247</f>
        <v>1802.5</v>
      </c>
    </row>
    <row r="1245" spans="1:4" x14ac:dyDescent="0.25">
      <c r="A1245" t="str">
        <f>'Raw Data'!A1248</f>
        <v>05/16/2025</v>
      </c>
      <c r="B1245" t="str">
        <f>'Raw Data'!C1248</f>
        <v>BEST BUY            WEATHERFORD         TX</v>
      </c>
      <c r="C1245" t="str">
        <f>'Raw Data'!I1248</f>
        <v>DWG Electronics</v>
      </c>
      <c r="D1245" s="31">
        <f>'Raw Data'!F1248</f>
        <v>-432.98</v>
      </c>
    </row>
    <row r="1246" spans="1:4" x14ac:dyDescent="0.25">
      <c r="A1246" t="str">
        <f>'Raw Data'!A1249</f>
        <v>05/16/2025</v>
      </c>
      <c r="B1246" t="str">
        <f>'Raw Data'!C1249</f>
        <v>BEST BUY            WEATHERFORD         TX</v>
      </c>
      <c r="C1246" t="str">
        <f>'Raw Data'!I1249</f>
        <v>DWG Electronics</v>
      </c>
      <c r="D1246" s="31">
        <f>'Raw Data'!F1249</f>
        <v>378.86</v>
      </c>
    </row>
    <row r="1247" spans="1:4" x14ac:dyDescent="0.25">
      <c r="A1247" t="str">
        <f>'Raw Data'!A1250</f>
        <v>05/16/2025</v>
      </c>
      <c r="B1247" t="str">
        <f>'Raw Data'!C1250</f>
        <v>LEV INC             NEW YORK            NY</v>
      </c>
      <c r="C1247" t="str">
        <f>'Raw Data'!I1250</f>
        <v>DWG Listing Platform</v>
      </c>
      <c r="D1247" s="31">
        <f>'Raw Data'!F1250</f>
        <v>2000</v>
      </c>
    </row>
    <row r="1248" spans="1:4" x14ac:dyDescent="0.25">
      <c r="A1248" t="str">
        <f>'Raw Data'!A1251</f>
        <v>05/16/2025</v>
      </c>
      <c r="B1248" t="str">
        <f>'Raw Data'!C1251</f>
        <v>NORTHSIDE REMEDY 000WEATHERFORD         TX</v>
      </c>
      <c r="C1248" t="str">
        <f>'Raw Data'!I1251</f>
        <v>Personal - Food</v>
      </c>
      <c r="D1248" s="31">
        <f>'Raw Data'!F1251</f>
        <v>67.19</v>
      </c>
    </row>
    <row r="1249" spans="1:4" x14ac:dyDescent="0.25">
      <c r="A1249" t="str">
        <f>'Raw Data'!A1252</f>
        <v>05/16/2025</v>
      </c>
      <c r="B1249" t="str">
        <f>'Raw Data'!C1252</f>
        <v>SOCIALPILOT         LEWES               DE</v>
      </c>
      <c r="C1249" t="str">
        <f>'Raw Data'!I1252</f>
        <v>Software &amp; Subscriptions</v>
      </c>
      <c r="D1249" s="31">
        <f>'Raw Data'!F1252</f>
        <v>50</v>
      </c>
    </row>
    <row r="1250" spans="1:4" x14ac:dyDescent="0.25">
      <c r="A1250" t="str">
        <f>'Raw Data'!A1253</f>
        <v>05/16/2025</v>
      </c>
      <c r="B1250" t="str">
        <f>'Raw Data'!C1253</f>
        <v>TARGET              WEATHERFORD         TX</v>
      </c>
      <c r="C1250" t="str">
        <f>'Raw Data'!I1253</f>
        <v>Personal - House</v>
      </c>
      <c r="D1250" s="31">
        <f>'Raw Data'!F1253</f>
        <v>12.67</v>
      </c>
    </row>
    <row r="1251" spans="1:4" x14ac:dyDescent="0.25">
      <c r="A1251" t="str">
        <f>'Raw Data'!A1254</f>
        <v>05/16/2025</v>
      </c>
      <c r="B1251" t="str">
        <f>'Raw Data'!C1254</f>
        <v>TST* BYBLOS MEDITERRFORT WORTH          TX</v>
      </c>
      <c r="C1251" t="str">
        <f>'Raw Data'!I1254</f>
        <v>Personal - Food</v>
      </c>
      <c r="D1251" s="31">
        <f>'Raw Data'!F1254</f>
        <v>63.03</v>
      </c>
    </row>
    <row r="1252" spans="1:4" x14ac:dyDescent="0.25">
      <c r="A1252" t="str">
        <f>'Raw Data'!A1255</f>
        <v>05/15/2025</v>
      </c>
      <c r="B1252" t="str">
        <f>'Raw Data'!C1255</f>
        <v>BEST BUY            WEATHERFORD         TX</v>
      </c>
      <c r="C1252" t="str">
        <f>'Raw Data'!I1255</f>
        <v>DWG Electronics</v>
      </c>
      <c r="D1252" s="31">
        <f>'Raw Data'!F1255</f>
        <v>847.79</v>
      </c>
    </row>
    <row r="1253" spans="1:4" x14ac:dyDescent="0.25">
      <c r="A1253" t="str">
        <f>'Raw Data'!A1256</f>
        <v>05/15/2025</v>
      </c>
      <c r="B1253" t="str">
        <f>'Raw Data'!C1256</f>
        <v>DNH*GODADDY#37480942Tempe               AZ</v>
      </c>
      <c r="C1253" t="str">
        <f>'Raw Data'!I1256</f>
        <v>Go Daddy</v>
      </c>
      <c r="D1253" s="31">
        <f>'Raw Data'!F1256</f>
        <v>8.99</v>
      </c>
    </row>
    <row r="1254" spans="1:4" x14ac:dyDescent="0.25">
      <c r="A1254" t="str">
        <f>'Raw Data'!A1257</f>
        <v>05/15/2025</v>
      </c>
      <c r="B1254" t="str">
        <f>'Raw Data'!C1257</f>
        <v>RAINRETAIL*MARTY PATFORT WORTH          TX</v>
      </c>
      <c r="C1254" t="str">
        <f>'Raw Data'!I1257</f>
        <v>Personal - House</v>
      </c>
      <c r="D1254" s="31">
        <f>'Raw Data'!F1257</f>
        <v>451.87</v>
      </c>
    </row>
    <row r="1255" spans="1:4" x14ac:dyDescent="0.25">
      <c r="A1255" t="str">
        <f>'Raw Data'!A1258</f>
        <v>05/15/2025</v>
      </c>
      <c r="B1255" t="str">
        <f>'Raw Data'!C1258</f>
        <v>STARBUCKS STORE 6932WEATHERFORD         TX</v>
      </c>
      <c r="C1255" t="str">
        <f>'Raw Data'!I1258</f>
        <v>Personal - Food</v>
      </c>
      <c r="D1255" s="31">
        <f>'Raw Data'!F1258</f>
        <v>17.43</v>
      </c>
    </row>
    <row r="1256" spans="1:4" x14ac:dyDescent="0.25">
      <c r="A1256" t="str">
        <f>'Raw Data'!A1259</f>
        <v>05/14/2025</v>
      </c>
      <c r="B1256" t="str">
        <f>'Raw Data'!C1259</f>
        <v>DNH*GODADDY#37471468Tempe               AZ</v>
      </c>
      <c r="C1256" t="str">
        <f>'Raw Data'!I1259</f>
        <v>Go Daddy</v>
      </c>
      <c r="D1256" s="31">
        <f>'Raw Data'!F1259</f>
        <v>30.97</v>
      </c>
    </row>
    <row r="1257" spans="1:4" x14ac:dyDescent="0.25">
      <c r="A1257" t="str">
        <f>'Raw Data'!A1260</f>
        <v>05/13/2025</v>
      </c>
      <c r="B1257" t="str">
        <f>'Raw Data'!C1260</f>
        <v>AMAZON MARKETPLACE NAMZN.COM/BILL       WA</v>
      </c>
      <c r="C1257" t="str">
        <f>'Raw Data'!I1260</f>
        <v>Amazon</v>
      </c>
      <c r="D1257" s="31">
        <f>'Raw Data'!F1260</f>
        <v>-529.75</v>
      </c>
    </row>
    <row r="1258" spans="1:4" x14ac:dyDescent="0.25">
      <c r="A1258" t="str">
        <f>'Raw Data'!A1261</f>
        <v>05/13/2025</v>
      </c>
      <c r="B1258" t="str">
        <f>'Raw Data'!C1261</f>
        <v>AMAZON MARKEPLACE NA PA</v>
      </c>
      <c r="C1258" t="str">
        <f>'Raw Data'!I1261</f>
        <v>Amazon</v>
      </c>
      <c r="D1258" s="31">
        <f>'Raw Data'!F1261</f>
        <v>529.75</v>
      </c>
    </row>
    <row r="1259" spans="1:4" x14ac:dyDescent="0.25">
      <c r="A1259" t="str">
        <f>'Raw Data'!A1262</f>
        <v>05/13/2025</v>
      </c>
      <c r="B1259" t="str">
        <f>'Raw Data'!C1262</f>
        <v>DNH*GODADDY#37457237Tempe               AZ</v>
      </c>
      <c r="C1259" t="str">
        <f>'Raw Data'!I1262</f>
        <v>Go Daddy</v>
      </c>
      <c r="D1259" s="31">
        <f>'Raw Data'!F1262</f>
        <v>30.97</v>
      </c>
    </row>
    <row r="1260" spans="1:4" x14ac:dyDescent="0.25">
      <c r="A1260" t="str">
        <f>'Raw Data'!A1263</f>
        <v>05/13/2025</v>
      </c>
      <c r="B1260" t="str">
        <f>'Raw Data'!C1263</f>
        <v>HARBOR FREIGHT TOOLSWEATHERFORD         TX</v>
      </c>
      <c r="C1260" t="str">
        <f>'Raw Data'!I1263</f>
        <v>Personal - House</v>
      </c>
      <c r="D1260" s="31">
        <f>'Raw Data'!F1263</f>
        <v>270.61</v>
      </c>
    </row>
    <row r="1261" spans="1:4" x14ac:dyDescent="0.25">
      <c r="A1261" t="str">
        <f>'Raw Data'!A1264</f>
        <v>05/13/2025</v>
      </c>
      <c r="B1261" t="str">
        <f>'Raw Data'!C1264</f>
        <v>THE HOME DEPOT      WEATHERFORD         TX</v>
      </c>
      <c r="C1261" t="str">
        <f>'Raw Data'!I1264</f>
        <v>Personal - House</v>
      </c>
      <c r="D1261" s="31">
        <f>'Raw Data'!F1264</f>
        <v>54.08</v>
      </c>
    </row>
    <row r="1262" spans="1:4" x14ac:dyDescent="0.25">
      <c r="A1262" t="str">
        <f>'Raw Data'!A1265</f>
        <v>05/12/2025</v>
      </c>
      <c r="B1262" t="str">
        <f>'Raw Data'!C1265</f>
        <v>AA LAX CURB         LOS ANGELES         CA</v>
      </c>
      <c r="C1262" t="str">
        <f>'Raw Data'!I1265</f>
        <v>Team Travel (Judd)</v>
      </c>
      <c r="D1262" s="31">
        <f>'Raw Data'!F1265</f>
        <v>16</v>
      </c>
    </row>
    <row r="1263" spans="1:4" x14ac:dyDescent="0.25">
      <c r="A1263" t="str">
        <f>'Raw Data'!A1266</f>
        <v>05/12/2025</v>
      </c>
      <c r="B1263" t="str">
        <f>'Raw Data'!C1266</f>
        <v>ALANA'S COFFEE ROASTLos Angeles         CA</v>
      </c>
      <c r="C1263" t="str">
        <f>'Raw Data'!I1266</f>
        <v>Personal - Food</v>
      </c>
      <c r="D1263" s="31">
        <f>'Raw Data'!F1266</f>
        <v>21.9</v>
      </c>
    </row>
    <row r="1264" spans="1:4" x14ac:dyDescent="0.25">
      <c r="A1264" t="str">
        <f>'Raw Data'!A1267</f>
        <v>05/12/2025</v>
      </c>
      <c r="B1264" t="str">
        <f>'Raw Data'!C1267</f>
        <v>AMAZON MARKETPLACE NAMZN.COM/BILL       WA</v>
      </c>
      <c r="C1264" t="str">
        <f>'Raw Data'!I1267</f>
        <v>Amazon</v>
      </c>
      <c r="D1264" s="31">
        <f>'Raw Data'!F1267</f>
        <v>-827.8</v>
      </c>
    </row>
    <row r="1265" spans="1:4" x14ac:dyDescent="0.25">
      <c r="A1265" t="str">
        <f>'Raw Data'!A1268</f>
        <v>05/12/2025</v>
      </c>
      <c r="B1265" t="str">
        <f>'Raw Data'!C1268</f>
        <v>AMAZON MARKEPLACE NA PA</v>
      </c>
      <c r="C1265" t="str">
        <f>'Raw Data'!I1268</f>
        <v>Amazon</v>
      </c>
      <c r="D1265" s="31">
        <f>'Raw Data'!F1268</f>
        <v>827.8</v>
      </c>
    </row>
    <row r="1266" spans="1:4" x14ac:dyDescent="0.25">
      <c r="A1266" t="str">
        <f>'Raw Data'!A1269</f>
        <v>05/12/2025</v>
      </c>
      <c r="B1266" t="str">
        <f>'Raw Data'!C1269</f>
        <v>AMERICAN AIRLINES 05LOS ANGELES         CA</v>
      </c>
      <c r="C1266" t="str">
        <f>'Raw Data'!I1269</f>
        <v>Team Travel (Judd)</v>
      </c>
      <c r="D1266" s="31">
        <f>'Raw Data'!F1269</f>
        <v>40</v>
      </c>
    </row>
    <row r="1267" spans="1:4" x14ac:dyDescent="0.25">
      <c r="A1267" t="str">
        <f>'Raw Data'!A1270</f>
        <v>05/12/2025</v>
      </c>
      <c r="B1267" t="str">
        <f>'Raw Data'!C1270</f>
        <v>AMERICAN AIRLINES 05LOS ANGELES         CA</v>
      </c>
      <c r="C1267" t="str">
        <f>'Raw Data'!I1270</f>
        <v>Team Travel (Judd)</v>
      </c>
      <c r="D1267" s="31">
        <f>'Raw Data'!F1270</f>
        <v>40</v>
      </c>
    </row>
    <row r="1268" spans="1:4" x14ac:dyDescent="0.25">
      <c r="A1268" t="str">
        <f>'Raw Data'!A1271</f>
        <v>05/12/2025</v>
      </c>
      <c r="B1268" t="str">
        <f>'Raw Data'!C1271</f>
        <v>AMERICAN AIRLINES 05LOS ANGELES         CA</v>
      </c>
      <c r="C1268" t="str">
        <f>'Raw Data'!I1271</f>
        <v>Team Travel (Judd)</v>
      </c>
      <c r="D1268" s="31">
        <f>'Raw Data'!F1271</f>
        <v>40</v>
      </c>
    </row>
    <row r="1269" spans="1:4" x14ac:dyDescent="0.25">
      <c r="A1269" t="str">
        <f>'Raw Data'!A1272</f>
        <v>05/12/2025</v>
      </c>
      <c r="B1269" t="str">
        <f>'Raw Data'!C1272</f>
        <v>AMERICAN AIRLINES 05LOS ANGELES         CA</v>
      </c>
      <c r="C1269" t="str">
        <f>'Raw Data'!I1272</f>
        <v>Team Travel (Judd)</v>
      </c>
      <c r="D1269" s="31">
        <f>'Raw Data'!F1272</f>
        <v>40</v>
      </c>
    </row>
    <row r="1270" spans="1:4" x14ac:dyDescent="0.25">
      <c r="A1270" t="str">
        <f>'Raw Data'!A1273</f>
        <v>05/12/2025</v>
      </c>
      <c r="B1270" t="str">
        <f>'Raw Data'!C1273</f>
        <v>LAX AIRP CROWNS LAX LOS ANGELES         CA</v>
      </c>
      <c r="C1270" t="str">
        <f>'Raw Data'!I1273</f>
        <v>Team Travel (Judd)</v>
      </c>
      <c r="D1270" s="31">
        <f>'Raw Data'!F1273</f>
        <v>84.91</v>
      </c>
    </row>
    <row r="1271" spans="1:4" x14ac:dyDescent="0.25">
      <c r="A1271" t="str">
        <f>'Raw Data'!A1274</f>
        <v>05/12/2025</v>
      </c>
      <c r="B1271" t="str">
        <f>'Raw Data'!C1274</f>
        <v>PY *LAS PALMAS LUNCHDALLAS              TX</v>
      </c>
      <c r="C1271" t="str">
        <f>'Raw Data'!I1274</f>
        <v>Personal - Food</v>
      </c>
      <c r="D1271" s="31">
        <f>'Raw Data'!F1274</f>
        <v>234.31</v>
      </c>
    </row>
    <row r="1272" spans="1:4" x14ac:dyDescent="0.25">
      <c r="A1272" t="str">
        <f>'Raw Data'!A1275</f>
        <v>05/12/2025</v>
      </c>
      <c r="B1272" t="str">
        <f>'Raw Data'!C1275</f>
        <v>SPOTIFY USA         NEW YORK            NY</v>
      </c>
      <c r="C1272" t="str">
        <f>'Raw Data'!I1275</f>
        <v>Software &amp; Subscriptions</v>
      </c>
      <c r="D1272" s="31">
        <f>'Raw Data'!F1275</f>
        <v>12.98</v>
      </c>
    </row>
    <row r="1273" spans="1:4" x14ac:dyDescent="0.25">
      <c r="A1273" t="str">
        <f>'Raw Data'!A1276</f>
        <v>05/12/2025</v>
      </c>
      <c r="B1273" t="str">
        <f>'Raw Data'!C1276</f>
        <v>TST* CAFE GRATITUDE VENICE              CA</v>
      </c>
      <c r="C1273" t="str">
        <f>'Raw Data'!I1276</f>
        <v>Personal - Food</v>
      </c>
      <c r="D1273" s="31">
        <f>'Raw Data'!F1276</f>
        <v>115.51</v>
      </c>
    </row>
    <row r="1274" spans="1:4" x14ac:dyDescent="0.25">
      <c r="A1274" t="str">
        <f>'Raw Data'!A1277</f>
        <v>05/11/2025</v>
      </c>
      <c r="B1274" t="str">
        <f>'Raw Data'!C1277</f>
        <v>AMAZON MARKETPLACE NAMZN.COM/BILL       WA</v>
      </c>
      <c r="C1274" t="str">
        <f>'Raw Data'!I1277</f>
        <v>Amazon</v>
      </c>
      <c r="D1274" s="31">
        <f>'Raw Data'!F1277</f>
        <v>-413.9</v>
      </c>
    </row>
    <row r="1275" spans="1:4" x14ac:dyDescent="0.25">
      <c r="A1275" t="str">
        <f>'Raw Data'!A1278</f>
        <v>05/11/2025</v>
      </c>
      <c r="B1275" t="str">
        <f>'Raw Data'!C1278</f>
        <v>AMAZON MARKEPLACE NA PA</v>
      </c>
      <c r="C1275" t="str">
        <f>'Raw Data'!I1278</f>
        <v>Amazon</v>
      </c>
      <c r="D1275" s="31">
        <f>'Raw Data'!F1278</f>
        <v>413.9</v>
      </c>
    </row>
    <row r="1276" spans="1:4" x14ac:dyDescent="0.25">
      <c r="A1276" t="str">
        <f>'Raw Data'!A1279</f>
        <v>05/11/2025</v>
      </c>
      <c r="B1276" t="str">
        <f>'Raw Data'!C1279</f>
        <v>AMERICAN AIRLINES 45800-433-7300        TX</v>
      </c>
      <c r="C1276" t="str">
        <f>'Raw Data'!I1279</f>
        <v>Team Travel (Judd)</v>
      </c>
      <c r="D1276" s="31">
        <f>'Raw Data'!F1279</f>
        <v>38</v>
      </c>
    </row>
    <row r="1277" spans="1:4" x14ac:dyDescent="0.25">
      <c r="A1277" t="str">
        <f>'Raw Data'!A1280</f>
        <v>05/11/2025</v>
      </c>
      <c r="B1277" t="str">
        <f>'Raw Data'!C1280</f>
        <v>AMERICAN AIRLINES 45800-433-7300        TX</v>
      </c>
      <c r="C1277" t="str">
        <f>'Raw Data'!I1280</f>
        <v>Team Travel (Judd)</v>
      </c>
      <c r="D1277" s="31">
        <f>'Raw Data'!F1280</f>
        <v>38</v>
      </c>
    </row>
    <row r="1278" spans="1:4" x14ac:dyDescent="0.25">
      <c r="A1278" t="str">
        <f>'Raw Data'!A1281</f>
        <v>05/11/2025</v>
      </c>
      <c r="B1278" t="str">
        <f>'Raw Data'!C1281</f>
        <v>AMERICAN AIRLINES 45800-433-7300        TX</v>
      </c>
      <c r="C1278" t="str">
        <f>'Raw Data'!I1281</f>
        <v>Team Travel (Judd)</v>
      </c>
      <c r="D1278" s="31">
        <f>'Raw Data'!F1281</f>
        <v>38</v>
      </c>
    </row>
    <row r="1279" spans="1:4" x14ac:dyDescent="0.25">
      <c r="A1279" t="str">
        <f>'Raw Data'!A1282</f>
        <v>05/11/2025</v>
      </c>
      <c r="B1279" t="str">
        <f>'Raw Data'!C1282</f>
        <v>AMERICAN AIRLINES 45800-433-7300        TX</v>
      </c>
      <c r="C1279" t="str">
        <f>'Raw Data'!I1282</f>
        <v>Team Travel (Judd)</v>
      </c>
      <c r="D1279" s="31">
        <f>'Raw Data'!F1282</f>
        <v>38</v>
      </c>
    </row>
    <row r="1280" spans="1:4" x14ac:dyDescent="0.25">
      <c r="A1280" t="str">
        <f>'Raw Data'!A1283</f>
        <v>05/11/2025</v>
      </c>
      <c r="B1280" t="str">
        <f>'Raw Data'!C1283</f>
        <v>CVS PHARMACY        LOS ANGELES         CA</v>
      </c>
      <c r="C1280" t="str">
        <f>'Raw Data'!I1283</f>
        <v>Personal - Health</v>
      </c>
      <c r="D1280" s="31">
        <f>'Raw Data'!F1283</f>
        <v>17.54</v>
      </c>
    </row>
    <row r="1281" spans="1:4" x14ac:dyDescent="0.25">
      <c r="A1281" t="str">
        <f>'Raw Data'!A1284</f>
        <v>05/11/2025</v>
      </c>
      <c r="B1281" t="str">
        <f>'Raw Data'!C1284</f>
        <v>DNH*GODADDY#37433965Tempe               AZ</v>
      </c>
      <c r="C1281" t="str">
        <f>'Raw Data'!I1284</f>
        <v>Go Daddy</v>
      </c>
      <c r="D1281" s="31">
        <f>'Raw Data'!F1284</f>
        <v>57.73</v>
      </c>
    </row>
    <row r="1282" spans="1:4" x14ac:dyDescent="0.25">
      <c r="A1282" t="str">
        <f>'Raw Data'!A1285</f>
        <v>05/11/2025</v>
      </c>
      <c r="B1282" t="str">
        <f>'Raw Data'!C1285</f>
        <v>L FLIPPIN VINTAGE RESANTA MONICA        CA</v>
      </c>
      <c r="C1282" t="str">
        <f>'Raw Data'!I1285</f>
        <v>Personal - House</v>
      </c>
      <c r="D1282" s="31">
        <f>'Raw Data'!F1285</f>
        <v>316.75</v>
      </c>
    </row>
    <row r="1283" spans="1:4" x14ac:dyDescent="0.25">
      <c r="A1283" t="str">
        <f>'Raw Data'!A1286</f>
        <v>05/11/2025</v>
      </c>
      <c r="B1283" t="str">
        <f>'Raw Data'!C1286</f>
        <v>ONSTAR, LLC         DETROIT             MI</v>
      </c>
      <c r="C1283" t="str">
        <f>'Raw Data'!I1286</f>
        <v>Personal - Car</v>
      </c>
      <c r="D1283" s="31">
        <f>'Raw Data'!F1286</f>
        <v>34.1</v>
      </c>
    </row>
    <row r="1284" spans="1:4" x14ac:dyDescent="0.25">
      <c r="A1284" t="str">
        <f>'Raw Data'!A1287</f>
        <v>05/11/2025</v>
      </c>
      <c r="B1284" t="str">
        <f>'Raw Data'!C1287</f>
        <v>THE HANGAR          Santa Monica        CA</v>
      </c>
      <c r="C1284" t="str">
        <f>'Raw Data'!I1287</f>
        <v>Personal - House</v>
      </c>
      <c r="D1284" s="31">
        <f>'Raw Data'!F1287</f>
        <v>220.39</v>
      </c>
    </row>
    <row r="1285" spans="1:4" x14ac:dyDescent="0.25">
      <c r="A1285" t="str">
        <f>'Raw Data'!A1288</f>
        <v>05/11/2025</v>
      </c>
      <c r="B1285" t="str">
        <f>'Raw Data'!C1288</f>
        <v>VONS #2270 2270     LOS ANGELES         CA</v>
      </c>
      <c r="C1285" t="str">
        <f>'Raw Data'!I1288</f>
        <v>Personal - Food</v>
      </c>
      <c r="D1285" s="31">
        <f>'Raw Data'!F1288</f>
        <v>69.91</v>
      </c>
    </row>
    <row r="1286" spans="1:4" x14ac:dyDescent="0.25">
      <c r="A1286" t="str">
        <f>'Raw Data'!A1289</f>
        <v>05/10/2025</v>
      </c>
      <c r="B1286" t="str">
        <f>'Raw Data'!C1289</f>
        <v>AMAZON MARKETPLACE NAMZN.COM/BILL       WA</v>
      </c>
      <c r="C1286" t="str">
        <f>'Raw Data'!I1289</f>
        <v>Amazon</v>
      </c>
      <c r="D1286" s="31">
        <f>'Raw Data'!F1289</f>
        <v>-266.86</v>
      </c>
    </row>
    <row r="1287" spans="1:4" x14ac:dyDescent="0.25">
      <c r="A1287" t="str">
        <f>'Raw Data'!A1290</f>
        <v>05/10/2025</v>
      </c>
      <c r="B1287" t="str">
        <f>'Raw Data'!C1290</f>
        <v>AMAZON MARKETPLACE NAMZN.COM/BILL       WA</v>
      </c>
      <c r="C1287" t="str">
        <f>'Raw Data'!I1290</f>
        <v>Amazon</v>
      </c>
      <c r="D1287" s="31">
        <f>'Raw Data'!F1290</f>
        <v>-214.83</v>
      </c>
    </row>
    <row r="1288" spans="1:4" x14ac:dyDescent="0.25">
      <c r="A1288" t="str">
        <f>'Raw Data'!A1291</f>
        <v>05/10/2025</v>
      </c>
      <c r="B1288" t="str">
        <f>'Raw Data'!C1291</f>
        <v>AMAZON MARKEPLACE NA PA</v>
      </c>
      <c r="C1288" t="str">
        <f>'Raw Data'!I1291</f>
        <v>Amazon</v>
      </c>
      <c r="D1288" s="31">
        <f>'Raw Data'!F1291</f>
        <v>214.83</v>
      </c>
    </row>
    <row r="1289" spans="1:4" x14ac:dyDescent="0.25">
      <c r="A1289" t="str">
        <f>'Raw Data'!A1292</f>
        <v>05/10/2025</v>
      </c>
      <c r="B1289" t="str">
        <f>'Raw Data'!C1292</f>
        <v>AMAZON MARKEPLACE NA PA</v>
      </c>
      <c r="C1289" t="str">
        <f>'Raw Data'!I1292</f>
        <v>Amazon</v>
      </c>
      <c r="D1289" s="31">
        <f>'Raw Data'!F1292</f>
        <v>266.86</v>
      </c>
    </row>
    <row r="1290" spans="1:4" x14ac:dyDescent="0.25">
      <c r="A1290" t="str">
        <f>'Raw Data'!A1293</f>
        <v>05/10/2025</v>
      </c>
      <c r="B1290" t="str">
        <f>'Raw Data'!C1293</f>
        <v>PAYA THAI LA LLC    LOS ANGELES         CA</v>
      </c>
      <c r="C1290" t="str">
        <f>'Raw Data'!I1293</f>
        <v>Personal - Health</v>
      </c>
      <c r="D1290" s="31">
        <f>'Raw Data'!F1293</f>
        <v>150</v>
      </c>
    </row>
    <row r="1291" spans="1:4" x14ac:dyDescent="0.25">
      <c r="A1291" t="str">
        <f>'Raw Data'!A1294</f>
        <v>05/10/2025</v>
      </c>
      <c r="B1291" t="str">
        <f>'Raw Data'!C1294</f>
        <v>VIMEO PRO           212-625-0668        NY</v>
      </c>
      <c r="C1291" t="str">
        <f>'Raw Data'!I1294</f>
        <v>Software &amp; Subscriptions</v>
      </c>
      <c r="D1291" s="31">
        <f>'Raw Data'!F1294</f>
        <v>24</v>
      </c>
    </row>
    <row r="1292" spans="1:4" x14ac:dyDescent="0.25">
      <c r="A1292" t="str">
        <f>'Raw Data'!A1295</f>
        <v>05/09/2025</v>
      </c>
      <c r="B1292" t="str">
        <f>'Raw Data'!C1295</f>
        <v>AMAZON MARKETPLACE NAMZN.COM/BILL       WA</v>
      </c>
      <c r="C1292" t="str">
        <f>'Raw Data'!I1295</f>
        <v>Amazon</v>
      </c>
      <c r="D1292" s="31">
        <f>'Raw Data'!F1295</f>
        <v>-620.85</v>
      </c>
    </row>
    <row r="1293" spans="1:4" x14ac:dyDescent="0.25">
      <c r="A1293" t="str">
        <f>'Raw Data'!A1296</f>
        <v>05/09/2025</v>
      </c>
      <c r="B1293" t="str">
        <f>'Raw Data'!C1296</f>
        <v>AMAZON MARKEPLACE NA PA</v>
      </c>
      <c r="C1293" t="str">
        <f>'Raw Data'!I1296</f>
        <v>Amazon</v>
      </c>
      <c r="D1293" s="31">
        <f>'Raw Data'!F1296</f>
        <v>620.85</v>
      </c>
    </row>
    <row r="1294" spans="1:4" x14ac:dyDescent="0.25">
      <c r="A1294" t="str">
        <f>'Raw Data'!A1297</f>
        <v>05/09/2025</v>
      </c>
      <c r="B1294" t="str">
        <f>'Raw Data'!C1297</f>
        <v>TST* CAFE GRATITUDE VENICE              CA</v>
      </c>
      <c r="C1294" t="str">
        <f>'Raw Data'!I1297</f>
        <v>Personal - Food</v>
      </c>
      <c r="D1294" s="31">
        <f>'Raw Data'!F1297</f>
        <v>127.58</v>
      </c>
    </row>
    <row r="1295" spans="1:4" x14ac:dyDescent="0.25">
      <c r="A1295" t="str">
        <f>'Raw Data'!A1298</f>
        <v>05/08/2025</v>
      </c>
      <c r="B1295" t="str">
        <f>'Raw Data'!C1298</f>
        <v>AMAZON MARKETPLACE NAMZN.COM/BILL       WA</v>
      </c>
      <c r="C1295" t="str">
        <f>'Raw Data'!I1298</f>
        <v>Amazon</v>
      </c>
      <c r="D1295" s="31">
        <f>'Raw Data'!F1298</f>
        <v>-184.01</v>
      </c>
    </row>
    <row r="1296" spans="1:4" x14ac:dyDescent="0.25">
      <c r="A1296" t="str">
        <f>'Raw Data'!A1299</f>
        <v>05/08/2025</v>
      </c>
      <c r="B1296" t="str">
        <f>'Raw Data'!C1299</f>
        <v>AMAZON MARKEPLACE NA PA</v>
      </c>
      <c r="C1296" t="str">
        <f>'Raw Data'!I1299</f>
        <v>Amazon</v>
      </c>
      <c r="D1296" s="31">
        <f>'Raw Data'!F1299</f>
        <v>184.01</v>
      </c>
    </row>
    <row r="1297" spans="1:4" x14ac:dyDescent="0.25">
      <c r="A1297" t="str">
        <f>'Raw Data'!A1300</f>
        <v>05/08/2025</v>
      </c>
      <c r="B1297" t="str">
        <f>'Raw Data'!C1300</f>
        <v>OPENAI *CHATGPT SUBSSAN FRANCISCO       CA</v>
      </c>
      <c r="C1297" t="str">
        <f>'Raw Data'!I1300</f>
        <v>AI Subscriptions</v>
      </c>
      <c r="D1297" s="31">
        <f>'Raw Data'!F1300</f>
        <v>20</v>
      </c>
    </row>
    <row r="1298" spans="1:4" x14ac:dyDescent="0.25">
      <c r="A1298" t="str">
        <f>'Raw Data'!A1301</f>
        <v>05/08/2025</v>
      </c>
      <c r="B1298" t="str">
        <f>'Raw Data'!C1301</f>
        <v>XL TECHNOLOGIES LLC SARASOTA            FL</v>
      </c>
      <c r="C1298" t="str">
        <f>'Raw Data'!I1301</f>
        <v>AI Subscriptions</v>
      </c>
      <c r="D1298" s="31">
        <f>'Raw Data'!F1301</f>
        <v>49</v>
      </c>
    </row>
    <row r="1299" spans="1:4" x14ac:dyDescent="0.25">
      <c r="A1299" t="str">
        <f>'Raw Data'!A1302</f>
        <v>05/07/2025</v>
      </c>
      <c r="B1299" t="str">
        <f>'Raw Data'!C1302</f>
        <v>AIRBNB * HMMNAMP8KM SAN FRANCISCO       CA</v>
      </c>
      <c r="C1299" t="str">
        <f>'Raw Data'!I1302</f>
        <v>Family Travel MISC</v>
      </c>
      <c r="D1299" s="31">
        <f>'Raw Data'!F1302</f>
        <v>4056.1</v>
      </c>
    </row>
    <row r="1300" spans="1:4" x14ac:dyDescent="0.25">
      <c r="A1300" t="str">
        <f>'Raw Data'!A1303</f>
        <v>05/07/2025</v>
      </c>
      <c r="B1300" t="str">
        <f>'Raw Data'!C1303</f>
        <v>AMAZON MARKETPLACE NAMZN.COM/BILL       WA</v>
      </c>
      <c r="C1300" t="str">
        <f>'Raw Data'!I1303</f>
        <v>Amazon</v>
      </c>
      <c r="D1300" s="31">
        <f>'Raw Data'!F1303</f>
        <v>-129.87</v>
      </c>
    </row>
    <row r="1301" spans="1:4" x14ac:dyDescent="0.25">
      <c r="A1301" t="str">
        <f>'Raw Data'!A1304</f>
        <v>05/07/2025</v>
      </c>
      <c r="B1301" t="str">
        <f>'Raw Data'!C1304</f>
        <v>AMAZON MARKETPLACE NAMZN.COM/BILL       WA</v>
      </c>
      <c r="C1301" t="str">
        <f>'Raw Data'!I1304</f>
        <v>Amazon</v>
      </c>
      <c r="D1301" s="31">
        <f>'Raw Data'!F1304</f>
        <v>-120.14</v>
      </c>
    </row>
    <row r="1302" spans="1:4" x14ac:dyDescent="0.25">
      <c r="A1302" t="str">
        <f>'Raw Data'!A1305</f>
        <v>05/07/2025</v>
      </c>
      <c r="B1302" t="str">
        <f>'Raw Data'!C1305</f>
        <v>AMAZON MARKETPLACE NAMZN.COM/BILL       WA</v>
      </c>
      <c r="C1302" t="str">
        <f>'Raw Data'!I1305</f>
        <v>Amazon</v>
      </c>
      <c r="D1302" s="31">
        <f>'Raw Data'!F1305</f>
        <v>-86.57</v>
      </c>
    </row>
    <row r="1303" spans="1:4" x14ac:dyDescent="0.25">
      <c r="A1303" t="str">
        <f>'Raw Data'!A1306</f>
        <v>05/07/2025</v>
      </c>
      <c r="B1303" t="str">
        <f>'Raw Data'!C1306</f>
        <v>AMAZON MARKEPLACE NA PA</v>
      </c>
      <c r="C1303" t="str">
        <f>'Raw Data'!I1306</f>
        <v>Amazon</v>
      </c>
      <c r="D1303" s="31">
        <f>'Raw Data'!F1306</f>
        <v>86.57</v>
      </c>
    </row>
    <row r="1304" spans="1:4" x14ac:dyDescent="0.25">
      <c r="A1304" t="str">
        <f>'Raw Data'!A1307</f>
        <v>05/07/2025</v>
      </c>
      <c r="B1304" t="str">
        <f>'Raw Data'!C1307</f>
        <v>AMAZON MARKEPLACE NA PA</v>
      </c>
      <c r="C1304" t="str">
        <f>'Raw Data'!I1307</f>
        <v>Amazon</v>
      </c>
      <c r="D1304" s="31">
        <f>'Raw Data'!F1307</f>
        <v>120.14</v>
      </c>
    </row>
    <row r="1305" spans="1:4" x14ac:dyDescent="0.25">
      <c r="A1305" t="str">
        <f>'Raw Data'!A1308</f>
        <v>05/07/2025</v>
      </c>
      <c r="B1305" t="str">
        <f>'Raw Data'!C1308</f>
        <v>AMAZON MARKEPLACE NA PA</v>
      </c>
      <c r="C1305" t="str">
        <f>'Raw Data'!I1308</f>
        <v>Amazon</v>
      </c>
      <c r="D1305" s="31">
        <f>'Raw Data'!F1308</f>
        <v>129.87</v>
      </c>
    </row>
    <row r="1306" spans="1:4" x14ac:dyDescent="0.25">
      <c r="A1306" t="str">
        <f>'Raw Data'!A1309</f>
        <v>05/07/2025</v>
      </c>
      <c r="B1306" t="str">
        <f>'Raw Data'!C1309</f>
        <v>DNH*GODADDY#37387975Tempe               AZ</v>
      </c>
      <c r="C1306" t="str">
        <f>'Raw Data'!I1309</f>
        <v>Go Daddy</v>
      </c>
      <c r="D1306" s="31">
        <f>'Raw Data'!F1309</f>
        <v>10.99</v>
      </c>
    </row>
    <row r="1307" spans="1:4" x14ac:dyDescent="0.25">
      <c r="A1307" t="str">
        <f>'Raw Data'!A1310</f>
        <v>05/07/2025</v>
      </c>
      <c r="B1307" t="str">
        <f>'Raw Data'!C1310</f>
        <v>READ - MEETING MANAGSEATTLE             WA</v>
      </c>
      <c r="C1307" t="str">
        <f>'Raw Data'!I1310</f>
        <v>DWG Operations</v>
      </c>
      <c r="D1307" s="31">
        <f>'Raw Data'!F1310</f>
        <v>59.5</v>
      </c>
    </row>
    <row r="1308" spans="1:4" x14ac:dyDescent="0.25">
      <c r="A1308" t="str">
        <f>'Raw Data'!A1311</f>
        <v>05/07/2025</v>
      </c>
      <c r="B1308" t="str">
        <f>'Raw Data'!C1311</f>
        <v>TST* BLUEYS KITCHEN LOS ANGELES         CA</v>
      </c>
      <c r="C1308" t="str">
        <f>'Raw Data'!I1311</f>
        <v>Personal - Food</v>
      </c>
      <c r="D1308" s="31">
        <f>'Raw Data'!F1311</f>
        <v>62.17</v>
      </c>
    </row>
    <row r="1309" spans="1:4" x14ac:dyDescent="0.25">
      <c r="A1309" t="str">
        <f>'Raw Data'!A1312</f>
        <v>05/06/2025</v>
      </c>
      <c r="B1309" t="str">
        <f>'Raw Data'!C1312</f>
        <v>ALLAN JEFFRIES FRAMISANTA MONICA        CA</v>
      </c>
      <c r="C1309" t="str">
        <f>'Raw Data'!I1312</f>
        <v>Personal - House</v>
      </c>
      <c r="D1309" s="31">
        <f>'Raw Data'!F1312</f>
        <v>1319.03</v>
      </c>
    </row>
    <row r="1310" spans="1:4" x14ac:dyDescent="0.25">
      <c r="A1310" t="str">
        <f>'Raw Data'!A1313</f>
        <v>05/06/2025</v>
      </c>
      <c r="B1310" t="str">
        <f>'Raw Data'!C1313</f>
        <v>AMAZON PRIME*NB2FR2DAMZN.COM/BILL       WA</v>
      </c>
      <c r="C1310" t="str">
        <f>'Raw Data'!I1313</f>
        <v>Amazon</v>
      </c>
      <c r="D1310" s="31">
        <f>'Raw Data'!F1313</f>
        <v>3.24</v>
      </c>
    </row>
    <row r="1311" spans="1:4" x14ac:dyDescent="0.25">
      <c r="A1311" t="str">
        <f>'Raw Data'!A1314</f>
        <v>05/06/2025</v>
      </c>
      <c r="B1311" t="str">
        <f>'Raw Data'!C1314</f>
        <v>Amazon Prime        Amazon.com          WA</v>
      </c>
      <c r="C1311" t="str">
        <f>'Raw Data'!I1314</f>
        <v>Amazon</v>
      </c>
      <c r="D1311" s="31">
        <f>'Raw Data'!F1314</f>
        <v>16.23</v>
      </c>
    </row>
    <row r="1312" spans="1:4" x14ac:dyDescent="0.25">
      <c r="A1312" t="str">
        <f>'Raw Data'!A1315</f>
        <v>05/06/2025</v>
      </c>
      <c r="B1312" t="str">
        <f>'Raw Data'!C1315</f>
        <v>BRAVE.COM           SAN FRANCISCO       CA</v>
      </c>
      <c r="C1312" t="str">
        <f>'Raw Data'!I1315</f>
        <v>Software &amp; Subscriptions</v>
      </c>
      <c r="D1312" s="31">
        <f>'Raw Data'!F1315</f>
        <v>9.99</v>
      </c>
    </row>
    <row r="1313" spans="1:4" x14ac:dyDescent="0.25">
      <c r="A1313" t="str">
        <f>'Raw Data'!A1316</f>
        <v>05/06/2025</v>
      </c>
      <c r="B1313" t="str">
        <f>'Raw Data'!C1316</f>
        <v>CREXI               LOS ANGELES         CA</v>
      </c>
      <c r="C1313" t="str">
        <f>'Raw Data'!I1316</f>
        <v>DWG Listing Platform</v>
      </c>
      <c r="D1313" s="31">
        <f>'Raw Data'!F1316</f>
        <v>260</v>
      </c>
    </row>
    <row r="1314" spans="1:4" x14ac:dyDescent="0.25">
      <c r="A1314" t="str">
        <f>'Raw Data'!A1317</f>
        <v>05/06/2025</v>
      </c>
      <c r="B1314" t="str">
        <f>'Raw Data'!C1317</f>
        <v>DNH*GODADDY#37374988Tempe               AZ</v>
      </c>
      <c r="C1314" t="str">
        <f>'Raw Data'!I1317</f>
        <v>Go Daddy</v>
      </c>
      <c r="D1314" s="31">
        <f>'Raw Data'!F1317</f>
        <v>30.97</v>
      </c>
    </row>
    <row r="1315" spans="1:4" x14ac:dyDescent="0.25">
      <c r="A1315" t="str">
        <f>'Raw Data'!A1318</f>
        <v>05/06/2025</v>
      </c>
      <c r="B1315" t="str">
        <f>'Raw Data'!C1318</f>
        <v>GDP=Universal Art Gavenice              CA</v>
      </c>
      <c r="C1315" t="str">
        <f>'Raw Data'!I1318</f>
        <v>Personal - House</v>
      </c>
      <c r="D1315" s="31">
        <f>'Raw Data'!F1318</f>
        <v>614.6</v>
      </c>
    </row>
    <row r="1316" spans="1:4" x14ac:dyDescent="0.25">
      <c r="A1316" t="str">
        <f>'Raw Data'!A1319</f>
        <v>05/05/2025</v>
      </c>
      <c r="B1316" t="str">
        <f>'Raw Data'!C1319</f>
        <v>AMAZON MARKETPLACE NAMZN.COM/BILL       WA</v>
      </c>
      <c r="C1316" t="str">
        <f>'Raw Data'!I1319</f>
        <v>Amazon</v>
      </c>
      <c r="D1316" s="31">
        <f>'Raw Data'!F1319</f>
        <v>-620.85</v>
      </c>
    </row>
    <row r="1317" spans="1:4" x14ac:dyDescent="0.25">
      <c r="A1317" t="str">
        <f>'Raw Data'!A1320</f>
        <v>05/05/2025</v>
      </c>
      <c r="B1317" t="str">
        <f>'Raw Data'!C1320</f>
        <v>AMAZON MARKEPLACE NA PA</v>
      </c>
      <c r="C1317" t="str">
        <f>'Raw Data'!I1320</f>
        <v>Amazon</v>
      </c>
      <c r="D1317" s="31">
        <f>'Raw Data'!F1320</f>
        <v>620.85</v>
      </c>
    </row>
    <row r="1318" spans="1:4" x14ac:dyDescent="0.25">
      <c r="A1318" t="str">
        <f>'Raw Data'!A1321</f>
        <v>05/05/2025</v>
      </c>
      <c r="B1318" t="str">
        <f>'Raw Data'!C1321</f>
        <v>CVS PHARMACY        MARINA DEL REY      CA</v>
      </c>
      <c r="C1318" t="str">
        <f>'Raw Data'!I1321</f>
        <v>Personal - Health</v>
      </c>
      <c r="D1318" s="31">
        <f>'Raw Data'!F1321</f>
        <v>272.20999999999998</v>
      </c>
    </row>
    <row r="1319" spans="1:4" x14ac:dyDescent="0.25">
      <c r="A1319" t="str">
        <f>'Raw Data'!A1322</f>
        <v>05/05/2025</v>
      </c>
      <c r="B1319" t="str">
        <f>'Raw Data'!C1322</f>
        <v>DNH*GODADDY#37358457Tempe               AZ</v>
      </c>
      <c r="C1319" t="str">
        <f>'Raw Data'!I1322</f>
        <v>Go Daddy</v>
      </c>
      <c r="D1319" s="31">
        <f>'Raw Data'!F1322</f>
        <v>17.97</v>
      </c>
    </row>
    <row r="1320" spans="1:4" x14ac:dyDescent="0.25">
      <c r="A1320" t="str">
        <f>'Raw Data'!A1323</f>
        <v>05/04/2025</v>
      </c>
      <c r="B1320" t="str">
        <f>'Raw Data'!C1323</f>
        <v>AMAZON MARKETPLACE NAMZN.COM/BILL       WA</v>
      </c>
      <c r="C1320" t="str">
        <f>'Raw Data'!I1323</f>
        <v>Amazon</v>
      </c>
      <c r="D1320" s="31">
        <f>'Raw Data'!F1323</f>
        <v>-66.25</v>
      </c>
    </row>
    <row r="1321" spans="1:4" x14ac:dyDescent="0.25">
      <c r="A1321" t="str">
        <f>'Raw Data'!A1324</f>
        <v>05/04/2025</v>
      </c>
      <c r="B1321" t="str">
        <f>'Raw Data'!C1324</f>
        <v>AMAZON MARKEPLACE NA PA</v>
      </c>
      <c r="C1321" t="str">
        <f>'Raw Data'!I1324</f>
        <v>Amazon</v>
      </c>
      <c r="D1321" s="31">
        <f>'Raw Data'!F1324</f>
        <v>66.25</v>
      </c>
    </row>
    <row r="1322" spans="1:4" x14ac:dyDescent="0.25">
      <c r="A1322" t="str">
        <f>'Raw Data'!A1325</f>
        <v>05/04/2025</v>
      </c>
      <c r="B1322" t="str">
        <f>'Raw Data'!C1325</f>
        <v>AMAZON.COM          AMZN.COM/BILL       WA</v>
      </c>
      <c r="C1322" t="str">
        <f>'Raw Data'!I1325</f>
        <v>Amazon</v>
      </c>
      <c r="D1322" s="31">
        <f>'Raw Data'!F1325</f>
        <v>162.36000000000001</v>
      </c>
    </row>
    <row r="1323" spans="1:4" x14ac:dyDescent="0.25">
      <c r="A1323" t="str">
        <f>'Raw Data'!A1326</f>
        <v>05/04/2025</v>
      </c>
      <c r="B1323" t="str">
        <f>'Raw Data'!C1326</f>
        <v>DNH*GODADDY#37351667Tempe               AZ</v>
      </c>
      <c r="C1323" t="str">
        <f>'Raw Data'!I1326</f>
        <v>Go Daddy</v>
      </c>
      <c r="D1323" s="31">
        <f>'Raw Data'!F1326</f>
        <v>40.97</v>
      </c>
    </row>
    <row r="1324" spans="1:4" x14ac:dyDescent="0.25">
      <c r="A1324" t="str">
        <f>'Raw Data'!A1327</f>
        <v>05/04/2025</v>
      </c>
      <c r="B1324" t="str">
        <f>'Raw Data'!C1327</f>
        <v>ON INC              PORTLAND            OR</v>
      </c>
      <c r="C1324" t="str">
        <f>'Raw Data'!I1327</f>
        <v>Personal - Clothing</v>
      </c>
      <c r="D1324" s="31">
        <f>'Raw Data'!F1327</f>
        <v>175.6</v>
      </c>
    </row>
    <row r="1325" spans="1:4" x14ac:dyDescent="0.25">
      <c r="A1325" t="str">
        <f>'Raw Data'!A1328</f>
        <v>05/04/2025</v>
      </c>
      <c r="B1325" t="str">
        <f>'Raw Data'!C1328</f>
        <v>TST* BLUEYS KITCHEN LOS ANGELES         CA</v>
      </c>
      <c r="C1325" t="str">
        <f>'Raw Data'!I1328</f>
        <v>Personal - Food</v>
      </c>
      <c r="D1325" s="31">
        <f>'Raw Data'!F1328</f>
        <v>179.56</v>
      </c>
    </row>
    <row r="1326" spans="1:4" x14ac:dyDescent="0.25">
      <c r="A1326" t="str">
        <f>'Raw Data'!A1329</f>
        <v>05/04/2025</v>
      </c>
      <c r="B1326" t="str">
        <f>'Raw Data'!C1329</f>
        <v>TST* CAFE GRATITUDE VENICE              CA</v>
      </c>
      <c r="C1326" t="str">
        <f>'Raw Data'!I1329</f>
        <v>Personal - Food</v>
      </c>
      <c r="D1326" s="31">
        <f>'Raw Data'!F1329</f>
        <v>131.38999999999999</v>
      </c>
    </row>
    <row r="1327" spans="1:4" x14ac:dyDescent="0.25">
      <c r="A1327" t="str">
        <f>'Raw Data'!A1330</f>
        <v>05/03/2025</v>
      </c>
      <c r="B1327" t="str">
        <f>'Raw Data'!C1330</f>
        <v>AMAZON MARKETPLACE NAMZN.COM/BILL       WA</v>
      </c>
      <c r="C1327" t="str">
        <f>'Raw Data'!I1330</f>
        <v>Amazon</v>
      </c>
      <c r="D1327" s="31">
        <f>'Raw Data'!F1330</f>
        <v>-827.8</v>
      </c>
    </row>
    <row r="1328" spans="1:4" x14ac:dyDescent="0.25">
      <c r="A1328" t="str">
        <f>'Raw Data'!A1331</f>
        <v>05/03/2025</v>
      </c>
      <c r="B1328" t="str">
        <f>'Raw Data'!C1331</f>
        <v>AMAZON MARKEPLACE NA PA</v>
      </c>
      <c r="C1328" t="str">
        <f>'Raw Data'!I1331</f>
        <v>Amazon</v>
      </c>
      <c r="D1328" s="31">
        <f>'Raw Data'!F1331</f>
        <v>827.8</v>
      </c>
    </row>
    <row r="1329" spans="1:4" x14ac:dyDescent="0.25">
      <c r="A1329" t="str">
        <f>'Raw Data'!A1332</f>
        <v>05/03/2025</v>
      </c>
      <c r="B1329" t="str">
        <f>'Raw Data'!C1332</f>
        <v>CONTACTS+           HUNTINGTON BEACH    CA</v>
      </c>
      <c r="C1329" t="str">
        <f>'Raw Data'!I1332</f>
        <v>Personal - Health</v>
      </c>
      <c r="D1329" s="31">
        <f>'Raw Data'!F1332</f>
        <v>13.99</v>
      </c>
    </row>
    <row r="1330" spans="1:4" x14ac:dyDescent="0.25">
      <c r="A1330" t="str">
        <f>'Raw Data'!A1333</f>
        <v>05/03/2025</v>
      </c>
      <c r="B1330" t="str">
        <f>'Raw Data'!C1333</f>
        <v>PACOS TACOS 0755    LOS ANGELES         CA</v>
      </c>
      <c r="C1330" t="str">
        <f>'Raw Data'!I1333</f>
        <v>Personal - Food</v>
      </c>
      <c r="D1330" s="31">
        <f>'Raw Data'!F1333</f>
        <v>130</v>
      </c>
    </row>
    <row r="1331" spans="1:4" x14ac:dyDescent="0.25">
      <c r="A1331" t="str">
        <f>'Raw Data'!A1334</f>
        <v>05/03/2025</v>
      </c>
      <c r="B1331" t="str">
        <f>'Raw Data'!C1334</f>
        <v>SALESMESSAGE.COM    DELRAY BEACH        FL</v>
      </c>
      <c r="C1331" t="str">
        <f>'Raw Data'!I1334</f>
        <v>Software &amp; Subscriptions</v>
      </c>
      <c r="D1331" s="31">
        <f>'Raw Data'!F1334</f>
        <v>52.14</v>
      </c>
    </row>
    <row r="1332" spans="1:4" x14ac:dyDescent="0.25">
      <c r="A1332" t="str">
        <f>'Raw Data'!A1335</f>
        <v>05/03/2025</v>
      </c>
      <c r="B1332" t="str">
        <f>'Raw Data'!C1335</f>
        <v>STAPLES 00127       VENICE              CA</v>
      </c>
      <c r="C1332" t="str">
        <f>'Raw Data'!I1335</f>
        <v>DWG Operations</v>
      </c>
      <c r="D1332" s="31">
        <f>'Raw Data'!F1335</f>
        <v>133.82</v>
      </c>
    </row>
    <row r="1333" spans="1:4" x14ac:dyDescent="0.25">
      <c r="A1333" t="str">
        <f>'Raw Data'!A1336</f>
        <v>05/03/2025</v>
      </c>
      <c r="B1333" t="str">
        <f>'Raw Data'!C1336</f>
        <v>STAPLES 00127       VENICE              CA</v>
      </c>
      <c r="C1333" t="str">
        <f>'Raw Data'!I1336</f>
        <v>DWG Operations</v>
      </c>
      <c r="D1333" s="31">
        <f>'Raw Data'!F1336</f>
        <v>856.02</v>
      </c>
    </row>
    <row r="1334" spans="1:4" x14ac:dyDescent="0.25">
      <c r="A1334" t="str">
        <f>'Raw Data'!A1337</f>
        <v>05/03/2025</v>
      </c>
      <c r="B1334" t="str">
        <f>'Raw Data'!C1337</f>
        <v>STARBUCKS STORE 0566SANTA MONICA        CA</v>
      </c>
      <c r="C1334" t="str">
        <f>'Raw Data'!I1337</f>
        <v>Personal - Food</v>
      </c>
      <c r="D1334" s="31">
        <f>'Raw Data'!F1337</f>
        <v>8.5</v>
      </c>
    </row>
    <row r="1335" spans="1:4" x14ac:dyDescent="0.25">
      <c r="A1335" t="str">
        <f>'Raw Data'!A1338</f>
        <v>05/03/2025</v>
      </c>
      <c r="B1335" t="str">
        <f>'Raw Data'!C1338</f>
        <v>TST* TAVERNA AT THE LOS ANGELES         CA</v>
      </c>
      <c r="C1335" t="str">
        <f>'Raw Data'!I1338</f>
        <v>Personal - Food</v>
      </c>
      <c r="D1335" s="31">
        <f>'Raw Data'!F1338</f>
        <v>268.94</v>
      </c>
    </row>
    <row r="1336" spans="1:4" x14ac:dyDescent="0.25">
      <c r="A1336" t="str">
        <f>'Raw Data'!A1339</f>
        <v>05/02/2025</v>
      </c>
      <c r="B1336" t="str">
        <f>'Raw Data'!C1339</f>
        <v>AMAZON MARKETPLACE NAMZN.COM/BILL       WA</v>
      </c>
      <c r="C1336" t="str">
        <f>'Raw Data'!I1339</f>
        <v>Amazon</v>
      </c>
      <c r="D1336" s="31">
        <f>'Raw Data'!F1339</f>
        <v>-620.85</v>
      </c>
    </row>
    <row r="1337" spans="1:4" x14ac:dyDescent="0.25">
      <c r="A1337" t="str">
        <f>'Raw Data'!A1340</f>
        <v>05/02/2025</v>
      </c>
      <c r="B1337" t="str">
        <f>'Raw Data'!C1340</f>
        <v>AMAZON MARKEPLACE NA PA</v>
      </c>
      <c r="C1337" t="str">
        <f>'Raw Data'!I1340</f>
        <v>Amazon</v>
      </c>
      <c r="D1337" s="31">
        <f>'Raw Data'!F1340</f>
        <v>620.85</v>
      </c>
    </row>
    <row r="1338" spans="1:4" x14ac:dyDescent="0.25">
      <c r="A1338" t="str">
        <f>'Raw Data'!A1341</f>
        <v>05/02/2025</v>
      </c>
      <c r="B1338" t="str">
        <f>'Raw Data'!C1341</f>
        <v>AMAZON.COM          AMZN.COM/BILL       WA</v>
      </c>
      <c r="C1338" t="str">
        <f>'Raw Data'!I1341</f>
        <v>Amazon</v>
      </c>
      <c r="D1338" s="31">
        <f>'Raw Data'!F1341</f>
        <v>97.4</v>
      </c>
    </row>
    <row r="1339" spans="1:4" x14ac:dyDescent="0.25">
      <c r="A1339" t="str">
        <f>'Raw Data'!A1342</f>
        <v>05/02/2025</v>
      </c>
      <c r="B1339" t="str">
        <f>'Raw Data'!C1342</f>
        <v>AMAZON.COM          AMZN.COM/BILL       WA</v>
      </c>
      <c r="C1339" t="str">
        <f>'Raw Data'!I1342</f>
        <v>Amazon</v>
      </c>
      <c r="D1339" s="31">
        <f>'Raw Data'!F1342</f>
        <v>143.69</v>
      </c>
    </row>
    <row r="1340" spans="1:4" x14ac:dyDescent="0.25">
      <c r="A1340" t="str">
        <f>'Raw Data'!A1343</f>
        <v>05/02/2025</v>
      </c>
      <c r="B1340" t="str">
        <f>'Raw Data'!C1343</f>
        <v>AMAZON.COM          AMZN.COM/BILL       WA</v>
      </c>
      <c r="C1340" t="str">
        <f>'Raw Data'!I1343</f>
        <v>Amazon</v>
      </c>
      <c r="D1340" s="31">
        <f>'Raw Data'!F1343</f>
        <v>454.59</v>
      </c>
    </row>
    <row r="1341" spans="1:4" x14ac:dyDescent="0.25">
      <c r="A1341" t="str">
        <f>'Raw Data'!A1344</f>
        <v>05/01/2025</v>
      </c>
      <c r="B1341" t="str">
        <f>'Raw Data'!C1344</f>
        <v>ABC*ICONFIT         LOS ANGELES         CA</v>
      </c>
      <c r="C1341" t="str">
        <f>'Raw Data'!I1344</f>
        <v>Personal - Health</v>
      </c>
      <c r="D1341" s="31">
        <f>'Raw Data'!F1344</f>
        <v>169.52</v>
      </c>
    </row>
    <row r="1342" spans="1:4" x14ac:dyDescent="0.25">
      <c r="A1342" t="str">
        <f>'Raw Data'!A1345</f>
        <v>05/01/2025</v>
      </c>
      <c r="B1342" t="str">
        <f>'Raw Data'!C1345</f>
        <v>AMAZON MARKETPLACE NAMZN.COM/BILL       WA</v>
      </c>
      <c r="C1342" t="str">
        <f>'Raw Data'!I1345</f>
        <v>Amazon</v>
      </c>
      <c r="D1342" s="31">
        <f>'Raw Data'!F1345</f>
        <v>-508.95</v>
      </c>
    </row>
    <row r="1343" spans="1:4" x14ac:dyDescent="0.25">
      <c r="A1343" t="str">
        <f>'Raw Data'!A1346</f>
        <v>05/01/2025</v>
      </c>
      <c r="B1343" t="str">
        <f>'Raw Data'!C1346</f>
        <v>AMAZON MARKEPLACE NA PA</v>
      </c>
      <c r="C1343" t="str">
        <f>'Raw Data'!I1346</f>
        <v>Amazon</v>
      </c>
      <c r="D1343" s="31">
        <f>'Raw Data'!F1346</f>
        <v>508.95</v>
      </c>
    </row>
    <row r="1344" spans="1:4" x14ac:dyDescent="0.25">
      <c r="A1344" t="str">
        <f>'Raw Data'!A1347</f>
        <v>05/01/2025</v>
      </c>
      <c r="B1344" t="str">
        <f>'Raw Data'!C1347</f>
        <v>DNH*GODADDY#37318642Tempe               AZ</v>
      </c>
      <c r="C1344" t="str">
        <f>'Raw Data'!I1347</f>
        <v>Go Daddy</v>
      </c>
      <c r="D1344" s="31">
        <f>'Raw Data'!F1347</f>
        <v>30.97</v>
      </c>
    </row>
    <row r="1345" spans="1:4" x14ac:dyDescent="0.25">
      <c r="A1345" t="str">
        <f>'Raw Data'!A1348</f>
        <v>05/01/2025</v>
      </c>
      <c r="B1345" t="str">
        <f>'Raw Data'!C1348</f>
        <v>LOOM SUBSCRIPTION   SAN FRANCISCO       CA</v>
      </c>
      <c r="C1345" t="str">
        <f>'Raw Data'!I1348</f>
        <v>Software &amp; Subscriptions</v>
      </c>
      <c r="D1345" s="31">
        <f>'Raw Data'!F1348</f>
        <v>20</v>
      </c>
    </row>
    <row r="1346" spans="1:4" x14ac:dyDescent="0.25">
      <c r="A1346" t="str">
        <f>'Raw Data'!A1349</f>
        <v>05/01/2025</v>
      </c>
      <c r="B1346" t="str">
        <f>'Raw Data'!C1349</f>
        <v>TST* LIBERTY MARKET GILBERT             AZ</v>
      </c>
      <c r="C1346" t="str">
        <f>'Raw Data'!I1349</f>
        <v>Personal - Food</v>
      </c>
      <c r="D1346" s="31">
        <f>'Raw Data'!F1349</f>
        <v>75.650000000000006</v>
      </c>
    </row>
    <row r="1347" spans="1:4" x14ac:dyDescent="0.25">
      <c r="A1347" t="str">
        <f>'Raw Data'!A1350</f>
        <v>05/01/2025</v>
      </c>
      <c r="B1347" t="str">
        <f>'Raw Data'!C1350</f>
        <v>TST* THAI SPICES 000MESA                AZ</v>
      </c>
      <c r="C1347" t="str">
        <f>'Raw Data'!I1350</f>
        <v>Personal - Food</v>
      </c>
      <c r="D1347" s="31">
        <f>'Raw Data'!F1350</f>
        <v>142.69</v>
      </c>
    </row>
    <row r="1348" spans="1:4" x14ac:dyDescent="0.25">
      <c r="A1348" t="str">
        <f>'Raw Data'!A1351</f>
        <v>04/30/2025</v>
      </c>
      <c r="B1348" t="str">
        <f>'Raw Data'!C1351</f>
        <v>AMAZON MARKETPLACE NAMZN.COM/BILL       WA</v>
      </c>
      <c r="C1348" t="str">
        <f>'Raw Data'!I1351</f>
        <v>Amazon</v>
      </c>
      <c r="D1348" s="31">
        <f>'Raw Data'!F1351</f>
        <v>-423.8</v>
      </c>
    </row>
    <row r="1349" spans="1:4" x14ac:dyDescent="0.25">
      <c r="A1349" t="str">
        <f>'Raw Data'!A1352</f>
        <v>04/30/2025</v>
      </c>
      <c r="B1349" t="str">
        <f>'Raw Data'!C1352</f>
        <v>AMAZON MARKEPLACE NA PA</v>
      </c>
      <c r="C1349" t="str">
        <f>'Raw Data'!I1352</f>
        <v>Amazon</v>
      </c>
      <c r="D1349" s="31">
        <f>'Raw Data'!F1352</f>
        <v>423.8</v>
      </c>
    </row>
    <row r="1350" spans="1:4" x14ac:dyDescent="0.25">
      <c r="A1350" t="str">
        <f>'Raw Data'!A1353</f>
        <v>04/30/2025</v>
      </c>
      <c r="B1350" t="str">
        <f>'Raw Data'!C1353</f>
        <v>AMAZON.COM          AMZN.COM/BILL       WA</v>
      </c>
      <c r="C1350" t="str">
        <f>'Raw Data'!I1353</f>
        <v>Amazon</v>
      </c>
      <c r="D1350" s="31">
        <f>'Raw Data'!F1353</f>
        <v>238.12</v>
      </c>
    </row>
    <row r="1351" spans="1:4" x14ac:dyDescent="0.25">
      <c r="A1351" t="str">
        <f>'Raw Data'!A1354</f>
        <v>04/30/2025</v>
      </c>
      <c r="B1351" t="str">
        <f>'Raw Data'!C1354</f>
        <v>CHEVRON 0388242/CHEVTEMPE               AZ</v>
      </c>
      <c r="C1351" t="str">
        <f>'Raw Data'!I1354</f>
        <v>Personal - Car</v>
      </c>
      <c r="D1351" s="31">
        <f>'Raw Data'!F1354</f>
        <v>44.35</v>
      </c>
    </row>
    <row r="1352" spans="1:4" x14ac:dyDescent="0.25">
      <c r="A1352" t="str">
        <f>'Raw Data'!A1355</f>
        <v>04/30/2025</v>
      </c>
      <c r="B1352" t="str">
        <f>'Raw Data'!C1355</f>
        <v>CTLP*Funky Photo BooCHANDLER            AZ</v>
      </c>
      <c r="C1352" t="str">
        <f>'Raw Data'!I1355</f>
        <v>Personal - Entertainment</v>
      </c>
      <c r="D1352" s="31">
        <f>'Raw Data'!F1355</f>
        <v>5</v>
      </c>
    </row>
    <row r="1353" spans="1:4" x14ac:dyDescent="0.25">
      <c r="A1353" t="str">
        <f>'Raw Data'!A1356</f>
        <v>04/30/2025</v>
      </c>
      <c r="B1353" t="str">
        <f>'Raw Data'!C1356</f>
        <v>MASSAGE 90210 565500CHANDLER            AZ</v>
      </c>
      <c r="C1353" t="str">
        <f>'Raw Data'!I1356</f>
        <v>Personal - Health</v>
      </c>
      <c r="D1353" s="31">
        <f>'Raw Data'!F1356</f>
        <v>303</v>
      </c>
    </row>
    <row r="1354" spans="1:4" x14ac:dyDescent="0.25">
      <c r="A1354" t="str">
        <f>'Raw Data'!A1357</f>
        <v>04/30/2025</v>
      </c>
      <c r="B1354" t="str">
        <f>'Raw Data'!C1357</f>
        <v>MERCEDES BENZ OF AUSAUSTIN              TX</v>
      </c>
      <c r="C1354" t="str">
        <f>'Raw Data'!I1357</f>
        <v>Personal - Car</v>
      </c>
      <c r="D1354" s="31">
        <f>'Raw Data'!F1357</f>
        <v>1441.77</v>
      </c>
    </row>
    <row r="1355" spans="1:4" x14ac:dyDescent="0.25">
      <c r="A1355" t="str">
        <f>'Raw Data'!A1358</f>
        <v>04/30/2025</v>
      </c>
      <c r="B1355" t="str">
        <f>'Raw Data'!C1358</f>
        <v>THE NILE            Mesa                AZ</v>
      </c>
      <c r="C1355" t="str">
        <f>'Raw Data'!I1358</f>
        <v>Personal - Entertainment</v>
      </c>
      <c r="D1355" s="31">
        <f>'Raw Data'!F1358</f>
        <v>23.39</v>
      </c>
    </row>
    <row r="1356" spans="1:4" x14ac:dyDescent="0.25">
      <c r="A1356" t="str">
        <f>'Raw Data'!A1359</f>
        <v>04/29/2025</v>
      </c>
      <c r="B1356" t="str">
        <f>'Raw Data'!C1359</f>
        <v>AXS.COM*TICKET RESALLOS ANGELES         CA</v>
      </c>
      <c r="C1356" t="str">
        <f>'Raw Data'!I1359</f>
        <v>Personal - Entertainment</v>
      </c>
      <c r="D1356" s="31">
        <f>'Raw Data'!F1359</f>
        <v>696.33</v>
      </c>
    </row>
    <row r="1357" spans="1:4" x14ac:dyDescent="0.25">
      <c r="A1357" t="str">
        <f>'Raw Data'!A1360</f>
        <v>04/29/2025</v>
      </c>
      <c r="B1357" t="str">
        <f>'Raw Data'!C1360</f>
        <v>OPENAI *CHATGPT SUBSSAN FRANCISCO       CA</v>
      </c>
      <c r="C1357" t="str">
        <f>'Raw Data'!I1360</f>
        <v>AI Subscriptions</v>
      </c>
      <c r="D1357" s="31">
        <f>'Raw Data'!F1360</f>
        <v>20</v>
      </c>
    </row>
    <row r="1358" spans="1:4" x14ac:dyDescent="0.25">
      <c r="A1358" t="str">
        <f>'Raw Data'!A1361</f>
        <v>04/28/2025</v>
      </c>
      <c r="B1358" t="str">
        <f>'Raw Data'!C1361</f>
        <v>CUSTOMER SERVICE PAYMENT - THANK YOU</v>
      </c>
      <c r="C1358" t="str">
        <f>'Raw Data'!I1361</f>
        <v>Online AMEX Payment</v>
      </c>
      <c r="D1358" s="31">
        <f>'Raw Data'!F1361</f>
        <v>-40000</v>
      </c>
    </row>
    <row r="1359" spans="1:4" x14ac:dyDescent="0.25">
      <c r="A1359" t="str">
        <f>'Raw Data'!A1362</f>
        <v>04/27/2025</v>
      </c>
      <c r="B1359" t="str">
        <f>'Raw Data'!C1362</f>
        <v>AMAZON MARKETPLACE NAMZN.COM/BILL       WA</v>
      </c>
      <c r="C1359" t="str">
        <f>'Raw Data'!I1362</f>
        <v>Amazon</v>
      </c>
      <c r="D1359" s="31">
        <f>'Raw Data'!F1362</f>
        <v>-28.13</v>
      </c>
    </row>
    <row r="1360" spans="1:4" x14ac:dyDescent="0.25">
      <c r="A1360" t="str">
        <f>'Raw Data'!A1363</f>
        <v>04/27/2025</v>
      </c>
      <c r="B1360" t="str">
        <f>'Raw Data'!C1363</f>
        <v>AMAZON MARKEPLACE NA PA</v>
      </c>
      <c r="C1360" t="str">
        <f>'Raw Data'!I1363</f>
        <v>Amazon</v>
      </c>
      <c r="D1360" s="31">
        <f>'Raw Data'!F1363</f>
        <v>28.13</v>
      </c>
    </row>
    <row r="1361" spans="1:4" x14ac:dyDescent="0.25">
      <c r="A1361" t="str">
        <f>'Raw Data'!A1364</f>
        <v>04/27/2025</v>
      </c>
      <c r="B1361" t="str">
        <f>'Raw Data'!C1364</f>
        <v>DNH*GODADDY#37270277Tempe               AZ</v>
      </c>
      <c r="C1361" t="str">
        <f>'Raw Data'!I1364</f>
        <v>Go Daddy</v>
      </c>
      <c r="D1361" s="31">
        <f>'Raw Data'!F1364</f>
        <v>11.99</v>
      </c>
    </row>
    <row r="1362" spans="1:4" x14ac:dyDescent="0.25">
      <c r="A1362" t="str">
        <f>'Raw Data'!A1365</f>
        <v>04/27/2025</v>
      </c>
      <c r="B1362" t="str">
        <f>'Raw Data'!C1365</f>
        <v>OPENAI *CHATGPT SUBSSAN FRANCISCO       CA</v>
      </c>
      <c r="C1362" t="str">
        <f>'Raw Data'!I1365</f>
        <v>AI Subscriptions</v>
      </c>
      <c r="D1362" s="31">
        <f>'Raw Data'!F1365</f>
        <v>20</v>
      </c>
    </row>
    <row r="1363" spans="1:4" x14ac:dyDescent="0.25">
      <c r="A1363" t="str">
        <f>'Raw Data'!A1366</f>
        <v>04/27/2025</v>
      </c>
      <c r="B1363" t="str">
        <f>'Raw Data'!C1366</f>
        <v>SPLICE.COM          NEW YORK CITY       NY</v>
      </c>
      <c r="C1363" t="str">
        <f>'Raw Data'!I1366</f>
        <v>Software &amp; Subscriptions</v>
      </c>
      <c r="D1363" s="31">
        <f>'Raw Data'!F1366</f>
        <v>39.99</v>
      </c>
    </row>
    <row r="1364" spans="1:4" x14ac:dyDescent="0.25">
      <c r="A1364" t="str">
        <f>'Raw Data'!A1367</f>
        <v>04/26/2025</v>
      </c>
      <c r="B1364" t="str">
        <f>'Raw Data'!C1367</f>
        <v>AMAZON MARKETPLACE NAMZN.COM/BILL       WA</v>
      </c>
      <c r="C1364" t="str">
        <f>'Raw Data'!I1367</f>
        <v>Amazon</v>
      </c>
      <c r="D1364" s="31">
        <f>'Raw Data'!F1367</f>
        <v>-620.85</v>
      </c>
    </row>
    <row r="1365" spans="1:4" x14ac:dyDescent="0.25">
      <c r="A1365" t="str">
        <f>'Raw Data'!A1368</f>
        <v>04/26/2025</v>
      </c>
      <c r="B1365" t="str">
        <f>'Raw Data'!C1368</f>
        <v>AMAZON MARKEPLACE NA PA</v>
      </c>
      <c r="C1365" t="str">
        <f>'Raw Data'!I1368</f>
        <v>Amazon</v>
      </c>
      <c r="D1365" s="31">
        <f>'Raw Data'!F1368</f>
        <v>620.85</v>
      </c>
    </row>
    <row r="1366" spans="1:4" x14ac:dyDescent="0.25">
      <c r="A1366" t="str">
        <f>'Raw Data'!A1369</f>
        <v>04/25/2025</v>
      </c>
      <c r="B1366" t="str">
        <f>'Raw Data'!C1369</f>
        <v>DNH*GODADDY#37244423Tempe               AZ</v>
      </c>
      <c r="C1366" t="str">
        <f>'Raw Data'!I1369</f>
        <v>Go Daddy</v>
      </c>
      <c r="D1366" s="31">
        <f>'Raw Data'!F1369</f>
        <v>471.62</v>
      </c>
    </row>
    <row r="1367" spans="1:4" x14ac:dyDescent="0.25">
      <c r="A1367" t="str">
        <f>'Raw Data'!A1370</f>
        <v>04/24/2025</v>
      </c>
      <c r="B1367" t="str">
        <f>'Raw Data'!C1370</f>
        <v>AMAZON MARKETPLACE NAMZN.COM/BILL       WA</v>
      </c>
      <c r="C1367" t="str">
        <f>'Raw Data'!I1370</f>
        <v>Amazon</v>
      </c>
      <c r="D1367" s="31">
        <f>'Raw Data'!F1370</f>
        <v>-413.9</v>
      </c>
    </row>
    <row r="1368" spans="1:4" x14ac:dyDescent="0.25">
      <c r="A1368" t="str">
        <f>'Raw Data'!A1371</f>
        <v>04/24/2025</v>
      </c>
      <c r="B1368" t="str">
        <f>'Raw Data'!C1371</f>
        <v>AMAZON MARKETPLACE NAMZN.COM/BILL       WA</v>
      </c>
      <c r="C1368" t="str">
        <f>'Raw Data'!I1371</f>
        <v>Amazon</v>
      </c>
      <c r="D1368" s="31">
        <f>'Raw Data'!F1371</f>
        <v>-117.46</v>
      </c>
    </row>
    <row r="1369" spans="1:4" x14ac:dyDescent="0.25">
      <c r="A1369" t="str">
        <f>'Raw Data'!A1372</f>
        <v>04/24/2025</v>
      </c>
      <c r="B1369" t="str">
        <f>'Raw Data'!C1372</f>
        <v>AMAZON MARKEPLACE NA PA</v>
      </c>
      <c r="C1369" t="str">
        <f>'Raw Data'!I1372</f>
        <v>Amazon</v>
      </c>
      <c r="D1369" s="31">
        <f>'Raw Data'!F1372</f>
        <v>117.46</v>
      </c>
    </row>
    <row r="1370" spans="1:4" x14ac:dyDescent="0.25">
      <c r="A1370" t="str">
        <f>'Raw Data'!A1373</f>
        <v>04/24/2025</v>
      </c>
      <c r="B1370" t="str">
        <f>'Raw Data'!C1373</f>
        <v>AMAZON MARKEPLACE NA PA</v>
      </c>
      <c r="C1370" t="str">
        <f>'Raw Data'!I1373</f>
        <v>Amazon</v>
      </c>
      <c r="D1370" s="31">
        <f>'Raw Data'!F1373</f>
        <v>413.9</v>
      </c>
    </row>
    <row r="1371" spans="1:4" x14ac:dyDescent="0.25">
      <c r="A1371" t="str">
        <f>'Raw Data'!A1374</f>
        <v>04/24/2025</v>
      </c>
      <c r="B1371" t="str">
        <f>'Raw Data'!C1374</f>
        <v>PAYPAL *BIGBOYSBLAS 7275437907          FL</v>
      </c>
      <c r="C1371" t="str">
        <f>'Raw Data'!I1374</f>
        <v>DWG Marketing</v>
      </c>
      <c r="D1371" s="31">
        <f>'Raw Data'!F1374</f>
        <v>139</v>
      </c>
    </row>
    <row r="1372" spans="1:4" x14ac:dyDescent="0.25">
      <c r="A1372" t="str">
        <f>'Raw Data'!A1375</f>
        <v>04/24/2025</v>
      </c>
      <c r="B1372" t="str">
        <f>'Raw Data'!C1375</f>
        <v>PROPERTYBLAST.COM   800-418-4452        FL</v>
      </c>
      <c r="C1372" t="str">
        <f>'Raw Data'!I1375</f>
        <v>DWG Marketing</v>
      </c>
      <c r="D1372" s="31">
        <f>'Raw Data'!F1375</f>
        <v>159</v>
      </c>
    </row>
    <row r="1373" spans="1:4" x14ac:dyDescent="0.25">
      <c r="A1373" t="str">
        <f>'Raw Data'!A1376</f>
        <v>04/23/2025</v>
      </c>
      <c r="B1373" t="str">
        <f>'Raw Data'!C1376</f>
        <v>AMAZON MARKETPLACE NAMZN.COM/BILL       WA</v>
      </c>
      <c r="C1373" t="str">
        <f>'Raw Data'!I1376</f>
        <v>Amazon</v>
      </c>
      <c r="D1373" s="31">
        <f>'Raw Data'!F1376</f>
        <v>-140.13</v>
      </c>
    </row>
    <row r="1374" spans="1:4" x14ac:dyDescent="0.25">
      <c r="A1374" t="str">
        <f>'Raw Data'!A1377</f>
        <v>04/23/2025</v>
      </c>
      <c r="B1374" t="str">
        <f>'Raw Data'!C1377</f>
        <v>AMAZON MARKETPLACE NAMZN.COM/BILL       WA</v>
      </c>
      <c r="C1374" t="str">
        <f>'Raw Data'!I1377</f>
        <v>Amazon</v>
      </c>
      <c r="D1374" s="31">
        <f>'Raw Data'!F1377</f>
        <v>-93.1</v>
      </c>
    </row>
    <row r="1375" spans="1:4" x14ac:dyDescent="0.25">
      <c r="A1375" t="str">
        <f>'Raw Data'!A1378</f>
        <v>04/23/2025</v>
      </c>
      <c r="B1375" t="str">
        <f>'Raw Data'!C1378</f>
        <v>AMAZON MARKEPLACE NA PA</v>
      </c>
      <c r="C1375" t="str">
        <f>'Raw Data'!I1378</f>
        <v>Amazon</v>
      </c>
      <c r="D1375" s="31">
        <f>'Raw Data'!F1378</f>
        <v>93.1</v>
      </c>
    </row>
    <row r="1376" spans="1:4" x14ac:dyDescent="0.25">
      <c r="A1376" t="str">
        <f>'Raw Data'!A1379</f>
        <v>04/23/2025</v>
      </c>
      <c r="B1376" t="str">
        <f>'Raw Data'!C1379</f>
        <v>AMAZON MARKEPLACE NA PA</v>
      </c>
      <c r="C1376" t="str">
        <f>'Raw Data'!I1379</f>
        <v>Amazon</v>
      </c>
      <c r="D1376" s="31">
        <f>'Raw Data'!F1379</f>
        <v>140.13</v>
      </c>
    </row>
    <row r="1377" spans="1:4" x14ac:dyDescent="0.25">
      <c r="A1377" t="str">
        <f>'Raw Data'!A1380</f>
        <v>04/23/2025</v>
      </c>
      <c r="B1377" t="str">
        <f>'Raw Data'!C1380</f>
        <v>DNH*GODADDY#37224430Tempe               AZ</v>
      </c>
      <c r="C1377" t="str">
        <f>'Raw Data'!I1380</f>
        <v>Go Daddy</v>
      </c>
      <c r="D1377" s="31">
        <f>'Raw Data'!F1380</f>
        <v>115.13</v>
      </c>
    </row>
    <row r="1378" spans="1:4" x14ac:dyDescent="0.25">
      <c r="A1378" t="str">
        <f>'Raw Data'!A1381</f>
        <v>04/22/2025</v>
      </c>
      <c r="B1378" t="str">
        <f>'Raw Data'!C1381</f>
        <v>AMAZON MARKETPLACE NAMZN.COM/BILL       WA</v>
      </c>
      <c r="C1378" t="str">
        <f>'Raw Data'!I1381</f>
        <v>Amazon</v>
      </c>
      <c r="D1378" s="31">
        <f>'Raw Data'!F1381</f>
        <v>-423.8</v>
      </c>
    </row>
    <row r="1379" spans="1:4" x14ac:dyDescent="0.25">
      <c r="A1379" t="str">
        <f>'Raw Data'!A1382</f>
        <v>04/22/2025</v>
      </c>
      <c r="B1379" t="str">
        <f>'Raw Data'!C1382</f>
        <v>AMAZON MARKEPLACE NA PA</v>
      </c>
      <c r="C1379" t="str">
        <f>'Raw Data'!I1382</f>
        <v>Amazon</v>
      </c>
      <c r="D1379" s="31">
        <f>'Raw Data'!F1382</f>
        <v>423.8</v>
      </c>
    </row>
    <row r="1380" spans="1:4" x14ac:dyDescent="0.25">
      <c r="A1380" t="str">
        <f>'Raw Data'!A1383</f>
        <v>04/22/2025</v>
      </c>
      <c r="B1380" t="str">
        <f>'Raw Data'!C1383</f>
        <v>DNH*GODADDY#37212709Tempe               AZ</v>
      </c>
      <c r="C1380" t="str">
        <f>'Raw Data'!I1383</f>
        <v>Go Daddy</v>
      </c>
      <c r="D1380" s="31">
        <f>'Raw Data'!F1383</f>
        <v>259.98</v>
      </c>
    </row>
    <row r="1381" spans="1:4" x14ac:dyDescent="0.25">
      <c r="A1381" t="str">
        <f>'Raw Data'!A1384</f>
        <v>04/21/2025</v>
      </c>
      <c r="B1381" t="str">
        <f>'Raw Data'!C1384</f>
        <v>AMAZON MARKETPLACE NAMZN.COM/BILL       WA</v>
      </c>
      <c r="C1381" t="str">
        <f>'Raw Data'!I1384</f>
        <v>Amazon</v>
      </c>
      <c r="D1381" s="31">
        <f>'Raw Data'!F1384</f>
        <v>-620.85</v>
      </c>
    </row>
    <row r="1382" spans="1:4" x14ac:dyDescent="0.25">
      <c r="A1382" t="str">
        <f>'Raw Data'!A1385</f>
        <v>04/21/2025</v>
      </c>
      <c r="B1382" t="str">
        <f>'Raw Data'!C1385</f>
        <v>AMAZON MARKEPLACE NA PA</v>
      </c>
      <c r="C1382" t="str">
        <f>'Raw Data'!I1385</f>
        <v>Amazon</v>
      </c>
      <c r="D1382" s="31">
        <f>'Raw Data'!F1385</f>
        <v>620.85</v>
      </c>
    </row>
    <row r="1383" spans="1:4" x14ac:dyDescent="0.25">
      <c r="A1383" t="str">
        <f>'Raw Data'!A1386</f>
        <v>04/21/2025</v>
      </c>
      <c r="B1383" t="str">
        <f>'Raw Data'!C1386</f>
        <v>DNH*GODADDY#37196458Tempe               AZ</v>
      </c>
      <c r="C1383" t="str">
        <f>'Raw Data'!I1386</f>
        <v>Go Daddy</v>
      </c>
      <c r="D1383" s="31">
        <f>'Raw Data'!F1386</f>
        <v>311.52</v>
      </c>
    </row>
    <row r="1384" spans="1:4" x14ac:dyDescent="0.25">
      <c r="A1384" t="str">
        <f>'Raw Data'!A1387</f>
        <v>04/20/2025</v>
      </c>
      <c r="B1384" t="str">
        <f>'Raw Data'!C1387</f>
        <v>CAMPAIGNER SVC      888-845-4544        CA</v>
      </c>
      <c r="C1384" t="str">
        <f>'Raw Data'!I1387</f>
        <v>Software &amp; Subscriptions</v>
      </c>
      <c r="D1384" s="31">
        <f>'Raw Data'!F1387</f>
        <v>584</v>
      </c>
    </row>
    <row r="1385" spans="1:4" x14ac:dyDescent="0.25">
      <c r="A1385" t="str">
        <f>'Raw Data'!A1388</f>
        <v>04/20/2025</v>
      </c>
      <c r="B1385" t="str">
        <f>'Raw Data'!C1388</f>
        <v>DNH*GODADDY#37189241Tempe               AZ</v>
      </c>
      <c r="C1385" t="str">
        <f>'Raw Data'!I1388</f>
        <v>Go Daddy</v>
      </c>
      <c r="D1385" s="31">
        <f>'Raw Data'!F1388</f>
        <v>60.13</v>
      </c>
    </row>
    <row r="1386" spans="1:4" x14ac:dyDescent="0.25">
      <c r="A1386" t="str">
        <f>'Raw Data'!A1389</f>
        <v>04/19/2025</v>
      </c>
      <c r="B1386" t="str">
        <f>'Raw Data'!C1389</f>
        <v>DNH*GODADDY#37168869Tempe               AZ</v>
      </c>
      <c r="C1386" t="str">
        <f>'Raw Data'!I1389</f>
        <v>Go Daddy</v>
      </c>
      <c r="D1386" s="31">
        <f>'Raw Data'!F1389</f>
        <v>95.88</v>
      </c>
    </row>
    <row r="1387" spans="1:4" x14ac:dyDescent="0.25">
      <c r="A1387" t="str">
        <f>'Raw Data'!A1390</f>
        <v>04/19/2025</v>
      </c>
      <c r="B1387" t="str">
        <f>'Raw Data'!C1390</f>
        <v>SUMUP*RIM TOURS SOC.FREGENE             IT</v>
      </c>
      <c r="C1387" t="str">
        <f>'Raw Data'!I1390</f>
        <v>Italy Trip (Judd/Angela)</v>
      </c>
      <c r="D1387" s="31">
        <f>'Raw Data'!F1390</f>
        <v>285.02999999999997</v>
      </c>
    </row>
    <row r="1388" spans="1:4" x14ac:dyDescent="0.25">
      <c r="A1388" t="str">
        <f>'Raw Data'!A1391</f>
        <v>04/18/2025</v>
      </c>
      <c r="B1388" t="str">
        <f>'Raw Data'!C1391</f>
        <v>DNH*GODADDY#37155844Tempe               AZ</v>
      </c>
      <c r="C1388" t="str">
        <f>'Raw Data'!I1391</f>
        <v>Go Daddy</v>
      </c>
      <c r="D1388" s="31">
        <f>'Raw Data'!F1391</f>
        <v>86.3</v>
      </c>
    </row>
    <row r="1389" spans="1:4" x14ac:dyDescent="0.25">
      <c r="A1389" t="str">
        <f>'Raw Data'!A1392</f>
        <v>04/17/2025</v>
      </c>
      <c r="B1389" t="str">
        <f>'Raw Data'!C1392</f>
        <v>AMAZON MARKETPLACE NAMZN.COM/BILL       WA</v>
      </c>
      <c r="C1389" t="str">
        <f>'Raw Data'!I1392</f>
        <v>Amazon</v>
      </c>
      <c r="D1389" s="31">
        <f>'Raw Data'!F1392</f>
        <v>-60.88</v>
      </c>
    </row>
    <row r="1390" spans="1:4" x14ac:dyDescent="0.25">
      <c r="A1390" t="str">
        <f>'Raw Data'!A1393</f>
        <v>04/17/2025</v>
      </c>
      <c r="B1390" t="str">
        <f>'Raw Data'!C1393</f>
        <v>AMAZON MARKEPLACE NA PA</v>
      </c>
      <c r="C1390" t="str">
        <f>'Raw Data'!I1393</f>
        <v>Amazon</v>
      </c>
      <c r="D1390" s="31">
        <f>'Raw Data'!F1393</f>
        <v>60.88</v>
      </c>
    </row>
    <row r="1391" spans="1:4" x14ac:dyDescent="0.25">
      <c r="A1391" t="str">
        <f>'Raw Data'!A1394</f>
        <v>04/17/2025</v>
      </c>
      <c r="B1391" t="str">
        <f>'Raw Data'!C1394</f>
        <v>DNH*GODADDY#37132108Tempe               AZ</v>
      </c>
      <c r="C1391" t="str">
        <f>'Raw Data'!I1394</f>
        <v>Go Daddy</v>
      </c>
      <c r="D1391" s="31">
        <f>'Raw Data'!F1394</f>
        <v>49.14</v>
      </c>
    </row>
    <row r="1392" spans="1:4" x14ac:dyDescent="0.25">
      <c r="A1392" t="str">
        <f>'Raw Data'!A1395</f>
        <v>04/16/2025</v>
      </c>
      <c r="B1392" t="str">
        <f>'Raw Data'!C1395</f>
        <v>AMAZON MARKETPLACE NAMZN.COM/BILL       WA</v>
      </c>
      <c r="C1392" t="str">
        <f>'Raw Data'!I1395</f>
        <v>Amazon</v>
      </c>
      <c r="D1392" s="31">
        <f>'Raw Data'!F1395</f>
        <v>-206.95</v>
      </c>
    </row>
    <row r="1393" spans="1:4" x14ac:dyDescent="0.25">
      <c r="A1393" t="str">
        <f>'Raw Data'!A1396</f>
        <v>04/16/2025</v>
      </c>
      <c r="B1393" t="str">
        <f>'Raw Data'!C1396</f>
        <v>AMAZON MARKEPLACE NA PA</v>
      </c>
      <c r="C1393" t="str">
        <f>'Raw Data'!I1396</f>
        <v>Amazon</v>
      </c>
      <c r="D1393" s="31">
        <f>'Raw Data'!F1396</f>
        <v>206.95</v>
      </c>
    </row>
    <row r="1394" spans="1:4" x14ac:dyDescent="0.25">
      <c r="A1394" t="str">
        <f>'Raw Data'!A1397</f>
        <v>04/16/2025</v>
      </c>
      <c r="B1394" t="str">
        <f>'Raw Data'!C1397</f>
        <v>DNH*GODADDY#37107736Tempe               AZ</v>
      </c>
      <c r="C1394" t="str">
        <f>'Raw Data'!I1397</f>
        <v>Go Daddy</v>
      </c>
      <c r="D1394" s="31">
        <f>'Raw Data'!F1397</f>
        <v>180</v>
      </c>
    </row>
    <row r="1395" spans="1:4" x14ac:dyDescent="0.25">
      <c r="A1395" t="str">
        <f>'Raw Data'!A1398</f>
        <v>04/16/2025</v>
      </c>
      <c r="B1395" t="str">
        <f>'Raw Data'!C1398</f>
        <v>LEV INC             NEW YORK            NY</v>
      </c>
      <c r="C1395" t="str">
        <f>'Raw Data'!I1398</f>
        <v>DWG Listing Platform</v>
      </c>
      <c r="D1395" s="31">
        <f>'Raw Data'!F1398</f>
        <v>2000</v>
      </c>
    </row>
    <row r="1396" spans="1:4" x14ac:dyDescent="0.25">
      <c r="A1396" t="str">
        <f>'Raw Data'!A1399</f>
        <v>04/16/2025</v>
      </c>
      <c r="B1396" t="str">
        <f>'Raw Data'!C1399</f>
        <v>SOCIALPILOT         LEWES               DE</v>
      </c>
      <c r="C1396" t="str">
        <f>'Raw Data'!I1399</f>
        <v>Software &amp; Subscriptions</v>
      </c>
      <c r="D1396" s="31">
        <f>'Raw Data'!F1399</f>
        <v>50</v>
      </c>
    </row>
    <row r="1397" spans="1:4" x14ac:dyDescent="0.25">
      <c r="A1397" t="str">
        <f>'Raw Data'!A1400</f>
        <v>04/15/2025</v>
      </c>
      <c r="B1397" t="str">
        <f>'Raw Data'!C1400</f>
        <v>DNH*GODADDY#37094343Tempe               AZ</v>
      </c>
      <c r="C1397" t="str">
        <f>'Raw Data'!I1400</f>
        <v>Go Daddy</v>
      </c>
      <c r="D1397" s="31">
        <f>'Raw Data'!F1400</f>
        <v>8.99</v>
      </c>
    </row>
    <row r="1398" spans="1:4" x14ac:dyDescent="0.25">
      <c r="A1398" t="str">
        <f>'Raw Data'!A1401</f>
        <v>04/14/2025</v>
      </c>
      <c r="B1398" t="str">
        <f>'Raw Data'!C1401</f>
        <v>AMAZON MARKETPLACE NAMZN.COM/BILL       WA</v>
      </c>
      <c r="C1398" t="str">
        <f>'Raw Data'!I1401</f>
        <v>Amazon</v>
      </c>
      <c r="D1398" s="31">
        <f>'Raw Data'!F1401</f>
        <v>-423.8</v>
      </c>
    </row>
    <row r="1399" spans="1:4" x14ac:dyDescent="0.25">
      <c r="A1399" t="str">
        <f>'Raw Data'!A1402</f>
        <v>04/14/2025</v>
      </c>
      <c r="B1399" t="str">
        <f>'Raw Data'!C1402</f>
        <v>AMAZON MARKEPLACE NA PA</v>
      </c>
      <c r="C1399" t="str">
        <f>'Raw Data'!I1402</f>
        <v>Amazon</v>
      </c>
      <c r="D1399" s="31">
        <f>'Raw Data'!F1402</f>
        <v>423.8</v>
      </c>
    </row>
    <row r="1400" spans="1:4" x14ac:dyDescent="0.25">
      <c r="A1400" t="str">
        <f>'Raw Data'!A1403</f>
        <v>04/14/2025</v>
      </c>
      <c r="B1400" t="str">
        <f>'Raw Data'!C1403</f>
        <v>DNH*GODADDY#37077503Tempe               AZ</v>
      </c>
      <c r="C1400" t="str">
        <f>'Raw Data'!I1403</f>
        <v>Go Daddy</v>
      </c>
      <c r="D1400" s="31">
        <f>'Raw Data'!F1403</f>
        <v>29.97</v>
      </c>
    </row>
    <row r="1401" spans="1:4" x14ac:dyDescent="0.25">
      <c r="A1401" t="str">
        <f>'Raw Data'!A1404</f>
        <v>04/14/2025</v>
      </c>
      <c r="B1401" t="str">
        <f>'Raw Data'!C1404</f>
        <v>KINDLE UNLTD*JX9J200888-802-3080        WA</v>
      </c>
      <c r="C1401" t="str">
        <f>'Raw Data'!I1404</f>
        <v>Personal - Entertainment</v>
      </c>
      <c r="D1401" s="31">
        <f>'Raw Data'!F1404</f>
        <v>12.98</v>
      </c>
    </row>
    <row r="1402" spans="1:4" x14ac:dyDescent="0.25">
      <c r="A1402" t="str">
        <f>'Raw Data'!A1405</f>
        <v>04/13/2025</v>
      </c>
      <c r="B1402" t="str">
        <f>'Raw Data'!C1405</f>
        <v>DNH*GODADDY#37054811Tempe               AZ</v>
      </c>
      <c r="C1402" t="str">
        <f>'Raw Data'!I1405</f>
        <v>Go Daddy</v>
      </c>
      <c r="D1402" s="31">
        <f>'Raw Data'!F1405</f>
        <v>50.94</v>
      </c>
    </row>
    <row r="1403" spans="1:4" x14ac:dyDescent="0.25">
      <c r="A1403" t="str">
        <f>'Raw Data'!A1406</f>
        <v>04/12/2025</v>
      </c>
      <c r="B1403" t="str">
        <f>'Raw Data'!C1406</f>
        <v>AMAZON MARKETPLACE NAMZN.COM/BILL       WA</v>
      </c>
      <c r="C1403" t="str">
        <f>'Raw Data'!I1406</f>
        <v>Amazon</v>
      </c>
      <c r="D1403" s="31">
        <f>'Raw Data'!F1406</f>
        <v>-413.9</v>
      </c>
    </row>
    <row r="1404" spans="1:4" x14ac:dyDescent="0.25">
      <c r="A1404" t="str">
        <f>'Raw Data'!A1407</f>
        <v>04/12/2025</v>
      </c>
      <c r="B1404" t="str">
        <f>'Raw Data'!C1407</f>
        <v>AMAZON MARKEPLACE NA PA</v>
      </c>
      <c r="C1404" t="str">
        <f>'Raw Data'!I1407</f>
        <v>Amazon</v>
      </c>
      <c r="D1404" s="31">
        <f>'Raw Data'!F1407</f>
        <v>413.9</v>
      </c>
    </row>
    <row r="1405" spans="1:4" x14ac:dyDescent="0.25">
      <c r="A1405" t="str">
        <f>'Raw Data'!A1408</f>
        <v>04/12/2025</v>
      </c>
      <c r="B1405" t="str">
        <f>'Raw Data'!C1408</f>
        <v>DNH*GODADDY#37029190Tempe               AZ</v>
      </c>
      <c r="C1405" t="str">
        <f>'Raw Data'!I1408</f>
        <v>Go Daddy</v>
      </c>
      <c r="D1405" s="31">
        <f>'Raw Data'!F1408</f>
        <v>359.88</v>
      </c>
    </row>
    <row r="1406" spans="1:4" x14ac:dyDescent="0.25">
      <c r="A1406" t="str">
        <f>'Raw Data'!A1409</f>
        <v>04/12/2025</v>
      </c>
      <c r="B1406" t="str">
        <f>'Raw Data'!C1409</f>
        <v>SPOTIFY USA         NEW YORK            NY</v>
      </c>
      <c r="C1406" t="str">
        <f>'Raw Data'!I1409</f>
        <v>Software &amp; Subscriptions</v>
      </c>
      <c r="D1406" s="31">
        <f>'Raw Data'!F1409</f>
        <v>12.98</v>
      </c>
    </row>
    <row r="1407" spans="1:4" x14ac:dyDescent="0.25">
      <c r="A1407" t="str">
        <f>'Raw Data'!A1410</f>
        <v>04/11/2025</v>
      </c>
      <c r="B1407" t="str">
        <f>'Raw Data'!C1410</f>
        <v>BAR MY ACCADEMIA    FIRENZE</v>
      </c>
      <c r="C1407" t="str">
        <f>'Raw Data'!I1410</f>
        <v>Italy Trip (Judd/Angela)</v>
      </c>
      <c r="D1407" s="31">
        <f>'Raw Data'!F1410</f>
        <v>10.33</v>
      </c>
    </row>
    <row r="1408" spans="1:4" x14ac:dyDescent="0.25">
      <c r="A1408" t="str">
        <f>'Raw Data'!A1411</f>
        <v>04/11/2025</v>
      </c>
      <c r="B1408" t="str">
        <f>'Raw Data'!C1411</f>
        <v>CORTESE CAFE        FIRENZE</v>
      </c>
      <c r="C1408" t="str">
        <f>'Raw Data'!I1411</f>
        <v>Italy Trip (Judd/Angela)</v>
      </c>
      <c r="D1408" s="31">
        <f>'Raw Data'!F1411</f>
        <v>32.130000000000003</v>
      </c>
    </row>
    <row r="1409" spans="1:4" x14ac:dyDescent="0.25">
      <c r="A1409" t="str">
        <f>'Raw Data'!A1412</f>
        <v>04/11/2025</v>
      </c>
      <c r="B1409" t="str">
        <f>'Raw Data'!C1412</f>
        <v>GODADDY.COM         SCOTTSDALE          AZ</v>
      </c>
      <c r="C1409" t="str">
        <f>'Raw Data'!I1412</f>
        <v>Go Daddy</v>
      </c>
      <c r="D1409" s="31">
        <f>'Raw Data'!F1412</f>
        <v>57.73</v>
      </c>
    </row>
    <row r="1410" spans="1:4" x14ac:dyDescent="0.25">
      <c r="A1410" t="str">
        <f>'Raw Data'!A1413</f>
        <v>04/11/2025</v>
      </c>
      <c r="B1410" t="str">
        <f>'Raw Data'!C1413</f>
        <v>ONSTAR, LLC         DETROIT             MI</v>
      </c>
      <c r="C1410" t="str">
        <f>'Raw Data'!I1413</f>
        <v>Personal - Car</v>
      </c>
      <c r="D1410" s="31">
        <f>'Raw Data'!F1413</f>
        <v>34.1</v>
      </c>
    </row>
    <row r="1411" spans="1:4" x14ac:dyDescent="0.25">
      <c r="A1411" t="str">
        <f>'Raw Data'!A1414</f>
        <v>04/11/2025</v>
      </c>
      <c r="B1411" t="str">
        <f>'Raw Data'!C1414</f>
        <v>PITTI               FIRENZE</v>
      </c>
      <c r="C1411" t="str">
        <f>'Raw Data'!I1414</f>
        <v>Italy Trip (Judd/Angela)</v>
      </c>
      <c r="D1411" s="31">
        <f>'Raw Data'!F1414</f>
        <v>103.28</v>
      </c>
    </row>
    <row r="1412" spans="1:4" x14ac:dyDescent="0.25">
      <c r="A1412" t="str">
        <f>'Raw Data'!A1415</f>
        <v>04/10/2025</v>
      </c>
      <c r="B1412" t="str">
        <f>'Raw Data'!C1415</f>
        <v>AMAZON MARKETPLACE NAMZN.COM/BILL       WA</v>
      </c>
      <c r="C1412" t="str">
        <f>'Raw Data'!I1415</f>
        <v>Amazon</v>
      </c>
      <c r="D1412" s="31">
        <f>'Raw Data'!F1415</f>
        <v>-529.75</v>
      </c>
    </row>
    <row r="1413" spans="1:4" x14ac:dyDescent="0.25">
      <c r="A1413" t="str">
        <f>'Raw Data'!A1416</f>
        <v>04/10/2025</v>
      </c>
      <c r="B1413" t="str">
        <f>'Raw Data'!C1416</f>
        <v>AMAZON MARKEPLACE NA PA</v>
      </c>
      <c r="C1413" t="str">
        <f>'Raw Data'!I1416</f>
        <v>Amazon</v>
      </c>
      <c r="D1413" s="31">
        <f>'Raw Data'!F1416</f>
        <v>529.75</v>
      </c>
    </row>
    <row r="1414" spans="1:4" x14ac:dyDescent="0.25">
      <c r="A1414" t="str">
        <f>'Raw Data'!A1417</f>
        <v>04/10/2025</v>
      </c>
      <c r="B1414" t="str">
        <f>'Raw Data'!C1417</f>
        <v>VIMEO PRO           212-625-0668        NY</v>
      </c>
      <c r="C1414" t="str">
        <f>'Raw Data'!I1417</f>
        <v>Software &amp; Subscriptions</v>
      </c>
      <c r="D1414" s="31">
        <f>'Raw Data'!F1417</f>
        <v>24</v>
      </c>
    </row>
    <row r="1415" spans="1:4" x14ac:dyDescent="0.25">
      <c r="A1415" t="str">
        <f>'Raw Data'!A1418</f>
        <v>04/08/2025</v>
      </c>
      <c r="B1415" t="str">
        <f>'Raw Data'!C1418</f>
        <v>AMAZON MARKETPLACE NAMZN.COM/BILL       WA</v>
      </c>
      <c r="C1415" t="str">
        <f>'Raw Data'!I1418</f>
        <v>Amazon</v>
      </c>
      <c r="D1415" s="31">
        <f>'Raw Data'!F1418</f>
        <v>-413.9</v>
      </c>
    </row>
    <row r="1416" spans="1:4" x14ac:dyDescent="0.25">
      <c r="A1416" t="str">
        <f>'Raw Data'!A1419</f>
        <v>04/08/2025</v>
      </c>
      <c r="B1416" t="str">
        <f>'Raw Data'!C1419</f>
        <v>AMAZON MARKETPLACE NAMZN.COM/BILL       WA</v>
      </c>
      <c r="C1416" t="str">
        <f>'Raw Data'!I1419</f>
        <v>Amazon</v>
      </c>
      <c r="D1416" s="31">
        <f>'Raw Data'!F1419</f>
        <v>-12.87</v>
      </c>
    </row>
    <row r="1417" spans="1:4" x14ac:dyDescent="0.25">
      <c r="A1417" t="str">
        <f>'Raw Data'!A1420</f>
        <v>04/08/2025</v>
      </c>
      <c r="B1417" t="str">
        <f>'Raw Data'!C1420</f>
        <v>AMAZON MARKEPLACE NA PA</v>
      </c>
      <c r="C1417" t="str">
        <f>'Raw Data'!I1420</f>
        <v>Amazon</v>
      </c>
      <c r="D1417" s="31">
        <f>'Raw Data'!F1420</f>
        <v>12.87</v>
      </c>
    </row>
    <row r="1418" spans="1:4" x14ac:dyDescent="0.25">
      <c r="A1418" t="str">
        <f>'Raw Data'!A1421</f>
        <v>04/08/2025</v>
      </c>
      <c r="B1418" t="str">
        <f>'Raw Data'!C1421</f>
        <v>AMAZON MARKEPLACE NA PA</v>
      </c>
      <c r="C1418" t="str">
        <f>'Raw Data'!I1421</f>
        <v>Amazon</v>
      </c>
      <c r="D1418" s="31">
        <f>'Raw Data'!F1421</f>
        <v>413.9</v>
      </c>
    </row>
    <row r="1419" spans="1:4" x14ac:dyDescent="0.25">
      <c r="A1419" t="str">
        <f>'Raw Data'!A1422</f>
        <v>04/08/2025</v>
      </c>
      <c r="B1419" t="str">
        <f>'Raw Data'!C1422</f>
        <v>BAR MANGANELLI      SIENA</v>
      </c>
      <c r="C1419" t="str">
        <f>'Raw Data'!I1422</f>
        <v>Italy Trip (Judd/Angela)</v>
      </c>
      <c r="D1419" s="31">
        <f>'Raw Data'!F1422</f>
        <v>161.76</v>
      </c>
    </row>
    <row r="1420" spans="1:4" x14ac:dyDescent="0.25">
      <c r="A1420" t="str">
        <f>'Raw Data'!A1423</f>
        <v>04/08/2025</v>
      </c>
      <c r="B1420" t="str">
        <f>'Raw Data'!C1423</f>
        <v>CAFFETTERIA BATTISTESIENA</v>
      </c>
      <c r="C1420" t="str">
        <f>'Raw Data'!I1423</f>
        <v>Italy Trip (Judd/Angela)</v>
      </c>
      <c r="D1420" s="31">
        <f>'Raw Data'!F1423</f>
        <v>6.59</v>
      </c>
    </row>
    <row r="1421" spans="1:4" x14ac:dyDescent="0.25">
      <c r="A1421" t="str">
        <f>'Raw Data'!A1424</f>
        <v>04/08/2025</v>
      </c>
      <c r="B1421" t="str">
        <f>'Raw Data'!C1424</f>
        <v>OPENAI *CHATGPT SUBSSAN FRANCISCO       CA</v>
      </c>
      <c r="C1421" t="str">
        <f>'Raw Data'!I1424</f>
        <v>AI Subscriptions</v>
      </c>
      <c r="D1421" s="31">
        <f>'Raw Data'!F1424</f>
        <v>20</v>
      </c>
    </row>
    <row r="1422" spans="1:4" x14ac:dyDescent="0.25">
      <c r="A1422" t="str">
        <f>'Raw Data'!A1425</f>
        <v>04/07/2025</v>
      </c>
      <c r="B1422" t="str">
        <f>'Raw Data'!C1425</f>
        <v>AMAZON MARKETPLACE NAMZN.COM/BILL       WA</v>
      </c>
      <c r="C1422" t="str">
        <f>'Raw Data'!I1425</f>
        <v>Amazon</v>
      </c>
      <c r="D1422" s="31">
        <f>'Raw Data'!F1425</f>
        <v>-125.35</v>
      </c>
    </row>
    <row r="1423" spans="1:4" x14ac:dyDescent="0.25">
      <c r="A1423" t="str">
        <f>'Raw Data'!A1426</f>
        <v>04/07/2025</v>
      </c>
      <c r="B1423" t="str">
        <f>'Raw Data'!C1426</f>
        <v>AMAZON MARKETPLACE NAMZN.COM/BILL       WA</v>
      </c>
      <c r="C1423" t="str">
        <f>'Raw Data'!I1426</f>
        <v>Amazon</v>
      </c>
      <c r="D1423" s="31">
        <f>'Raw Data'!F1426</f>
        <v>-57.46</v>
      </c>
    </row>
    <row r="1424" spans="1:4" x14ac:dyDescent="0.25">
      <c r="A1424" t="str">
        <f>'Raw Data'!A1427</f>
        <v>04/07/2025</v>
      </c>
      <c r="B1424" t="str">
        <f>'Raw Data'!C1427</f>
        <v>AMAZON MARKEPLACE NA PA</v>
      </c>
      <c r="C1424" t="str">
        <f>'Raw Data'!I1427</f>
        <v>Amazon</v>
      </c>
      <c r="D1424" s="31">
        <f>'Raw Data'!F1427</f>
        <v>57.46</v>
      </c>
    </row>
    <row r="1425" spans="1:4" x14ac:dyDescent="0.25">
      <c r="A1425" t="str">
        <f>'Raw Data'!A1428</f>
        <v>04/07/2025</v>
      </c>
      <c r="B1425" t="str">
        <f>'Raw Data'!C1428</f>
        <v>AMAZON MARKEPLACE NA PA</v>
      </c>
      <c r="C1425" t="str">
        <f>'Raw Data'!I1428</f>
        <v>Amazon</v>
      </c>
      <c r="D1425" s="31">
        <f>'Raw Data'!F1428</f>
        <v>125.35</v>
      </c>
    </row>
    <row r="1426" spans="1:4" x14ac:dyDescent="0.25">
      <c r="A1426" t="str">
        <f>'Raw Data'!A1429</f>
        <v>04/07/2025</v>
      </c>
      <c r="B1426" t="str">
        <f>'Raw Data'!C1429</f>
        <v>DNH*GODADDY#36931670Tempe               AZ</v>
      </c>
      <c r="C1426" t="str">
        <f>'Raw Data'!I1429</f>
        <v>Go Daddy</v>
      </c>
      <c r="D1426" s="31">
        <f>'Raw Data'!F1429</f>
        <v>10.99</v>
      </c>
    </row>
    <row r="1427" spans="1:4" x14ac:dyDescent="0.25">
      <c r="A1427" t="str">
        <f>'Raw Data'!A1430</f>
        <v>04/07/2025</v>
      </c>
      <c r="B1427" t="str">
        <f>'Raw Data'!C1430</f>
        <v>READ - MEETING MANAGSEATTLE             WA</v>
      </c>
      <c r="C1427" t="str">
        <f>'Raw Data'!I1430</f>
        <v>TBD</v>
      </c>
      <c r="D1427" s="31">
        <f>'Raw Data'!F1430</f>
        <v>59.5</v>
      </c>
    </row>
    <row r="1428" spans="1:4" x14ac:dyDescent="0.25">
      <c r="A1428" t="str">
        <f>'Raw Data'!A1431</f>
        <v>04/06/2025</v>
      </c>
      <c r="B1428" t="str">
        <f>'Raw Data'!C1431</f>
        <v>AMAZON MARKETPLACE NAMZN.COM/BILL       WA</v>
      </c>
      <c r="C1428" t="str">
        <f>'Raw Data'!I1431</f>
        <v>Amazon</v>
      </c>
      <c r="D1428" s="31">
        <f>'Raw Data'!F1431</f>
        <v>-413.9</v>
      </c>
    </row>
    <row r="1429" spans="1:4" x14ac:dyDescent="0.25">
      <c r="A1429" t="str">
        <f>'Raw Data'!A1432</f>
        <v>04/06/2025</v>
      </c>
      <c r="B1429" t="str">
        <f>'Raw Data'!C1432</f>
        <v>AMAZON MARKEPLACE NA PA</v>
      </c>
      <c r="C1429" t="str">
        <f>'Raw Data'!I1432</f>
        <v>Amazon</v>
      </c>
      <c r="D1429" s="31">
        <f>'Raw Data'!F1432</f>
        <v>413.9</v>
      </c>
    </row>
    <row r="1430" spans="1:4" x14ac:dyDescent="0.25">
      <c r="A1430" t="str">
        <f>'Raw Data'!A1433</f>
        <v>04/06/2025</v>
      </c>
      <c r="B1430" t="str">
        <f>'Raw Data'!C1433</f>
        <v>AMAZON PRIME*FO78Q42AMZN.COM/BILL       WA</v>
      </c>
      <c r="C1430" t="str">
        <f>'Raw Data'!I1433</f>
        <v>Amazon</v>
      </c>
      <c r="D1430" s="31">
        <f>'Raw Data'!F1433</f>
        <v>3.24</v>
      </c>
    </row>
    <row r="1431" spans="1:4" x14ac:dyDescent="0.25">
      <c r="A1431" t="str">
        <f>'Raw Data'!A1434</f>
        <v>04/06/2025</v>
      </c>
      <c r="B1431" t="str">
        <f>'Raw Data'!C1434</f>
        <v>Amazon Prime        Amazon.com          WA</v>
      </c>
      <c r="C1431" t="str">
        <f>'Raw Data'!I1434</f>
        <v>Amazon</v>
      </c>
      <c r="D1431" s="31">
        <f>'Raw Data'!F1434</f>
        <v>16.23</v>
      </c>
    </row>
    <row r="1432" spans="1:4" x14ac:dyDescent="0.25">
      <c r="A1432" t="str">
        <f>'Raw Data'!A1435</f>
        <v>04/06/2025</v>
      </c>
      <c r="B1432" t="str">
        <f>'Raw Data'!C1435</f>
        <v>BRAVE.COM           SAN FRANCISCO       CA</v>
      </c>
      <c r="C1432" t="str">
        <f>'Raw Data'!I1435</f>
        <v>Software &amp; Subscriptions</v>
      </c>
      <c r="D1432" s="31">
        <f>'Raw Data'!F1435</f>
        <v>9.99</v>
      </c>
    </row>
    <row r="1433" spans="1:4" x14ac:dyDescent="0.25">
      <c r="A1433" t="str">
        <f>'Raw Data'!A1436</f>
        <v>04/06/2025</v>
      </c>
      <c r="B1433" t="str">
        <f>'Raw Data'!C1436</f>
        <v>CREXI               LOS ANGELES         CA</v>
      </c>
      <c r="C1433" t="str">
        <f>'Raw Data'!I1436</f>
        <v>DWG Listing Platform</v>
      </c>
      <c r="D1433" s="31">
        <f>'Raw Data'!F1436</f>
        <v>260</v>
      </c>
    </row>
    <row r="1434" spans="1:4" x14ac:dyDescent="0.25">
      <c r="A1434" t="str">
        <f>'Raw Data'!A1437</f>
        <v>04/06/2025</v>
      </c>
      <c r="B1434" t="str">
        <f>'Raw Data'!C1437</f>
        <v>DNH*GODADDY#36910162Tempe               AZ</v>
      </c>
      <c r="C1434" t="str">
        <f>'Raw Data'!I1437</f>
        <v>Go Daddy</v>
      </c>
      <c r="D1434" s="31">
        <f>'Raw Data'!F1437</f>
        <v>29.97</v>
      </c>
    </row>
    <row r="1435" spans="1:4" x14ac:dyDescent="0.25">
      <c r="A1435" t="str">
        <f>'Raw Data'!A1438</f>
        <v>04/05/2025</v>
      </c>
      <c r="B1435" t="str">
        <f>'Raw Data'!C1438</f>
        <v>DNH*GODADDY#36889334Tempe               AZ</v>
      </c>
      <c r="C1435" t="str">
        <f>'Raw Data'!I1438</f>
        <v>Go Daddy</v>
      </c>
      <c r="D1435" s="31">
        <f>'Raw Data'!F1438</f>
        <v>81.3</v>
      </c>
    </row>
    <row r="1436" spans="1:4" x14ac:dyDescent="0.25">
      <c r="A1436" t="str">
        <f>'Raw Data'!A1439</f>
        <v>04/04/2025</v>
      </c>
      <c r="B1436" t="str">
        <f>'Raw Data'!C1439</f>
        <v>AMAZON MARKETPLACE NAMZN.COM/BILL       WA</v>
      </c>
      <c r="C1436" t="str">
        <f>'Raw Data'!I1439</f>
        <v>Amazon</v>
      </c>
      <c r="D1436" s="31">
        <f>'Raw Data'!F1439</f>
        <v>-413.9</v>
      </c>
    </row>
    <row r="1437" spans="1:4" x14ac:dyDescent="0.25">
      <c r="A1437" t="str">
        <f>'Raw Data'!A1440</f>
        <v>04/04/2025</v>
      </c>
      <c r="B1437" t="str">
        <f>'Raw Data'!C1440</f>
        <v>AMAZON MARKETPLACE NAMZN.COM/BILL       WA</v>
      </c>
      <c r="C1437" t="str">
        <f>'Raw Data'!I1440</f>
        <v>Amazon</v>
      </c>
      <c r="D1437" s="31">
        <f>'Raw Data'!F1440</f>
        <v>-147.31</v>
      </c>
    </row>
    <row r="1438" spans="1:4" x14ac:dyDescent="0.25">
      <c r="A1438" t="str">
        <f>'Raw Data'!A1441</f>
        <v>04/04/2025</v>
      </c>
      <c r="B1438" t="str">
        <f>'Raw Data'!C1441</f>
        <v>AMAZON MARKETPLACE NAMZN.COM/BILL       WA</v>
      </c>
      <c r="C1438" t="str">
        <f>'Raw Data'!I1441</f>
        <v>Amazon</v>
      </c>
      <c r="D1438" s="31">
        <f>'Raw Data'!F1441</f>
        <v>-71.400000000000006</v>
      </c>
    </row>
    <row r="1439" spans="1:4" x14ac:dyDescent="0.25">
      <c r="A1439" t="str">
        <f>'Raw Data'!A1442</f>
        <v>04/04/2025</v>
      </c>
      <c r="B1439" t="str">
        <f>'Raw Data'!C1442</f>
        <v>AMAZON MARKEPLACE NA PA</v>
      </c>
      <c r="C1439" t="str">
        <f>'Raw Data'!I1442</f>
        <v>Amazon</v>
      </c>
      <c r="D1439" s="31">
        <f>'Raw Data'!F1442</f>
        <v>71.400000000000006</v>
      </c>
    </row>
    <row r="1440" spans="1:4" x14ac:dyDescent="0.25">
      <c r="A1440" t="str">
        <f>'Raw Data'!A1443</f>
        <v>04/04/2025</v>
      </c>
      <c r="B1440" t="str">
        <f>'Raw Data'!C1443</f>
        <v>AMAZON MARKEPLACE NA PA</v>
      </c>
      <c r="C1440" t="str">
        <f>'Raw Data'!I1443</f>
        <v>Amazon</v>
      </c>
      <c r="D1440" s="31">
        <f>'Raw Data'!F1443</f>
        <v>147.31</v>
      </c>
    </row>
    <row r="1441" spans="1:4" x14ac:dyDescent="0.25">
      <c r="A1441" t="str">
        <f>'Raw Data'!A1444</f>
        <v>04/04/2025</v>
      </c>
      <c r="B1441" t="str">
        <f>'Raw Data'!C1444</f>
        <v>AMAZON MARKEPLACE NA PA</v>
      </c>
      <c r="C1441" t="str">
        <f>'Raw Data'!I1444</f>
        <v>Amazon</v>
      </c>
      <c r="D1441" s="31">
        <f>'Raw Data'!F1444</f>
        <v>413.9</v>
      </c>
    </row>
    <row r="1442" spans="1:4" x14ac:dyDescent="0.25">
      <c r="A1442" t="str">
        <f>'Raw Data'!A1445</f>
        <v>04/04/2025</v>
      </c>
      <c r="B1442" t="str">
        <f>'Raw Data'!C1445</f>
        <v>DNH*GODADDY#36869901Tempe               AZ</v>
      </c>
      <c r="C1442" t="str">
        <f>'Raw Data'!I1445</f>
        <v>Go Daddy</v>
      </c>
      <c r="D1442" s="31">
        <f>'Raw Data'!F1445</f>
        <v>39.97</v>
      </c>
    </row>
    <row r="1443" spans="1:4" x14ac:dyDescent="0.25">
      <c r="A1443" t="str">
        <f>'Raw Data'!A1446</f>
        <v>04/04/2025</v>
      </c>
      <c r="B1443" t="str">
        <f>'Raw Data'!C1446</f>
        <v>RISTORANTE LA CUCINAROMA</v>
      </c>
      <c r="C1443" t="str">
        <f>'Raw Data'!I1446</f>
        <v>Italy Trip (Judd/Angela)</v>
      </c>
      <c r="D1443" s="31">
        <f>'Raw Data'!F1446</f>
        <v>51.02</v>
      </c>
    </row>
    <row r="1444" spans="1:4" x14ac:dyDescent="0.25">
      <c r="A1444" t="str">
        <f>'Raw Data'!A1447</f>
        <v>04/04/2025</v>
      </c>
      <c r="B1444" t="str">
        <f>'Raw Data'!C1447</f>
        <v>THE GELATIST        ROMA</v>
      </c>
      <c r="C1444" t="str">
        <f>'Raw Data'!I1447</f>
        <v>Italy Trip (Judd/Angela)</v>
      </c>
      <c r="D1444" s="31">
        <f>'Raw Data'!F1447</f>
        <v>8.8699999999999992</v>
      </c>
    </row>
    <row r="1445" spans="1:4" x14ac:dyDescent="0.25">
      <c r="A1445" t="str">
        <f>'Raw Data'!A1448</f>
        <v>04/03/2025</v>
      </c>
      <c r="B1445" t="str">
        <f>'Raw Data'!C1448</f>
        <v>COCO CAFE           ROMA</v>
      </c>
      <c r="C1445" t="str">
        <f>'Raw Data'!I1448</f>
        <v>Italy Trip (Judd/Angela)</v>
      </c>
      <c r="D1445" s="31">
        <f>'Raw Data'!F1448</f>
        <v>3.34</v>
      </c>
    </row>
    <row r="1446" spans="1:4" x14ac:dyDescent="0.25">
      <c r="A1446" t="str">
        <f>'Raw Data'!A1449</f>
        <v>04/03/2025</v>
      </c>
      <c r="B1446" t="str">
        <f>'Raw Data'!C1449</f>
        <v>CONTACTS+           HUNTINGTON BEACH    CA</v>
      </c>
      <c r="C1446" t="str">
        <f>'Raw Data'!I1449</f>
        <v>Personal - Health</v>
      </c>
      <c r="D1446" s="31">
        <f>'Raw Data'!F1449</f>
        <v>13.99</v>
      </c>
    </row>
    <row r="1447" spans="1:4" x14ac:dyDescent="0.25">
      <c r="A1447" t="str">
        <f>'Raw Data'!A1450</f>
        <v>04/03/2025</v>
      </c>
      <c r="B1447" t="str">
        <f>'Raw Data'!C1450</f>
        <v>SALESMESSAGE.COM    DELRAY BEACH        FL</v>
      </c>
      <c r="C1447" t="str">
        <f>'Raw Data'!I1450</f>
        <v>Software &amp; Subscriptions</v>
      </c>
      <c r="D1447" s="31">
        <f>'Raw Data'!F1450</f>
        <v>52.14</v>
      </c>
    </row>
    <row r="1448" spans="1:4" x14ac:dyDescent="0.25">
      <c r="A1448" t="str">
        <f>'Raw Data'!A1451</f>
        <v>04/02/2025</v>
      </c>
      <c r="B1448" t="str">
        <f>'Raw Data'!C1451</f>
        <v>AMAZON MARKETPLACE NAMZN.COM/BILL       WA</v>
      </c>
      <c r="C1448" t="str">
        <f>'Raw Data'!I1451</f>
        <v>Amazon</v>
      </c>
      <c r="D1448" s="31">
        <f>'Raw Data'!F1451</f>
        <v>-423.8</v>
      </c>
    </row>
    <row r="1449" spans="1:4" x14ac:dyDescent="0.25">
      <c r="A1449" t="str">
        <f>'Raw Data'!A1452</f>
        <v>04/02/2025</v>
      </c>
      <c r="B1449" t="str">
        <f>'Raw Data'!C1452</f>
        <v>AMAZON MARKETPLACE NAMZN.COM/BILL       WA</v>
      </c>
      <c r="C1449" t="str">
        <f>'Raw Data'!I1452</f>
        <v>Amazon</v>
      </c>
      <c r="D1449" s="31">
        <f>'Raw Data'!F1452</f>
        <v>-247.81</v>
      </c>
    </row>
    <row r="1450" spans="1:4" x14ac:dyDescent="0.25">
      <c r="A1450" t="str">
        <f>'Raw Data'!A1453</f>
        <v>04/02/2025</v>
      </c>
      <c r="B1450" t="str">
        <f>'Raw Data'!C1453</f>
        <v>AMAZON MARKEPLACE NA PA</v>
      </c>
      <c r="C1450" t="str">
        <f>'Raw Data'!I1453</f>
        <v>Amazon</v>
      </c>
      <c r="D1450" s="31">
        <f>'Raw Data'!F1453</f>
        <v>247.81</v>
      </c>
    </row>
    <row r="1451" spans="1:4" x14ac:dyDescent="0.25">
      <c r="A1451" t="str">
        <f>'Raw Data'!A1454</f>
        <v>04/02/2025</v>
      </c>
      <c r="B1451" t="str">
        <f>'Raw Data'!C1454</f>
        <v>AMAZON MARKEPLACE NA PA</v>
      </c>
      <c r="C1451" t="str">
        <f>'Raw Data'!I1454</f>
        <v>Amazon</v>
      </c>
      <c r="D1451" s="31">
        <f>'Raw Data'!F1454</f>
        <v>423.8</v>
      </c>
    </row>
    <row r="1452" spans="1:4" x14ac:dyDescent="0.25">
      <c r="A1452" t="str">
        <f>'Raw Data'!A1455</f>
        <v>04/02/2025</v>
      </c>
      <c r="B1452" t="str">
        <f>'Raw Data'!C1455</f>
        <v>RADIOTAXI PS 41 0016ROMA                IT</v>
      </c>
      <c r="C1452" t="str">
        <f>'Raw Data'!I1455</f>
        <v>Italy Trip (Judd/Angela)</v>
      </c>
      <c r="D1452" s="31">
        <f>'Raw Data'!F1455</f>
        <v>17.329999999999998</v>
      </c>
    </row>
    <row r="1453" spans="1:4" x14ac:dyDescent="0.25">
      <c r="A1453" t="str">
        <f>'Raw Data'!A1456</f>
        <v>04/01/2025</v>
      </c>
      <c r="B1453" t="str">
        <f>'Raw Data'!C1456</f>
        <v>ABC*ICONFIT         LOS ANGELES         CA</v>
      </c>
      <c r="C1453" t="str">
        <f>'Raw Data'!I1456</f>
        <v>Personal - Health</v>
      </c>
      <c r="D1453" s="31">
        <f>'Raw Data'!F1456</f>
        <v>119.52</v>
      </c>
    </row>
    <row r="1454" spans="1:4" x14ac:dyDescent="0.25">
      <c r="A1454" t="str">
        <f>'Raw Data'!A1457</f>
        <v>04/01/2025</v>
      </c>
      <c r="B1454" t="str">
        <f>'Raw Data'!C1457</f>
        <v>AMAZON MARKETPLACE NAMZN.COM/BILL       WA</v>
      </c>
      <c r="C1454" t="str">
        <f>'Raw Data'!I1457</f>
        <v>Amazon</v>
      </c>
      <c r="D1454" s="31">
        <f>'Raw Data'!F1457</f>
        <v>-413.9</v>
      </c>
    </row>
    <row r="1455" spans="1:4" x14ac:dyDescent="0.25">
      <c r="A1455" t="str">
        <f>'Raw Data'!A1458</f>
        <v>04/01/2025</v>
      </c>
      <c r="B1455" t="str">
        <f>'Raw Data'!C1458</f>
        <v>AMAZON MARKETPLACE NAMZN.COM/BILL       WA</v>
      </c>
      <c r="C1455" t="str">
        <f>'Raw Data'!I1458</f>
        <v>Amazon</v>
      </c>
      <c r="D1455" s="31">
        <f>'Raw Data'!F1458</f>
        <v>-206.95</v>
      </c>
    </row>
    <row r="1456" spans="1:4" x14ac:dyDescent="0.25">
      <c r="A1456" t="str">
        <f>'Raw Data'!A1459</f>
        <v>04/01/2025</v>
      </c>
      <c r="B1456" t="str">
        <f>'Raw Data'!C1459</f>
        <v>AMAZON MARKETPLACE NAMZN.COM/BILL       WA</v>
      </c>
      <c r="C1456" t="str">
        <f>'Raw Data'!I1459</f>
        <v>Amazon</v>
      </c>
      <c r="D1456" s="31">
        <f>'Raw Data'!F1459</f>
        <v>-134</v>
      </c>
    </row>
    <row r="1457" spans="1:4" x14ac:dyDescent="0.25">
      <c r="A1457" t="str">
        <f>'Raw Data'!A1460</f>
        <v>04/01/2025</v>
      </c>
      <c r="B1457" t="str">
        <f>'Raw Data'!C1460</f>
        <v>AMAZON MARKEPLACE NA PA</v>
      </c>
      <c r="C1457" t="str">
        <f>'Raw Data'!I1460</f>
        <v>Amazon</v>
      </c>
      <c r="D1457" s="31">
        <f>'Raw Data'!F1460</f>
        <v>134</v>
      </c>
    </row>
    <row r="1458" spans="1:4" x14ac:dyDescent="0.25">
      <c r="A1458" t="str">
        <f>'Raw Data'!A1461</f>
        <v>04/01/2025</v>
      </c>
      <c r="B1458" t="str">
        <f>'Raw Data'!C1461</f>
        <v>AMAZON MARKEPLACE NA PA</v>
      </c>
      <c r="C1458" t="str">
        <f>'Raw Data'!I1461</f>
        <v>Amazon</v>
      </c>
      <c r="D1458" s="31">
        <f>'Raw Data'!F1461</f>
        <v>206.95</v>
      </c>
    </row>
    <row r="1459" spans="1:4" x14ac:dyDescent="0.25">
      <c r="A1459" t="str">
        <f>'Raw Data'!A1462</f>
        <v>04/01/2025</v>
      </c>
      <c r="B1459" t="str">
        <f>'Raw Data'!C1462</f>
        <v>AMAZON MARKEPLACE NA PA</v>
      </c>
      <c r="C1459" t="str">
        <f>'Raw Data'!I1462</f>
        <v>Amazon</v>
      </c>
      <c r="D1459" s="31">
        <f>'Raw Data'!F1462</f>
        <v>413.9</v>
      </c>
    </row>
    <row r="1460" spans="1:4" x14ac:dyDescent="0.25">
      <c r="A1460" t="str">
        <f>'Raw Data'!A1463</f>
        <v>04/01/2025</v>
      </c>
      <c r="B1460" t="str">
        <f>'Raw Data'!C1463</f>
        <v>DNH*GODADDY#36817264Tempe               AZ</v>
      </c>
      <c r="C1460" t="str">
        <f>'Raw Data'!I1463</f>
        <v>Go Daddy</v>
      </c>
      <c r="D1460" s="31">
        <f>'Raw Data'!F1463</f>
        <v>263.14999999999998</v>
      </c>
    </row>
    <row r="1461" spans="1:4" x14ac:dyDescent="0.25">
      <c r="A1461" t="str">
        <f>'Raw Data'!A1464</f>
        <v>04/01/2025</v>
      </c>
      <c r="B1461" t="str">
        <f>'Raw Data'!C1464</f>
        <v>LOOM SUBSCRIPTION   SAN FRANCISCO       CA</v>
      </c>
      <c r="C1461" t="str">
        <f>'Raw Data'!I1464</f>
        <v>Software &amp; Subscriptions</v>
      </c>
      <c r="D1461" s="31">
        <f>'Raw Data'!F1464</f>
        <v>20</v>
      </c>
    </row>
    <row r="1462" spans="1:4" x14ac:dyDescent="0.25">
      <c r="A1462" t="str">
        <f>'Raw Data'!A1465</f>
        <v>03/31/2025</v>
      </c>
      <c r="B1462" t="str">
        <f>'Raw Data'!C1465</f>
        <v>AMAZON MARKETPLACE NAMZN.COM/BILL       WA</v>
      </c>
      <c r="C1462" t="str">
        <f>'Raw Data'!I1465</f>
        <v>Amazon</v>
      </c>
      <c r="D1462" s="31">
        <f>'Raw Data'!F1465</f>
        <v>-413.9</v>
      </c>
    </row>
    <row r="1463" spans="1:4" x14ac:dyDescent="0.25">
      <c r="A1463" t="str">
        <f>'Raw Data'!A1466</f>
        <v>03/31/2025</v>
      </c>
      <c r="B1463" t="str">
        <f>'Raw Data'!C1466</f>
        <v>AMAZON MARKEPLACE NA PA</v>
      </c>
      <c r="C1463" t="str">
        <f>'Raw Data'!I1466</f>
        <v>Amazon</v>
      </c>
      <c r="D1463" s="31">
        <f>'Raw Data'!F1466</f>
        <v>413.9</v>
      </c>
    </row>
    <row r="1464" spans="1:4" x14ac:dyDescent="0.25">
      <c r="A1464" t="str">
        <f>'Raw Data'!A1467</f>
        <v>03/31/2025</v>
      </c>
      <c r="B1464" t="str">
        <f>'Raw Data'!C1467</f>
        <v>TST* CAFE GRATITUDE VENICE              CA</v>
      </c>
      <c r="C1464" t="str">
        <f>'Raw Data'!I1467</f>
        <v>Personal - Food</v>
      </c>
      <c r="D1464" s="31">
        <f>'Raw Data'!F1467</f>
        <v>175.8</v>
      </c>
    </row>
    <row r="1465" spans="1:4" x14ac:dyDescent="0.25">
      <c r="A1465" t="str">
        <f>'Raw Data'!A1468</f>
        <v>03/30/2025</v>
      </c>
      <c r="B1465" t="str">
        <f>'Raw Data'!C1468</f>
        <v>ITA AIRWAYS         FIUMICINO           IT</v>
      </c>
      <c r="C1465" t="str">
        <f>'Raw Data'!I1468</f>
        <v>Italy Trip (Judd/Angela)</v>
      </c>
      <c r="D1465" s="31">
        <f>'Raw Data'!F1468</f>
        <v>179.52</v>
      </c>
    </row>
    <row r="1466" spans="1:4" x14ac:dyDescent="0.25">
      <c r="A1466" t="str">
        <f>'Raw Data'!A1469</f>
        <v>03/30/2025</v>
      </c>
      <c r="B1466" t="str">
        <f>'Raw Data'!C1469</f>
        <v>ITA AIRWAYS         FIUMICINO           IT</v>
      </c>
      <c r="C1466" t="str">
        <f>'Raw Data'!I1469</f>
        <v>Italy Trip (Judd/Angela)</v>
      </c>
      <c r="D1466" s="31">
        <f>'Raw Data'!F1469</f>
        <v>179.52</v>
      </c>
    </row>
    <row r="1467" spans="1:4" x14ac:dyDescent="0.25">
      <c r="A1467" t="str">
        <f>'Raw Data'!A1470</f>
        <v>03/30/2025</v>
      </c>
      <c r="B1467" t="str">
        <f>'Raw Data'!C1470</f>
        <v>ITA AIRWAYS         FIUMICINO           IT</v>
      </c>
      <c r="C1467" t="str">
        <f>'Raw Data'!I1470</f>
        <v>Italy Trip (Judd/Angela)</v>
      </c>
      <c r="D1467" s="31">
        <f>'Raw Data'!F1470</f>
        <v>179.52</v>
      </c>
    </row>
    <row r="1468" spans="1:4" x14ac:dyDescent="0.25">
      <c r="A1468" t="str">
        <f>'Raw Data'!A1471</f>
        <v>03/30/2025</v>
      </c>
      <c r="B1468" t="str">
        <f>'Raw Data'!C1471</f>
        <v>ITA AIRWAYS         FIUMICINO           IT</v>
      </c>
      <c r="C1468" t="str">
        <f>'Raw Data'!I1471</f>
        <v>Italy Trip (Judd/Angela)</v>
      </c>
      <c r="D1468" s="31">
        <f>'Raw Data'!F1471</f>
        <v>179.52</v>
      </c>
    </row>
    <row r="1469" spans="1:4" x14ac:dyDescent="0.25">
      <c r="A1469" t="str">
        <f>'Raw Data'!A1472</f>
        <v>03/30/2025</v>
      </c>
      <c r="B1469" t="str">
        <f>'Raw Data'!C1472</f>
        <v>MOON JUICE          Venice              CA</v>
      </c>
      <c r="C1469" t="str">
        <f>'Raw Data'!I1472</f>
        <v>Personal - Food</v>
      </c>
      <c r="D1469" s="31">
        <f>'Raw Data'!F1472</f>
        <v>96.97</v>
      </c>
    </row>
    <row r="1470" spans="1:4" x14ac:dyDescent="0.25">
      <c r="A1470" t="str">
        <f>'Raw Data'!A1473</f>
        <v>03/30/2025</v>
      </c>
      <c r="B1470" t="str">
        <f>'Raw Data'!C1473</f>
        <v>PICKLED BY SHRED LLCRedondo Beach       CA</v>
      </c>
      <c r="C1470" t="str">
        <f>'Raw Data'!I1473</f>
        <v>Personal - Food</v>
      </c>
      <c r="D1470" s="31">
        <f>'Raw Data'!F1473</f>
        <v>20</v>
      </c>
    </row>
    <row r="1471" spans="1:4" x14ac:dyDescent="0.25">
      <c r="A1471" t="str">
        <f>'Raw Data'!A1474</f>
        <v>03/30/2025</v>
      </c>
      <c r="B1471" t="str">
        <f>'Raw Data'!C1474</f>
        <v>VALLEY CENTER GROWERValley Center       CA</v>
      </c>
      <c r="C1471" t="str">
        <f>'Raw Data'!I1474</f>
        <v>Personal - Food</v>
      </c>
      <c r="D1471" s="31">
        <f>'Raw Data'!F1474</f>
        <v>12</v>
      </c>
    </row>
    <row r="1472" spans="1:4" x14ac:dyDescent="0.25">
      <c r="A1472" t="str">
        <f>'Raw Data'!A1475</f>
        <v>03/30/2025</v>
      </c>
      <c r="B1472" t="str">
        <f>'Raw Data'!C1475</f>
        <v>VITA JUICE          DOWNEY              CA</v>
      </c>
      <c r="C1472" t="str">
        <f>'Raw Data'!I1475</f>
        <v>Personal - Food</v>
      </c>
      <c r="D1472" s="31">
        <f>'Raw Data'!F1475</f>
        <v>69</v>
      </c>
    </row>
    <row r="1473" spans="1:4" x14ac:dyDescent="0.25">
      <c r="A1473" t="str">
        <f>'Raw Data'!A1476</f>
        <v>03/29/2025</v>
      </c>
      <c r="B1473" t="str">
        <f>'Raw Data'!C1476</f>
        <v>OPENAI *CHATGPT SUBSSAN FRANCISCO       CA</v>
      </c>
      <c r="C1473" t="str">
        <f>'Raw Data'!I1476</f>
        <v>AI Subscriptions</v>
      </c>
      <c r="D1473" s="31">
        <f>'Raw Data'!F1476</f>
        <v>20</v>
      </c>
    </row>
    <row r="1474" spans="1:4" x14ac:dyDescent="0.25">
      <c r="A1474" t="str">
        <f>'Raw Data'!A1477</f>
        <v>03/29/2025</v>
      </c>
      <c r="B1474" t="str">
        <f>'Raw Data'!C1477</f>
        <v>PACOS TACOS 0755    LOS ANGELES         CA</v>
      </c>
      <c r="C1474" t="str">
        <f>'Raw Data'!I1477</f>
        <v>Personal - Food</v>
      </c>
      <c r="D1474" s="31">
        <f>'Raw Data'!F1477</f>
        <v>143.26</v>
      </c>
    </row>
    <row r="1475" spans="1:4" x14ac:dyDescent="0.25">
      <c r="A1475" t="str">
        <f>'Raw Data'!A1478</f>
        <v>03/29/2025</v>
      </c>
      <c r="B1475" t="str">
        <f>'Raw Data'!C1478</f>
        <v>PAYA THAI LA LLC. BLLOS ANGELES         CA</v>
      </c>
      <c r="C1475" t="str">
        <f>'Raw Data'!I1478</f>
        <v>Personal - Health</v>
      </c>
      <c r="D1475" s="31">
        <f>'Raw Data'!F1478</f>
        <v>110</v>
      </c>
    </row>
    <row r="1476" spans="1:4" x14ac:dyDescent="0.25">
      <c r="A1476" t="str">
        <f>'Raw Data'!A1479</f>
        <v>03/28/2025</v>
      </c>
      <c r="B1476" t="str">
        <f>'Raw Data'!C1479</f>
        <v>CUSTOMER SERVICE PAYMENT - THANK YOU</v>
      </c>
      <c r="C1476" t="str">
        <f>'Raw Data'!I1479</f>
        <v>Online AMEX Payment</v>
      </c>
      <c r="D1476" s="31">
        <f>'Raw Data'!F1479</f>
        <v>-12000</v>
      </c>
    </row>
    <row r="1477" spans="1:4" x14ac:dyDescent="0.25">
      <c r="A1477" t="str">
        <f>'Raw Data'!A1480</f>
        <v>03/28/2025</v>
      </c>
      <c r="B1477" t="str">
        <f>'Raw Data'!C1480</f>
        <v>MED*CEDARS SINAI MEDLOS ANGELES         CA</v>
      </c>
      <c r="C1477" t="str">
        <f>'Raw Data'!I1480</f>
        <v>Personal - Health</v>
      </c>
      <c r="D1477" s="31">
        <f>'Raw Data'!F1480</f>
        <v>545.12</v>
      </c>
    </row>
    <row r="1478" spans="1:4" x14ac:dyDescent="0.25">
      <c r="A1478" t="str">
        <f>'Raw Data'!A1481</f>
        <v>03/28/2025</v>
      </c>
      <c r="B1478" t="str">
        <f>'Raw Data'!C1481</f>
        <v>TST* BLUEYS KITCHEN LOS ANGELES         CA</v>
      </c>
      <c r="C1478" t="str">
        <f>'Raw Data'!I1481</f>
        <v>Personal - Food</v>
      </c>
      <c r="D1478" s="31">
        <f>'Raw Data'!F1481</f>
        <v>124.31</v>
      </c>
    </row>
    <row r="1479" spans="1:4" x14ac:dyDescent="0.25">
      <c r="A1479" t="str">
        <f>'Raw Data'!A1482</f>
        <v>03/27/2025</v>
      </c>
      <c r="B1479" t="str">
        <f>'Raw Data'!C1482</f>
        <v>DELTA AIR LINES     ATLANTA</v>
      </c>
      <c r="C1479" t="str">
        <f>'Raw Data'!I1482</f>
        <v>Team Travel (Judd)</v>
      </c>
      <c r="D1479" s="31">
        <f>'Raw Data'!F1482</f>
        <v>135</v>
      </c>
    </row>
    <row r="1480" spans="1:4" x14ac:dyDescent="0.25">
      <c r="A1480" t="str">
        <f>'Raw Data'!A1483</f>
        <v>03/27/2025</v>
      </c>
      <c r="B1480" t="str">
        <f>'Raw Data'!C1483</f>
        <v>DNH*GODADDY#36756254Tempe               AZ</v>
      </c>
      <c r="C1480" t="str">
        <f>'Raw Data'!I1483</f>
        <v>Go Daddy</v>
      </c>
      <c r="D1480" s="31">
        <f>'Raw Data'!F1483</f>
        <v>11.99</v>
      </c>
    </row>
    <row r="1481" spans="1:4" x14ac:dyDescent="0.25">
      <c r="A1481" t="str">
        <f>'Raw Data'!A1484</f>
        <v>03/27/2025</v>
      </c>
      <c r="B1481" t="str">
        <f>'Raw Data'!C1484</f>
        <v>INFUSE  DR. BULL    WEST HOLLYWOOD      CA</v>
      </c>
      <c r="C1481" t="str">
        <f>'Raw Data'!I1484</f>
        <v>Personal - Health</v>
      </c>
      <c r="D1481" s="31">
        <f>'Raw Data'!F1484</f>
        <v>295</v>
      </c>
    </row>
    <row r="1482" spans="1:4" x14ac:dyDescent="0.25">
      <c r="A1482" t="str">
        <f>'Raw Data'!A1485</f>
        <v>03/27/2025</v>
      </c>
      <c r="B1482" t="str">
        <f>'Raw Data'!C1485</f>
        <v>OPENAI *CHATGPT SUBSSAN FRANCISCO       CA</v>
      </c>
      <c r="C1482" t="str">
        <f>'Raw Data'!I1485</f>
        <v>AI Subscriptions</v>
      </c>
      <c r="D1482" s="31">
        <f>'Raw Data'!F1485</f>
        <v>20</v>
      </c>
    </row>
    <row r="1483" spans="1:4" x14ac:dyDescent="0.25">
      <c r="A1483" t="str">
        <f>'Raw Data'!A1486</f>
        <v>03/27/2025</v>
      </c>
      <c r="B1483" t="str">
        <f>'Raw Data'!C1486</f>
        <v>SPLICE.COM          NEW YORK CITY       NY</v>
      </c>
      <c r="C1483" t="str">
        <f>'Raw Data'!I1486</f>
        <v>Software &amp; Subscriptions</v>
      </c>
      <c r="D1483" s="31">
        <f>'Raw Data'!F1486</f>
        <v>39.99</v>
      </c>
    </row>
    <row r="1484" spans="1:4" x14ac:dyDescent="0.25">
      <c r="A1484" t="str">
        <f>'Raw Data'!A1487</f>
        <v>03/27/2025</v>
      </c>
      <c r="B1484" t="str">
        <f>'Raw Data'!C1487</f>
        <v>TST* BLUEYS KITCHEN LOS ANGELES         CA</v>
      </c>
      <c r="C1484" t="str">
        <f>'Raw Data'!I1487</f>
        <v>Personal - Food</v>
      </c>
      <c r="D1484" s="31">
        <f>'Raw Data'!F1487</f>
        <v>2.35</v>
      </c>
    </row>
    <row r="1485" spans="1:4" x14ac:dyDescent="0.25">
      <c r="A1485" t="str">
        <f>'Raw Data'!A1488</f>
        <v>03/27/2025</v>
      </c>
      <c r="B1485" t="str">
        <f>'Raw Data'!C1488</f>
        <v>TST* BLUEYS KITCHEN LOS ANGELES         CA</v>
      </c>
      <c r="C1485" t="str">
        <f>'Raw Data'!I1488</f>
        <v>Personal - Food</v>
      </c>
      <c r="D1485" s="31">
        <f>'Raw Data'!F1488</f>
        <v>20.76</v>
      </c>
    </row>
    <row r="1486" spans="1:4" x14ac:dyDescent="0.25">
      <c r="A1486" t="str">
        <f>'Raw Data'!A1489</f>
        <v>03/27/2025</v>
      </c>
      <c r="B1486" t="str">
        <f>'Raw Data'!C1489</f>
        <v>TST* CAFE GRATITUDE VENICE              CA</v>
      </c>
      <c r="C1486" t="str">
        <f>'Raw Data'!I1489</f>
        <v>Personal - Food</v>
      </c>
      <c r="D1486" s="31">
        <f>'Raw Data'!F1489</f>
        <v>214.35</v>
      </c>
    </row>
    <row r="1487" spans="1:4" x14ac:dyDescent="0.25">
      <c r="A1487" t="str">
        <f>'Raw Data'!A1490</f>
        <v>03/26/2025</v>
      </c>
      <c r="B1487" t="str">
        <f>'Raw Data'!C1490</f>
        <v>HOTEL HAMPTON INN ANALAJUELA            AL</v>
      </c>
      <c r="C1487" t="str">
        <f>'Raw Data'!I1490</f>
        <v>Costa Rica Trip</v>
      </c>
      <c r="D1487" s="31">
        <f>'Raw Data'!F1490</f>
        <v>213.57</v>
      </c>
    </row>
    <row r="1488" spans="1:4" x14ac:dyDescent="0.25">
      <c r="A1488" t="str">
        <f>'Raw Data'!A1491</f>
        <v>03/25/2025</v>
      </c>
      <c r="B1488" t="str">
        <f>'Raw Data'!C1491</f>
        <v>AMAZON MARKETPLACE NAMZN.COM/BILL       WA</v>
      </c>
      <c r="C1488" t="str">
        <f>'Raw Data'!I1491</f>
        <v>Amazon</v>
      </c>
      <c r="D1488" s="31">
        <f>'Raw Data'!F1491</f>
        <v>-529.75</v>
      </c>
    </row>
    <row r="1489" spans="1:4" x14ac:dyDescent="0.25">
      <c r="A1489" t="str">
        <f>'Raw Data'!A1492</f>
        <v>03/25/2025</v>
      </c>
      <c r="B1489" t="str">
        <f>'Raw Data'!C1492</f>
        <v>AMAZON MARKEPLACE NA PA</v>
      </c>
      <c r="C1489" t="str">
        <f>'Raw Data'!I1492</f>
        <v>Amazon</v>
      </c>
      <c r="D1489" s="31">
        <f>'Raw Data'!F1492</f>
        <v>529.75</v>
      </c>
    </row>
    <row r="1490" spans="1:4" x14ac:dyDescent="0.25">
      <c r="A1490" t="str">
        <f>'Raw Data'!A1493</f>
        <v>03/25/2025</v>
      </c>
      <c r="B1490" t="str">
        <f>'Raw Data'!C1493</f>
        <v>DNH*GODADDY#36697726Tempe               AZ</v>
      </c>
      <c r="C1490" t="str">
        <f>'Raw Data'!I1493</f>
        <v>Go Daddy</v>
      </c>
      <c r="D1490" s="31">
        <f>'Raw Data'!F1493</f>
        <v>15.98</v>
      </c>
    </row>
    <row r="1491" spans="1:4" x14ac:dyDescent="0.25">
      <c r="A1491" t="str">
        <f>'Raw Data'!A1494</f>
        <v>03/25/2025</v>
      </c>
      <c r="B1491" t="str">
        <f>'Raw Data'!C1494</f>
        <v>EC RENTA CAR        ALAJUELA            AL</v>
      </c>
      <c r="C1491" t="str">
        <f>'Raw Data'!I1494</f>
        <v>Costa Rica Trip</v>
      </c>
      <c r="D1491" s="31">
        <f>'Raw Data'!F1494</f>
        <v>61.56</v>
      </c>
    </row>
    <row r="1492" spans="1:4" x14ac:dyDescent="0.25">
      <c r="A1492" t="str">
        <f>'Raw Data'!A1495</f>
        <v>03/25/2025</v>
      </c>
      <c r="B1492" t="str">
        <f>'Raw Data'!C1495</f>
        <v>HOTEL RANCHO CORAL  PUNTARENAS          PU</v>
      </c>
      <c r="C1492" t="str">
        <f>'Raw Data'!I1495</f>
        <v>Costa Rica Trip</v>
      </c>
      <c r="D1492" s="31">
        <f>'Raw Data'!F1495</f>
        <v>620</v>
      </c>
    </row>
    <row r="1493" spans="1:4" x14ac:dyDescent="0.25">
      <c r="A1493" t="str">
        <f>'Raw Data'!A1496</f>
        <v>03/25/2025</v>
      </c>
      <c r="B1493" t="str">
        <f>'Raw Data'!C1496</f>
        <v>UNITED AIRLINES     HOUSTON             TX</v>
      </c>
      <c r="C1493" t="str">
        <f>'Raw Data'!I1496</f>
        <v>Costa Rica Trip</v>
      </c>
      <c r="D1493" s="31">
        <f>'Raw Data'!F1496</f>
        <v>569.59</v>
      </c>
    </row>
    <row r="1494" spans="1:4" x14ac:dyDescent="0.25">
      <c r="A1494" t="str">
        <f>'Raw Data'!A1497</f>
        <v>03/24/2025</v>
      </c>
      <c r="B1494" t="str">
        <f>'Raw Data'!C1497</f>
        <v>AMAZON MARKETPLACE NAMZN.COM/BILL       WA</v>
      </c>
      <c r="C1494" t="str">
        <f>'Raw Data'!I1497</f>
        <v>Amazon</v>
      </c>
      <c r="D1494" s="31">
        <f>'Raw Data'!F1497</f>
        <v>-50.07</v>
      </c>
    </row>
    <row r="1495" spans="1:4" x14ac:dyDescent="0.25">
      <c r="A1495" t="str">
        <f>'Raw Data'!A1498</f>
        <v>03/24/2025</v>
      </c>
      <c r="B1495" t="str">
        <f>'Raw Data'!C1498</f>
        <v>AMAZON MARKETPLACE NAMZN.COM/BILL       WA</v>
      </c>
      <c r="C1495" t="str">
        <f>'Raw Data'!I1498</f>
        <v>Amazon</v>
      </c>
      <c r="D1495" s="31">
        <f>'Raw Data'!F1498</f>
        <v>-23.17</v>
      </c>
    </row>
    <row r="1496" spans="1:4" x14ac:dyDescent="0.25">
      <c r="A1496" t="str">
        <f>'Raw Data'!A1499</f>
        <v>03/24/2025</v>
      </c>
      <c r="B1496" t="str">
        <f>'Raw Data'!C1499</f>
        <v>AMAZON MARKETPLACE NAMZN.COM/BILL       WA</v>
      </c>
      <c r="C1496" t="str">
        <f>'Raw Data'!I1499</f>
        <v>Amazon</v>
      </c>
      <c r="D1496" s="31">
        <f>'Raw Data'!F1499</f>
        <v>-21.79</v>
      </c>
    </row>
    <row r="1497" spans="1:4" x14ac:dyDescent="0.25">
      <c r="A1497" t="str">
        <f>'Raw Data'!A1500</f>
        <v>03/24/2025</v>
      </c>
      <c r="B1497" t="str">
        <f>'Raw Data'!C1500</f>
        <v>AMAZON MARKETPLACE NAMZN.COM/BILL       WA</v>
      </c>
      <c r="C1497" t="str">
        <f>'Raw Data'!I1500</f>
        <v>Amazon</v>
      </c>
      <c r="D1497" s="31">
        <f>'Raw Data'!F1500</f>
        <v>-3.24</v>
      </c>
    </row>
    <row r="1498" spans="1:4" x14ac:dyDescent="0.25">
      <c r="A1498" t="str">
        <f>'Raw Data'!A1501</f>
        <v>03/24/2025</v>
      </c>
      <c r="B1498" t="str">
        <f>'Raw Data'!C1501</f>
        <v>AMAZON MARKEPLACE NA PA</v>
      </c>
      <c r="C1498" t="str">
        <f>'Raw Data'!I1501</f>
        <v>Amazon</v>
      </c>
      <c r="D1498" s="31">
        <f>'Raw Data'!F1501</f>
        <v>21.79</v>
      </c>
    </row>
    <row r="1499" spans="1:4" x14ac:dyDescent="0.25">
      <c r="A1499" t="str">
        <f>'Raw Data'!A1502</f>
        <v>03/24/2025</v>
      </c>
      <c r="B1499" t="str">
        <f>'Raw Data'!C1502</f>
        <v>AMAZON MARKEPLACE NA PA</v>
      </c>
      <c r="C1499" t="str">
        <f>'Raw Data'!I1502</f>
        <v>Amazon</v>
      </c>
      <c r="D1499" s="31">
        <f>'Raw Data'!F1502</f>
        <v>23.17</v>
      </c>
    </row>
    <row r="1500" spans="1:4" x14ac:dyDescent="0.25">
      <c r="A1500" t="str">
        <f>'Raw Data'!A1503</f>
        <v>03/24/2025</v>
      </c>
      <c r="B1500" t="str">
        <f>'Raw Data'!C1503</f>
        <v>AMAZON MARKEPLACE NA PA</v>
      </c>
      <c r="C1500" t="str">
        <f>'Raw Data'!I1503</f>
        <v>Amazon</v>
      </c>
      <c r="D1500" s="31">
        <f>'Raw Data'!F1503</f>
        <v>50.07</v>
      </c>
    </row>
    <row r="1501" spans="1:4" x14ac:dyDescent="0.25">
      <c r="A1501" t="str">
        <f>'Raw Data'!A1504</f>
        <v>03/24/2025</v>
      </c>
      <c r="B1501" t="str">
        <f>'Raw Data'!C1504</f>
        <v>DELTA JACO          PUNTARENAS          PU</v>
      </c>
      <c r="C1501" t="str">
        <f>'Raw Data'!I1504</f>
        <v>Costa Rica Trip</v>
      </c>
      <c r="D1501" s="31">
        <f>'Raw Data'!F1504</f>
        <v>65.930000000000007</v>
      </c>
    </row>
    <row r="1502" spans="1:4" x14ac:dyDescent="0.25">
      <c r="A1502" t="str">
        <f>'Raw Data'!A1505</f>
        <v>03/24/2025</v>
      </c>
      <c r="B1502" t="str">
        <f>'Raw Data'!C1505</f>
        <v>RESTAURANTE LOS ALMEPUNTARENAS          PU</v>
      </c>
      <c r="C1502" t="str">
        <f>'Raw Data'!I1505</f>
        <v>Costa Rica Trip</v>
      </c>
      <c r="D1502" s="31">
        <f>'Raw Data'!F1505</f>
        <v>49.95</v>
      </c>
    </row>
    <row r="1503" spans="1:4" x14ac:dyDescent="0.25">
      <c r="A1503" t="str">
        <f>'Raw Data'!A1506</f>
        <v>03/23/2025</v>
      </c>
      <c r="B1503" t="str">
        <f>'Raw Data'!C1506</f>
        <v>AMAZON MARKETPLACE NAMZN.COM/BILL       WA</v>
      </c>
      <c r="C1503" t="str">
        <f>'Raw Data'!I1506</f>
        <v>Amazon</v>
      </c>
      <c r="D1503" s="31">
        <f>'Raw Data'!F1506</f>
        <v>-620.85</v>
      </c>
    </row>
    <row r="1504" spans="1:4" x14ac:dyDescent="0.25">
      <c r="A1504" t="str">
        <f>'Raw Data'!A1507</f>
        <v>03/23/2025</v>
      </c>
      <c r="B1504" t="str">
        <f>'Raw Data'!C1507</f>
        <v>AMAZON MARKETPLACE NAMZN.COM/BILL       WA</v>
      </c>
      <c r="C1504" t="str">
        <f>'Raw Data'!I1507</f>
        <v>Amazon</v>
      </c>
      <c r="D1504" s="31">
        <f>'Raw Data'!F1507</f>
        <v>-77.650000000000006</v>
      </c>
    </row>
    <row r="1505" spans="1:4" x14ac:dyDescent="0.25">
      <c r="A1505" t="str">
        <f>'Raw Data'!A1508</f>
        <v>03/23/2025</v>
      </c>
      <c r="B1505" t="str">
        <f>'Raw Data'!C1508</f>
        <v>AMAZON MARKETPLACE NAMZN.COM/BILL       WA</v>
      </c>
      <c r="C1505" t="str">
        <f>'Raw Data'!I1508</f>
        <v>Amazon</v>
      </c>
      <c r="D1505" s="31">
        <f>'Raw Data'!F1508</f>
        <v>-26.22</v>
      </c>
    </row>
    <row r="1506" spans="1:4" x14ac:dyDescent="0.25">
      <c r="A1506" t="str">
        <f>'Raw Data'!A1509</f>
        <v>03/23/2025</v>
      </c>
      <c r="B1506" t="str">
        <f>'Raw Data'!C1509</f>
        <v>AMAZON MARKEPLACE NA PA</v>
      </c>
      <c r="C1506" t="str">
        <f>'Raw Data'!I1509</f>
        <v>Amazon</v>
      </c>
      <c r="D1506" s="31">
        <f>'Raw Data'!F1509</f>
        <v>26.22</v>
      </c>
    </row>
    <row r="1507" spans="1:4" x14ac:dyDescent="0.25">
      <c r="A1507" t="str">
        <f>'Raw Data'!A1510</f>
        <v>03/23/2025</v>
      </c>
      <c r="B1507" t="str">
        <f>'Raw Data'!C1510</f>
        <v>AMAZON MARKEPLACE NA PA</v>
      </c>
      <c r="C1507" t="str">
        <f>'Raw Data'!I1510</f>
        <v>Amazon</v>
      </c>
      <c r="D1507" s="31">
        <f>'Raw Data'!F1510</f>
        <v>77.650000000000006</v>
      </c>
    </row>
    <row r="1508" spans="1:4" x14ac:dyDescent="0.25">
      <c r="A1508" t="str">
        <f>'Raw Data'!A1511</f>
        <v>03/23/2025</v>
      </c>
      <c r="B1508" t="str">
        <f>'Raw Data'!C1511</f>
        <v>AMAZON MARKEPLACE NA PA</v>
      </c>
      <c r="C1508" t="str">
        <f>'Raw Data'!I1511</f>
        <v>Amazon</v>
      </c>
      <c r="D1508" s="31">
        <f>'Raw Data'!F1511</f>
        <v>620.85</v>
      </c>
    </row>
    <row r="1509" spans="1:4" x14ac:dyDescent="0.25">
      <c r="A1509" t="str">
        <f>'Raw Data'!A1512</f>
        <v>03/23/2025</v>
      </c>
      <c r="B1509" t="str">
        <f>'Raw Data'!C1512</f>
        <v>AMAZON.COM          AMZN.COM/BILL       WA</v>
      </c>
      <c r="C1509" t="str">
        <f>'Raw Data'!I1512</f>
        <v>Amazon</v>
      </c>
      <c r="D1509" s="31">
        <f>'Raw Data'!F1512</f>
        <v>43.34</v>
      </c>
    </row>
    <row r="1510" spans="1:4" x14ac:dyDescent="0.25">
      <c r="A1510" t="str">
        <f>'Raw Data'!A1513</f>
        <v>03/23/2025</v>
      </c>
      <c r="B1510" t="str">
        <f>'Raw Data'!C1513</f>
        <v>DNH*GODADDY#36643383Tempe               AZ</v>
      </c>
      <c r="C1510" t="str">
        <f>'Raw Data'!I1513</f>
        <v>Go Daddy</v>
      </c>
      <c r="D1510" s="31">
        <f>'Raw Data'!F1513</f>
        <v>39.97</v>
      </c>
    </row>
    <row r="1511" spans="1:4" x14ac:dyDescent="0.25">
      <c r="A1511" t="str">
        <f>'Raw Data'!A1514</f>
        <v>03/23/2025</v>
      </c>
      <c r="B1511" t="str">
        <f>'Raw Data'!C1514</f>
        <v>RESTAURANTE LOS ALMEPUNTARENAS          PU</v>
      </c>
      <c r="C1511" t="str">
        <f>'Raw Data'!I1514</f>
        <v>Costa Rica Trip</v>
      </c>
      <c r="D1511" s="31">
        <f>'Raw Data'!F1514</f>
        <v>92.21</v>
      </c>
    </row>
    <row r="1512" spans="1:4" x14ac:dyDescent="0.25">
      <c r="A1512" t="str">
        <f>'Raw Data'!A1515</f>
        <v>03/21/2025</v>
      </c>
      <c r="B1512" t="str">
        <f>'Raw Data'!C1515</f>
        <v>AMERICAN EXPRESS TVLPHOENIX             AZ</v>
      </c>
      <c r="C1512" t="str">
        <f>'Raw Data'!I1515</f>
        <v>Costa Rica Trip</v>
      </c>
      <c r="D1512" s="31">
        <f>'Raw Data'!F1515</f>
        <v>502.9</v>
      </c>
    </row>
    <row r="1513" spans="1:4" x14ac:dyDescent="0.25">
      <c r="A1513" t="str">
        <f>'Raw Data'!A1516</f>
        <v>03/21/2025</v>
      </c>
      <c r="B1513" t="str">
        <f>'Raw Data'!C1516</f>
        <v>ITA AIRWAYS ITA AIRWUNITED STATES</v>
      </c>
      <c r="C1513" t="str">
        <f>'Raw Data'!I1516</f>
        <v>Italy Trip (Judd/Angela)</v>
      </c>
      <c r="D1513" s="31">
        <f>'Raw Data'!F1516</f>
        <v>167</v>
      </c>
    </row>
    <row r="1514" spans="1:4" x14ac:dyDescent="0.25">
      <c r="A1514" t="str">
        <f>'Raw Data'!A1517</f>
        <v>03/21/2025</v>
      </c>
      <c r="B1514" t="str">
        <f>'Raw Data'!C1517</f>
        <v>ITA AIRWAYS ITA AIRWUNITED STATES</v>
      </c>
      <c r="C1514" t="str">
        <f>'Raw Data'!I1517</f>
        <v>Italy Trip (Judd/Angela)</v>
      </c>
      <c r="D1514" s="31">
        <f>'Raw Data'!F1517</f>
        <v>167</v>
      </c>
    </row>
    <row r="1515" spans="1:4" x14ac:dyDescent="0.25">
      <c r="A1515" t="str">
        <f>'Raw Data'!A1518</f>
        <v>03/21/2025</v>
      </c>
      <c r="B1515" t="str">
        <f>'Raw Data'!C1518</f>
        <v>ITA AIRWAYS ITA AIRWUNITED STATES</v>
      </c>
      <c r="C1515" t="str">
        <f>'Raw Data'!I1518</f>
        <v>Italy Trip (Judd/Angela)</v>
      </c>
      <c r="D1515" s="31">
        <f>'Raw Data'!F1518</f>
        <v>167</v>
      </c>
    </row>
    <row r="1516" spans="1:4" x14ac:dyDescent="0.25">
      <c r="A1516" t="str">
        <f>'Raw Data'!A1519</f>
        <v>03/21/2025</v>
      </c>
      <c r="B1516" t="str">
        <f>'Raw Data'!C1519</f>
        <v>ITA AIRWAYS ITA AIRWUNITED STATES</v>
      </c>
      <c r="C1516" t="str">
        <f>'Raw Data'!I1519</f>
        <v>Italy Trip (Judd/Angela)</v>
      </c>
      <c r="D1516" s="31">
        <f>'Raw Data'!F1519</f>
        <v>167</v>
      </c>
    </row>
    <row r="1517" spans="1:4" x14ac:dyDescent="0.25">
      <c r="A1517" t="str">
        <f>'Raw Data'!A1520</f>
        <v>03/21/2025</v>
      </c>
      <c r="B1517" t="str">
        <f>'Raw Data'!C1520</f>
        <v>LAPHIL HWBOWL WEB   LOS ANGELES         CA</v>
      </c>
      <c r="C1517" t="str">
        <f>'Raw Data'!I1520</f>
        <v>Personal - Entertainment</v>
      </c>
      <c r="D1517" s="31">
        <f>'Raw Data'!F1520</f>
        <v>448</v>
      </c>
    </row>
    <row r="1518" spans="1:4" x14ac:dyDescent="0.25">
      <c r="A1518" t="str">
        <f>'Raw Data'!A1521</f>
        <v>03/20/2025</v>
      </c>
      <c r="B1518" t="str">
        <f>'Raw Data'!C1521</f>
        <v>CAMPAIGNER SVC      888-845-4544        CA</v>
      </c>
      <c r="C1518" t="str">
        <f>'Raw Data'!I1521</f>
        <v>Software &amp; Subscriptions</v>
      </c>
      <c r="D1518" s="31">
        <f>'Raw Data'!F1521</f>
        <v>584</v>
      </c>
    </row>
    <row r="1519" spans="1:4" x14ac:dyDescent="0.25">
      <c r="A1519" t="str">
        <f>'Raw Data'!A1522</f>
        <v>03/20/2025</v>
      </c>
      <c r="B1519" t="str">
        <f>'Raw Data'!C1522</f>
        <v>DNH*GODADDY#36573027Tempe               AZ</v>
      </c>
      <c r="C1519" t="str">
        <f>'Raw Data'!I1522</f>
        <v>Go Daddy</v>
      </c>
      <c r="D1519" s="31">
        <f>'Raw Data'!F1522</f>
        <v>16.97</v>
      </c>
    </row>
    <row r="1520" spans="1:4" x14ac:dyDescent="0.25">
      <c r="A1520" t="str">
        <f>'Raw Data'!A1523</f>
        <v>03/19/2025</v>
      </c>
      <c r="B1520" t="str">
        <f>'Raw Data'!C1523</f>
        <v>AMAZON MARKETPLACE NAMZN.COM/BILL       WA</v>
      </c>
      <c r="C1520" t="str">
        <f>'Raw Data'!I1523</f>
        <v>Amazon</v>
      </c>
      <c r="D1520" s="31">
        <f>'Raw Data'!F1523</f>
        <v>-247.41</v>
      </c>
    </row>
    <row r="1521" spans="1:4" x14ac:dyDescent="0.25">
      <c r="A1521" t="str">
        <f>'Raw Data'!A1524</f>
        <v>03/19/2025</v>
      </c>
      <c r="B1521" t="str">
        <f>'Raw Data'!C1524</f>
        <v>AMAZON MARKEPLACE NA PA</v>
      </c>
      <c r="C1521" t="str">
        <f>'Raw Data'!I1524</f>
        <v>Amazon</v>
      </c>
      <c r="D1521" s="31">
        <f>'Raw Data'!F1524</f>
        <v>247.41</v>
      </c>
    </row>
    <row r="1522" spans="1:4" x14ac:dyDescent="0.25">
      <c r="A1522" t="str">
        <f>'Raw Data'!A1525</f>
        <v>03/19/2025</v>
      </c>
      <c r="B1522" t="str">
        <f>'Raw Data'!C1525</f>
        <v>BM DE PALMAR        PUNTARENAS          PU</v>
      </c>
      <c r="C1522" t="str">
        <f>'Raw Data'!I1525</f>
        <v>Costa Rica Trip</v>
      </c>
      <c r="D1522" s="31">
        <f>'Raw Data'!F1525</f>
        <v>168.39</v>
      </c>
    </row>
    <row r="1523" spans="1:4" x14ac:dyDescent="0.25">
      <c r="A1523" t="str">
        <f>'Raw Data'!A1526</f>
        <v>03/19/2025</v>
      </c>
      <c r="B1523" t="str">
        <f>'Raw Data'!C1526</f>
        <v>EC RENTA CAR        ALAJUELA            AL</v>
      </c>
      <c r="C1523" t="str">
        <f>'Raw Data'!I1526</f>
        <v>Costa Rica Trip</v>
      </c>
      <c r="D1523" s="31">
        <f>'Raw Data'!F1526</f>
        <v>705.99</v>
      </c>
    </row>
    <row r="1524" spans="1:4" x14ac:dyDescent="0.25">
      <c r="A1524" t="str">
        <f>'Raw Data'!A1527</f>
        <v>03/19/2025</v>
      </c>
      <c r="B1524" t="str">
        <f>'Raw Data'!C1527</f>
        <v>EXPEDIA 730583187648EXPEDIA.COM         WA</v>
      </c>
      <c r="C1524" t="str">
        <f>'Raw Data'!I1527</f>
        <v>Costa Rica Trip</v>
      </c>
      <c r="D1524" s="31">
        <f>'Raw Data'!F1527</f>
        <v>268.55</v>
      </c>
    </row>
    <row r="1525" spans="1:4" x14ac:dyDescent="0.25">
      <c r="A1525" t="str">
        <f>'Raw Data'!A1528</f>
        <v>03/19/2025</v>
      </c>
      <c r="B1525" t="str">
        <f>'Raw Data'!C1528</f>
        <v>PARADIES-LOS ANGELESATLANTA             GA</v>
      </c>
      <c r="C1525" t="str">
        <f>'Raw Data'!I1528</f>
        <v>Costa Rica Trip</v>
      </c>
      <c r="D1525" s="31">
        <f>'Raw Data'!F1528</f>
        <v>11.64</v>
      </c>
    </row>
    <row r="1526" spans="1:4" x14ac:dyDescent="0.25">
      <c r="A1526" t="str">
        <f>'Raw Data'!A1529</f>
        <v>03/18/2025</v>
      </c>
      <c r="B1526" t="str">
        <f>'Raw Data'!C1529</f>
        <v>DNH*GODADDY#36541635Tempe               AZ</v>
      </c>
      <c r="C1526" t="str">
        <f>'Raw Data'!I1529</f>
        <v>Go Daddy</v>
      </c>
      <c r="D1526" s="31">
        <f>'Raw Data'!F1529</f>
        <v>15.98</v>
      </c>
    </row>
    <row r="1527" spans="1:4" x14ac:dyDescent="0.25">
      <c r="A1527" t="str">
        <f>'Raw Data'!A1530</f>
        <v>03/18/2025</v>
      </c>
      <c r="B1527" t="str">
        <f>'Raw Data'!C1530</f>
        <v>JACKS SURF BOARDS   SANTA MONICA        CA</v>
      </c>
      <c r="C1527" t="str">
        <f>'Raw Data'!I1530</f>
        <v>Personal - Entertainment</v>
      </c>
      <c r="D1527" s="31">
        <f>'Raw Data'!F1530</f>
        <v>111.02</v>
      </c>
    </row>
    <row r="1528" spans="1:4" x14ac:dyDescent="0.25">
      <c r="A1528" t="str">
        <f>'Raw Data'!A1531</f>
        <v>03/18/2025</v>
      </c>
      <c r="B1528" t="str">
        <f>'Raw Data'!C1531</f>
        <v>PACOS TACOS 0755    LOS ANGELES         CA</v>
      </c>
      <c r="C1528" t="str">
        <f>'Raw Data'!I1531</f>
        <v>Personal - Food</v>
      </c>
      <c r="D1528" s="31">
        <f>'Raw Data'!F1531</f>
        <v>126.85</v>
      </c>
    </row>
    <row r="1529" spans="1:4" x14ac:dyDescent="0.25">
      <c r="A1529" t="str">
        <f>'Raw Data'!A1532</f>
        <v>03/18/2025</v>
      </c>
      <c r="B1529" t="str">
        <f>'Raw Data'!C1532</f>
        <v>RAINBOW ACRES       LOS ANGELES         CA</v>
      </c>
      <c r="C1529" t="str">
        <f>'Raw Data'!I1532</f>
        <v>Personal - House</v>
      </c>
      <c r="D1529" s="31">
        <f>'Raw Data'!F1532</f>
        <v>28.76</v>
      </c>
    </row>
    <row r="1530" spans="1:4" x14ac:dyDescent="0.25">
      <c r="A1530" t="str">
        <f>'Raw Data'!A1533</f>
        <v>03/18/2025</v>
      </c>
      <c r="B1530" t="str">
        <f>'Raw Data'!C1533</f>
        <v>RIDER SHACK         LOS ANGELES         CA</v>
      </c>
      <c r="C1530" t="str">
        <f>'Raw Data'!I1533</f>
        <v>Personal - Entertainment</v>
      </c>
      <c r="D1530" s="31">
        <f>'Raw Data'!F1533</f>
        <v>44.09</v>
      </c>
    </row>
    <row r="1531" spans="1:4" x14ac:dyDescent="0.25">
      <c r="A1531" t="str">
        <f>'Raw Data'!A1534</f>
        <v>03/18/2025</v>
      </c>
      <c r="B1531" t="str">
        <f>'Raw Data'!C1534</f>
        <v>RIDER SHACK         LOS ANGELES         CA</v>
      </c>
      <c r="C1531" t="str">
        <f>'Raw Data'!I1534</f>
        <v>Personal - Entertainment</v>
      </c>
      <c r="D1531" s="31">
        <f>'Raw Data'!F1534</f>
        <v>680.19</v>
      </c>
    </row>
    <row r="1532" spans="1:4" x14ac:dyDescent="0.25">
      <c r="A1532" t="str">
        <f>'Raw Data'!A1535</f>
        <v>03/17/2025</v>
      </c>
      <c r="B1532" t="str">
        <f>'Raw Data'!C1535</f>
        <v>AMERICAN EXPRESS TRAPHOENIX             AZ</v>
      </c>
      <c r="C1532" t="str">
        <f>'Raw Data'!I1535</f>
        <v>Italy Trip (Judd/Angela)</v>
      </c>
      <c r="D1532" s="31">
        <f>'Raw Data'!F1535</f>
        <v>1075.4100000000001</v>
      </c>
    </row>
    <row r="1533" spans="1:4" x14ac:dyDescent="0.25">
      <c r="A1533" t="str">
        <f>'Raw Data'!A1536</f>
        <v>03/17/2025</v>
      </c>
      <c r="B1533" t="str">
        <f>'Raw Data'!C1536</f>
        <v>DNH*GODADDY#36510163Tempe               AZ</v>
      </c>
      <c r="C1533" t="str">
        <f>'Raw Data'!I1536</f>
        <v>Go Daddy</v>
      </c>
      <c r="D1533" s="31">
        <f>'Raw Data'!F1536</f>
        <v>13.98</v>
      </c>
    </row>
    <row r="1534" spans="1:4" x14ac:dyDescent="0.25">
      <c r="A1534" t="str">
        <f>'Raw Data'!A1537</f>
        <v>03/17/2025</v>
      </c>
      <c r="B1534" t="str">
        <f>'Raw Data'!C1537</f>
        <v>EVERLANE* R363160565SAN FRANCISCO       CA</v>
      </c>
      <c r="C1534" t="str">
        <f>'Raw Data'!I1537</f>
        <v>Personal - Clothing</v>
      </c>
      <c r="D1534" s="31">
        <f>'Raw Data'!F1537</f>
        <v>121.55</v>
      </c>
    </row>
    <row r="1535" spans="1:4" x14ac:dyDescent="0.25">
      <c r="A1535" t="str">
        <f>'Raw Data'!A1538</f>
        <v>03/17/2025</v>
      </c>
      <c r="B1535" t="str">
        <f>'Raw Data'!C1538</f>
        <v>EXPEDIA.COM TRAVEL  SEATTLE             WA</v>
      </c>
      <c r="C1535" t="str">
        <f>'Raw Data'!I1538</f>
        <v>Team Travel (Judd)</v>
      </c>
      <c r="D1535" s="31">
        <f>'Raw Data'!F1538</f>
        <v>107.91</v>
      </c>
    </row>
    <row r="1536" spans="1:4" x14ac:dyDescent="0.25">
      <c r="A1536" t="str">
        <f>'Raw Data'!A1539</f>
        <v>03/17/2025</v>
      </c>
      <c r="B1536" t="str">
        <f>'Raw Data'!C1539</f>
        <v>EXPEDIA.COM TRAVEL  SEATTLE             WA</v>
      </c>
      <c r="C1536" t="str">
        <f>'Raw Data'!I1539</f>
        <v>Team Travel (Angela)</v>
      </c>
      <c r="D1536" s="31">
        <f>'Raw Data'!F1539</f>
        <v>107.91</v>
      </c>
    </row>
    <row r="1537" spans="1:4" x14ac:dyDescent="0.25">
      <c r="A1537" t="str">
        <f>'Raw Data'!A1540</f>
        <v>03/17/2025</v>
      </c>
      <c r="B1537" t="str">
        <f>'Raw Data'!C1540</f>
        <v>EXPEDIA.COM TRAVEL  SEATTLE             WA</v>
      </c>
      <c r="C1537" t="str">
        <f>'Raw Data'!I1540</f>
        <v>Team Travel (Angela)</v>
      </c>
      <c r="D1537" s="31">
        <f>'Raw Data'!F1540</f>
        <v>132.76</v>
      </c>
    </row>
    <row r="1538" spans="1:4" x14ac:dyDescent="0.25">
      <c r="A1538" t="str">
        <f>'Raw Data'!A1541</f>
        <v>03/17/2025</v>
      </c>
      <c r="B1538" t="str">
        <f>'Raw Data'!C1541</f>
        <v>EXPEDIA.COM TRAVEL  SEATTLE             WA</v>
      </c>
      <c r="C1538" t="str">
        <f>'Raw Data'!I1541</f>
        <v>Team Travel (Angela)</v>
      </c>
      <c r="D1538" s="31">
        <f>'Raw Data'!F1541</f>
        <v>132.76</v>
      </c>
    </row>
    <row r="1539" spans="1:4" x14ac:dyDescent="0.25">
      <c r="A1539" t="str">
        <f>'Raw Data'!A1542</f>
        <v>03/17/2025</v>
      </c>
      <c r="B1539" t="str">
        <f>'Raw Data'!C1542</f>
        <v>EXPEDIA.COM TRAVEL  SEATTLE             WA</v>
      </c>
      <c r="C1539" t="str">
        <f>'Raw Data'!I1542</f>
        <v>Team Travel (Angela)</v>
      </c>
      <c r="D1539" s="31">
        <f>'Raw Data'!F1542</f>
        <v>328.97</v>
      </c>
    </row>
    <row r="1540" spans="1:4" x14ac:dyDescent="0.25">
      <c r="A1540" t="str">
        <f>'Raw Data'!A1543</f>
        <v>03/17/2025</v>
      </c>
      <c r="B1540" t="str">
        <f>'Raw Data'!C1543</f>
        <v>EXPEDIA.COM TRAVEL  SEATTLE             WA</v>
      </c>
      <c r="C1540" t="str">
        <f>'Raw Data'!I1543</f>
        <v>Team Travel (Angela)</v>
      </c>
      <c r="D1540" s="31">
        <f>'Raw Data'!F1543</f>
        <v>328.97</v>
      </c>
    </row>
    <row r="1541" spans="1:4" x14ac:dyDescent="0.25">
      <c r="A1541" t="str">
        <f>'Raw Data'!A1544</f>
        <v>03/17/2025</v>
      </c>
      <c r="B1541" t="str">
        <f>'Raw Data'!C1544</f>
        <v>EXPEDIA.COM TRAVEL  SEATTLE             WA</v>
      </c>
      <c r="C1541" t="str">
        <f>'Raw Data'!I1544</f>
        <v>Team Travel (Angela)</v>
      </c>
      <c r="D1541" s="31">
        <f>'Raw Data'!F1544</f>
        <v>328.97</v>
      </c>
    </row>
    <row r="1542" spans="1:4" x14ac:dyDescent="0.25">
      <c r="A1542" t="str">
        <f>'Raw Data'!A1545</f>
        <v>03/17/2025</v>
      </c>
      <c r="B1542" t="str">
        <f>'Raw Data'!C1545</f>
        <v>EXPEDIA.COM TRAVEL  SEATTLE             WA</v>
      </c>
      <c r="C1542" t="str">
        <f>'Raw Data'!I1545</f>
        <v>Team Travel (Angela)</v>
      </c>
      <c r="D1542" s="31">
        <f>'Raw Data'!F1545</f>
        <v>328.97</v>
      </c>
    </row>
    <row r="1543" spans="1:4" x14ac:dyDescent="0.25">
      <c r="A1543" t="str">
        <f>'Raw Data'!A1546</f>
        <v>03/17/2025</v>
      </c>
      <c r="B1543" t="str">
        <f>'Raw Data'!C1546</f>
        <v>EXPEDIA.COM TRAVEL  SEATTLE             WA</v>
      </c>
      <c r="C1543" t="str">
        <f>'Raw Data'!I1546</f>
        <v>Team Travel (Angela)</v>
      </c>
      <c r="D1543" s="31">
        <f>'Raw Data'!F1546</f>
        <v>328.97</v>
      </c>
    </row>
    <row r="1544" spans="1:4" x14ac:dyDescent="0.25">
      <c r="A1544" t="str">
        <f>'Raw Data'!A1547</f>
        <v>03/17/2025</v>
      </c>
      <c r="B1544" t="str">
        <f>'Raw Data'!C1547</f>
        <v>EXPEDIA.COM TRAVEL  SEATTLE             WA</v>
      </c>
      <c r="C1544" t="str">
        <f>'Raw Data'!I1547</f>
        <v>Team Travel (Angela)</v>
      </c>
      <c r="D1544" s="31">
        <f>'Raw Data'!F1547</f>
        <v>472.96</v>
      </c>
    </row>
    <row r="1545" spans="1:4" x14ac:dyDescent="0.25">
      <c r="A1545" t="str">
        <f>'Raw Data'!A1548</f>
        <v>03/17/2025</v>
      </c>
      <c r="B1545" t="str">
        <f>'Raw Data'!C1548</f>
        <v>EXPEDIA.COM TRAVEL  SEATTLE             WA</v>
      </c>
      <c r="C1545" t="str">
        <f>'Raw Data'!I1548</f>
        <v>Team Travel (Angela)</v>
      </c>
      <c r="D1545" s="31">
        <f>'Raw Data'!F1548</f>
        <v>472.96</v>
      </c>
    </row>
    <row r="1546" spans="1:4" x14ac:dyDescent="0.25">
      <c r="A1546" t="str">
        <f>'Raw Data'!A1549</f>
        <v>03/17/2025</v>
      </c>
      <c r="B1546" t="str">
        <f>'Raw Data'!C1549</f>
        <v>EXPEDIA.COM TRAVEL  SEATTLE             WA</v>
      </c>
      <c r="C1546" t="str">
        <f>'Raw Data'!I1549</f>
        <v>Team Travel (Angela)</v>
      </c>
      <c r="D1546" s="31">
        <f>'Raw Data'!F1549</f>
        <v>472.96</v>
      </c>
    </row>
    <row r="1547" spans="1:4" x14ac:dyDescent="0.25">
      <c r="A1547" t="str">
        <f>'Raw Data'!A1550</f>
        <v>03/17/2025</v>
      </c>
      <c r="B1547" t="str">
        <f>'Raw Data'!C1550</f>
        <v>EXPEDIA.COM TRAVEL  SEATTLE             WA</v>
      </c>
      <c r="C1547" t="str">
        <f>'Raw Data'!I1550</f>
        <v>Team Travel (Angela)</v>
      </c>
      <c r="D1547" s="31">
        <f>'Raw Data'!F1550</f>
        <v>472.96</v>
      </c>
    </row>
    <row r="1548" spans="1:4" x14ac:dyDescent="0.25">
      <c r="A1548" t="str">
        <f>'Raw Data'!A1551</f>
        <v>03/17/2025</v>
      </c>
      <c r="B1548" t="str">
        <f>'Raw Data'!C1551</f>
        <v>ON INC              PORTLAND            OR</v>
      </c>
      <c r="C1548" t="str">
        <f>'Raw Data'!I1551</f>
        <v>Personal - Clothing</v>
      </c>
      <c r="D1548" s="31">
        <f>'Raw Data'!F1551</f>
        <v>175.2</v>
      </c>
    </row>
    <row r="1549" spans="1:4" x14ac:dyDescent="0.25">
      <c r="A1549" t="str">
        <f>'Raw Data'!A1552</f>
        <v>03/17/2025</v>
      </c>
      <c r="B1549" t="str">
        <f>'Raw Data'!C1552</f>
        <v>PAYA THAI LA LLC    LOS ANGELES         CA</v>
      </c>
      <c r="C1549" t="str">
        <f>'Raw Data'!I1552</f>
        <v>Personal - Health</v>
      </c>
      <c r="D1549" s="31">
        <f>'Raw Data'!F1552</f>
        <v>202.5</v>
      </c>
    </row>
    <row r="1550" spans="1:4" x14ac:dyDescent="0.25">
      <c r="A1550" t="str">
        <f>'Raw Data'!A1553</f>
        <v>03/17/2025</v>
      </c>
      <c r="B1550" t="str">
        <f>'Raw Data'!C1553</f>
        <v>SANDS CHIROPRACTIC  Redondo Beach       CA</v>
      </c>
      <c r="C1550" t="str">
        <f>'Raw Data'!I1553</f>
        <v>Personal - Health</v>
      </c>
      <c r="D1550" s="31">
        <f>'Raw Data'!F1553</f>
        <v>185</v>
      </c>
    </row>
    <row r="1551" spans="1:4" x14ac:dyDescent="0.25">
      <c r="A1551" t="str">
        <f>'Raw Data'!A1554</f>
        <v>03/17/2025</v>
      </c>
      <c r="B1551" t="str">
        <f>'Raw Data'!C1554</f>
        <v>TST* INTELLIGENTSIA VENICE              CA</v>
      </c>
      <c r="C1551" t="str">
        <f>'Raw Data'!I1554</f>
        <v>Personal - Food</v>
      </c>
      <c r="D1551" s="31">
        <f>'Raw Data'!F1554</f>
        <v>5</v>
      </c>
    </row>
    <row r="1552" spans="1:4" x14ac:dyDescent="0.25">
      <c r="A1552" t="str">
        <f>'Raw Data'!A1555</f>
        <v>03/17/2025</v>
      </c>
      <c r="B1552" t="str">
        <f>'Raw Data'!C1555</f>
        <v>TST* THE BUTCHERS DAVENICE              CA</v>
      </c>
      <c r="C1552" t="str">
        <f>'Raw Data'!I1555</f>
        <v>Personal - Food</v>
      </c>
      <c r="D1552" s="31">
        <f>'Raw Data'!F1555</f>
        <v>55.24</v>
      </c>
    </row>
    <row r="1553" spans="1:4" x14ac:dyDescent="0.25">
      <c r="A1553" t="str">
        <f>'Raw Data'!A1556</f>
        <v>03/16/2025</v>
      </c>
      <c r="B1553" t="str">
        <f>'Raw Data'!C1556</f>
        <v>AMAZON MARKETPLACE NAMZN.COM/BILL       WA</v>
      </c>
      <c r="C1553" t="str">
        <f>'Raw Data'!I1556</f>
        <v>Amazon</v>
      </c>
      <c r="D1553" s="31">
        <f>'Raw Data'!F1556</f>
        <v>-620.85</v>
      </c>
    </row>
    <row r="1554" spans="1:4" x14ac:dyDescent="0.25">
      <c r="A1554" t="str">
        <f>'Raw Data'!A1557</f>
        <v>03/16/2025</v>
      </c>
      <c r="B1554" t="str">
        <f>'Raw Data'!C1557</f>
        <v>AMAZON MARKETPLACE NAMZN.COM/BILL       WA</v>
      </c>
      <c r="C1554" t="str">
        <f>'Raw Data'!I1557</f>
        <v>Amazon</v>
      </c>
      <c r="D1554" s="31">
        <f>'Raw Data'!F1557</f>
        <v>-129.9</v>
      </c>
    </row>
    <row r="1555" spans="1:4" x14ac:dyDescent="0.25">
      <c r="A1555" t="str">
        <f>'Raw Data'!A1558</f>
        <v>03/16/2025</v>
      </c>
      <c r="B1555" t="str">
        <f>'Raw Data'!C1558</f>
        <v>AMAZON MARKEPLACE NA PA</v>
      </c>
      <c r="C1555" t="str">
        <f>'Raw Data'!I1558</f>
        <v>Amazon</v>
      </c>
      <c r="D1555" s="31">
        <f>'Raw Data'!F1558</f>
        <v>129.9</v>
      </c>
    </row>
    <row r="1556" spans="1:4" x14ac:dyDescent="0.25">
      <c r="A1556" t="str">
        <f>'Raw Data'!A1559</f>
        <v>03/16/2025</v>
      </c>
      <c r="B1556" t="str">
        <f>'Raw Data'!C1559</f>
        <v>AMAZON MARKEPLACE NA PA</v>
      </c>
      <c r="C1556" t="str">
        <f>'Raw Data'!I1559</f>
        <v>Amazon</v>
      </c>
      <c r="D1556" s="31">
        <f>'Raw Data'!F1559</f>
        <v>620.85</v>
      </c>
    </row>
    <row r="1557" spans="1:4" x14ac:dyDescent="0.25">
      <c r="A1557" t="str">
        <f>'Raw Data'!A1560</f>
        <v>03/16/2025</v>
      </c>
      <c r="B1557" t="str">
        <f>'Raw Data'!C1560</f>
        <v>EVERLANE* R087774467SAN FRANCISCO       CA</v>
      </c>
      <c r="C1557" t="str">
        <f>'Raw Data'!I1560</f>
        <v>Personal - Clothing</v>
      </c>
      <c r="D1557" s="31">
        <f>'Raw Data'!F1560</f>
        <v>162.02000000000001</v>
      </c>
    </row>
    <row r="1558" spans="1:4" x14ac:dyDescent="0.25">
      <c r="A1558" t="str">
        <f>'Raw Data'!A1561</f>
        <v>03/16/2025</v>
      </c>
      <c r="B1558" t="str">
        <f>'Raw Data'!C1561</f>
        <v>LEV INC             NEW YORK            NY</v>
      </c>
      <c r="C1558" t="str">
        <f>'Raw Data'!I1561</f>
        <v>DWG Listing Platform</v>
      </c>
      <c r="D1558" s="31">
        <f>'Raw Data'!F1561</f>
        <v>2000</v>
      </c>
    </row>
    <row r="1559" spans="1:4" x14ac:dyDescent="0.25">
      <c r="A1559" t="str">
        <f>'Raw Data'!A1562</f>
        <v>03/16/2025</v>
      </c>
      <c r="B1559" t="str">
        <f>'Raw Data'!C1562</f>
        <v>PAYA THAI LA LLC    LOS ANGELES         CA</v>
      </c>
      <c r="C1559" t="str">
        <f>'Raw Data'!I1562</f>
        <v>Personal - Health</v>
      </c>
      <c r="D1559" s="31">
        <f>'Raw Data'!F1562</f>
        <v>200</v>
      </c>
    </row>
    <row r="1560" spans="1:4" x14ac:dyDescent="0.25">
      <c r="A1560" t="str">
        <f>'Raw Data'!A1563</f>
        <v>03/16/2025</v>
      </c>
      <c r="B1560" t="str">
        <f>'Raw Data'!C1563</f>
        <v>SOCIALPILOT         LEWES               DE</v>
      </c>
      <c r="C1560" t="str">
        <f>'Raw Data'!I1563</f>
        <v>Software &amp; Subscriptions</v>
      </c>
      <c r="D1560" s="31">
        <f>'Raw Data'!F1563</f>
        <v>50</v>
      </c>
    </row>
    <row r="1561" spans="1:4" x14ac:dyDescent="0.25">
      <c r="A1561" t="str">
        <f>'Raw Data'!A1564</f>
        <v>03/16/2025</v>
      </c>
      <c r="B1561" t="str">
        <f>'Raw Data'!C1564</f>
        <v>TST* THE BUTCHERS DAVENICE              CA</v>
      </c>
      <c r="C1561" t="str">
        <f>'Raw Data'!I1564</f>
        <v>Personal - Food</v>
      </c>
      <c r="D1561" s="31">
        <f>'Raw Data'!F1564</f>
        <v>225.99</v>
      </c>
    </row>
    <row r="1562" spans="1:4" x14ac:dyDescent="0.25">
      <c r="A1562" t="str">
        <f>'Raw Data'!A1565</f>
        <v>03/15/2025</v>
      </c>
      <c r="B1562" t="str">
        <f>'Raw Data'!C1565</f>
        <v>AMAI COFFEE SANTA MOSanta Monica        CA</v>
      </c>
      <c r="C1562" t="str">
        <f>'Raw Data'!I1565</f>
        <v>Personal - Food</v>
      </c>
      <c r="D1562" s="31">
        <f>'Raw Data'!F1565</f>
        <v>43.7</v>
      </c>
    </row>
    <row r="1563" spans="1:4" x14ac:dyDescent="0.25">
      <c r="A1563" t="str">
        <f>'Raw Data'!A1566</f>
        <v>03/15/2025</v>
      </c>
      <c r="B1563" t="str">
        <f>'Raw Data'!C1566</f>
        <v>DNH*GODADDY#36472659Tempe               AZ</v>
      </c>
      <c r="C1563" t="str">
        <f>'Raw Data'!I1566</f>
        <v>Go Daddy</v>
      </c>
      <c r="D1563" s="31">
        <f>'Raw Data'!F1566</f>
        <v>344.63</v>
      </c>
    </row>
    <row r="1564" spans="1:4" x14ac:dyDescent="0.25">
      <c r="A1564" t="str">
        <f>'Raw Data'!A1567</f>
        <v>03/14/2025</v>
      </c>
      <c r="B1564" t="str">
        <f>'Raw Data'!C1567</f>
        <v>AMAZON MARKETPLACE NAMZN.COM/BILL       WA</v>
      </c>
      <c r="C1564" t="str">
        <f>'Raw Data'!I1567</f>
        <v>Amazon</v>
      </c>
      <c r="D1564" s="31">
        <f>'Raw Data'!F1567</f>
        <v>-66.25</v>
      </c>
    </row>
    <row r="1565" spans="1:4" x14ac:dyDescent="0.25">
      <c r="A1565" t="str">
        <f>'Raw Data'!A1568</f>
        <v>03/14/2025</v>
      </c>
      <c r="B1565" t="str">
        <f>'Raw Data'!C1568</f>
        <v>AMAZON MARKEPLACE NA PA</v>
      </c>
      <c r="C1565" t="str">
        <f>'Raw Data'!I1568</f>
        <v>Amazon</v>
      </c>
      <c r="D1565" s="31">
        <f>'Raw Data'!F1568</f>
        <v>66.25</v>
      </c>
    </row>
    <row r="1566" spans="1:4" x14ac:dyDescent="0.25">
      <c r="A1566" t="str">
        <f>'Raw Data'!A1569</f>
        <v>03/14/2025</v>
      </c>
      <c r="B1566" t="str">
        <f>'Raw Data'!C1569</f>
        <v>DNH*GODADDY#36451205Tempe               AZ</v>
      </c>
      <c r="C1566" t="str">
        <f>'Raw Data'!I1569</f>
        <v>Go Daddy</v>
      </c>
      <c r="D1566" s="31">
        <f>'Raw Data'!F1569</f>
        <v>29.97</v>
      </c>
    </row>
    <row r="1567" spans="1:4" x14ac:dyDescent="0.25">
      <c r="A1567" t="str">
        <f>'Raw Data'!A1570</f>
        <v>03/14/2025</v>
      </c>
      <c r="B1567" t="str">
        <f>'Raw Data'!C1570</f>
        <v>GELSON'S MARKET #29 SANTA MONICA        CA</v>
      </c>
      <c r="C1567" t="str">
        <f>'Raw Data'!I1570</f>
        <v>Personal - Food</v>
      </c>
      <c r="D1567" s="31">
        <f>'Raw Data'!F1570</f>
        <v>276.56</v>
      </c>
    </row>
    <row r="1568" spans="1:4" x14ac:dyDescent="0.25">
      <c r="A1568" t="str">
        <f>'Raw Data'!A1571</f>
        <v>03/14/2025</v>
      </c>
      <c r="B1568" t="str">
        <f>'Raw Data'!C1571</f>
        <v>GELSON'S MARKETS    MARINA DEL REY      CA</v>
      </c>
      <c r="C1568" t="str">
        <f>'Raw Data'!I1571</f>
        <v>Personal - Food</v>
      </c>
      <c r="D1568" s="31">
        <f>'Raw Data'!F1571</f>
        <v>10.5</v>
      </c>
    </row>
    <row r="1569" spans="1:4" x14ac:dyDescent="0.25">
      <c r="A1569" t="str">
        <f>'Raw Data'!A1572</f>
        <v>03/14/2025</v>
      </c>
      <c r="B1569" t="str">
        <f>'Raw Data'!C1572</f>
        <v>GELSON'S MARKETS    MARINA DEL REY      CA</v>
      </c>
      <c r="C1569" t="str">
        <f>'Raw Data'!I1572</f>
        <v>Personal - Food</v>
      </c>
      <c r="D1569" s="31">
        <f>'Raw Data'!F1572</f>
        <v>19.48</v>
      </c>
    </row>
    <row r="1570" spans="1:4" x14ac:dyDescent="0.25">
      <c r="A1570" t="str">
        <f>'Raw Data'!A1573</f>
        <v>03/14/2025</v>
      </c>
      <c r="B1570" t="str">
        <f>'Raw Data'!C1573</f>
        <v>KINDLE UNLTD*KI1N92L888-802-3080        WA</v>
      </c>
      <c r="C1570" t="str">
        <f>'Raw Data'!I1573</f>
        <v>Software &amp; Subscriptions</v>
      </c>
      <c r="D1570" s="31">
        <f>'Raw Data'!F1573</f>
        <v>12.98</v>
      </c>
    </row>
    <row r="1571" spans="1:4" x14ac:dyDescent="0.25">
      <c r="A1571" t="str">
        <f>'Raw Data'!A1574</f>
        <v>03/14/2025</v>
      </c>
      <c r="B1571" t="str">
        <f>'Raw Data'!C1574</f>
        <v>TLF=EDELWEISS FLOWERSANTA MONICA        CA</v>
      </c>
      <c r="C1571" t="str">
        <f>'Raw Data'!I1574</f>
        <v>Personal - House</v>
      </c>
      <c r="D1571" s="31">
        <f>'Raw Data'!F1574</f>
        <v>33.08</v>
      </c>
    </row>
    <row r="1572" spans="1:4" x14ac:dyDescent="0.25">
      <c r="A1572" t="str">
        <f>'Raw Data'!A1575</f>
        <v>03/14/2025</v>
      </c>
      <c r="B1572" t="str">
        <f>'Raw Data'!C1575</f>
        <v>TST* TAVERNA AT THE LOS ANGELES         CA</v>
      </c>
      <c r="C1572" t="str">
        <f>'Raw Data'!I1575</f>
        <v>Personal - Food</v>
      </c>
      <c r="D1572" s="31">
        <f>'Raw Data'!F1575</f>
        <v>291.99</v>
      </c>
    </row>
    <row r="1573" spans="1:4" x14ac:dyDescent="0.25">
      <c r="A1573" t="str">
        <f>'Raw Data'!A1576</f>
        <v>03/13/2025</v>
      </c>
      <c r="B1573" t="str">
        <f>'Raw Data'!C1576</f>
        <v>ALANA'S COFFEE ROASTLos Angeles         CA</v>
      </c>
      <c r="C1573" t="str">
        <f>'Raw Data'!I1576</f>
        <v>Personal - Food</v>
      </c>
      <c r="D1573" s="31">
        <f>'Raw Data'!F1576</f>
        <v>7</v>
      </c>
    </row>
    <row r="1574" spans="1:4" x14ac:dyDescent="0.25">
      <c r="A1574" t="str">
        <f>'Raw Data'!A1577</f>
        <v>03/13/2025</v>
      </c>
      <c r="B1574" t="str">
        <f>'Raw Data'!C1577</f>
        <v>ALANA'S COFFEE ROASTLos Angeles         CA</v>
      </c>
      <c r="C1574" t="str">
        <f>'Raw Data'!I1577</f>
        <v>Personal - Food</v>
      </c>
      <c r="D1574" s="31">
        <f>'Raw Data'!F1577</f>
        <v>10.25</v>
      </c>
    </row>
    <row r="1575" spans="1:4" x14ac:dyDescent="0.25">
      <c r="A1575" t="str">
        <f>'Raw Data'!A1578</f>
        <v>03/13/2025</v>
      </c>
      <c r="B1575" t="str">
        <f>'Raw Data'!C1578</f>
        <v>AMAZON MARKETPLACE NAMZN.COM/BILL       WA</v>
      </c>
      <c r="C1575" t="str">
        <f>'Raw Data'!I1578</f>
        <v>Amazon</v>
      </c>
      <c r="D1575" s="31">
        <f>'Raw Data'!F1578</f>
        <v>-116.88</v>
      </c>
    </row>
    <row r="1576" spans="1:4" x14ac:dyDescent="0.25">
      <c r="A1576" t="str">
        <f>'Raw Data'!A1579</f>
        <v>03/13/2025</v>
      </c>
      <c r="B1576" t="str">
        <f>'Raw Data'!C1579</f>
        <v>AMAZON MARKEPLACE NA PA</v>
      </c>
      <c r="C1576" t="str">
        <f>'Raw Data'!I1579</f>
        <v>Amazon</v>
      </c>
      <c r="D1576" s="31">
        <f>'Raw Data'!F1579</f>
        <v>116.88</v>
      </c>
    </row>
    <row r="1577" spans="1:4" x14ac:dyDescent="0.25">
      <c r="A1577" t="str">
        <f>'Raw Data'!A1580</f>
        <v>03/13/2025</v>
      </c>
      <c r="B1577" t="str">
        <f>'Raw Data'!C1580</f>
        <v>DNH*GODADDY#36430405Tempe               AZ</v>
      </c>
      <c r="C1577" t="str">
        <f>'Raw Data'!I1580</f>
        <v>Go Daddy</v>
      </c>
      <c r="D1577" s="31">
        <f>'Raw Data'!F1580</f>
        <v>29.97</v>
      </c>
    </row>
    <row r="1578" spans="1:4" x14ac:dyDescent="0.25">
      <c r="A1578" t="str">
        <f>'Raw Data'!A1581</f>
        <v>03/13/2025</v>
      </c>
      <c r="B1578" t="str">
        <f>'Raw Data'!C1581</f>
        <v>OFFICEMAX/DEPOT 6684WEATHERFORD         TX</v>
      </c>
      <c r="C1578" t="str">
        <f>'Raw Data'!I1581</f>
        <v>Software &amp; Subscriptions</v>
      </c>
      <c r="D1578" s="31">
        <f>'Raw Data'!F1581</f>
        <v>49</v>
      </c>
    </row>
    <row r="1579" spans="1:4" x14ac:dyDescent="0.25">
      <c r="A1579" t="str">
        <f>'Raw Data'!A1582</f>
        <v>03/13/2025</v>
      </c>
      <c r="B1579" t="str">
        <f>'Raw Data'!C1582</f>
        <v>SANDS CHIROPRACTIC  Los Angeles         CA</v>
      </c>
      <c r="C1579" t="str">
        <f>'Raw Data'!I1582</f>
        <v>Personal - Health</v>
      </c>
      <c r="D1579" s="31">
        <f>'Raw Data'!F1582</f>
        <v>185</v>
      </c>
    </row>
    <row r="1580" spans="1:4" x14ac:dyDescent="0.25">
      <c r="A1580" t="str">
        <f>'Raw Data'!A1583</f>
        <v>03/13/2025</v>
      </c>
      <c r="B1580" t="str">
        <f>'Raw Data'!C1583</f>
        <v>VONS #2270 2270     LOS ANGELES         CA</v>
      </c>
      <c r="C1580" t="str">
        <f>'Raw Data'!I1583</f>
        <v>Personal - House</v>
      </c>
      <c r="D1580" s="31">
        <f>'Raw Data'!F1583</f>
        <v>127.6</v>
      </c>
    </row>
    <row r="1581" spans="1:4" x14ac:dyDescent="0.25">
      <c r="A1581" t="str">
        <f>'Raw Data'!A1584</f>
        <v>03/12/2025</v>
      </c>
      <c r="B1581" t="str">
        <f>'Raw Data'!C1584</f>
        <v>AMAZON MARKETPLACE NAMZN.COM/BILL       WA</v>
      </c>
      <c r="C1581" t="str">
        <f>'Raw Data'!I1584</f>
        <v>Amazon</v>
      </c>
      <c r="D1581" s="31">
        <f>'Raw Data'!F1584</f>
        <v>-317.85000000000002</v>
      </c>
    </row>
    <row r="1582" spans="1:4" x14ac:dyDescent="0.25">
      <c r="A1582" t="str">
        <f>'Raw Data'!A1585</f>
        <v>03/12/2025</v>
      </c>
      <c r="B1582" t="str">
        <f>'Raw Data'!C1585</f>
        <v>AMAZON MARKEPLACE NA PA</v>
      </c>
      <c r="C1582" t="str">
        <f>'Raw Data'!I1585</f>
        <v>Amazon</v>
      </c>
      <c r="D1582" s="31">
        <f>'Raw Data'!F1585</f>
        <v>317.85000000000002</v>
      </c>
    </row>
    <row r="1583" spans="1:4" x14ac:dyDescent="0.25">
      <c r="A1583" t="str">
        <f>'Raw Data'!A1586</f>
        <v>03/12/2025</v>
      </c>
      <c r="B1583" t="str">
        <f>'Raw Data'!C1586</f>
        <v>SPOTIFY USA         NEW YORK            NY</v>
      </c>
      <c r="C1583" t="str">
        <f>'Raw Data'!I1586</f>
        <v>Software &amp; Subscriptions</v>
      </c>
      <c r="D1583" s="31">
        <f>'Raw Data'!F1586</f>
        <v>12.98</v>
      </c>
    </row>
    <row r="1584" spans="1:4" x14ac:dyDescent="0.25">
      <c r="A1584" t="str">
        <f>'Raw Data'!A1587</f>
        <v>03/11/2025</v>
      </c>
      <c r="B1584" t="str">
        <f>'Raw Data'!C1587</f>
        <v>AMAZON MARKETPLACE NAMZN.COM/BILL       WA</v>
      </c>
      <c r="C1584" t="str">
        <f>'Raw Data'!I1587</f>
        <v>Amazon</v>
      </c>
      <c r="D1584" s="31">
        <f>'Raw Data'!F1587</f>
        <v>-413.9</v>
      </c>
    </row>
    <row r="1585" spans="1:4" x14ac:dyDescent="0.25">
      <c r="A1585" t="str">
        <f>'Raw Data'!A1588</f>
        <v>03/11/2025</v>
      </c>
      <c r="B1585" t="str">
        <f>'Raw Data'!C1588</f>
        <v>AMAZON MARKEPLACE NA PA</v>
      </c>
      <c r="C1585" t="str">
        <f>'Raw Data'!I1588</f>
        <v>Amazon</v>
      </c>
      <c r="D1585" s="31">
        <f>'Raw Data'!F1588</f>
        <v>413.9</v>
      </c>
    </row>
    <row r="1586" spans="1:4" x14ac:dyDescent="0.25">
      <c r="A1586" t="str">
        <f>'Raw Data'!A1589</f>
        <v>03/11/2025</v>
      </c>
      <c r="B1586" t="str">
        <f>'Raw Data'!C1589</f>
        <v>DNH*GODADDY#36395435Tempe               AZ</v>
      </c>
      <c r="C1586" t="str">
        <f>'Raw Data'!I1589</f>
        <v>Go Daddy</v>
      </c>
      <c r="D1586" s="31">
        <f>'Raw Data'!F1589</f>
        <v>57.73</v>
      </c>
    </row>
    <row r="1587" spans="1:4" x14ac:dyDescent="0.25">
      <c r="A1587" t="str">
        <f>'Raw Data'!A1590</f>
        <v>03/11/2025</v>
      </c>
      <c r="B1587" t="str">
        <f>'Raw Data'!C1590</f>
        <v>ONSTAR, LLC         DETROIT             MI</v>
      </c>
      <c r="C1587" t="str">
        <f>'Raw Data'!I1590</f>
        <v>Personal - Car</v>
      </c>
      <c r="D1587" s="31">
        <f>'Raw Data'!F1590</f>
        <v>34.1</v>
      </c>
    </row>
    <row r="1588" spans="1:4" x14ac:dyDescent="0.25">
      <c r="A1588" t="str">
        <f>'Raw Data'!A1591</f>
        <v>03/11/2025</v>
      </c>
      <c r="B1588" t="str">
        <f>'Raw Data'!C1591</f>
        <v>TST* CAFE GRATITUDE VENICE              CA</v>
      </c>
      <c r="C1588" t="str">
        <f>'Raw Data'!I1591</f>
        <v>Personal - Food</v>
      </c>
      <c r="D1588" s="31">
        <f>'Raw Data'!F1591</f>
        <v>106.25</v>
      </c>
    </row>
    <row r="1589" spans="1:4" x14ac:dyDescent="0.25">
      <c r="A1589" t="str">
        <f>'Raw Data'!A1592</f>
        <v>03/10/2025</v>
      </c>
      <c r="B1589" t="str">
        <f>'Raw Data'!C1592</f>
        <v>AMAZON MARKETPLACE NAMZN.COM/BILL       WA</v>
      </c>
      <c r="C1589" t="str">
        <f>'Raw Data'!I1592</f>
        <v>Amazon</v>
      </c>
      <c r="D1589" s="31">
        <f>'Raw Data'!F1592</f>
        <v>-317.85000000000002</v>
      </c>
    </row>
    <row r="1590" spans="1:4" x14ac:dyDescent="0.25">
      <c r="A1590" t="str">
        <f>'Raw Data'!A1593</f>
        <v>03/10/2025</v>
      </c>
      <c r="B1590" t="str">
        <f>'Raw Data'!C1593</f>
        <v>AMAZON MARKETPLACE NAMZN.COM/BILL       WA</v>
      </c>
      <c r="C1590" t="str">
        <f>'Raw Data'!I1593</f>
        <v>Amazon</v>
      </c>
      <c r="D1590" s="31">
        <f>'Raw Data'!F1593</f>
        <v>-38.96</v>
      </c>
    </row>
    <row r="1591" spans="1:4" x14ac:dyDescent="0.25">
      <c r="A1591" t="str">
        <f>'Raw Data'!A1594</f>
        <v>03/10/2025</v>
      </c>
      <c r="B1591" t="str">
        <f>'Raw Data'!C1594</f>
        <v>AMAZON MARKEPLACE NA PA</v>
      </c>
      <c r="C1591" t="str">
        <f>'Raw Data'!I1594</f>
        <v>Amazon</v>
      </c>
      <c r="D1591" s="31">
        <f>'Raw Data'!F1594</f>
        <v>38.96</v>
      </c>
    </row>
    <row r="1592" spans="1:4" x14ac:dyDescent="0.25">
      <c r="A1592" t="str">
        <f>'Raw Data'!A1595</f>
        <v>03/10/2025</v>
      </c>
      <c r="B1592" t="str">
        <f>'Raw Data'!C1595</f>
        <v>AMAZON MARKEPLACE NA PA</v>
      </c>
      <c r="C1592" t="str">
        <f>'Raw Data'!I1595</f>
        <v>Amazon</v>
      </c>
      <c r="D1592" s="31">
        <f>'Raw Data'!F1595</f>
        <v>317.85000000000002</v>
      </c>
    </row>
    <row r="1593" spans="1:4" x14ac:dyDescent="0.25">
      <c r="A1593" t="str">
        <f>'Raw Data'!A1596</f>
        <v>03/10/2025</v>
      </c>
      <c r="B1593" t="str">
        <f>'Raw Data'!C1596</f>
        <v>MOON JUICE          Venice              CA</v>
      </c>
      <c r="C1593" t="str">
        <f>'Raw Data'!I1596</f>
        <v>Personal - Food</v>
      </c>
      <c r="D1593" s="31">
        <f>'Raw Data'!F1596</f>
        <v>68.98</v>
      </c>
    </row>
    <row r="1594" spans="1:4" x14ac:dyDescent="0.25">
      <c r="A1594" t="str">
        <f>'Raw Data'!A1597</f>
        <v>03/10/2025</v>
      </c>
      <c r="B1594" t="str">
        <f>'Raw Data'!C1597</f>
        <v>MOON JUICE          Venice              CA</v>
      </c>
      <c r="C1594" t="str">
        <f>'Raw Data'!I1597</f>
        <v>Personal - Food</v>
      </c>
      <c r="D1594" s="31">
        <f>'Raw Data'!F1597</f>
        <v>388.8</v>
      </c>
    </row>
    <row r="1595" spans="1:4" x14ac:dyDescent="0.25">
      <c r="A1595" t="str">
        <f>'Raw Data'!A1598</f>
        <v>03/10/2025</v>
      </c>
      <c r="B1595" t="str">
        <f>'Raw Data'!C1598</f>
        <v>ORGANIC TREE JUICE BDANA POINT          CA</v>
      </c>
      <c r="C1595" t="str">
        <f>'Raw Data'!I1598</f>
        <v>Personal - Food</v>
      </c>
      <c r="D1595" s="31">
        <f>'Raw Data'!F1598</f>
        <v>46.04</v>
      </c>
    </row>
    <row r="1596" spans="1:4" x14ac:dyDescent="0.25">
      <c r="A1596" t="str">
        <f>'Raw Data'!A1599</f>
        <v>03/10/2025</v>
      </c>
      <c r="B1596" t="str">
        <f>'Raw Data'!C1599</f>
        <v>VIMEO PRO           212-625-0668        NY</v>
      </c>
      <c r="C1596" t="str">
        <f>'Raw Data'!I1599</f>
        <v>Software &amp; Subscriptions</v>
      </c>
      <c r="D1596" s="31">
        <f>'Raw Data'!F1599</f>
        <v>24</v>
      </c>
    </row>
    <row r="1597" spans="1:4" x14ac:dyDescent="0.25">
      <c r="A1597" t="str">
        <f>'Raw Data'!A1600</f>
        <v>03/09/2025</v>
      </c>
      <c r="B1597" t="str">
        <f>'Raw Data'!C1600</f>
        <v>ALESSA 6500000120973NEWPORT COAST       CA</v>
      </c>
      <c r="C1597" t="str">
        <f>'Raw Data'!I1600</f>
        <v>Personal - Food</v>
      </c>
      <c r="D1597" s="31">
        <f>'Raw Data'!F1600</f>
        <v>112.86</v>
      </c>
    </row>
    <row r="1598" spans="1:4" x14ac:dyDescent="0.25">
      <c r="A1598" t="str">
        <f>'Raw Data'!A1601</f>
        <v>03/09/2025</v>
      </c>
      <c r="B1598" t="str">
        <f>'Raw Data'!C1601</f>
        <v>MOZAMBIQUE RESTAURANFOUNTAIN VLY        CA</v>
      </c>
      <c r="C1598" t="str">
        <f>'Raw Data'!I1601</f>
        <v>Personal - Food</v>
      </c>
      <c r="D1598" s="31">
        <f>'Raw Data'!F1601</f>
        <v>166.27</v>
      </c>
    </row>
    <row r="1599" spans="1:4" x14ac:dyDescent="0.25">
      <c r="A1599" t="str">
        <f>'Raw Data'!A1602</f>
        <v>03/08/2025</v>
      </c>
      <c r="B1599" t="str">
        <f>'Raw Data'!C1602</f>
        <v>ALANA'S COFFEE ROASTLos Angeles         CA</v>
      </c>
      <c r="C1599" t="str">
        <f>'Raw Data'!I1602</f>
        <v>Personal - Food</v>
      </c>
      <c r="D1599" s="31">
        <f>'Raw Data'!F1602</f>
        <v>14.25</v>
      </c>
    </row>
    <row r="1600" spans="1:4" x14ac:dyDescent="0.25">
      <c r="A1600" t="str">
        <f>'Raw Data'!A1603</f>
        <v>03/08/2025</v>
      </c>
      <c r="B1600" t="str">
        <f>'Raw Data'!C1603</f>
        <v>AMAZON MARKETPLACE NAMZN.COM/BILL       WA</v>
      </c>
      <c r="C1600" t="str">
        <f>'Raw Data'!I1603</f>
        <v>Amazon</v>
      </c>
      <c r="D1600" s="31">
        <f>'Raw Data'!F1603</f>
        <v>-413.9</v>
      </c>
    </row>
    <row r="1601" spans="1:4" x14ac:dyDescent="0.25">
      <c r="A1601" t="str">
        <f>'Raw Data'!A1604</f>
        <v>03/08/2025</v>
      </c>
      <c r="B1601" t="str">
        <f>'Raw Data'!C1604</f>
        <v>AMAZON MARKEPLACE NA PA</v>
      </c>
      <c r="C1601" t="str">
        <f>'Raw Data'!I1604</f>
        <v>Amazon</v>
      </c>
      <c r="D1601" s="31">
        <f>'Raw Data'!F1604</f>
        <v>413.9</v>
      </c>
    </row>
    <row r="1602" spans="1:4" x14ac:dyDescent="0.25">
      <c r="A1602" t="str">
        <f>'Raw Data'!A1605</f>
        <v>03/08/2025</v>
      </c>
      <c r="B1602" t="str">
        <f>'Raw Data'!C1605</f>
        <v>BEST BUY            CULVER CITY         CA</v>
      </c>
      <c r="C1602" t="str">
        <f>'Raw Data'!I1605</f>
        <v>DWG Electronics</v>
      </c>
      <c r="D1602" s="31">
        <f>'Raw Data'!F1605</f>
        <v>523.64</v>
      </c>
    </row>
    <row r="1603" spans="1:4" x14ac:dyDescent="0.25">
      <c r="A1603" t="str">
        <f>'Raw Data'!A1606</f>
        <v>03/08/2025</v>
      </c>
      <c r="B1603" t="str">
        <f>'Raw Data'!C1606</f>
        <v>DNH*GODADDY#36334882Tempe               AZ</v>
      </c>
      <c r="C1603" t="str">
        <f>'Raw Data'!I1606</f>
        <v>Go Daddy</v>
      </c>
      <c r="D1603" s="31">
        <f>'Raw Data'!F1606</f>
        <v>299.76</v>
      </c>
    </row>
    <row r="1604" spans="1:4" x14ac:dyDescent="0.25">
      <c r="A1604" t="str">
        <f>'Raw Data'!A1607</f>
        <v>03/08/2025</v>
      </c>
      <c r="B1604" t="str">
        <f>'Raw Data'!C1607</f>
        <v>EXPEDIA.COM TRAVEL  SEATTLE             WA</v>
      </c>
      <c r="C1604" t="str">
        <f>'Raw Data'!I1607</f>
        <v>Team Travel (Angela)</v>
      </c>
      <c r="D1604" s="31">
        <f>'Raw Data'!F1607</f>
        <v>52.35</v>
      </c>
    </row>
    <row r="1605" spans="1:4" x14ac:dyDescent="0.25">
      <c r="A1605" t="str">
        <f>'Raw Data'!A1608</f>
        <v>03/08/2025</v>
      </c>
      <c r="B1605" t="str">
        <f>'Raw Data'!C1608</f>
        <v>EXPEDIA.COM TRAVEL  SEATTLE             WA</v>
      </c>
      <c r="C1605" t="str">
        <f>'Raw Data'!I1608</f>
        <v>Team Travel (Angela)</v>
      </c>
      <c r="D1605" s="31">
        <f>'Raw Data'!F1608</f>
        <v>409.18</v>
      </c>
    </row>
    <row r="1606" spans="1:4" x14ac:dyDescent="0.25">
      <c r="A1606" t="str">
        <f>'Raw Data'!A1609</f>
        <v>03/08/2025</v>
      </c>
      <c r="B1606" t="str">
        <f>'Raw Data'!C1609</f>
        <v>OPENAI *CHATGPT SUBSSAN FRANCISCO       CA</v>
      </c>
      <c r="C1606" t="str">
        <f>'Raw Data'!I1609</f>
        <v>AI Subscriptions</v>
      </c>
      <c r="D1606" s="31">
        <f>'Raw Data'!F1609</f>
        <v>20</v>
      </c>
    </row>
    <row r="1607" spans="1:4" x14ac:dyDescent="0.25">
      <c r="A1607" t="str">
        <f>'Raw Data'!A1610</f>
        <v>03/08/2025</v>
      </c>
      <c r="B1607" t="str">
        <f>'Raw Data'!C1610</f>
        <v>THE BRANDON LAW FIRMLANTANA             TX</v>
      </c>
      <c r="C1607" t="str">
        <f>'Raw Data'!I1610</f>
        <v>The Brandon Law Firm</v>
      </c>
      <c r="D1607" s="31">
        <f>'Raw Data'!F1610</f>
        <v>1545</v>
      </c>
    </row>
    <row r="1608" spans="1:4" x14ac:dyDescent="0.25">
      <c r="A1608" t="str">
        <f>'Raw Data'!A1611</f>
        <v>03/08/2025</v>
      </c>
      <c r="B1608" t="str">
        <f>'Raw Data'!C1611</f>
        <v>TST* DOOMIES HOME COLOS ANGELES         CA</v>
      </c>
      <c r="C1608" t="str">
        <f>'Raw Data'!I1611</f>
        <v>Personal - Food</v>
      </c>
      <c r="D1608" s="31">
        <f>'Raw Data'!F1611</f>
        <v>159.11000000000001</v>
      </c>
    </row>
    <row r="1609" spans="1:4" x14ac:dyDescent="0.25">
      <c r="A1609" t="str">
        <f>'Raw Data'!A1612</f>
        <v>03/07/2025</v>
      </c>
      <c r="B1609" t="str">
        <f>'Raw Data'!C1612</f>
        <v>AMAZON.COM          AMZN.COM/BILL       WA</v>
      </c>
      <c r="C1609" t="str">
        <f>'Raw Data'!I1612</f>
        <v>Amazon</v>
      </c>
      <c r="D1609" s="31">
        <f>'Raw Data'!F1612</f>
        <v>108.2</v>
      </c>
    </row>
    <row r="1610" spans="1:4" x14ac:dyDescent="0.25">
      <c r="A1610" t="str">
        <f>'Raw Data'!A1613</f>
        <v>03/07/2025</v>
      </c>
      <c r="B1610" t="str">
        <f>'Raw Data'!C1613</f>
        <v>CORPORATE FILINGS LLSHERIDAN            WY</v>
      </c>
      <c r="C1610" t="str">
        <f>'Raw Data'!I1613</f>
        <v>DWG Operations</v>
      </c>
      <c r="D1610" s="31">
        <f>'Raw Data'!F1613</f>
        <v>459</v>
      </c>
    </row>
    <row r="1611" spans="1:4" x14ac:dyDescent="0.25">
      <c r="A1611" t="str">
        <f>'Raw Data'!A1614</f>
        <v>03/07/2025</v>
      </c>
      <c r="B1611" t="str">
        <f>'Raw Data'!C1614</f>
        <v>DNH*GODADDY#36312528Tempe               AZ</v>
      </c>
      <c r="C1611" t="str">
        <f>'Raw Data'!I1614</f>
        <v>Go Daddy</v>
      </c>
      <c r="D1611" s="31">
        <f>'Raw Data'!F1614</f>
        <v>10.99</v>
      </c>
    </row>
    <row r="1612" spans="1:4" x14ac:dyDescent="0.25">
      <c r="A1612" t="str">
        <f>'Raw Data'!A1615</f>
        <v>03/07/2025</v>
      </c>
      <c r="B1612" t="str">
        <f>'Raw Data'!C1615</f>
        <v>EXPEDIA.COM TRAVEL  SEATTLE             WA</v>
      </c>
      <c r="C1612" t="str">
        <f>'Raw Data'!I1615</f>
        <v>Team Travel (Angela)</v>
      </c>
      <c r="D1612" s="31">
        <f>'Raw Data'!F1615</f>
        <v>526.96</v>
      </c>
    </row>
    <row r="1613" spans="1:4" x14ac:dyDescent="0.25">
      <c r="A1613" t="str">
        <f>'Raw Data'!A1616</f>
        <v>03/07/2025</v>
      </c>
      <c r="B1613" t="str">
        <f>'Raw Data'!C1616</f>
        <v>HOLLYWOOD PALLADIUM LOS ANGELES         CA</v>
      </c>
      <c r="C1613" t="str">
        <f>'Raw Data'!I1616</f>
        <v>Personal - Entertainment</v>
      </c>
      <c r="D1613" s="31">
        <f>'Raw Data'!F1616</f>
        <v>31.53</v>
      </c>
    </row>
    <row r="1614" spans="1:4" x14ac:dyDescent="0.25">
      <c r="A1614" t="str">
        <f>'Raw Data'!A1617</f>
        <v>03/07/2025</v>
      </c>
      <c r="B1614" t="str">
        <f>'Raw Data'!C1617</f>
        <v>READ - MEETING MANAGSEATTLE             WA</v>
      </c>
      <c r="C1614" t="str">
        <f>'Raw Data'!I1617</f>
        <v>DWG Operations</v>
      </c>
      <c r="D1614" s="31">
        <f>'Raw Data'!F1617</f>
        <v>59.5</v>
      </c>
    </row>
    <row r="1615" spans="1:4" x14ac:dyDescent="0.25">
      <c r="A1615" t="str">
        <f>'Raw Data'!A1618</f>
        <v>03/07/2025</v>
      </c>
      <c r="B1615" t="str">
        <f>'Raw Data'!C1618</f>
        <v>TST* BLUEYS KITCHEN LOS ANGELES         CA</v>
      </c>
      <c r="C1615" t="str">
        <f>'Raw Data'!I1618</f>
        <v>Personal - Food</v>
      </c>
      <c r="D1615" s="31">
        <f>'Raw Data'!F1618</f>
        <v>31.8</v>
      </c>
    </row>
    <row r="1616" spans="1:4" x14ac:dyDescent="0.25">
      <c r="A1616" t="str">
        <f>'Raw Data'!A1619</f>
        <v>03/06/2025</v>
      </c>
      <c r="B1616" t="str">
        <f>'Raw Data'!C1619</f>
        <v>AIRBNB * HMMNAMP8KM SAN FRANCISCO       CA</v>
      </c>
      <c r="C1616" t="str">
        <f>'Raw Data'!I1619</f>
        <v>Team Travel (Angela)</v>
      </c>
      <c r="D1616" s="31">
        <f>'Raw Data'!F1619</f>
        <v>3527.15</v>
      </c>
    </row>
    <row r="1617" spans="1:4" x14ac:dyDescent="0.25">
      <c r="A1617" t="str">
        <f>'Raw Data'!A1620</f>
        <v>03/06/2025</v>
      </c>
      <c r="B1617" t="str">
        <f>'Raw Data'!C1620</f>
        <v>AMAZON MARKETPLACE NAMZN.COM/BILL       WA</v>
      </c>
      <c r="C1617" t="str">
        <f>'Raw Data'!I1620</f>
        <v>Amazon</v>
      </c>
      <c r="D1617" s="31">
        <f>'Raw Data'!F1620</f>
        <v>-413.9</v>
      </c>
    </row>
    <row r="1618" spans="1:4" x14ac:dyDescent="0.25">
      <c r="A1618" t="str">
        <f>'Raw Data'!A1621</f>
        <v>03/06/2025</v>
      </c>
      <c r="B1618" t="str">
        <f>'Raw Data'!C1621</f>
        <v>AMAZON MARKEPLACE NA PA</v>
      </c>
      <c r="C1618" t="str">
        <f>'Raw Data'!I1621</f>
        <v>Amazon</v>
      </c>
      <c r="D1618" s="31">
        <f>'Raw Data'!F1621</f>
        <v>413.9</v>
      </c>
    </row>
    <row r="1619" spans="1:4" x14ac:dyDescent="0.25">
      <c r="A1619" t="str">
        <f>'Raw Data'!A1622</f>
        <v>03/06/2025</v>
      </c>
      <c r="B1619" t="str">
        <f>'Raw Data'!C1622</f>
        <v>AMAZON PRIME*YB2WL5SAMZN.COM/BILL       WA</v>
      </c>
      <c r="C1619" t="str">
        <f>'Raw Data'!I1622</f>
        <v>Amazon</v>
      </c>
      <c r="D1619" s="31">
        <f>'Raw Data'!F1622</f>
        <v>3.24</v>
      </c>
    </row>
    <row r="1620" spans="1:4" x14ac:dyDescent="0.25">
      <c r="A1620" t="str">
        <f>'Raw Data'!A1623</f>
        <v>03/06/2025</v>
      </c>
      <c r="B1620" t="str">
        <f>'Raw Data'!C1623</f>
        <v>AMC MARINA MARKETPL MARINA DEL REY      CA</v>
      </c>
      <c r="C1620" t="str">
        <f>'Raw Data'!I1623</f>
        <v>Personal - Entertainment</v>
      </c>
      <c r="D1620" s="31">
        <f>'Raw Data'!F1623</f>
        <v>15.48</v>
      </c>
    </row>
    <row r="1621" spans="1:4" x14ac:dyDescent="0.25">
      <c r="A1621" t="str">
        <f>'Raw Data'!A1624</f>
        <v>03/06/2025</v>
      </c>
      <c r="B1621" t="str">
        <f>'Raw Data'!C1624</f>
        <v>BERRY FLASH PHOTO LALos Angeles         CA</v>
      </c>
      <c r="C1621" t="str">
        <f>'Raw Data'!I1624</f>
        <v>Personal - House</v>
      </c>
      <c r="D1621" s="31">
        <f>'Raw Data'!F1624</f>
        <v>2099.33</v>
      </c>
    </row>
    <row r="1622" spans="1:4" x14ac:dyDescent="0.25">
      <c r="A1622" t="str">
        <f>'Raw Data'!A1625</f>
        <v>03/06/2025</v>
      </c>
      <c r="B1622" t="str">
        <f>'Raw Data'!C1625</f>
        <v>BRAVE.COM           SAN FRANCISCO       CA</v>
      </c>
      <c r="C1622" t="str">
        <f>'Raw Data'!I1625</f>
        <v>Software &amp; Subscriptions</v>
      </c>
      <c r="D1622" s="31">
        <f>'Raw Data'!F1625</f>
        <v>9.99</v>
      </c>
    </row>
    <row r="1623" spans="1:4" x14ac:dyDescent="0.25">
      <c r="A1623" t="str">
        <f>'Raw Data'!A1626</f>
        <v>03/06/2025</v>
      </c>
      <c r="B1623" t="str">
        <f>'Raw Data'!C1626</f>
        <v>COFFEE BEAN &amp; TEA   MARINA DEL RE       CA</v>
      </c>
      <c r="C1623" t="str">
        <f>'Raw Data'!I1626</f>
        <v>Personal - Food</v>
      </c>
      <c r="D1623" s="31">
        <f>'Raw Data'!F1626</f>
        <v>20.45</v>
      </c>
    </row>
    <row r="1624" spans="1:4" x14ac:dyDescent="0.25">
      <c r="A1624" t="str">
        <f>'Raw Data'!A1627</f>
        <v>03/06/2025</v>
      </c>
      <c r="B1624" t="str">
        <f>'Raw Data'!C1627</f>
        <v>CREXI               LOS ANGELES         CA</v>
      </c>
      <c r="C1624" t="str">
        <f>'Raw Data'!I1627</f>
        <v>DWG Listing Platform</v>
      </c>
      <c r="D1624" s="31">
        <f>'Raw Data'!F1627</f>
        <v>260</v>
      </c>
    </row>
    <row r="1625" spans="1:4" x14ac:dyDescent="0.25">
      <c r="A1625" t="str">
        <f>'Raw Data'!A1628</f>
        <v>03/06/2025</v>
      </c>
      <c r="B1625" t="str">
        <f>'Raw Data'!C1628</f>
        <v>DNH*GODADDY#36295073Tempe               AZ</v>
      </c>
      <c r="C1625" t="str">
        <f>'Raw Data'!I1628</f>
        <v>Go Daddy</v>
      </c>
      <c r="D1625" s="31">
        <f>'Raw Data'!F1628</f>
        <v>29.97</v>
      </c>
    </row>
    <row r="1626" spans="1:4" x14ac:dyDescent="0.25">
      <c r="A1626" t="str">
        <f>'Raw Data'!A1629</f>
        <v>03/06/2025</v>
      </c>
      <c r="B1626" t="str">
        <f>'Raw Data'!C1629</f>
        <v>MED*CEDARS SINAI MEDLOS ANGELES         CA</v>
      </c>
      <c r="C1626" t="str">
        <f>'Raw Data'!I1629</f>
        <v>Personal - Health</v>
      </c>
      <c r="D1626" s="31">
        <f>'Raw Data'!F1629</f>
        <v>1549.58</v>
      </c>
    </row>
    <row r="1627" spans="1:4" x14ac:dyDescent="0.25">
      <c r="A1627" t="str">
        <f>'Raw Data'!A1630</f>
        <v>03/06/2025</v>
      </c>
      <c r="B1627" t="str">
        <f>'Raw Data'!C1630</f>
        <v>TLF=EDELWEISS FLOWERSANTA MONICA        CA</v>
      </c>
      <c r="C1627" t="str">
        <f>'Raw Data'!I1630</f>
        <v>Personal - House</v>
      </c>
      <c r="D1627" s="31">
        <f>'Raw Data'!F1630</f>
        <v>231.53</v>
      </c>
    </row>
    <row r="1628" spans="1:4" x14ac:dyDescent="0.25">
      <c r="A1628" t="str">
        <f>'Raw Data'!A1631</f>
        <v>03/05/2025</v>
      </c>
      <c r="B1628" t="str">
        <f>'Raw Data'!C1631</f>
        <v>AMAZON MARKETPLACE NAMZN.COM/BILL       WA</v>
      </c>
      <c r="C1628" t="str">
        <f>'Raw Data'!I1631</f>
        <v>Amazon</v>
      </c>
      <c r="D1628" s="31">
        <f>'Raw Data'!F1631</f>
        <v>-129.87</v>
      </c>
    </row>
    <row r="1629" spans="1:4" x14ac:dyDescent="0.25">
      <c r="A1629" t="str">
        <f>'Raw Data'!A1632</f>
        <v>03/05/2025</v>
      </c>
      <c r="B1629" t="str">
        <f>'Raw Data'!C1632</f>
        <v>AMAZON MARKEPLACE NA PA</v>
      </c>
      <c r="C1629" t="str">
        <f>'Raw Data'!I1632</f>
        <v>Amazon</v>
      </c>
      <c r="D1629" s="31">
        <f>'Raw Data'!F1632</f>
        <v>129.87</v>
      </c>
    </row>
    <row r="1630" spans="1:4" x14ac:dyDescent="0.25">
      <c r="A1630" t="str">
        <f>'Raw Data'!A1633</f>
        <v>03/05/2025</v>
      </c>
      <c r="B1630" t="str">
        <f>'Raw Data'!C1633</f>
        <v>AMAZON.COM          AMZN.COM/BILL       WA</v>
      </c>
      <c r="C1630" t="str">
        <f>'Raw Data'!I1633</f>
        <v>Amazon</v>
      </c>
      <c r="D1630" s="31">
        <f>'Raw Data'!F1633</f>
        <v>22.44</v>
      </c>
    </row>
    <row r="1631" spans="1:4" x14ac:dyDescent="0.25">
      <c r="A1631" t="str">
        <f>'Raw Data'!A1634</f>
        <v>03/05/2025</v>
      </c>
      <c r="B1631" t="str">
        <f>'Raw Data'!C1634</f>
        <v>Amazon Prime        Amazon.com          WA</v>
      </c>
      <c r="C1631" t="str">
        <f>'Raw Data'!I1634</f>
        <v>Amazon</v>
      </c>
      <c r="D1631" s="31">
        <f>'Raw Data'!F1634</f>
        <v>16.23</v>
      </c>
    </row>
    <row r="1632" spans="1:4" x14ac:dyDescent="0.25">
      <c r="A1632" t="str">
        <f>'Raw Data'!A1635</f>
        <v>03/05/2025</v>
      </c>
      <c r="B1632" t="str">
        <f>'Raw Data'!C1635</f>
        <v>DNH*GODADDY#36277461Tempe               AZ</v>
      </c>
      <c r="C1632" t="str">
        <f>'Raw Data'!I1635</f>
        <v>Go Daddy</v>
      </c>
      <c r="D1632" s="31">
        <f>'Raw Data'!F1635</f>
        <v>16.97</v>
      </c>
    </row>
    <row r="1633" spans="1:4" x14ac:dyDescent="0.25">
      <c r="A1633" t="str">
        <f>'Raw Data'!A1636</f>
        <v>03/04/2025</v>
      </c>
      <c r="B1633" t="str">
        <f>'Raw Data'!C1636</f>
        <v>AplPay AA WIFI SALESFORT WORTH          TX</v>
      </c>
      <c r="C1633" t="str">
        <f>'Raw Data'!I1636</f>
        <v>Team Travel (Judd)</v>
      </c>
      <c r="D1633" s="31">
        <f>'Raw Data'!F1636</f>
        <v>12</v>
      </c>
    </row>
    <row r="1634" spans="1:4" x14ac:dyDescent="0.25">
      <c r="A1634" t="str">
        <f>'Raw Data'!A1637</f>
        <v>03/04/2025</v>
      </c>
      <c r="B1634" t="str">
        <f>'Raw Data'!C1637</f>
        <v>AplPay BESTBUY.COM 2RICHFIELD           MN</v>
      </c>
      <c r="C1634" t="str">
        <f>'Raw Data'!I1637</f>
        <v>DWG Electronics</v>
      </c>
      <c r="D1634" s="31">
        <f>'Raw Data'!F1637</f>
        <v>1267.8599999999999</v>
      </c>
    </row>
    <row r="1635" spans="1:4" x14ac:dyDescent="0.25">
      <c r="A1635" t="str">
        <f>'Raw Data'!A1638</f>
        <v>03/04/2025</v>
      </c>
      <c r="B1635" t="str">
        <f>'Raw Data'!C1638</f>
        <v>DNH*GODADDY#36253733Tempe               AZ</v>
      </c>
      <c r="C1635" t="str">
        <f>'Raw Data'!I1638</f>
        <v>Go Daddy</v>
      </c>
      <c r="D1635" s="31">
        <f>'Raw Data'!F1638</f>
        <v>39.97</v>
      </c>
    </row>
    <row r="1636" spans="1:4" x14ac:dyDescent="0.25">
      <c r="A1636" t="str">
        <f>'Raw Data'!A1639</f>
        <v>03/03/2025</v>
      </c>
      <c r="B1636" t="str">
        <f>'Raw Data'!C1639</f>
        <v>AMAZON MARKETPLACE NAMZN.COM/BILL       WA</v>
      </c>
      <c r="C1636" t="str">
        <f>'Raw Data'!I1639</f>
        <v>Amazon</v>
      </c>
      <c r="D1636" s="31">
        <f>'Raw Data'!F1639</f>
        <v>-206.95</v>
      </c>
    </row>
    <row r="1637" spans="1:4" x14ac:dyDescent="0.25">
      <c r="A1637" t="str">
        <f>'Raw Data'!A1640</f>
        <v>03/03/2025</v>
      </c>
      <c r="B1637" t="str">
        <f>'Raw Data'!C1640</f>
        <v>AMAZON MARKETPLACE NAMZN.COM/BILL       WA</v>
      </c>
      <c r="C1637" t="str">
        <f>'Raw Data'!I1640</f>
        <v>Amazon</v>
      </c>
      <c r="D1637" s="31">
        <f>'Raw Data'!F1640</f>
        <v>-147.19999999999999</v>
      </c>
    </row>
    <row r="1638" spans="1:4" x14ac:dyDescent="0.25">
      <c r="A1638" t="str">
        <f>'Raw Data'!A1641</f>
        <v>03/03/2025</v>
      </c>
      <c r="B1638" t="str">
        <f>'Raw Data'!C1641</f>
        <v>AMAZON MARKEPLACE NA PA</v>
      </c>
      <c r="C1638" t="str">
        <f>'Raw Data'!I1641</f>
        <v>Amazon</v>
      </c>
      <c r="D1638" s="31">
        <f>'Raw Data'!F1641</f>
        <v>147.19999999999999</v>
      </c>
    </row>
    <row r="1639" spans="1:4" x14ac:dyDescent="0.25">
      <c r="A1639" t="str">
        <f>'Raw Data'!A1642</f>
        <v>03/03/2025</v>
      </c>
      <c r="B1639" t="str">
        <f>'Raw Data'!C1642</f>
        <v>AMAZON MARKEPLACE NA PA</v>
      </c>
      <c r="C1639" t="str">
        <f>'Raw Data'!I1642</f>
        <v>Amazon</v>
      </c>
      <c r="D1639" s="31">
        <f>'Raw Data'!F1642</f>
        <v>206.95</v>
      </c>
    </row>
    <row r="1640" spans="1:4" x14ac:dyDescent="0.25">
      <c r="A1640" t="str">
        <f>'Raw Data'!A1643</f>
        <v>03/03/2025</v>
      </c>
      <c r="B1640" t="str">
        <f>'Raw Data'!C1643</f>
        <v>CONTACTS+           HUNTINGTON BEACH    CA</v>
      </c>
      <c r="C1640" t="str">
        <f>'Raw Data'!I1643</f>
        <v>Personal - Health</v>
      </c>
      <c r="D1640" s="31">
        <f>'Raw Data'!F1643</f>
        <v>13.99</v>
      </c>
    </row>
    <row r="1641" spans="1:4" x14ac:dyDescent="0.25">
      <c r="A1641" t="str">
        <f>'Raw Data'!A1644</f>
        <v>03/03/2025</v>
      </c>
      <c r="B1641" t="str">
        <f>'Raw Data'!C1644</f>
        <v>FOUND:RE PHOENIX 068PHOENIX             AZ</v>
      </c>
      <c r="C1641" t="str">
        <f>'Raw Data'!I1644</f>
        <v>Team Travel (Judd)</v>
      </c>
      <c r="D1641" s="31">
        <f>'Raw Data'!F1644</f>
        <v>5</v>
      </c>
    </row>
    <row r="1642" spans="1:4" x14ac:dyDescent="0.25">
      <c r="A1642" t="str">
        <f>'Raw Data'!A1645</f>
        <v>03/03/2025</v>
      </c>
      <c r="B1642" t="str">
        <f>'Raw Data'!C1645</f>
        <v>FOUND:RE PHOENIX 068PHOENIX             AZ</v>
      </c>
      <c r="C1642" t="str">
        <f>'Raw Data'!I1645</f>
        <v>Team Travel (Judd)</v>
      </c>
      <c r="D1642" s="31">
        <f>'Raw Data'!F1645</f>
        <v>150.09</v>
      </c>
    </row>
    <row r="1643" spans="1:4" x14ac:dyDescent="0.25">
      <c r="A1643" t="str">
        <f>'Raw Data'!A1646</f>
        <v>03/03/2025</v>
      </c>
      <c r="B1643" t="str">
        <f>'Raw Data'!C1646</f>
        <v>SALESMESSAGE.COM    DELRAY BEACH        FL</v>
      </c>
      <c r="C1643" t="str">
        <f>'Raw Data'!I1646</f>
        <v>Software &amp; Subscriptions</v>
      </c>
      <c r="D1643" s="31">
        <f>'Raw Data'!F1646</f>
        <v>52.14</v>
      </c>
    </row>
    <row r="1644" spans="1:4" x14ac:dyDescent="0.25">
      <c r="A1644" t="str">
        <f>'Raw Data'!A1647</f>
        <v>03/02/2025</v>
      </c>
      <c r="B1644" t="str">
        <f>'Raw Data'!C1647</f>
        <v>APPLE STORE R026 R02CHANDLER            AZ</v>
      </c>
      <c r="C1644" t="str">
        <f>'Raw Data'!I1647</f>
        <v>DWG Electronics</v>
      </c>
      <c r="D1644" s="31">
        <f>'Raw Data'!F1647</f>
        <v>106.67</v>
      </c>
    </row>
    <row r="1645" spans="1:4" x14ac:dyDescent="0.25">
      <c r="A1645" t="str">
        <f>'Raw Data'!A1648</f>
        <v>03/02/2025</v>
      </c>
      <c r="B1645" t="str">
        <f>'Raw Data'!C1648</f>
        <v>EXPEDIA 730444063450EXPEDIA.COM         WA</v>
      </c>
      <c r="C1645" t="str">
        <f>'Raw Data'!I1648</f>
        <v>Team Travel (Angela)</v>
      </c>
      <c r="D1645" s="31">
        <f>'Raw Data'!F1648</f>
        <v>444.89</v>
      </c>
    </row>
    <row r="1646" spans="1:4" x14ac:dyDescent="0.25">
      <c r="A1646" t="str">
        <f>'Raw Data'!A1649</f>
        <v>03/02/2025</v>
      </c>
      <c r="B1646" t="str">
        <f>'Raw Data'!C1649</f>
        <v>LAX AIRP CROWNS LAX LOS ANGELES         CA</v>
      </c>
      <c r="C1646" t="str">
        <f>'Raw Data'!I1649</f>
        <v>Team Travel (Judd)</v>
      </c>
      <c r="D1646" s="31">
        <f>'Raw Data'!F1649</f>
        <v>14.46</v>
      </c>
    </row>
    <row r="1647" spans="1:4" x14ac:dyDescent="0.25">
      <c r="A1647" t="str">
        <f>'Raw Data'!A1650</f>
        <v>03/02/2025</v>
      </c>
      <c r="B1647" t="str">
        <f>'Raw Data'!C1650</f>
        <v>ROSS DRESS FOR LESS VENICE              CA</v>
      </c>
      <c r="C1647" t="str">
        <f>'Raw Data'!I1650</f>
        <v>Personal - House</v>
      </c>
      <c r="D1647" s="31">
        <f>'Raw Data'!F1650</f>
        <v>108.37</v>
      </c>
    </row>
    <row r="1648" spans="1:4" x14ac:dyDescent="0.25">
      <c r="A1648" t="str">
        <f>'Raw Data'!A1651</f>
        <v>03/01/2025</v>
      </c>
      <c r="B1648" t="str">
        <f>'Raw Data'!C1651</f>
        <v>ABC*ICONFIT         LOS ANGELES         CA</v>
      </c>
      <c r="C1648" t="str">
        <f>'Raw Data'!I1651</f>
        <v>Personal - Health</v>
      </c>
      <c r="D1648" s="31">
        <f>'Raw Data'!F1651</f>
        <v>119.52</v>
      </c>
    </row>
    <row r="1649" spans="1:4" x14ac:dyDescent="0.25">
      <c r="A1649" t="str">
        <f>'Raw Data'!A1652</f>
        <v>03/01/2025</v>
      </c>
      <c r="B1649" t="str">
        <f>'Raw Data'!C1652</f>
        <v>AMAZON MARKETPLACE NAMZN.COM/BILL       WA</v>
      </c>
      <c r="C1649" t="str">
        <f>'Raw Data'!I1652</f>
        <v>Amazon</v>
      </c>
      <c r="D1649" s="31">
        <f>'Raw Data'!F1652</f>
        <v>-413.9</v>
      </c>
    </row>
    <row r="1650" spans="1:4" x14ac:dyDescent="0.25">
      <c r="A1650" t="str">
        <f>'Raw Data'!A1653</f>
        <v>03/01/2025</v>
      </c>
      <c r="B1650" t="str">
        <f>'Raw Data'!C1653</f>
        <v>AMAZON MARKEPLACE NA PA</v>
      </c>
      <c r="C1650" t="str">
        <f>'Raw Data'!I1653</f>
        <v>Amazon</v>
      </c>
      <c r="D1650" s="31">
        <f>'Raw Data'!F1653</f>
        <v>413.9</v>
      </c>
    </row>
    <row r="1651" spans="1:4" x14ac:dyDescent="0.25">
      <c r="A1651" t="str">
        <f>'Raw Data'!A1654</f>
        <v>03/01/2025</v>
      </c>
      <c r="B1651" t="str">
        <f>'Raw Data'!C1654</f>
        <v>AMERICAN EXPRESS TVLPHOENIX             AZ</v>
      </c>
      <c r="C1651" t="str">
        <f>'Raw Data'!I1654</f>
        <v>Team Travel (Judd)</v>
      </c>
      <c r="D1651" s="31">
        <f>'Raw Data'!F1654</f>
        <v>546.97</v>
      </c>
    </row>
    <row r="1652" spans="1:4" x14ac:dyDescent="0.25">
      <c r="A1652" t="str">
        <f>'Raw Data'!A1655</f>
        <v>03/01/2025</v>
      </c>
      <c r="B1652" t="str">
        <f>'Raw Data'!C1655</f>
        <v>AMERICAN EXPRESS TVLPHOENIX             AZ</v>
      </c>
      <c r="C1652" t="str">
        <f>'Raw Data'!I1655</f>
        <v>Team Travel (Judd)</v>
      </c>
      <c r="D1652" s="31">
        <f>'Raw Data'!F1655</f>
        <v>750.96</v>
      </c>
    </row>
    <row r="1653" spans="1:4" x14ac:dyDescent="0.25">
      <c r="A1653" t="str">
        <f>'Raw Data'!A1656</f>
        <v>03/01/2025</v>
      </c>
      <c r="B1653" t="str">
        <f>'Raw Data'!C1656</f>
        <v>AMEX TRAVEL PURCHASE WITH MR POINTS CREDIT</v>
      </c>
      <c r="C1653" t="str">
        <f>'Raw Data'!I1656</f>
        <v>Team Travel (Judd)</v>
      </c>
      <c r="D1653" s="31">
        <f>'Raw Data'!F1656</f>
        <v>-546.97</v>
      </c>
    </row>
    <row r="1654" spans="1:4" x14ac:dyDescent="0.25">
      <c r="A1654" t="str">
        <f>'Raw Data'!A1657</f>
        <v>03/01/2025</v>
      </c>
      <c r="B1654" t="str">
        <f>'Raw Data'!C1657</f>
        <v>AMEX TRAVEL PURCHASE WITH MR POINTS CREDIT</v>
      </c>
      <c r="C1654" t="str">
        <f>'Raw Data'!I1657</f>
        <v>Team Travel (Judd)</v>
      </c>
      <c r="D1654" s="31">
        <f>'Raw Data'!F1657</f>
        <v>-257.60000000000002</v>
      </c>
    </row>
    <row r="1655" spans="1:4" x14ac:dyDescent="0.25">
      <c r="A1655" t="str">
        <f>'Raw Data'!A1658</f>
        <v>03/01/2025</v>
      </c>
      <c r="B1655" t="str">
        <f>'Raw Data'!C1658</f>
        <v>DNH*GODADDY#36173425Tempe               AZ</v>
      </c>
      <c r="C1655" t="str">
        <f>'Raw Data'!I1658</f>
        <v>Go Daddy</v>
      </c>
      <c r="D1655" s="31">
        <f>'Raw Data'!F1658</f>
        <v>29.97</v>
      </c>
    </row>
    <row r="1656" spans="1:4" x14ac:dyDescent="0.25">
      <c r="A1656" t="str">
        <f>'Raw Data'!A1659</f>
        <v>03/01/2025</v>
      </c>
      <c r="B1656" t="str">
        <f>'Raw Data'!C1659</f>
        <v>LOOM SUBSCRIPTION   SAN FRANCISCO       CA</v>
      </c>
      <c r="C1656" t="str">
        <f>'Raw Data'!I1659</f>
        <v>Software &amp; Subscriptions</v>
      </c>
      <c r="D1656" s="31">
        <f>'Raw Data'!F1659</f>
        <v>20</v>
      </c>
    </row>
    <row r="1657" spans="1:4" x14ac:dyDescent="0.25">
      <c r="A1657" t="str">
        <f>'Raw Data'!A1660</f>
        <v>02/28/2025</v>
      </c>
      <c r="B1657" t="str">
        <f>'Raw Data'!C1660</f>
        <v>AMAZON MARKETPLACE NAMZN.COM/BILL       WA</v>
      </c>
      <c r="C1657" t="str">
        <f>'Raw Data'!I1660</f>
        <v>Amazon</v>
      </c>
      <c r="D1657" s="31">
        <f>'Raw Data'!F1660</f>
        <v>-423.8</v>
      </c>
    </row>
    <row r="1658" spans="1:4" x14ac:dyDescent="0.25">
      <c r="A1658" t="str">
        <f>'Raw Data'!A1661</f>
        <v>02/28/2025</v>
      </c>
      <c r="B1658" t="str">
        <f>'Raw Data'!C1661</f>
        <v>AMAZON MARKETPLACE NAMZN.COM/BILL       WA</v>
      </c>
      <c r="C1658" t="str">
        <f>'Raw Data'!I1661</f>
        <v>Amazon</v>
      </c>
      <c r="D1658" s="31">
        <f>'Raw Data'!F1661</f>
        <v>-21.6</v>
      </c>
    </row>
    <row r="1659" spans="1:4" x14ac:dyDescent="0.25">
      <c r="A1659" t="str">
        <f>'Raw Data'!A1662</f>
        <v>02/28/2025</v>
      </c>
      <c r="B1659" t="str">
        <f>'Raw Data'!C1662</f>
        <v>AMAZON MARKEPLACE NA PA</v>
      </c>
      <c r="C1659" t="str">
        <f>'Raw Data'!I1662</f>
        <v>Amazon</v>
      </c>
      <c r="D1659" s="31">
        <f>'Raw Data'!F1662</f>
        <v>423.8</v>
      </c>
    </row>
    <row r="1660" spans="1:4" x14ac:dyDescent="0.25">
      <c r="A1660" t="str">
        <f>'Raw Data'!A1663</f>
        <v>02/28/2025</v>
      </c>
      <c r="B1660" t="str">
        <f>'Raw Data'!C1663</f>
        <v>OPENAI *CHATGPT SUBSSAN FRANCISCO       CA</v>
      </c>
      <c r="C1660" t="str">
        <f>'Raw Data'!I1663</f>
        <v>AI Subscriptions</v>
      </c>
      <c r="D1660" s="31">
        <f>'Raw Data'!F1663</f>
        <v>20</v>
      </c>
    </row>
    <row r="1661" spans="1:4" x14ac:dyDescent="0.25">
      <c r="A1661" t="str">
        <f>'Raw Data'!A1664</f>
        <v>02/27/2025</v>
      </c>
      <c r="B1661" t="str">
        <f>'Raw Data'!C1664</f>
        <v>AMAZON MARKETPLACE NAMZN.COM/BILL       WA</v>
      </c>
      <c r="C1661" t="str">
        <f>'Raw Data'!I1664</f>
        <v>Amazon</v>
      </c>
      <c r="D1661" s="31">
        <f>'Raw Data'!F1664</f>
        <v>-413.9</v>
      </c>
    </row>
    <row r="1662" spans="1:4" x14ac:dyDescent="0.25">
      <c r="A1662" t="str">
        <f>'Raw Data'!A1665</f>
        <v>02/27/2025</v>
      </c>
      <c r="B1662" t="str">
        <f>'Raw Data'!C1665</f>
        <v>AMAZON MARKETPLACE NAMZN.COM/BILL       WA</v>
      </c>
      <c r="C1662" t="str">
        <f>'Raw Data'!I1665</f>
        <v>Amazon</v>
      </c>
      <c r="D1662" s="31">
        <f>'Raw Data'!F1665</f>
        <v>-101.97</v>
      </c>
    </row>
    <row r="1663" spans="1:4" x14ac:dyDescent="0.25">
      <c r="A1663" t="str">
        <f>'Raw Data'!A1666</f>
        <v>02/27/2025</v>
      </c>
      <c r="B1663" t="str">
        <f>'Raw Data'!C1666</f>
        <v>AMAZON MARKETPLACE NAMZN.COM/BILL       WA</v>
      </c>
      <c r="C1663" t="str">
        <f>'Raw Data'!I1666</f>
        <v>Amazon</v>
      </c>
      <c r="D1663" s="31">
        <f>'Raw Data'!F1666</f>
        <v>-72.680000000000007</v>
      </c>
    </row>
    <row r="1664" spans="1:4" x14ac:dyDescent="0.25">
      <c r="A1664" t="str">
        <f>'Raw Data'!A1667</f>
        <v>02/27/2025</v>
      </c>
      <c r="B1664" t="str">
        <f>'Raw Data'!C1667</f>
        <v>AMAZON MARKETPLACE NAMZN.COM/BILL       WA</v>
      </c>
      <c r="C1664" t="str">
        <f>'Raw Data'!I1667</f>
        <v>Amazon</v>
      </c>
      <c r="D1664" s="31">
        <f>'Raw Data'!F1667</f>
        <v>-49.67</v>
      </c>
    </row>
    <row r="1665" spans="1:4" x14ac:dyDescent="0.25">
      <c r="A1665" t="str">
        <f>'Raw Data'!A1668</f>
        <v>02/27/2025</v>
      </c>
      <c r="B1665" t="str">
        <f>'Raw Data'!C1668</f>
        <v>AMAZON MARKEPLACE NA PA</v>
      </c>
      <c r="C1665" t="str">
        <f>'Raw Data'!I1668</f>
        <v>Amazon</v>
      </c>
      <c r="D1665" s="31">
        <f>'Raw Data'!F1668</f>
        <v>49.67</v>
      </c>
    </row>
    <row r="1666" spans="1:4" x14ac:dyDescent="0.25">
      <c r="A1666" t="str">
        <f>'Raw Data'!A1669</f>
        <v>02/27/2025</v>
      </c>
      <c r="B1666" t="str">
        <f>'Raw Data'!C1669</f>
        <v>AMAZON MARKEPLACE NA PA</v>
      </c>
      <c r="C1666" t="str">
        <f>'Raw Data'!I1669</f>
        <v>Amazon</v>
      </c>
      <c r="D1666" s="31">
        <f>'Raw Data'!F1669</f>
        <v>72.680000000000007</v>
      </c>
    </row>
    <row r="1667" spans="1:4" x14ac:dyDescent="0.25">
      <c r="A1667" t="str">
        <f>'Raw Data'!A1670</f>
        <v>02/27/2025</v>
      </c>
      <c r="B1667" t="str">
        <f>'Raw Data'!C1670</f>
        <v>AMAZON MARKEPLACE NA PA</v>
      </c>
      <c r="C1667" t="str">
        <f>'Raw Data'!I1670</f>
        <v>Amazon</v>
      </c>
      <c r="D1667" s="31">
        <f>'Raw Data'!F1670</f>
        <v>101.97</v>
      </c>
    </row>
    <row r="1668" spans="1:4" x14ac:dyDescent="0.25">
      <c r="A1668" t="str">
        <f>'Raw Data'!A1671</f>
        <v>02/27/2025</v>
      </c>
      <c r="B1668" t="str">
        <f>'Raw Data'!C1671</f>
        <v>AMAZON MARKEPLACE NA PA</v>
      </c>
      <c r="C1668" t="str">
        <f>'Raw Data'!I1671</f>
        <v>Amazon</v>
      </c>
      <c r="D1668" s="31">
        <f>'Raw Data'!F1671</f>
        <v>413.9</v>
      </c>
    </row>
    <row r="1669" spans="1:4" x14ac:dyDescent="0.25">
      <c r="A1669" t="str">
        <f>'Raw Data'!A1672</f>
        <v>02/27/2025</v>
      </c>
      <c r="B1669" t="str">
        <f>'Raw Data'!C1672</f>
        <v>AMAZON.COM          AMZN.COM/BILL       WA</v>
      </c>
      <c r="C1669" t="str">
        <f>'Raw Data'!I1672</f>
        <v>Amazon</v>
      </c>
      <c r="D1669" s="31">
        <f>'Raw Data'!F1672</f>
        <v>84.75</v>
      </c>
    </row>
    <row r="1670" spans="1:4" x14ac:dyDescent="0.25">
      <c r="A1670" t="str">
        <f>'Raw Data'!A1673</f>
        <v>02/27/2025</v>
      </c>
      <c r="B1670" t="str">
        <f>'Raw Data'!C1673</f>
        <v>DNH*GODADDY#36122905Tempe               AZ</v>
      </c>
      <c r="C1670" t="str">
        <f>'Raw Data'!I1673</f>
        <v>Go Daddy</v>
      </c>
      <c r="D1670" s="31">
        <f>'Raw Data'!F1673</f>
        <v>11.99</v>
      </c>
    </row>
    <row r="1671" spans="1:4" x14ac:dyDescent="0.25">
      <c r="A1671" t="str">
        <f>'Raw Data'!A1674</f>
        <v>02/27/2025</v>
      </c>
      <c r="B1671" t="str">
        <f>'Raw Data'!C1674</f>
        <v>OPENAI *CHATGPT SUBSSAN FRANCISCO       CA</v>
      </c>
      <c r="C1671" t="str">
        <f>'Raw Data'!I1674</f>
        <v>AI Subscriptions</v>
      </c>
      <c r="D1671" s="31">
        <f>'Raw Data'!F1674</f>
        <v>20</v>
      </c>
    </row>
    <row r="1672" spans="1:4" x14ac:dyDescent="0.25">
      <c r="A1672" t="str">
        <f>'Raw Data'!A1675</f>
        <v>02/27/2025</v>
      </c>
      <c r="B1672" t="str">
        <f>'Raw Data'!C1675</f>
        <v>PAYPAL *CREPUSHCOM  4029357733          FL</v>
      </c>
      <c r="C1672" t="str">
        <f>'Raw Data'!I1675</f>
        <v>DWG Marketing</v>
      </c>
      <c r="D1672" s="31">
        <f>'Raw Data'!F1675</f>
        <v>139</v>
      </c>
    </row>
    <row r="1673" spans="1:4" x14ac:dyDescent="0.25">
      <c r="A1673" t="str">
        <f>'Raw Data'!A1676</f>
        <v>02/27/2025</v>
      </c>
      <c r="B1673" t="str">
        <f>'Raw Data'!C1676</f>
        <v>SPLICE.COM          NEW YORK CITY       NY</v>
      </c>
      <c r="C1673" t="str">
        <f>'Raw Data'!I1676</f>
        <v>Software &amp; Subscriptions</v>
      </c>
      <c r="D1673" s="31">
        <f>'Raw Data'!F1676</f>
        <v>39.99</v>
      </c>
    </row>
    <row r="1674" spans="1:4" x14ac:dyDescent="0.25">
      <c r="A1674" t="str">
        <f>'Raw Data'!A1677</f>
        <v>02/26/2025</v>
      </c>
      <c r="B1674" t="str">
        <f>'Raw Data'!C1677</f>
        <v>AMAZON MARKETPLACE NAMZN.COM/BILL       WA</v>
      </c>
      <c r="C1674" t="str">
        <f>'Raw Data'!I1677</f>
        <v>Amazon</v>
      </c>
      <c r="D1674" s="31">
        <f>'Raw Data'!F1677</f>
        <v>-413.9</v>
      </c>
    </row>
    <row r="1675" spans="1:4" x14ac:dyDescent="0.25">
      <c r="A1675" t="str">
        <f>'Raw Data'!A1678</f>
        <v>02/26/2025</v>
      </c>
      <c r="B1675" t="str">
        <f>'Raw Data'!C1678</f>
        <v>AMAZON MARKEPLACE NA PA</v>
      </c>
      <c r="C1675" t="str">
        <f>'Raw Data'!I1678</f>
        <v>Amazon</v>
      </c>
      <c r="D1675" s="31">
        <f>'Raw Data'!F1678</f>
        <v>413.9</v>
      </c>
    </row>
    <row r="1676" spans="1:4" x14ac:dyDescent="0.25">
      <c r="A1676" t="str">
        <f>'Raw Data'!A1679</f>
        <v>02/26/2025</v>
      </c>
      <c r="B1676" t="str">
        <f>'Raw Data'!C1679</f>
        <v>THE FALAFEL FACTORY PARAMOUNT           CA</v>
      </c>
      <c r="C1676" t="str">
        <f>'Raw Data'!I1679</f>
        <v>Personal - Food</v>
      </c>
      <c r="D1676" s="31">
        <f>'Raw Data'!F1679</f>
        <v>1503.12</v>
      </c>
    </row>
    <row r="1677" spans="1:4" x14ac:dyDescent="0.25">
      <c r="A1677" t="str">
        <f>'Raw Data'!A1680</f>
        <v>02/25/2025</v>
      </c>
      <c r="B1677" t="str">
        <f>'Raw Data'!C1680</f>
        <v>AMAZON MARKETPLACE NAMZN.COM/BILL       WA</v>
      </c>
      <c r="C1677" t="str">
        <f>'Raw Data'!I1680</f>
        <v>Amazon</v>
      </c>
      <c r="D1677" s="31">
        <f>'Raw Data'!F1680</f>
        <v>-219.8</v>
      </c>
    </row>
    <row r="1678" spans="1:4" x14ac:dyDescent="0.25">
      <c r="A1678" t="str">
        <f>'Raw Data'!A1681</f>
        <v>02/25/2025</v>
      </c>
      <c r="B1678" t="str">
        <f>'Raw Data'!C1681</f>
        <v>AMAZON MARKEPLACE NA PA</v>
      </c>
      <c r="C1678" t="str">
        <f>'Raw Data'!I1681</f>
        <v>Amazon</v>
      </c>
      <c r="D1678" s="31">
        <f>'Raw Data'!F1681</f>
        <v>219.8</v>
      </c>
    </row>
    <row r="1679" spans="1:4" x14ac:dyDescent="0.25">
      <c r="A1679" t="str">
        <f>'Raw Data'!A1682</f>
        <v>02/25/2025</v>
      </c>
      <c r="B1679" t="str">
        <f>'Raw Data'!C1682</f>
        <v>AMAZON.COM          AMZN.COM/BILL       WA</v>
      </c>
      <c r="C1679" t="str">
        <f>'Raw Data'!I1682</f>
        <v>Amazon</v>
      </c>
      <c r="D1679" s="31">
        <f>'Raw Data'!F1682</f>
        <v>13.44</v>
      </c>
    </row>
    <row r="1680" spans="1:4" x14ac:dyDescent="0.25">
      <c r="A1680" t="str">
        <f>'Raw Data'!A1683</f>
        <v>02/25/2025</v>
      </c>
      <c r="B1680" t="str">
        <f>'Raw Data'!C1683</f>
        <v>DNH*GODADDY#36074509Tempe               AZ</v>
      </c>
      <c r="C1680" t="str">
        <f>'Raw Data'!I1683</f>
        <v>Go Daddy</v>
      </c>
      <c r="D1680" s="31">
        <f>'Raw Data'!F1683</f>
        <v>16.98</v>
      </c>
    </row>
    <row r="1681" spans="1:4" x14ac:dyDescent="0.25">
      <c r="A1681" t="str">
        <f>'Raw Data'!A1684</f>
        <v>02/25/2025</v>
      </c>
      <c r="B1681" t="str">
        <f>'Raw Data'!C1684</f>
        <v>PLATINUM VALET PARKIGRANADA HILLS       CA</v>
      </c>
      <c r="C1681" t="str">
        <f>'Raw Data'!I1684</f>
        <v>Personal - Car</v>
      </c>
      <c r="D1681" s="31">
        <f>'Raw Data'!F1684</f>
        <v>25.94</v>
      </c>
    </row>
    <row r="1682" spans="1:4" x14ac:dyDescent="0.25">
      <c r="A1682" t="str">
        <f>'Raw Data'!A1685</f>
        <v>02/24/2025</v>
      </c>
      <c r="B1682" t="str">
        <f>'Raw Data'!C1685</f>
        <v>AMAZON MARKETPLACE NAMZN.COM/BILL       WA</v>
      </c>
      <c r="C1682" t="str">
        <f>'Raw Data'!I1685</f>
        <v>Amazon</v>
      </c>
      <c r="D1682" s="31">
        <f>'Raw Data'!F1685</f>
        <v>-317.85000000000002</v>
      </c>
    </row>
    <row r="1683" spans="1:4" x14ac:dyDescent="0.25">
      <c r="A1683" t="str">
        <f>'Raw Data'!A1686</f>
        <v>02/24/2025</v>
      </c>
      <c r="B1683" t="str">
        <f>'Raw Data'!C1686</f>
        <v>AMAZON MARKETPLACE NAMZN.COM/BILL       WA</v>
      </c>
      <c r="C1683" t="str">
        <f>'Raw Data'!I1686</f>
        <v>Amazon</v>
      </c>
      <c r="D1683" s="31">
        <f>'Raw Data'!F1686</f>
        <v>-206.95</v>
      </c>
    </row>
    <row r="1684" spans="1:4" x14ac:dyDescent="0.25">
      <c r="A1684" t="str">
        <f>'Raw Data'!A1687</f>
        <v>02/24/2025</v>
      </c>
      <c r="B1684" t="str">
        <f>'Raw Data'!C1687</f>
        <v>AMAZON MARKEPLACE NA PA</v>
      </c>
      <c r="C1684" t="str">
        <f>'Raw Data'!I1687</f>
        <v>Amazon</v>
      </c>
      <c r="D1684" s="31">
        <f>'Raw Data'!F1687</f>
        <v>206.95</v>
      </c>
    </row>
    <row r="1685" spans="1:4" x14ac:dyDescent="0.25">
      <c r="A1685" t="str">
        <f>'Raw Data'!A1688</f>
        <v>02/24/2025</v>
      </c>
      <c r="B1685" t="str">
        <f>'Raw Data'!C1688</f>
        <v>AMAZON MARKEPLACE NA PA</v>
      </c>
      <c r="C1685" t="str">
        <f>'Raw Data'!I1688</f>
        <v>Amazon</v>
      </c>
      <c r="D1685" s="31">
        <f>'Raw Data'!F1688</f>
        <v>317.85000000000002</v>
      </c>
    </row>
    <row r="1686" spans="1:4" x14ac:dyDescent="0.25">
      <c r="A1686" t="str">
        <f>'Raw Data'!A1689</f>
        <v>02/24/2025</v>
      </c>
      <c r="B1686" t="str">
        <f>'Raw Data'!C1689</f>
        <v>ONLINE PAYMENT - THANK YOU</v>
      </c>
      <c r="C1686" t="str">
        <f>'Raw Data'!I1689</f>
        <v>Online AMEX Payment</v>
      </c>
      <c r="D1686" s="31">
        <f>'Raw Data'!F1689</f>
        <v>-48648.58</v>
      </c>
    </row>
    <row r="1687" spans="1:4" x14ac:dyDescent="0.25">
      <c r="A1687" t="str">
        <f>'Raw Data'!A1690</f>
        <v>02/23/2025</v>
      </c>
      <c r="B1687" t="str">
        <f>'Raw Data'!C1690</f>
        <v>DNH*GODADDY#36047083Tempe               AZ</v>
      </c>
      <c r="C1687" t="str">
        <f>'Raw Data'!I1690</f>
        <v>Go Daddy</v>
      </c>
      <c r="D1687" s="31">
        <f>'Raw Data'!F1690</f>
        <v>41.97</v>
      </c>
    </row>
    <row r="1688" spans="1:4" x14ac:dyDescent="0.25">
      <c r="A1688" t="str">
        <f>'Raw Data'!A1691</f>
        <v>02/23/2025</v>
      </c>
      <c r="B1688" t="str">
        <f>'Raw Data'!C1691</f>
        <v>MERCEDES BENZ OF LAGLAGUNA NIGUEL       CA</v>
      </c>
      <c r="C1688" t="str">
        <f>'Raw Data'!I1691</f>
        <v>Personal - Car</v>
      </c>
      <c r="D1688" s="31">
        <f>'Raw Data'!F1691</f>
        <v>5000</v>
      </c>
    </row>
    <row r="1689" spans="1:4" x14ac:dyDescent="0.25">
      <c r="A1689" t="str">
        <f>'Raw Data'!A1692</f>
        <v>02/21/2025</v>
      </c>
      <c r="B1689" t="str">
        <f>'Raw Data'!C1692</f>
        <v>AMAZON MARKETPLACE NAMZN.COM/BILL       WA</v>
      </c>
      <c r="C1689" t="str">
        <f>'Raw Data'!I1692</f>
        <v>Amazon</v>
      </c>
      <c r="D1689" s="31">
        <f>'Raw Data'!F1692</f>
        <v>-413.9</v>
      </c>
    </row>
    <row r="1690" spans="1:4" x14ac:dyDescent="0.25">
      <c r="A1690" t="str">
        <f>'Raw Data'!A1693</f>
        <v>02/21/2025</v>
      </c>
      <c r="B1690" t="str">
        <f>'Raw Data'!C1693</f>
        <v>AMAZON MARKETPLACE NAMZN.COM/BILL       WA</v>
      </c>
      <c r="C1690" t="str">
        <f>'Raw Data'!I1693</f>
        <v>Amazon</v>
      </c>
      <c r="D1690" s="31">
        <f>'Raw Data'!F1693</f>
        <v>-105.95</v>
      </c>
    </row>
    <row r="1691" spans="1:4" x14ac:dyDescent="0.25">
      <c r="A1691" t="str">
        <f>'Raw Data'!A1694</f>
        <v>02/21/2025</v>
      </c>
      <c r="B1691" t="str">
        <f>'Raw Data'!C1694</f>
        <v>AMAZON MARKEPLACE NA PA</v>
      </c>
      <c r="C1691" t="str">
        <f>'Raw Data'!I1694</f>
        <v>Amazon</v>
      </c>
      <c r="D1691" s="31">
        <f>'Raw Data'!F1694</f>
        <v>105.95</v>
      </c>
    </row>
    <row r="1692" spans="1:4" x14ac:dyDescent="0.25">
      <c r="A1692" t="str">
        <f>'Raw Data'!A1695</f>
        <v>02/21/2025</v>
      </c>
      <c r="B1692" t="str">
        <f>'Raw Data'!C1695</f>
        <v>AMAZON MARKEPLACE NA PA</v>
      </c>
      <c r="C1692" t="str">
        <f>'Raw Data'!I1695</f>
        <v>Amazon</v>
      </c>
      <c r="D1692" s="31">
        <f>'Raw Data'!F1695</f>
        <v>413.9</v>
      </c>
    </row>
    <row r="1693" spans="1:4" x14ac:dyDescent="0.25">
      <c r="A1693" t="str">
        <f>'Raw Data'!A1696</f>
        <v>02/21/2025</v>
      </c>
      <c r="B1693" t="str">
        <f>'Raw Data'!C1696</f>
        <v>AMERICAN AIRLINES   800-433-7300        TX</v>
      </c>
      <c r="C1693" t="str">
        <f>'Raw Data'!I1696</f>
        <v>Team Travel (Angela)</v>
      </c>
      <c r="D1693" s="31">
        <f>'Raw Data'!F1696</f>
        <v>35</v>
      </c>
    </row>
    <row r="1694" spans="1:4" x14ac:dyDescent="0.25">
      <c r="A1694" t="str">
        <f>'Raw Data'!A1697</f>
        <v>02/21/2025</v>
      </c>
      <c r="B1694" t="str">
        <f>'Raw Data'!C1697</f>
        <v>AMERICAN AIRLINES   800-433-7300        TX</v>
      </c>
      <c r="C1694" t="str">
        <f>'Raw Data'!I1697</f>
        <v>Team Travel (Angela)</v>
      </c>
      <c r="D1694" s="31">
        <f>'Raw Data'!F1697</f>
        <v>35</v>
      </c>
    </row>
    <row r="1695" spans="1:4" x14ac:dyDescent="0.25">
      <c r="A1695" t="str">
        <f>'Raw Data'!A1698</f>
        <v>02/21/2025</v>
      </c>
      <c r="B1695" t="str">
        <f>'Raw Data'!C1698</f>
        <v>AMERICAN AIRLINES   800-433-7300        TX</v>
      </c>
      <c r="C1695" t="str">
        <f>'Raw Data'!I1698</f>
        <v>Team Travel (Angela)</v>
      </c>
      <c r="D1695" s="31">
        <f>'Raw Data'!F1698</f>
        <v>45</v>
      </c>
    </row>
    <row r="1696" spans="1:4" x14ac:dyDescent="0.25">
      <c r="A1696" t="str">
        <f>'Raw Data'!A1699</f>
        <v>02/20/2025</v>
      </c>
      <c r="B1696" t="str">
        <f>'Raw Data'!C1699</f>
        <v>AMAZON MARKETPLACE NAMZN.COM/BILL       WA</v>
      </c>
      <c r="C1696" t="str">
        <f>'Raw Data'!I1699</f>
        <v>Amazon</v>
      </c>
      <c r="D1696" s="31">
        <f>'Raw Data'!F1699</f>
        <v>-317.85000000000002</v>
      </c>
    </row>
    <row r="1697" spans="1:4" x14ac:dyDescent="0.25">
      <c r="A1697" t="str">
        <f>'Raw Data'!A1700</f>
        <v>02/20/2025</v>
      </c>
      <c r="B1697" t="str">
        <f>'Raw Data'!C1700</f>
        <v>AMAZON MARKETPLACE NAMZN.COM/BILL       WA</v>
      </c>
      <c r="C1697" t="str">
        <f>'Raw Data'!I1700</f>
        <v>Amazon</v>
      </c>
      <c r="D1697" s="31">
        <f>'Raw Data'!F1700</f>
        <v>-72.680000000000007</v>
      </c>
    </row>
    <row r="1698" spans="1:4" x14ac:dyDescent="0.25">
      <c r="A1698" t="str">
        <f>'Raw Data'!A1701</f>
        <v>02/20/2025</v>
      </c>
      <c r="B1698" t="str">
        <f>'Raw Data'!C1701</f>
        <v>AMAZON MARKETPLACE NAMZN.COM/BILL       WA</v>
      </c>
      <c r="C1698" t="str">
        <f>'Raw Data'!I1701</f>
        <v>Amazon</v>
      </c>
      <c r="D1698" s="31">
        <f>'Raw Data'!F1701</f>
        <v>-55.21</v>
      </c>
    </row>
    <row r="1699" spans="1:4" x14ac:dyDescent="0.25">
      <c r="A1699" t="str">
        <f>'Raw Data'!A1702</f>
        <v>02/20/2025</v>
      </c>
      <c r="B1699" t="str">
        <f>'Raw Data'!C1702</f>
        <v>AMAZON MARKEPLACE NA PA</v>
      </c>
      <c r="C1699" t="str">
        <f>'Raw Data'!I1702</f>
        <v>Amazon</v>
      </c>
      <c r="D1699" s="31">
        <f>'Raw Data'!F1702</f>
        <v>55.21</v>
      </c>
    </row>
    <row r="1700" spans="1:4" x14ac:dyDescent="0.25">
      <c r="A1700" t="str">
        <f>'Raw Data'!A1703</f>
        <v>02/20/2025</v>
      </c>
      <c r="B1700" t="str">
        <f>'Raw Data'!C1703</f>
        <v>AMAZON MARKEPLACE NA PA</v>
      </c>
      <c r="C1700" t="str">
        <f>'Raw Data'!I1703</f>
        <v>Amazon</v>
      </c>
      <c r="D1700" s="31">
        <f>'Raw Data'!F1703</f>
        <v>72.680000000000007</v>
      </c>
    </row>
    <row r="1701" spans="1:4" x14ac:dyDescent="0.25">
      <c r="A1701" t="str">
        <f>'Raw Data'!A1704</f>
        <v>02/20/2025</v>
      </c>
      <c r="B1701" t="str">
        <f>'Raw Data'!C1704</f>
        <v>AMAZON MARKEPLACE NA PA</v>
      </c>
      <c r="C1701" t="str">
        <f>'Raw Data'!I1704</f>
        <v>Amazon</v>
      </c>
      <c r="D1701" s="31">
        <f>'Raw Data'!F1704</f>
        <v>317.85000000000002</v>
      </c>
    </row>
    <row r="1702" spans="1:4" x14ac:dyDescent="0.25">
      <c r="A1702" t="str">
        <f>'Raw Data'!A1705</f>
        <v>02/20/2025</v>
      </c>
      <c r="B1702" t="str">
        <f>'Raw Data'!C1705</f>
        <v>CAMPAIGNER SVC      888-845-4544        CA</v>
      </c>
      <c r="C1702" t="str">
        <f>'Raw Data'!I1705</f>
        <v>Software &amp; Subscriptions</v>
      </c>
      <c r="D1702" s="31">
        <f>'Raw Data'!F1705</f>
        <v>584</v>
      </c>
    </row>
    <row r="1703" spans="1:4" x14ac:dyDescent="0.25">
      <c r="A1703" t="str">
        <f>'Raw Data'!A1706</f>
        <v>02/20/2025</v>
      </c>
      <c r="B1703" t="str">
        <f>'Raw Data'!C1706</f>
        <v>DNH*GODADDY#35980114Tempe               AZ</v>
      </c>
      <c r="C1703" t="str">
        <f>'Raw Data'!I1706</f>
        <v>Go Daddy</v>
      </c>
      <c r="D1703" s="31">
        <f>'Raw Data'!F1706</f>
        <v>18.97</v>
      </c>
    </row>
    <row r="1704" spans="1:4" x14ac:dyDescent="0.25">
      <c r="A1704" t="str">
        <f>'Raw Data'!A1707</f>
        <v>02/19/2025</v>
      </c>
      <c r="B1704" t="str">
        <f>'Raw Data'!C1707</f>
        <v>AMAZON MARKETPLACE NAMZN.COM/BILL       WA</v>
      </c>
      <c r="C1704" t="str">
        <f>'Raw Data'!I1707</f>
        <v>Amazon</v>
      </c>
      <c r="D1704" s="31">
        <f>'Raw Data'!F1707</f>
        <v>-85.49</v>
      </c>
    </row>
    <row r="1705" spans="1:4" x14ac:dyDescent="0.25">
      <c r="A1705" t="str">
        <f>'Raw Data'!A1708</f>
        <v>02/19/2025</v>
      </c>
      <c r="B1705" t="str">
        <f>'Raw Data'!C1708</f>
        <v>AMAZON MARKETPLACE NAMZN.COM/BILL       WA</v>
      </c>
      <c r="C1705" t="str">
        <f>'Raw Data'!I1708</f>
        <v>Amazon</v>
      </c>
      <c r="D1705" s="31">
        <f>'Raw Data'!F1708</f>
        <v>-37.78</v>
      </c>
    </row>
    <row r="1706" spans="1:4" x14ac:dyDescent="0.25">
      <c r="A1706" t="str">
        <f>'Raw Data'!A1709</f>
        <v>02/19/2025</v>
      </c>
      <c r="B1706" t="str">
        <f>'Raw Data'!C1709</f>
        <v>AMAZON MARKEPLACE NA PA</v>
      </c>
      <c r="C1706" t="str">
        <f>'Raw Data'!I1709</f>
        <v>Amazon</v>
      </c>
      <c r="D1706" s="31">
        <f>'Raw Data'!F1709</f>
        <v>37.78</v>
      </c>
    </row>
    <row r="1707" spans="1:4" x14ac:dyDescent="0.25">
      <c r="A1707" t="str">
        <f>'Raw Data'!A1710</f>
        <v>02/19/2025</v>
      </c>
      <c r="B1707" t="str">
        <f>'Raw Data'!C1710</f>
        <v>AMAZON MARKEPLACE NA PA</v>
      </c>
      <c r="C1707" t="str">
        <f>'Raw Data'!I1710</f>
        <v>Amazon</v>
      </c>
      <c r="D1707" s="31">
        <f>'Raw Data'!F1710</f>
        <v>85.49</v>
      </c>
    </row>
    <row r="1708" spans="1:4" x14ac:dyDescent="0.25">
      <c r="A1708" t="str">
        <f>'Raw Data'!A1711</f>
        <v>02/19/2025</v>
      </c>
      <c r="B1708" t="str">
        <f>'Raw Data'!C1711</f>
        <v>PAYPAL *BIGBOYSBLAS 7275437907          FL</v>
      </c>
      <c r="C1708" t="str">
        <f>'Raw Data'!I1711</f>
        <v>DWG Marketing</v>
      </c>
      <c r="D1708" s="31">
        <f>'Raw Data'!F1711</f>
        <v>139</v>
      </c>
    </row>
    <row r="1709" spans="1:4" x14ac:dyDescent="0.25">
      <c r="A1709" t="str">
        <f>'Raw Data'!A1712</f>
        <v>02/18/2025</v>
      </c>
      <c r="B1709" t="str">
        <f>'Raw Data'!C1712</f>
        <v>DNH*GODADDY#35941836Tempe               AZ</v>
      </c>
      <c r="C1709" t="str">
        <f>'Raw Data'!I1712</f>
        <v>Go Daddy</v>
      </c>
      <c r="D1709" s="31">
        <f>'Raw Data'!F1712</f>
        <v>61.32</v>
      </c>
    </row>
    <row r="1710" spans="1:4" x14ac:dyDescent="0.25">
      <c r="A1710" t="str">
        <f>'Raw Data'!A1713</f>
        <v>02/18/2025</v>
      </c>
      <c r="B1710" t="str">
        <f>'Raw Data'!C1713</f>
        <v>PROPERTYBLAST.COM   800-418-4452        FL</v>
      </c>
      <c r="C1710" t="str">
        <f>'Raw Data'!I1713</f>
        <v>DWG Marketing</v>
      </c>
      <c r="D1710" s="31">
        <f>'Raw Data'!F1713</f>
        <v>159</v>
      </c>
    </row>
    <row r="1711" spans="1:4" x14ac:dyDescent="0.25">
      <c r="A1711" t="str">
        <f>'Raw Data'!A1714</f>
        <v>02/17/2025</v>
      </c>
      <c r="B1711" t="str">
        <f>'Raw Data'!C1714</f>
        <v>AMAZON MARKETPLACE NAMZN.COM/BILL       WA</v>
      </c>
      <c r="C1711" t="str">
        <f>'Raw Data'!I1714</f>
        <v>Amazon</v>
      </c>
      <c r="D1711" s="31">
        <f>'Raw Data'!F1714</f>
        <v>-620.85</v>
      </c>
    </row>
    <row r="1712" spans="1:4" x14ac:dyDescent="0.25">
      <c r="A1712" t="str">
        <f>'Raw Data'!A1715</f>
        <v>02/17/2025</v>
      </c>
      <c r="B1712" t="str">
        <f>'Raw Data'!C1715</f>
        <v>AMAZON MARKEPLACE NA PA</v>
      </c>
      <c r="C1712" t="str">
        <f>'Raw Data'!I1715</f>
        <v>Amazon</v>
      </c>
      <c r="D1712" s="31">
        <f>'Raw Data'!F1715</f>
        <v>620.85</v>
      </c>
    </row>
    <row r="1713" spans="1:4" x14ac:dyDescent="0.25">
      <c r="A1713" t="str">
        <f>'Raw Data'!A1716</f>
        <v>02/17/2025</v>
      </c>
      <c r="B1713" t="str">
        <f>'Raw Data'!C1716</f>
        <v>DNH*GODADDY#35911509Tempe               AZ</v>
      </c>
      <c r="C1713" t="str">
        <f>'Raw Data'!I1716</f>
        <v>Go Daddy</v>
      </c>
      <c r="D1713" s="31">
        <f>'Raw Data'!F1716</f>
        <v>14.98</v>
      </c>
    </row>
    <row r="1714" spans="1:4" x14ac:dyDescent="0.25">
      <c r="A1714" t="str">
        <f>'Raw Data'!A1717</f>
        <v>02/16/2025</v>
      </c>
      <c r="B1714" t="str">
        <f>'Raw Data'!C1717</f>
        <v>AMERICAN AIRLINES   800-433-7300        TX</v>
      </c>
      <c r="C1714" t="str">
        <f>'Raw Data'!I1717</f>
        <v>Team Travel (Angela)</v>
      </c>
      <c r="D1714" s="31">
        <f>'Raw Data'!F1717</f>
        <v>35</v>
      </c>
    </row>
    <row r="1715" spans="1:4" x14ac:dyDescent="0.25">
      <c r="A1715" t="str">
        <f>'Raw Data'!A1718</f>
        <v>02/16/2025</v>
      </c>
      <c r="B1715" t="str">
        <f>'Raw Data'!C1718</f>
        <v>AMERICAN AIRLINES   800-433-7300        TX</v>
      </c>
      <c r="C1715" t="str">
        <f>'Raw Data'!I1718</f>
        <v>Team Travel (Angela)</v>
      </c>
      <c r="D1715" s="31">
        <f>'Raw Data'!F1718</f>
        <v>45</v>
      </c>
    </row>
    <row r="1716" spans="1:4" x14ac:dyDescent="0.25">
      <c r="A1716" t="str">
        <f>'Raw Data'!A1719</f>
        <v>02/16/2025</v>
      </c>
      <c r="B1716" t="str">
        <f>'Raw Data'!C1719</f>
        <v>AMERICAN AIRLINES 45800-433-7300        TX</v>
      </c>
      <c r="C1716" t="str">
        <f>'Raw Data'!I1719</f>
        <v>Team Travel (Angela)</v>
      </c>
      <c r="D1716" s="31">
        <f>'Raw Data'!F1719</f>
        <v>87.31</v>
      </c>
    </row>
    <row r="1717" spans="1:4" x14ac:dyDescent="0.25">
      <c r="A1717" t="str">
        <f>'Raw Data'!A1720</f>
        <v>02/16/2025</v>
      </c>
      <c r="B1717" t="str">
        <f>'Raw Data'!C1720</f>
        <v>LEV INC             NEW YORK            NY</v>
      </c>
      <c r="C1717" t="str">
        <f>'Raw Data'!I1720</f>
        <v>DWG Listing Platform</v>
      </c>
      <c r="D1717" s="31">
        <f>'Raw Data'!F1720</f>
        <v>2000</v>
      </c>
    </row>
    <row r="1718" spans="1:4" x14ac:dyDescent="0.25">
      <c r="A1718" t="str">
        <f>'Raw Data'!A1721</f>
        <v>02/16/2025</v>
      </c>
      <c r="B1718" t="str">
        <f>'Raw Data'!C1721</f>
        <v>SOCIALPILOT         LEWES               DE</v>
      </c>
      <c r="C1718" t="str">
        <f>'Raw Data'!I1721</f>
        <v>Software &amp; Subscriptions</v>
      </c>
      <c r="D1718" s="31">
        <f>'Raw Data'!F1721</f>
        <v>50</v>
      </c>
    </row>
    <row r="1719" spans="1:4" x14ac:dyDescent="0.25">
      <c r="A1719" t="str">
        <f>'Raw Data'!A1722</f>
        <v>02/16/2025</v>
      </c>
      <c r="B1719" t="str">
        <f>'Raw Data'!C1722</f>
        <v>UNITED AIRLINES     HOUSTON             TX</v>
      </c>
      <c r="C1719" t="str">
        <f>'Raw Data'!I1722</f>
        <v>Team Travel (Angela)</v>
      </c>
      <c r="D1719" s="31">
        <f>'Raw Data'!F1722</f>
        <v>29.99</v>
      </c>
    </row>
    <row r="1720" spans="1:4" x14ac:dyDescent="0.25">
      <c r="A1720" t="str">
        <f>'Raw Data'!A1723</f>
        <v>02/16/2025</v>
      </c>
      <c r="B1720" t="str">
        <f>'Raw Data'!C1723</f>
        <v>UNITED AIRLINES     HOUSTON             TX</v>
      </c>
      <c r="C1720" t="str">
        <f>'Raw Data'!I1723</f>
        <v>Team Travel (Angela)</v>
      </c>
      <c r="D1720" s="31">
        <f>'Raw Data'!F1723</f>
        <v>29.99</v>
      </c>
    </row>
    <row r="1721" spans="1:4" x14ac:dyDescent="0.25">
      <c r="A1721" t="str">
        <f>'Raw Data'!A1724</f>
        <v>02/16/2025</v>
      </c>
      <c r="B1721" t="str">
        <f>'Raw Data'!C1724</f>
        <v>UNITED AIRLINES     HOUSTON             TX</v>
      </c>
      <c r="C1721" t="str">
        <f>'Raw Data'!I1724</f>
        <v>Team Travel (Angela)</v>
      </c>
      <c r="D1721" s="31">
        <f>'Raw Data'!F1724</f>
        <v>416.97</v>
      </c>
    </row>
    <row r="1722" spans="1:4" x14ac:dyDescent="0.25">
      <c r="A1722" t="str">
        <f>'Raw Data'!A1725</f>
        <v>02/15/2025</v>
      </c>
      <c r="B1722" t="str">
        <f>'Raw Data'!C1725</f>
        <v>DNH*GODADDY#35873619Tempe               AZ</v>
      </c>
      <c r="C1722" t="str">
        <f>'Raw Data'!I1725</f>
        <v>Go Daddy</v>
      </c>
      <c r="D1722" s="31">
        <f>'Raw Data'!F1725</f>
        <v>8.99</v>
      </c>
    </row>
    <row r="1723" spans="1:4" x14ac:dyDescent="0.25">
      <c r="A1723" t="str">
        <f>'Raw Data'!A1726</f>
        <v>02/14/2025</v>
      </c>
      <c r="B1723" t="str">
        <f>'Raw Data'!C1726</f>
        <v>AMAZON MARKETPLACE NAMZN.COM/BILL       WA</v>
      </c>
      <c r="C1723" t="str">
        <f>'Raw Data'!I1726</f>
        <v>Amazon</v>
      </c>
      <c r="D1723" s="31">
        <f>'Raw Data'!F1726</f>
        <v>-423.8</v>
      </c>
    </row>
    <row r="1724" spans="1:4" x14ac:dyDescent="0.25">
      <c r="A1724" t="str">
        <f>'Raw Data'!A1727</f>
        <v>02/14/2025</v>
      </c>
      <c r="B1724" t="str">
        <f>'Raw Data'!C1727</f>
        <v>AMAZON MARKETPLACE NAMZN.COM/BILL       WA</v>
      </c>
      <c r="C1724" t="str">
        <f>'Raw Data'!I1727</f>
        <v>Amazon</v>
      </c>
      <c r="D1724" s="31">
        <f>'Raw Data'!F1727</f>
        <v>-206.95</v>
      </c>
    </row>
    <row r="1725" spans="1:4" x14ac:dyDescent="0.25">
      <c r="A1725" t="str">
        <f>'Raw Data'!A1728</f>
        <v>02/14/2025</v>
      </c>
      <c r="B1725" t="str">
        <f>'Raw Data'!C1728</f>
        <v>AMAZON MARKETPLACE NAMZN.COM/BILL       WA</v>
      </c>
      <c r="C1725" t="str">
        <f>'Raw Data'!I1728</f>
        <v>Amazon</v>
      </c>
      <c r="D1725" s="31">
        <f>'Raw Data'!F1728</f>
        <v>-206.95</v>
      </c>
    </row>
    <row r="1726" spans="1:4" x14ac:dyDescent="0.25">
      <c r="A1726" t="str">
        <f>'Raw Data'!A1729</f>
        <v>02/14/2025</v>
      </c>
      <c r="B1726" t="str">
        <f>'Raw Data'!C1729</f>
        <v>AMAZON MARKEPLACE NA PA</v>
      </c>
      <c r="C1726" t="str">
        <f>'Raw Data'!I1729</f>
        <v>Amazon</v>
      </c>
      <c r="D1726" s="31">
        <f>'Raw Data'!F1729</f>
        <v>206.95</v>
      </c>
    </row>
    <row r="1727" spans="1:4" x14ac:dyDescent="0.25">
      <c r="A1727" t="str">
        <f>'Raw Data'!A1730</f>
        <v>02/14/2025</v>
      </c>
      <c r="B1727" t="str">
        <f>'Raw Data'!C1730</f>
        <v>AMAZON MARKEPLACE NA PA</v>
      </c>
      <c r="C1727" t="str">
        <f>'Raw Data'!I1730</f>
        <v>Amazon</v>
      </c>
      <c r="D1727" s="31">
        <f>'Raw Data'!F1730</f>
        <v>206.95</v>
      </c>
    </row>
    <row r="1728" spans="1:4" x14ac:dyDescent="0.25">
      <c r="A1728" t="str">
        <f>'Raw Data'!A1731</f>
        <v>02/14/2025</v>
      </c>
      <c r="B1728" t="str">
        <f>'Raw Data'!C1731</f>
        <v>AMAZON MARKEPLACE NA PA</v>
      </c>
      <c r="C1728" t="str">
        <f>'Raw Data'!I1731</f>
        <v>Amazon</v>
      </c>
      <c r="D1728" s="31">
        <f>'Raw Data'!F1731</f>
        <v>423.8</v>
      </c>
    </row>
    <row r="1729" spans="1:4" x14ac:dyDescent="0.25">
      <c r="A1729" t="str">
        <f>'Raw Data'!A1732</f>
        <v>02/14/2025</v>
      </c>
      <c r="B1729" t="str">
        <f>'Raw Data'!C1732</f>
        <v>DNH*GODADDY#35865148Tempe               AZ</v>
      </c>
      <c r="C1729" t="str">
        <f>'Raw Data'!I1732</f>
        <v>Go Daddy</v>
      </c>
      <c r="D1729" s="31">
        <f>'Raw Data'!F1732</f>
        <v>31.97</v>
      </c>
    </row>
    <row r="1730" spans="1:4" x14ac:dyDescent="0.25">
      <c r="A1730" t="str">
        <f>'Raw Data'!A1733</f>
        <v>02/14/2025</v>
      </c>
      <c r="B1730" t="str">
        <f>'Raw Data'!C1733</f>
        <v>KINDLE UNLTD*BH2285U888-802-3080        WA</v>
      </c>
      <c r="C1730" t="str">
        <f>'Raw Data'!I1733</f>
        <v>Personal - Entertainment</v>
      </c>
      <c r="D1730" s="31">
        <f>'Raw Data'!F1733</f>
        <v>12.98</v>
      </c>
    </row>
    <row r="1731" spans="1:4" x14ac:dyDescent="0.25">
      <c r="A1731" t="str">
        <f>'Raw Data'!A1734</f>
        <v>02/13/2025</v>
      </c>
      <c r="B1731" t="str">
        <f>'Raw Data'!C1734</f>
        <v>AMAZON MARKETPLACE NAMZN.COM/BILL       WA</v>
      </c>
      <c r="C1731" t="str">
        <f>'Raw Data'!I1734</f>
        <v>Amazon</v>
      </c>
      <c r="D1731" s="31">
        <f>'Raw Data'!F1734</f>
        <v>-620.85</v>
      </c>
    </row>
    <row r="1732" spans="1:4" x14ac:dyDescent="0.25">
      <c r="A1732" t="str">
        <f>'Raw Data'!A1735</f>
        <v>02/13/2025</v>
      </c>
      <c r="B1732" t="str">
        <f>'Raw Data'!C1735</f>
        <v>AMAZON MARKETPLACE NAMZN.COM/BILL       WA</v>
      </c>
      <c r="C1732" t="str">
        <f>'Raw Data'!I1735</f>
        <v>Amazon</v>
      </c>
      <c r="D1732" s="31">
        <f>'Raw Data'!F1735</f>
        <v>-65.900000000000006</v>
      </c>
    </row>
    <row r="1733" spans="1:4" x14ac:dyDescent="0.25">
      <c r="A1733" t="str">
        <f>'Raw Data'!A1736</f>
        <v>02/13/2025</v>
      </c>
      <c r="B1733" t="str">
        <f>'Raw Data'!C1736</f>
        <v>AMAZON MARKEPLACE NA PA</v>
      </c>
      <c r="C1733" t="str">
        <f>'Raw Data'!I1736</f>
        <v>Amazon</v>
      </c>
      <c r="D1733" s="31">
        <f>'Raw Data'!F1736</f>
        <v>65.900000000000006</v>
      </c>
    </row>
    <row r="1734" spans="1:4" x14ac:dyDescent="0.25">
      <c r="A1734" t="str">
        <f>'Raw Data'!A1737</f>
        <v>02/13/2025</v>
      </c>
      <c r="B1734" t="str">
        <f>'Raw Data'!C1737</f>
        <v>AMAZON MARKEPLACE NA PA</v>
      </c>
      <c r="C1734" t="str">
        <f>'Raw Data'!I1737</f>
        <v>Amazon</v>
      </c>
      <c r="D1734" s="31">
        <f>'Raw Data'!F1737</f>
        <v>620.85</v>
      </c>
    </row>
    <row r="1735" spans="1:4" x14ac:dyDescent="0.25">
      <c r="A1735" t="str">
        <f>'Raw Data'!A1738</f>
        <v>02/13/2025</v>
      </c>
      <c r="B1735" t="str">
        <f>'Raw Data'!C1738</f>
        <v>AMAZON.COM          AMZN.COM/BILL       WA</v>
      </c>
      <c r="C1735" t="str">
        <f>'Raw Data'!I1738</f>
        <v>Amazon</v>
      </c>
      <c r="D1735" s="31">
        <f>'Raw Data'!F1738</f>
        <v>28.48</v>
      </c>
    </row>
    <row r="1736" spans="1:4" x14ac:dyDescent="0.25">
      <c r="A1736" t="str">
        <f>'Raw Data'!A1739</f>
        <v>02/13/2025</v>
      </c>
      <c r="B1736" t="str">
        <f>'Raw Data'!C1739</f>
        <v>DNH*GODADDY#35846441Tempe               AZ</v>
      </c>
      <c r="C1736" t="str">
        <f>'Raw Data'!I1739</f>
        <v>Go Daddy</v>
      </c>
      <c r="D1736" s="31">
        <f>'Raw Data'!F1739</f>
        <v>31.97</v>
      </c>
    </row>
    <row r="1737" spans="1:4" x14ac:dyDescent="0.25">
      <c r="A1737" t="str">
        <f>'Raw Data'!A1740</f>
        <v>02/12/2025</v>
      </c>
      <c r="B1737" t="str">
        <f>'Raw Data'!C1740</f>
        <v>AMAZON MARKETPLACE NAMZN.COM/BILL       WA</v>
      </c>
      <c r="C1737" t="str">
        <f>'Raw Data'!I1740</f>
        <v>Amazon</v>
      </c>
      <c r="D1737" s="31">
        <f>'Raw Data'!F1740</f>
        <v>-139.78</v>
      </c>
    </row>
    <row r="1738" spans="1:4" x14ac:dyDescent="0.25">
      <c r="A1738" t="str">
        <f>'Raw Data'!A1741</f>
        <v>02/12/2025</v>
      </c>
      <c r="B1738" t="str">
        <f>'Raw Data'!C1741</f>
        <v>AMAZON MARKEPLACE NA PA</v>
      </c>
      <c r="C1738" t="str">
        <f>'Raw Data'!I1741</f>
        <v>Amazon</v>
      </c>
      <c r="D1738" s="31">
        <f>'Raw Data'!F1741</f>
        <v>139.78</v>
      </c>
    </row>
    <row r="1739" spans="1:4" x14ac:dyDescent="0.25">
      <c r="A1739" t="str">
        <f>'Raw Data'!A1742</f>
        <v>02/12/2025</v>
      </c>
      <c r="B1739" t="str">
        <f>'Raw Data'!C1742</f>
        <v>EXPEDIA.COM TRAVEL  SEATTLE             WA</v>
      </c>
      <c r="C1739" t="str">
        <f>'Raw Data'!I1742</f>
        <v>Team Travel (Angela)</v>
      </c>
      <c r="D1739" s="31">
        <f>'Raw Data'!F1742</f>
        <v>116</v>
      </c>
    </row>
    <row r="1740" spans="1:4" x14ac:dyDescent="0.25">
      <c r="A1740" t="str">
        <f>'Raw Data'!A1743</f>
        <v>02/12/2025</v>
      </c>
      <c r="B1740" t="str">
        <f>'Raw Data'!C1743</f>
        <v>SPOTIFY USA         NEW YORK            NY</v>
      </c>
      <c r="C1740" t="str">
        <f>'Raw Data'!I1743</f>
        <v>Software &amp; Subscriptions</v>
      </c>
      <c r="D1740" s="31">
        <f>'Raw Data'!F1743</f>
        <v>12.98</v>
      </c>
    </row>
    <row r="1741" spans="1:4" x14ac:dyDescent="0.25">
      <c r="A1741" t="str">
        <f>'Raw Data'!A1744</f>
        <v>02/11/2025</v>
      </c>
      <c r="B1741" t="str">
        <f>'Raw Data'!C1744</f>
        <v>AMAZON MARKETPLACE NAMZN.COM/BILL       WA</v>
      </c>
      <c r="C1741" t="str">
        <f>'Raw Data'!I1744</f>
        <v>Amazon</v>
      </c>
      <c r="D1741" s="31">
        <f>'Raw Data'!F1744</f>
        <v>-413.9</v>
      </c>
    </row>
    <row r="1742" spans="1:4" x14ac:dyDescent="0.25">
      <c r="A1742" t="str">
        <f>'Raw Data'!A1745</f>
        <v>02/11/2025</v>
      </c>
      <c r="B1742" t="str">
        <f>'Raw Data'!C1745</f>
        <v>AMAZON MARKEPLACE NA PA</v>
      </c>
      <c r="C1742" t="str">
        <f>'Raw Data'!I1745</f>
        <v>Amazon</v>
      </c>
      <c r="D1742" s="31">
        <f>'Raw Data'!F1745</f>
        <v>413.9</v>
      </c>
    </row>
    <row r="1743" spans="1:4" x14ac:dyDescent="0.25">
      <c r="A1743" t="str">
        <f>'Raw Data'!A1746</f>
        <v>02/11/2025</v>
      </c>
      <c r="B1743" t="str">
        <f>'Raw Data'!C1746</f>
        <v>AMAZON.COM          AMZN.COM/BILL       WA</v>
      </c>
      <c r="C1743" t="str">
        <f>'Raw Data'!I1746</f>
        <v>Amazon</v>
      </c>
      <c r="D1743" s="31">
        <f>'Raw Data'!F1746</f>
        <v>12.98</v>
      </c>
    </row>
    <row r="1744" spans="1:4" x14ac:dyDescent="0.25">
      <c r="A1744" t="str">
        <f>'Raw Data'!A1747</f>
        <v>02/11/2025</v>
      </c>
      <c r="B1744" t="str">
        <f>'Raw Data'!C1747</f>
        <v>AMAZON.COM          AMZN.COM/BILL       WA</v>
      </c>
      <c r="C1744" t="str">
        <f>'Raw Data'!I1747</f>
        <v>Amazon</v>
      </c>
      <c r="D1744" s="31">
        <f>'Raw Data'!F1747</f>
        <v>23.05</v>
      </c>
    </row>
    <row r="1745" spans="1:4" x14ac:dyDescent="0.25">
      <c r="A1745" t="str">
        <f>'Raw Data'!A1748</f>
        <v>02/11/2025</v>
      </c>
      <c r="B1745" t="str">
        <f>'Raw Data'!C1748</f>
        <v>Amazon Prime        Amazon.com          WA</v>
      </c>
      <c r="C1745" t="str">
        <f>'Raw Data'!I1748</f>
        <v>Amazon</v>
      </c>
      <c r="D1745" s="31">
        <f>'Raw Data'!F1748</f>
        <v>16.41</v>
      </c>
    </row>
    <row r="1746" spans="1:4" x14ac:dyDescent="0.25">
      <c r="A1746" t="str">
        <f>'Raw Data'!A1749</f>
        <v>02/11/2025</v>
      </c>
      <c r="B1746" t="str">
        <f>'Raw Data'!C1749</f>
        <v>DNH*GODADDY#35807373Tempe               AZ</v>
      </c>
      <c r="C1746" t="str">
        <f>'Raw Data'!I1749</f>
        <v>Go Daddy</v>
      </c>
      <c r="D1746" s="31">
        <f>'Raw Data'!F1749</f>
        <v>60.73</v>
      </c>
    </row>
    <row r="1747" spans="1:4" x14ac:dyDescent="0.25">
      <c r="A1747" t="str">
        <f>'Raw Data'!A1750</f>
        <v>02/11/2025</v>
      </c>
      <c r="B1747" t="str">
        <f>'Raw Data'!C1750</f>
        <v>ONSTAR, LLC         DETROIT             MI</v>
      </c>
      <c r="C1747" t="str">
        <f>'Raw Data'!I1750</f>
        <v>Personal - Car</v>
      </c>
      <c r="D1747" s="31">
        <f>'Raw Data'!F1750</f>
        <v>31.97</v>
      </c>
    </row>
    <row r="1748" spans="1:4" x14ac:dyDescent="0.25">
      <c r="A1748" t="str">
        <f>'Raw Data'!A1751</f>
        <v>02/11/2025</v>
      </c>
      <c r="B1748" t="str">
        <f>'Raw Data'!C1751</f>
        <v>PREMIER IV WEATHERFOWEATHERFORD         TX</v>
      </c>
      <c r="C1748" t="str">
        <f>'Raw Data'!I1751</f>
        <v>Personal - Health</v>
      </c>
      <c r="D1748" s="31">
        <f>'Raw Data'!F1751</f>
        <v>192.61</v>
      </c>
    </row>
    <row r="1749" spans="1:4" x14ac:dyDescent="0.25">
      <c r="A1749" t="str">
        <f>'Raw Data'!A1752</f>
        <v>02/11/2025</v>
      </c>
      <c r="B1749" t="str">
        <f>'Raw Data'!C1752</f>
        <v>PREMIER IV WEATHERFOWEATHERFORD         TX</v>
      </c>
      <c r="C1749" t="str">
        <f>'Raw Data'!I1752</f>
        <v>Personal - Health</v>
      </c>
      <c r="D1749" s="31">
        <f>'Raw Data'!F1752</f>
        <v>524.1</v>
      </c>
    </row>
    <row r="1750" spans="1:4" x14ac:dyDescent="0.25">
      <c r="A1750" t="str">
        <f>'Raw Data'!A1753</f>
        <v>02/10/2025</v>
      </c>
      <c r="B1750" t="str">
        <f>'Raw Data'!C1753</f>
        <v>AMAZON MARKETPLACE NAMZN.COM/BILL       WA</v>
      </c>
      <c r="C1750" t="str">
        <f>'Raw Data'!I1753</f>
        <v>Amazon</v>
      </c>
      <c r="D1750" s="31">
        <f>'Raw Data'!F1753</f>
        <v>-317.85000000000002</v>
      </c>
    </row>
    <row r="1751" spans="1:4" x14ac:dyDescent="0.25">
      <c r="A1751" t="str">
        <f>'Raw Data'!A1754</f>
        <v>02/10/2025</v>
      </c>
      <c r="B1751" t="str">
        <f>'Raw Data'!C1754</f>
        <v>AMAZON MARKEPLACE NA PA</v>
      </c>
      <c r="C1751" t="str">
        <f>'Raw Data'!I1754</f>
        <v>Amazon</v>
      </c>
      <c r="D1751" s="31">
        <f>'Raw Data'!F1754</f>
        <v>317.85000000000002</v>
      </c>
    </row>
    <row r="1752" spans="1:4" x14ac:dyDescent="0.25">
      <c r="A1752" t="str">
        <f>'Raw Data'!A1755</f>
        <v>02/10/2025</v>
      </c>
      <c r="B1752" t="str">
        <f>'Raw Data'!C1755</f>
        <v>BT*GIG*THE BAYOU BUMSPRINGFIELD         MO</v>
      </c>
      <c r="C1752" t="str">
        <f>'Raw Data'!I1755</f>
        <v>Personal - Food</v>
      </c>
      <c r="D1752" s="31">
        <f>'Raw Data'!F1755</f>
        <v>1674</v>
      </c>
    </row>
    <row r="1753" spans="1:4" x14ac:dyDescent="0.25">
      <c r="A1753" t="str">
        <f>'Raw Data'!A1756</f>
        <v>02/10/2025</v>
      </c>
      <c r="B1753" t="str">
        <f>'Raw Data'!C1756</f>
        <v>EXPEDIA.COM TRAVEL  SEATTLE             WA</v>
      </c>
      <c r="C1753" t="str">
        <f>'Raw Data'!I1756</f>
        <v>Team Travel (Angela)</v>
      </c>
      <c r="D1753" s="31">
        <f>'Raw Data'!F1756</f>
        <v>34.96</v>
      </c>
    </row>
    <row r="1754" spans="1:4" x14ac:dyDescent="0.25">
      <c r="A1754" t="str">
        <f>'Raw Data'!A1757</f>
        <v>02/10/2025</v>
      </c>
      <c r="B1754" t="str">
        <f>'Raw Data'!C1757</f>
        <v>EXPEDIA.COM TRAVEL  SEATTLE             WA</v>
      </c>
      <c r="C1754" t="str">
        <f>'Raw Data'!I1757</f>
        <v>Team Travel (Angela)</v>
      </c>
      <c r="D1754" s="31">
        <f>'Raw Data'!F1757</f>
        <v>34.96</v>
      </c>
    </row>
    <row r="1755" spans="1:4" x14ac:dyDescent="0.25">
      <c r="A1755" t="str">
        <f>'Raw Data'!A1758</f>
        <v>02/10/2025</v>
      </c>
      <c r="B1755" t="str">
        <f>'Raw Data'!C1758</f>
        <v>EXPEDIA.COM TRAVEL  SEATTLE             WA</v>
      </c>
      <c r="C1755" t="str">
        <f>'Raw Data'!I1758</f>
        <v>Team Travel (Angela)</v>
      </c>
      <c r="D1755" s="31">
        <f>'Raw Data'!F1758</f>
        <v>322.48</v>
      </c>
    </row>
    <row r="1756" spans="1:4" x14ac:dyDescent="0.25">
      <c r="A1756" t="str">
        <f>'Raw Data'!A1759</f>
        <v>02/10/2025</v>
      </c>
      <c r="B1756" t="str">
        <f>'Raw Data'!C1759</f>
        <v>EXPEDIA.COM TRAVEL  SEATTLE             WA</v>
      </c>
      <c r="C1756" t="str">
        <f>'Raw Data'!I1759</f>
        <v>Team Travel (Angela)</v>
      </c>
      <c r="D1756" s="31">
        <f>'Raw Data'!F1759</f>
        <v>322.48</v>
      </c>
    </row>
    <row r="1757" spans="1:4" x14ac:dyDescent="0.25">
      <c r="A1757" t="str">
        <f>'Raw Data'!A1760</f>
        <v>02/10/2025</v>
      </c>
      <c r="B1757" t="str">
        <f>'Raw Data'!C1760</f>
        <v>LONE STAR IV MEDICS/Weatherford         TX</v>
      </c>
      <c r="C1757" t="str">
        <f>'Raw Data'!I1760</f>
        <v>Personal - Health</v>
      </c>
      <c r="D1757" s="31">
        <f>'Raw Data'!F1760</f>
        <v>405</v>
      </c>
    </row>
    <row r="1758" spans="1:4" x14ac:dyDescent="0.25">
      <c r="A1758" t="str">
        <f>'Raw Data'!A1761</f>
        <v>02/10/2025</v>
      </c>
      <c r="B1758" t="str">
        <f>'Raw Data'!C1761</f>
        <v>THE BRANDON LAW FIRMLANTANA             TX</v>
      </c>
      <c r="C1758" t="str">
        <f>'Raw Data'!I1761</f>
        <v>The Brandon Law Firm</v>
      </c>
      <c r="D1758" s="31">
        <f>'Raw Data'!F1761</f>
        <v>1030</v>
      </c>
    </row>
    <row r="1759" spans="1:4" x14ac:dyDescent="0.25">
      <c r="A1759" t="str">
        <f>'Raw Data'!A1762</f>
        <v>02/10/2025</v>
      </c>
      <c r="B1759" t="str">
        <f>'Raw Data'!C1762</f>
        <v>VIMEO PRO           212-625-0668        NY</v>
      </c>
      <c r="C1759" t="str">
        <f>'Raw Data'!I1762</f>
        <v>Software &amp; Subscriptions</v>
      </c>
      <c r="D1759" s="31">
        <f>'Raw Data'!F1762</f>
        <v>24</v>
      </c>
    </row>
    <row r="1760" spans="1:4" x14ac:dyDescent="0.25">
      <c r="A1760" t="str">
        <f>'Raw Data'!A1763</f>
        <v>02/09/2025</v>
      </c>
      <c r="B1760" t="str">
        <f>'Raw Data'!C1763</f>
        <v>AMAZON MARKETPLACE NAMZN.COM/BILL       WA</v>
      </c>
      <c r="C1760" t="str">
        <f>'Raw Data'!I1763</f>
        <v>Amazon</v>
      </c>
      <c r="D1760" s="31">
        <f>'Raw Data'!F1763</f>
        <v>-329.7</v>
      </c>
    </row>
    <row r="1761" spans="1:4" x14ac:dyDescent="0.25">
      <c r="A1761" t="str">
        <f>'Raw Data'!A1764</f>
        <v>02/09/2025</v>
      </c>
      <c r="B1761" t="str">
        <f>'Raw Data'!C1764</f>
        <v>AMAZON MARKETPLACE NAMZN.COM/BILL       WA</v>
      </c>
      <c r="C1761" t="str">
        <f>'Raw Data'!I1764</f>
        <v>Amazon</v>
      </c>
      <c r="D1761" s="31">
        <f>'Raw Data'!F1764</f>
        <v>-151.44</v>
      </c>
    </row>
    <row r="1762" spans="1:4" x14ac:dyDescent="0.25">
      <c r="A1762" t="str">
        <f>'Raw Data'!A1765</f>
        <v>02/09/2025</v>
      </c>
      <c r="B1762" t="str">
        <f>'Raw Data'!C1765</f>
        <v>AMAZON MARKETPLACE NAMZN.COM/BILL       WA</v>
      </c>
      <c r="C1762" t="str">
        <f>'Raw Data'!I1765</f>
        <v>Amazon</v>
      </c>
      <c r="D1762" s="31">
        <f>'Raw Data'!F1765</f>
        <v>-9.73</v>
      </c>
    </row>
    <row r="1763" spans="1:4" x14ac:dyDescent="0.25">
      <c r="A1763" t="str">
        <f>'Raw Data'!A1766</f>
        <v>02/09/2025</v>
      </c>
      <c r="B1763" t="str">
        <f>'Raw Data'!C1766</f>
        <v>AMAZON MARKEPLACE NA PA</v>
      </c>
      <c r="C1763" t="str">
        <f>'Raw Data'!I1766</f>
        <v>Amazon</v>
      </c>
      <c r="D1763" s="31">
        <f>'Raw Data'!F1766</f>
        <v>9.73</v>
      </c>
    </row>
    <row r="1764" spans="1:4" x14ac:dyDescent="0.25">
      <c r="A1764" t="str">
        <f>'Raw Data'!A1767</f>
        <v>02/09/2025</v>
      </c>
      <c r="B1764" t="str">
        <f>'Raw Data'!C1767</f>
        <v>AMAZON MARKEPLACE NA PA</v>
      </c>
      <c r="C1764" t="str">
        <f>'Raw Data'!I1767</f>
        <v>Amazon</v>
      </c>
      <c r="D1764" s="31">
        <f>'Raw Data'!F1767</f>
        <v>151.44</v>
      </c>
    </row>
    <row r="1765" spans="1:4" x14ac:dyDescent="0.25">
      <c r="A1765" t="str">
        <f>'Raw Data'!A1768</f>
        <v>02/09/2025</v>
      </c>
      <c r="B1765" t="str">
        <f>'Raw Data'!C1768</f>
        <v>AMAZON MARKEPLACE NA PA</v>
      </c>
      <c r="C1765" t="str">
        <f>'Raw Data'!I1768</f>
        <v>Amazon</v>
      </c>
      <c r="D1765" s="31">
        <f>'Raw Data'!F1768</f>
        <v>329.7</v>
      </c>
    </row>
    <row r="1766" spans="1:4" x14ac:dyDescent="0.25">
      <c r="A1766" t="str">
        <f>'Raw Data'!A1769</f>
        <v>02/09/2025</v>
      </c>
      <c r="B1766" t="str">
        <f>'Raw Data'!C1769</f>
        <v>AMAZON.COM          AMZN.COM/BILL       WA</v>
      </c>
      <c r="C1766" t="str">
        <f>'Raw Data'!I1769</f>
        <v>Amazon</v>
      </c>
      <c r="D1766" s="31">
        <f>'Raw Data'!F1769</f>
        <v>12.07</v>
      </c>
    </row>
    <row r="1767" spans="1:4" x14ac:dyDescent="0.25">
      <c r="A1767" t="str">
        <f>'Raw Data'!A1770</f>
        <v>02/08/2025</v>
      </c>
      <c r="B1767" t="str">
        <f>'Raw Data'!C1770</f>
        <v>AMAZON MARKETPLACE NAMZN.COM/BILL       WA</v>
      </c>
      <c r="C1767" t="str">
        <f>'Raw Data'!I1770</f>
        <v>Amazon</v>
      </c>
      <c r="D1767" s="31">
        <f>'Raw Data'!F1770</f>
        <v>-19.829999999999998</v>
      </c>
    </row>
    <row r="1768" spans="1:4" x14ac:dyDescent="0.25">
      <c r="A1768" t="str">
        <f>'Raw Data'!A1771</f>
        <v>02/08/2025</v>
      </c>
      <c r="B1768" t="str">
        <f>'Raw Data'!C1771</f>
        <v>AMAZON MARKEPLACE NA PA</v>
      </c>
      <c r="C1768" t="str">
        <f>'Raw Data'!I1771</f>
        <v>Amazon</v>
      </c>
      <c r="D1768" s="31">
        <f>'Raw Data'!F1771</f>
        <v>19.829999999999998</v>
      </c>
    </row>
    <row r="1769" spans="1:4" x14ac:dyDescent="0.25">
      <c r="A1769" t="str">
        <f>'Raw Data'!A1772</f>
        <v>02/08/2025</v>
      </c>
      <c r="B1769" t="str">
        <f>'Raw Data'!C1772</f>
        <v>AMAZON.COM          AMZN.COM/BILL       WA</v>
      </c>
      <c r="C1769" t="str">
        <f>'Raw Data'!I1772</f>
        <v>Amazon</v>
      </c>
      <c r="D1769" s="31">
        <f>'Raw Data'!F1772</f>
        <v>23.87</v>
      </c>
    </row>
    <row r="1770" spans="1:4" x14ac:dyDescent="0.25">
      <c r="A1770" t="str">
        <f>'Raw Data'!A1773</f>
        <v>02/08/2025</v>
      </c>
      <c r="B1770" t="str">
        <f>'Raw Data'!C1773</f>
        <v>AZCENTRAL AIRPORT NEPHOENIX             AZ</v>
      </c>
      <c r="C1770" t="str">
        <f>'Raw Data'!I1773</f>
        <v>Team Travel (Judd)</v>
      </c>
      <c r="D1770" s="31">
        <f>'Raw Data'!F1773</f>
        <v>49.12</v>
      </c>
    </row>
    <row r="1771" spans="1:4" x14ac:dyDescent="0.25">
      <c r="A1771" t="str">
        <f>'Raw Data'!A1774</f>
        <v>02/08/2025</v>
      </c>
      <c r="B1771" t="str">
        <f>'Raw Data'!C1774</f>
        <v>KINDLE SVCS*TR6Q65QQ888-802-3080        WA</v>
      </c>
      <c r="C1771" t="str">
        <f>'Raw Data'!I1774</f>
        <v>Personal - Entertainment</v>
      </c>
      <c r="D1771" s="31">
        <f>'Raw Data'!F1774</f>
        <v>10.81</v>
      </c>
    </row>
    <row r="1772" spans="1:4" x14ac:dyDescent="0.25">
      <c r="A1772" t="str">
        <f>'Raw Data'!A1775</f>
        <v>02/08/2025</v>
      </c>
      <c r="B1772" t="str">
        <f>'Raw Data'!C1775</f>
        <v>NYX=VENDIBEAN 650000SAN DIEGO           CA</v>
      </c>
      <c r="C1772" t="str">
        <f>'Raw Data'!I1775</f>
        <v>Personal - Food</v>
      </c>
      <c r="D1772" s="31">
        <f>'Raw Data'!F1775</f>
        <v>3.15</v>
      </c>
    </row>
    <row r="1773" spans="1:4" x14ac:dyDescent="0.25">
      <c r="A1773" t="str">
        <f>'Raw Data'!A1776</f>
        <v>02/08/2025</v>
      </c>
      <c r="B1773" t="str">
        <f>'Raw Data'!C1776</f>
        <v>OPENAI *CHATGPT SUBSSAN FRANCISCO       CA</v>
      </c>
      <c r="C1773" t="str">
        <f>'Raw Data'!I1776</f>
        <v>AI Subscriptions</v>
      </c>
      <c r="D1773" s="31">
        <f>'Raw Data'!F1776</f>
        <v>20</v>
      </c>
    </row>
    <row r="1774" spans="1:4" x14ac:dyDescent="0.25">
      <c r="A1774" t="str">
        <f>'Raw Data'!A1777</f>
        <v>02/08/2025</v>
      </c>
      <c r="B1774" t="str">
        <f>'Raw Data'!C1777</f>
        <v>ZIEGLER'S NEW YORK PPHOENIX             AZ</v>
      </c>
      <c r="C1774" t="str">
        <f>'Raw Data'!I1777</f>
        <v>Personal - Food</v>
      </c>
      <c r="D1774" s="31">
        <f>'Raw Data'!F1777</f>
        <v>26.91</v>
      </c>
    </row>
    <row r="1775" spans="1:4" x14ac:dyDescent="0.25">
      <c r="A1775" t="str">
        <f>'Raw Data'!A1778</f>
        <v>02/07/2025</v>
      </c>
      <c r="B1775" t="str">
        <f>'Raw Data'!C1778</f>
        <v>AMAZON MARKETPLACE NAMZN.COM/BILL       WA</v>
      </c>
      <c r="C1775" t="str">
        <f>'Raw Data'!I1778</f>
        <v>Amazon</v>
      </c>
      <c r="D1775" s="31">
        <f>'Raw Data'!F1778</f>
        <v>-413.9</v>
      </c>
    </row>
    <row r="1776" spans="1:4" x14ac:dyDescent="0.25">
      <c r="A1776" t="str">
        <f>'Raw Data'!A1779</f>
        <v>02/07/2025</v>
      </c>
      <c r="B1776" t="str">
        <f>'Raw Data'!C1779</f>
        <v>AMAZON MARKETPLACE NAMZN.COM/BILL       WA</v>
      </c>
      <c r="C1776" t="str">
        <f>'Raw Data'!I1779</f>
        <v>Amazon</v>
      </c>
      <c r="D1776" s="31">
        <f>'Raw Data'!F1779</f>
        <v>-208.15</v>
      </c>
    </row>
    <row r="1777" spans="1:4" x14ac:dyDescent="0.25">
      <c r="A1777" t="str">
        <f>'Raw Data'!A1780</f>
        <v>02/07/2025</v>
      </c>
      <c r="B1777" t="str">
        <f>'Raw Data'!C1780</f>
        <v>AMAZON MARKETPLACE NAMZN.COM/BILL       WA</v>
      </c>
      <c r="C1777" t="str">
        <f>'Raw Data'!I1780</f>
        <v>Amazon</v>
      </c>
      <c r="D1777" s="31">
        <f>'Raw Data'!F1780</f>
        <v>-47.6</v>
      </c>
    </row>
    <row r="1778" spans="1:4" x14ac:dyDescent="0.25">
      <c r="A1778" t="str">
        <f>'Raw Data'!A1781</f>
        <v>02/07/2025</v>
      </c>
      <c r="B1778" t="str">
        <f>'Raw Data'!C1781</f>
        <v>AMAZON MARKETPLACE NAMZN.COM/BILL       WA</v>
      </c>
      <c r="C1778" t="str">
        <f>'Raw Data'!I1781</f>
        <v>Amazon</v>
      </c>
      <c r="D1778" s="31">
        <f>'Raw Data'!F1781</f>
        <v>-45.44</v>
      </c>
    </row>
    <row r="1779" spans="1:4" x14ac:dyDescent="0.25">
      <c r="A1779" t="str">
        <f>'Raw Data'!A1782</f>
        <v>02/07/2025</v>
      </c>
      <c r="B1779" t="str">
        <f>'Raw Data'!C1782</f>
        <v>AMAZON MARKETPLACE NAMZN.COM/BILL       WA</v>
      </c>
      <c r="C1779" t="str">
        <f>'Raw Data'!I1782</f>
        <v>Amazon</v>
      </c>
      <c r="D1779" s="31">
        <f>'Raw Data'!F1782</f>
        <v>-43.2</v>
      </c>
    </row>
    <row r="1780" spans="1:4" x14ac:dyDescent="0.25">
      <c r="A1780" t="str">
        <f>'Raw Data'!A1783</f>
        <v>02/07/2025</v>
      </c>
      <c r="B1780" t="str">
        <f>'Raw Data'!C1783</f>
        <v>AMAZON MARKEPLACE NA PA</v>
      </c>
      <c r="C1780" t="str">
        <f>'Raw Data'!I1783</f>
        <v>Amazon</v>
      </c>
      <c r="D1780" s="31">
        <f>'Raw Data'!F1783</f>
        <v>43.2</v>
      </c>
    </row>
    <row r="1781" spans="1:4" x14ac:dyDescent="0.25">
      <c r="A1781" t="str">
        <f>'Raw Data'!A1784</f>
        <v>02/07/2025</v>
      </c>
      <c r="B1781" t="str">
        <f>'Raw Data'!C1784</f>
        <v>AMAZON MARKEPLACE NA PA</v>
      </c>
      <c r="C1781" t="str">
        <f>'Raw Data'!I1784</f>
        <v>Amazon</v>
      </c>
      <c r="D1781" s="31">
        <f>'Raw Data'!F1784</f>
        <v>45.44</v>
      </c>
    </row>
    <row r="1782" spans="1:4" x14ac:dyDescent="0.25">
      <c r="A1782" t="str">
        <f>'Raw Data'!A1785</f>
        <v>02/07/2025</v>
      </c>
      <c r="B1782" t="str">
        <f>'Raw Data'!C1785</f>
        <v>AMAZON MARKEPLACE NA PA</v>
      </c>
      <c r="C1782" t="str">
        <f>'Raw Data'!I1785</f>
        <v>Amazon</v>
      </c>
      <c r="D1782" s="31">
        <f>'Raw Data'!F1785</f>
        <v>47.6</v>
      </c>
    </row>
    <row r="1783" spans="1:4" x14ac:dyDescent="0.25">
      <c r="A1783" t="str">
        <f>'Raw Data'!A1786</f>
        <v>02/07/2025</v>
      </c>
      <c r="B1783" t="str">
        <f>'Raw Data'!C1786</f>
        <v>AMAZON MARKEPLACE NA PA</v>
      </c>
      <c r="C1783" t="str">
        <f>'Raw Data'!I1786</f>
        <v>Amazon</v>
      </c>
      <c r="D1783" s="31">
        <f>'Raw Data'!F1786</f>
        <v>208.15</v>
      </c>
    </row>
    <row r="1784" spans="1:4" x14ac:dyDescent="0.25">
      <c r="A1784" t="str">
        <f>'Raw Data'!A1787</f>
        <v>02/07/2025</v>
      </c>
      <c r="B1784" t="str">
        <f>'Raw Data'!C1787</f>
        <v>AMAZON MARKEPLACE NA PA</v>
      </c>
      <c r="C1784" t="str">
        <f>'Raw Data'!I1787</f>
        <v>Amazon</v>
      </c>
      <c r="D1784" s="31">
        <f>'Raw Data'!F1787</f>
        <v>413.9</v>
      </c>
    </row>
    <row r="1785" spans="1:4" x14ac:dyDescent="0.25">
      <c r="A1785" t="str">
        <f>'Raw Data'!A1788</f>
        <v>02/07/2025</v>
      </c>
      <c r="B1785" t="str">
        <f>'Raw Data'!C1788</f>
        <v>DNH*GODADDY#35724869Tempe               AZ</v>
      </c>
      <c r="C1785" t="str">
        <f>'Raw Data'!I1788</f>
        <v>Go Daddy</v>
      </c>
      <c r="D1785" s="31">
        <f>'Raw Data'!F1788</f>
        <v>10.99</v>
      </c>
    </row>
    <row r="1786" spans="1:4" x14ac:dyDescent="0.25">
      <c r="A1786" t="str">
        <f>'Raw Data'!A1789</f>
        <v>02/07/2025</v>
      </c>
      <c r="B1786" t="str">
        <f>'Raw Data'!C1789</f>
        <v>READ - MEETING MANAGSEATTLE             WA</v>
      </c>
      <c r="C1786" t="str">
        <f>'Raw Data'!I1789</f>
        <v>DWG Operations</v>
      </c>
      <c r="D1786" s="31">
        <f>'Raw Data'!F1789</f>
        <v>59.5</v>
      </c>
    </row>
    <row r="1787" spans="1:4" x14ac:dyDescent="0.25">
      <c r="A1787" t="str">
        <f>'Raw Data'!A1790</f>
        <v>02/07/2025</v>
      </c>
      <c r="B1787" t="str">
        <f>'Raw Data'!C1790</f>
        <v>SPONSORCLOUD (SYNPROSALT LAKE CITY      UT</v>
      </c>
      <c r="C1787" t="str">
        <f>'Raw Data'!I1790</f>
        <v>Sponsor Cloud</v>
      </c>
      <c r="D1787" s="31">
        <f>'Raw Data'!F1790</f>
        <v>7200</v>
      </c>
    </row>
    <row r="1788" spans="1:4" x14ac:dyDescent="0.25">
      <c r="A1788" t="str">
        <f>'Raw Data'!A1791</f>
        <v>02/06/2025</v>
      </c>
      <c r="B1788" t="str">
        <f>'Raw Data'!C1791</f>
        <v>AMAZON PRIME*6D3S52FAMZN.COM/BILL       WA</v>
      </c>
      <c r="C1788" t="str">
        <f>'Raw Data'!I1791</f>
        <v>Amazon</v>
      </c>
      <c r="D1788" s="31">
        <f>'Raw Data'!F1791</f>
        <v>3.24</v>
      </c>
    </row>
    <row r="1789" spans="1:4" x14ac:dyDescent="0.25">
      <c r="A1789" t="str">
        <f>'Raw Data'!A1792</f>
        <v>02/06/2025</v>
      </c>
      <c r="B1789" t="str">
        <f>'Raw Data'!C1792</f>
        <v>Amazon Prime        Amazon.com          WA</v>
      </c>
      <c r="C1789" t="str">
        <f>'Raw Data'!I1792</f>
        <v>Amazon</v>
      </c>
      <c r="D1789" s="31">
        <f>'Raw Data'!F1792</f>
        <v>16.23</v>
      </c>
    </row>
    <row r="1790" spans="1:4" x14ac:dyDescent="0.25">
      <c r="A1790" t="str">
        <f>'Raw Data'!A1793</f>
        <v>02/06/2025</v>
      </c>
      <c r="B1790" t="str">
        <f>'Raw Data'!C1793</f>
        <v>American Airlines   FORT WORTH          TX</v>
      </c>
      <c r="C1790" t="str">
        <f>'Raw Data'!I1793</f>
        <v>Team Travel (Judd)</v>
      </c>
      <c r="D1790" s="31">
        <f>'Raw Data'!F1793</f>
        <v>40</v>
      </c>
    </row>
    <row r="1791" spans="1:4" x14ac:dyDescent="0.25">
      <c r="A1791" t="str">
        <f>'Raw Data'!A1794</f>
        <v>02/06/2025</v>
      </c>
      <c r="B1791" t="str">
        <f>'Raw Data'!C1794</f>
        <v>BRAVE.COM           SAN FRANCISCO       CA</v>
      </c>
      <c r="C1791" t="str">
        <f>'Raw Data'!I1794</f>
        <v>Software &amp; Subscriptions</v>
      </c>
      <c r="D1791" s="31">
        <f>'Raw Data'!F1794</f>
        <v>9.99</v>
      </c>
    </row>
    <row r="1792" spans="1:4" x14ac:dyDescent="0.25">
      <c r="A1792" t="str">
        <f>'Raw Data'!A1795</f>
        <v>02/06/2025</v>
      </c>
      <c r="B1792" t="str">
        <f>'Raw Data'!C1795</f>
        <v>CMT PHOENIX   330016PHOENIX             AZ</v>
      </c>
      <c r="C1792" t="str">
        <f>'Raw Data'!I1795</f>
        <v>Team Travel (Judd)</v>
      </c>
      <c r="D1792" s="31">
        <f>'Raw Data'!F1795</f>
        <v>100</v>
      </c>
    </row>
    <row r="1793" spans="1:4" x14ac:dyDescent="0.25">
      <c r="A1793" t="str">
        <f>'Raw Data'!A1796</f>
        <v>02/06/2025</v>
      </c>
      <c r="B1793" t="str">
        <f>'Raw Data'!C1796</f>
        <v>CREXI               LOS ANGELES         CA</v>
      </c>
      <c r="C1793" t="str">
        <f>'Raw Data'!I1796</f>
        <v>DWG Listing Platform</v>
      </c>
      <c r="D1793" s="31">
        <f>'Raw Data'!F1796</f>
        <v>260</v>
      </c>
    </row>
    <row r="1794" spans="1:4" x14ac:dyDescent="0.25">
      <c r="A1794" t="str">
        <f>'Raw Data'!A1797</f>
        <v>02/06/2025</v>
      </c>
      <c r="B1794" t="str">
        <f>'Raw Data'!C1797</f>
        <v>DNH*GODADDY#35692435Tempe               AZ</v>
      </c>
      <c r="C1794" t="str">
        <f>'Raw Data'!I1797</f>
        <v>Go Daddy</v>
      </c>
      <c r="D1794" s="31">
        <f>'Raw Data'!F1797</f>
        <v>31.97</v>
      </c>
    </row>
    <row r="1795" spans="1:4" x14ac:dyDescent="0.25">
      <c r="A1795" t="str">
        <f>'Raw Data'!A1798</f>
        <v>02/06/2025</v>
      </c>
      <c r="B1795" t="str">
        <f>'Raw Data'!C1798</f>
        <v>FAIRMONT HOTEL SCOTTSCOTTSDALE          AZ</v>
      </c>
      <c r="C1795" t="str">
        <f>'Raw Data'!I1798</f>
        <v>Personal - Food</v>
      </c>
      <c r="D1795" s="31">
        <f>'Raw Data'!F1798</f>
        <v>138.30000000000001</v>
      </c>
    </row>
    <row r="1796" spans="1:4" x14ac:dyDescent="0.25">
      <c r="A1796" t="str">
        <f>'Raw Data'!A1799</f>
        <v>02/06/2025</v>
      </c>
      <c r="B1796" t="str">
        <f>'Raw Data'!C1799</f>
        <v>KINDLE SVCS*7C6HC7GH888-802-3080        WA</v>
      </c>
      <c r="C1796" t="str">
        <f>'Raw Data'!I1799</f>
        <v>Personal - Entertainment</v>
      </c>
      <c r="D1796" s="31">
        <f>'Raw Data'!F1799</f>
        <v>15.14</v>
      </c>
    </row>
    <row r="1797" spans="1:4" x14ac:dyDescent="0.25">
      <c r="A1797" t="str">
        <f>'Raw Data'!A1800</f>
        <v>02/06/2025</v>
      </c>
      <c r="B1797" t="str">
        <f>'Raw Data'!C1800</f>
        <v>KINDLE SVCS*Z72669KS888-802-3080        WA</v>
      </c>
      <c r="C1797" t="str">
        <f>'Raw Data'!I1800</f>
        <v>Personal - Entertainment</v>
      </c>
      <c r="D1797" s="31">
        <f>'Raw Data'!F1800</f>
        <v>10.9</v>
      </c>
    </row>
    <row r="1798" spans="1:4" x14ac:dyDescent="0.25">
      <c r="A1798" t="str">
        <f>'Raw Data'!A1801</f>
        <v>02/06/2025</v>
      </c>
      <c r="B1798" t="str">
        <f>'Raw Data'!C1801</f>
        <v>KINDLE SVCS*Z73BZ02Q888-802-3080        WA</v>
      </c>
      <c r="C1798" t="str">
        <f>'Raw Data'!I1801</f>
        <v>Personal - Entertainment</v>
      </c>
      <c r="D1798" s="31">
        <f>'Raw Data'!F1801</f>
        <v>6.48</v>
      </c>
    </row>
    <row r="1799" spans="1:4" x14ac:dyDescent="0.25">
      <c r="A1799" t="str">
        <f>'Raw Data'!A1802</f>
        <v>02/06/2025</v>
      </c>
      <c r="B1799" t="str">
        <f>'Raw Data'!C1802</f>
        <v>KINDLE SVCS*Z73H04G4888-802-3080        WA</v>
      </c>
      <c r="C1799" t="str">
        <f>'Raw Data'!I1802</f>
        <v>Personal - Entertainment</v>
      </c>
      <c r="D1799" s="31">
        <f>'Raw Data'!F1802</f>
        <v>4.32</v>
      </c>
    </row>
    <row r="1800" spans="1:4" x14ac:dyDescent="0.25">
      <c r="A1800" t="str">
        <f>'Raw Data'!A1803</f>
        <v>02/06/2025</v>
      </c>
      <c r="B1800" t="str">
        <f>'Raw Data'!C1803</f>
        <v>KINDLE SVCS*Z74NL0GU888-802-3080        WA</v>
      </c>
      <c r="C1800" t="str">
        <f>'Raw Data'!I1803</f>
        <v>Personal - Entertainment</v>
      </c>
      <c r="D1800" s="31">
        <f>'Raw Data'!F1803</f>
        <v>4.32</v>
      </c>
    </row>
    <row r="1801" spans="1:4" x14ac:dyDescent="0.25">
      <c r="A1801" t="str">
        <f>'Raw Data'!A1804</f>
        <v>02/06/2025</v>
      </c>
      <c r="B1801" t="str">
        <f>'Raw Data'!C1804</f>
        <v>KINDLE SVCS*Z75BZ42L888-802-3080        WA</v>
      </c>
      <c r="C1801" t="str">
        <f>'Raw Data'!I1804</f>
        <v>Personal - Entertainment</v>
      </c>
      <c r="D1801" s="31">
        <f>'Raw Data'!F1804</f>
        <v>13.67</v>
      </c>
    </row>
    <row r="1802" spans="1:4" x14ac:dyDescent="0.25">
      <c r="A1802" t="str">
        <f>'Raw Data'!A1805</f>
        <v>02/06/2025</v>
      </c>
      <c r="B1802" t="str">
        <f>'Raw Data'!C1805</f>
        <v>PAYA THAI LA LLC. BLLOS ANGELES         CA</v>
      </c>
      <c r="C1802" t="str">
        <f>'Raw Data'!I1805</f>
        <v>Personal - Health</v>
      </c>
      <c r="D1802" s="31">
        <f>'Raw Data'!F1805</f>
        <v>150</v>
      </c>
    </row>
    <row r="1803" spans="1:4" x14ac:dyDescent="0.25">
      <c r="A1803" t="str">
        <f>'Raw Data'!A1806</f>
        <v>02/06/2025</v>
      </c>
      <c r="B1803" t="str">
        <f>'Raw Data'!C1806</f>
        <v>STARBUCKS 85549 STARLOS ANGELES         CA</v>
      </c>
      <c r="C1803" t="str">
        <f>'Raw Data'!I1806</f>
        <v>Personal - Food</v>
      </c>
      <c r="D1803" s="31">
        <f>'Raw Data'!F1806</f>
        <v>6.24</v>
      </c>
    </row>
    <row r="1804" spans="1:4" x14ac:dyDescent="0.25">
      <c r="A1804" t="str">
        <f>'Raw Data'!A1807</f>
        <v>02/05/2025</v>
      </c>
      <c r="B1804" t="str">
        <f>'Raw Data'!C1807</f>
        <v>AMAZON MARKETPLACE NAMZN.COM/BILL       WA</v>
      </c>
      <c r="C1804" t="str">
        <f>'Raw Data'!I1807</f>
        <v>Amazon</v>
      </c>
      <c r="D1804" s="31">
        <f>'Raw Data'!F1807</f>
        <v>-317.85000000000002</v>
      </c>
    </row>
    <row r="1805" spans="1:4" x14ac:dyDescent="0.25">
      <c r="A1805" t="str">
        <f>'Raw Data'!A1808</f>
        <v>02/05/2025</v>
      </c>
      <c r="B1805" t="str">
        <f>'Raw Data'!C1808</f>
        <v>AMAZON MARKEPLACE NA PA</v>
      </c>
      <c r="C1805" t="str">
        <f>'Raw Data'!I1808</f>
        <v>Amazon</v>
      </c>
      <c r="D1805" s="31">
        <f>'Raw Data'!F1808</f>
        <v>317.85000000000002</v>
      </c>
    </row>
    <row r="1806" spans="1:4" x14ac:dyDescent="0.25">
      <c r="A1806" t="str">
        <f>'Raw Data'!A1809</f>
        <v>02/05/2025</v>
      </c>
      <c r="B1806" t="str">
        <f>'Raw Data'!C1809</f>
        <v>DNH*GODADDY#35667693Tempe               AZ</v>
      </c>
      <c r="C1806" t="str">
        <f>'Raw Data'!I1809</f>
        <v>Go Daddy</v>
      </c>
      <c r="D1806" s="31">
        <f>'Raw Data'!F1809</f>
        <v>18.97</v>
      </c>
    </row>
    <row r="1807" spans="1:4" x14ac:dyDescent="0.25">
      <c r="A1807" t="str">
        <f>'Raw Data'!A1810</f>
        <v>02/05/2025</v>
      </c>
      <c r="B1807" t="str">
        <f>'Raw Data'!C1810</f>
        <v>FATBURGER 0000      LOS ANGELES         CA</v>
      </c>
      <c r="C1807" t="str">
        <f>'Raw Data'!I1810</f>
        <v>Personal - Food</v>
      </c>
      <c r="D1807" s="31">
        <f>'Raw Data'!F1810</f>
        <v>55.27</v>
      </c>
    </row>
    <row r="1808" spans="1:4" x14ac:dyDescent="0.25">
      <c r="A1808" t="str">
        <f>'Raw Data'!A1811</f>
        <v>02/05/2025</v>
      </c>
      <c r="B1808" t="str">
        <f>'Raw Data'!C1811</f>
        <v>PACOS TACOS 0755    LOS ANGELES         CA</v>
      </c>
      <c r="C1808" t="str">
        <f>'Raw Data'!I1811</f>
        <v>Personal - Food</v>
      </c>
      <c r="D1808" s="31">
        <f>'Raw Data'!F1811</f>
        <v>70.08</v>
      </c>
    </row>
    <row r="1809" spans="1:4" x14ac:dyDescent="0.25">
      <c r="A1809" t="str">
        <f>'Raw Data'!A1812</f>
        <v>02/05/2025</v>
      </c>
      <c r="B1809" t="str">
        <f>'Raw Data'!C1812</f>
        <v>STAPLES 00127       VENICE              CA</v>
      </c>
      <c r="C1809" t="str">
        <f>'Raw Data'!I1812</f>
        <v>DWG Operations</v>
      </c>
      <c r="D1809" s="31">
        <f>'Raw Data'!F1812</f>
        <v>63.49</v>
      </c>
    </row>
    <row r="1810" spans="1:4" x14ac:dyDescent="0.25">
      <c r="A1810" t="str">
        <f>'Raw Data'!A1813</f>
        <v>02/04/2025</v>
      </c>
      <c r="B1810" t="str">
        <f>'Raw Data'!C1813</f>
        <v>CORPORATE FILINGS LLSHERIDAN            WY</v>
      </c>
      <c r="C1810" t="str">
        <f>'Raw Data'!I1813</f>
        <v>DWG Operations</v>
      </c>
      <c r="D1810" s="31">
        <f>'Raw Data'!F1813</f>
        <v>459</v>
      </c>
    </row>
    <row r="1811" spans="1:4" x14ac:dyDescent="0.25">
      <c r="A1811" t="str">
        <f>'Raw Data'!A1814</f>
        <v>02/04/2025</v>
      </c>
      <c r="B1811" t="str">
        <f>'Raw Data'!C1814</f>
        <v>CORPORATE FILINGS LLSHERIDAN            WY</v>
      </c>
      <c r="C1811" t="str">
        <f>'Raw Data'!I1814</f>
        <v>DWG Operations</v>
      </c>
      <c r="D1811" s="31">
        <f>'Raw Data'!F1814</f>
        <v>459</v>
      </c>
    </row>
    <row r="1812" spans="1:4" x14ac:dyDescent="0.25">
      <c r="A1812" t="str">
        <f>'Raw Data'!A1815</f>
        <v>02/04/2025</v>
      </c>
      <c r="B1812" t="str">
        <f>'Raw Data'!C1815</f>
        <v>DNH*GODADDY#35650633Tempe               AZ</v>
      </c>
      <c r="C1812" t="str">
        <f>'Raw Data'!I1815</f>
        <v>Go Daddy</v>
      </c>
      <c r="D1812" s="31">
        <f>'Raw Data'!F1815</f>
        <v>41.97</v>
      </c>
    </row>
    <row r="1813" spans="1:4" x14ac:dyDescent="0.25">
      <c r="A1813" t="str">
        <f>'Raw Data'!A1816</f>
        <v>02/04/2025</v>
      </c>
      <c r="B1813" t="str">
        <f>'Raw Data'!C1816</f>
        <v>FIRE ANT CONTROL OF.ALEDO               TX</v>
      </c>
      <c r="C1813" t="str">
        <f>'Raw Data'!I1816</f>
        <v>Personal - House</v>
      </c>
      <c r="D1813" s="31">
        <f>'Raw Data'!F1816</f>
        <v>265.20999999999998</v>
      </c>
    </row>
    <row r="1814" spans="1:4" x14ac:dyDescent="0.25">
      <c r="A1814" t="str">
        <f>'Raw Data'!A1817</f>
        <v>02/04/2025</v>
      </c>
      <c r="B1814" t="str">
        <f>'Raw Data'!C1817</f>
        <v>PAYPAL *INFANTSOLUT 3022504336          DE</v>
      </c>
      <c r="C1814" t="str">
        <f>'Raw Data'!I1817</f>
        <v>DWG Marketing</v>
      </c>
      <c r="D1814" s="31">
        <f>'Raw Data'!F1817</f>
        <v>735</v>
      </c>
    </row>
    <row r="1815" spans="1:4" x14ac:dyDescent="0.25">
      <c r="A1815" t="str">
        <f>'Raw Data'!A1818</f>
        <v>02/04/2025</v>
      </c>
      <c r="B1815" t="str">
        <f>'Raw Data'!C1818</f>
        <v>TST* BLUEYS KITCHEN LOS ANGELES         CA</v>
      </c>
      <c r="C1815" t="str">
        <f>'Raw Data'!I1818</f>
        <v>Personal - Food</v>
      </c>
      <c r="D1815" s="31">
        <f>'Raw Data'!F1818</f>
        <v>52.11</v>
      </c>
    </row>
    <row r="1816" spans="1:4" x14ac:dyDescent="0.25">
      <c r="A1816" t="str">
        <f>'Raw Data'!A1819</f>
        <v>02/03/2025</v>
      </c>
      <c r="B1816" t="str">
        <f>'Raw Data'!C1819</f>
        <v>AMAZON MARKETPLACE NAMZN.COM/BILL       WA</v>
      </c>
      <c r="C1816" t="str">
        <f>'Raw Data'!I1819</f>
        <v>Amazon</v>
      </c>
      <c r="D1816" s="31">
        <f>'Raw Data'!F1819</f>
        <v>-620.85</v>
      </c>
    </row>
    <row r="1817" spans="1:4" x14ac:dyDescent="0.25">
      <c r="A1817" t="str">
        <f>'Raw Data'!A1820</f>
        <v>02/03/2025</v>
      </c>
      <c r="B1817" t="str">
        <f>'Raw Data'!C1820</f>
        <v>AMAZON MARKETPLACE NAMZN.COM/BILL       WA</v>
      </c>
      <c r="C1817" t="str">
        <f>'Raw Data'!I1820</f>
        <v>Amazon</v>
      </c>
      <c r="D1817" s="31">
        <f>'Raw Data'!F1820</f>
        <v>-19.47</v>
      </c>
    </row>
    <row r="1818" spans="1:4" x14ac:dyDescent="0.25">
      <c r="A1818" t="str">
        <f>'Raw Data'!A1821</f>
        <v>02/03/2025</v>
      </c>
      <c r="B1818" t="str">
        <f>'Raw Data'!C1821</f>
        <v>AMAZON MARKEPLACE NA PA</v>
      </c>
      <c r="C1818" t="str">
        <f>'Raw Data'!I1821</f>
        <v>Amazon</v>
      </c>
      <c r="D1818" s="31">
        <f>'Raw Data'!F1821</f>
        <v>19.47</v>
      </c>
    </row>
    <row r="1819" spans="1:4" x14ac:dyDescent="0.25">
      <c r="A1819" t="str">
        <f>'Raw Data'!A1822</f>
        <v>02/03/2025</v>
      </c>
      <c r="B1819" t="str">
        <f>'Raw Data'!C1822</f>
        <v>AMAZON MARKEPLACE NA PA</v>
      </c>
      <c r="C1819" t="str">
        <f>'Raw Data'!I1822</f>
        <v>Amazon</v>
      </c>
      <c r="D1819" s="31">
        <f>'Raw Data'!F1822</f>
        <v>620.85</v>
      </c>
    </row>
    <row r="1820" spans="1:4" x14ac:dyDescent="0.25">
      <c r="A1820" t="str">
        <f>'Raw Data'!A1823</f>
        <v>02/03/2025</v>
      </c>
      <c r="B1820" t="str">
        <f>'Raw Data'!C1823</f>
        <v>CONTACTS+           HUNTINGTON BEACH    CA</v>
      </c>
      <c r="C1820" t="str">
        <f>'Raw Data'!I1823</f>
        <v>Personal - Health</v>
      </c>
      <c r="D1820" s="31">
        <f>'Raw Data'!F1823</f>
        <v>13.99</v>
      </c>
    </row>
    <row r="1821" spans="1:4" x14ac:dyDescent="0.25">
      <c r="A1821" t="str">
        <f>'Raw Data'!A1824</f>
        <v>02/03/2025</v>
      </c>
      <c r="B1821" t="str">
        <f>'Raw Data'!C1824</f>
        <v>EXPEDIA.COM TRAVEL  SEATTLE             WA</v>
      </c>
      <c r="C1821" t="str">
        <f>'Raw Data'!I1824</f>
        <v>Team Travel (Angela)</v>
      </c>
      <c r="D1821" s="31">
        <f>'Raw Data'!F1824</f>
        <v>64.27</v>
      </c>
    </row>
    <row r="1822" spans="1:4" x14ac:dyDescent="0.25">
      <c r="A1822" t="str">
        <f>'Raw Data'!A1825</f>
        <v>02/03/2025</v>
      </c>
      <c r="B1822" t="str">
        <f>'Raw Data'!C1825</f>
        <v>EXPEDIA.COM TRAVEL  SEATTLE             WA</v>
      </c>
      <c r="C1822" t="str">
        <f>'Raw Data'!I1825</f>
        <v>Team Travel (Angela)</v>
      </c>
      <c r="D1822" s="31">
        <f>'Raw Data'!F1825</f>
        <v>86.94</v>
      </c>
    </row>
    <row r="1823" spans="1:4" x14ac:dyDescent="0.25">
      <c r="A1823" t="str">
        <f>'Raw Data'!A1826</f>
        <v>02/03/2025</v>
      </c>
      <c r="B1823" t="str">
        <f>'Raw Data'!C1826</f>
        <v>EXPEDIA.COM TRAVEL  SEATTLE             WA</v>
      </c>
      <c r="C1823" t="str">
        <f>'Raw Data'!I1826</f>
        <v>Team Travel (Angela)</v>
      </c>
      <c r="D1823" s="31">
        <f>'Raw Data'!F1826</f>
        <v>322.48</v>
      </c>
    </row>
    <row r="1824" spans="1:4" x14ac:dyDescent="0.25">
      <c r="A1824" t="str">
        <f>'Raw Data'!A1827</f>
        <v>02/03/2025</v>
      </c>
      <c r="B1824" t="str">
        <f>'Raw Data'!C1827</f>
        <v>EXPEDIA.COM TRAVEL  SEATTLE             WA</v>
      </c>
      <c r="C1824" t="str">
        <f>'Raw Data'!I1827</f>
        <v>Team Travel (Angela)</v>
      </c>
      <c r="D1824" s="31">
        <f>'Raw Data'!F1827</f>
        <v>322.48</v>
      </c>
    </row>
    <row r="1825" spans="1:4" x14ac:dyDescent="0.25">
      <c r="A1825" t="str">
        <f>'Raw Data'!A1828</f>
        <v>02/03/2025</v>
      </c>
      <c r="B1825" t="str">
        <f>'Raw Data'!C1828</f>
        <v>SALESMESSAGE.COM    DELRAY BEACH        FL</v>
      </c>
      <c r="C1825" t="str">
        <f>'Raw Data'!I1828</f>
        <v>Software &amp; Subscriptions</v>
      </c>
      <c r="D1825" s="31">
        <f>'Raw Data'!F1828</f>
        <v>52.14</v>
      </c>
    </row>
    <row r="1826" spans="1:4" x14ac:dyDescent="0.25">
      <c r="A1826" t="str">
        <f>'Raw Data'!A1829</f>
        <v>02/03/2025</v>
      </c>
      <c r="B1826" t="str">
        <f>'Raw Data'!C1829</f>
        <v>STAPLES 00127       VENICE              CA</v>
      </c>
      <c r="C1826" t="str">
        <f>'Raw Data'!I1829</f>
        <v>DWG Operations</v>
      </c>
      <c r="D1826" s="31">
        <f>'Raw Data'!F1829</f>
        <v>210.44</v>
      </c>
    </row>
    <row r="1827" spans="1:4" x14ac:dyDescent="0.25">
      <c r="A1827" t="str">
        <f>'Raw Data'!A1830</f>
        <v>02/03/2025</v>
      </c>
      <c r="B1827" t="str">
        <f>'Raw Data'!C1830</f>
        <v>TST* CAFE GRATITUDE VENICE              CA</v>
      </c>
      <c r="C1827" t="str">
        <f>'Raw Data'!I1830</f>
        <v>Personal - Food</v>
      </c>
      <c r="D1827" s="31">
        <f>'Raw Data'!F1830</f>
        <v>31.56</v>
      </c>
    </row>
    <row r="1828" spans="1:4" x14ac:dyDescent="0.25">
      <c r="A1828" t="str">
        <f>'Raw Data'!A1831</f>
        <v>02/02/2025</v>
      </c>
      <c r="B1828" t="str">
        <f>'Raw Data'!C1831</f>
        <v>AMAZON MARKETPLACE NAMZN.COM/BILL       WA</v>
      </c>
      <c r="C1828" t="str">
        <f>'Raw Data'!I1831</f>
        <v>Amazon</v>
      </c>
      <c r="D1828" s="31">
        <f>'Raw Data'!F1831</f>
        <v>-329.7</v>
      </c>
    </row>
    <row r="1829" spans="1:4" x14ac:dyDescent="0.25">
      <c r="A1829" t="str">
        <f>'Raw Data'!A1832</f>
        <v>02/02/2025</v>
      </c>
      <c r="B1829" t="str">
        <f>'Raw Data'!C1832</f>
        <v>AMAZON MARKETPLACE NAMZN.COM/BILL       WA</v>
      </c>
      <c r="C1829" t="str">
        <f>'Raw Data'!I1832</f>
        <v>Amazon</v>
      </c>
      <c r="D1829" s="31">
        <f>'Raw Data'!F1832</f>
        <v>-48.59</v>
      </c>
    </row>
    <row r="1830" spans="1:4" x14ac:dyDescent="0.25">
      <c r="A1830" t="str">
        <f>'Raw Data'!A1833</f>
        <v>02/02/2025</v>
      </c>
      <c r="B1830" t="str">
        <f>'Raw Data'!C1833</f>
        <v>AMAZON MARKEPLACE NA PA</v>
      </c>
      <c r="C1830" t="str">
        <f>'Raw Data'!I1833</f>
        <v>Amazon</v>
      </c>
      <c r="D1830" s="31">
        <f>'Raw Data'!F1833</f>
        <v>48.59</v>
      </c>
    </row>
    <row r="1831" spans="1:4" x14ac:dyDescent="0.25">
      <c r="A1831" t="str">
        <f>'Raw Data'!A1834</f>
        <v>02/02/2025</v>
      </c>
      <c r="B1831" t="str">
        <f>'Raw Data'!C1834</f>
        <v>AMAZON MARKEPLACE NA PA</v>
      </c>
      <c r="C1831" t="str">
        <f>'Raw Data'!I1834</f>
        <v>Amazon</v>
      </c>
      <c r="D1831" s="31">
        <f>'Raw Data'!F1834</f>
        <v>329.7</v>
      </c>
    </row>
    <row r="1832" spans="1:4" x14ac:dyDescent="0.25">
      <c r="A1832" t="str">
        <f>'Raw Data'!A1835</f>
        <v>02/02/2025</v>
      </c>
      <c r="B1832" t="str">
        <f>'Raw Data'!C1835</f>
        <v>KAIF FUSION INC     LOS ANGELES         CA</v>
      </c>
      <c r="C1832" t="str">
        <f>'Raw Data'!I1835</f>
        <v>Personal - Clothing</v>
      </c>
      <c r="D1832" s="31">
        <f>'Raw Data'!F1835</f>
        <v>176.63</v>
      </c>
    </row>
    <row r="1833" spans="1:4" x14ac:dyDescent="0.25">
      <c r="A1833" t="str">
        <f>'Raw Data'!A1836</f>
        <v>02/02/2025</v>
      </c>
      <c r="B1833" t="str">
        <f>'Raw Data'!C1836</f>
        <v>ROSS DRESS FOR LESS VENICE              CA</v>
      </c>
      <c r="C1833" t="str">
        <f>'Raw Data'!I1836</f>
        <v>Personal - House</v>
      </c>
      <c r="D1833" s="31">
        <f>'Raw Data'!F1836</f>
        <v>78.75</v>
      </c>
    </row>
    <row r="1834" spans="1:4" x14ac:dyDescent="0.25">
      <c r="A1834" t="str">
        <f>'Raw Data'!A1837</f>
        <v>02/01/2025</v>
      </c>
      <c r="B1834" t="str">
        <f>'Raw Data'!C1837</f>
        <v>ABC*ICONFIT         LOS ANGELES         CA</v>
      </c>
      <c r="C1834" t="str">
        <f>'Raw Data'!I1837</f>
        <v>Personal - Health</v>
      </c>
      <c r="D1834" s="31">
        <f>'Raw Data'!F1837</f>
        <v>119.52</v>
      </c>
    </row>
    <row r="1835" spans="1:4" x14ac:dyDescent="0.25">
      <c r="A1835" t="str">
        <f>'Raw Data'!A1838</f>
        <v>02/01/2025</v>
      </c>
      <c r="B1835" t="str">
        <f>'Raw Data'!C1838</f>
        <v>AMAZON MARKETPLACE NAMZN.COM/BILL       WA</v>
      </c>
      <c r="C1835" t="str">
        <f>'Raw Data'!I1838</f>
        <v>Amazon</v>
      </c>
      <c r="D1835" s="31">
        <f>'Raw Data'!F1838</f>
        <v>-292.95</v>
      </c>
    </row>
    <row r="1836" spans="1:4" x14ac:dyDescent="0.25">
      <c r="A1836" t="str">
        <f>'Raw Data'!A1839</f>
        <v>02/01/2025</v>
      </c>
      <c r="B1836" t="str">
        <f>'Raw Data'!C1839</f>
        <v>AMAZON MARKETPLACE NAMZN.COM/BILL       WA</v>
      </c>
      <c r="C1836" t="str">
        <f>'Raw Data'!I1839</f>
        <v>Amazon</v>
      </c>
      <c r="D1836" s="31">
        <f>'Raw Data'!F1839</f>
        <v>-153.66999999999999</v>
      </c>
    </row>
    <row r="1837" spans="1:4" x14ac:dyDescent="0.25">
      <c r="A1837" t="str">
        <f>'Raw Data'!A1840</f>
        <v>02/01/2025</v>
      </c>
      <c r="B1837" t="str">
        <f>'Raw Data'!C1840</f>
        <v>AMAZON MARKETPLACE NAMZN.COM/BILL       WA</v>
      </c>
      <c r="C1837" t="str">
        <f>'Raw Data'!I1840</f>
        <v>Amazon</v>
      </c>
      <c r="D1837" s="31">
        <f>'Raw Data'!F1840</f>
        <v>-147.19999999999999</v>
      </c>
    </row>
    <row r="1838" spans="1:4" x14ac:dyDescent="0.25">
      <c r="A1838" t="str">
        <f>'Raw Data'!A1841</f>
        <v>02/01/2025</v>
      </c>
      <c r="B1838" t="str">
        <f>'Raw Data'!C1841</f>
        <v>AMAZON MARKETPLACE NAMZN.COM/BILL       WA</v>
      </c>
      <c r="C1838" t="str">
        <f>'Raw Data'!I1841</f>
        <v>Amazon</v>
      </c>
      <c r="D1838" s="31">
        <f>'Raw Data'!F1841</f>
        <v>-60.62</v>
      </c>
    </row>
    <row r="1839" spans="1:4" x14ac:dyDescent="0.25">
      <c r="A1839" t="str">
        <f>'Raw Data'!A1842</f>
        <v>02/01/2025</v>
      </c>
      <c r="B1839" t="str">
        <f>'Raw Data'!C1842</f>
        <v>AMAZON MARKEPLACE NA PA</v>
      </c>
      <c r="C1839" t="str">
        <f>'Raw Data'!I1842</f>
        <v>Amazon</v>
      </c>
      <c r="D1839" s="31">
        <f>'Raw Data'!F1842</f>
        <v>60.62</v>
      </c>
    </row>
    <row r="1840" spans="1:4" x14ac:dyDescent="0.25">
      <c r="A1840" t="str">
        <f>'Raw Data'!A1843</f>
        <v>02/01/2025</v>
      </c>
      <c r="B1840" t="str">
        <f>'Raw Data'!C1843</f>
        <v>AMAZON MARKEPLACE NA PA</v>
      </c>
      <c r="C1840" t="str">
        <f>'Raw Data'!I1843</f>
        <v>Amazon</v>
      </c>
      <c r="D1840" s="31">
        <f>'Raw Data'!F1843</f>
        <v>147.19999999999999</v>
      </c>
    </row>
    <row r="1841" spans="1:4" x14ac:dyDescent="0.25">
      <c r="A1841" t="str">
        <f>'Raw Data'!A1844</f>
        <v>02/01/2025</v>
      </c>
      <c r="B1841" t="str">
        <f>'Raw Data'!C1844</f>
        <v>AMAZON MARKEPLACE NA PA</v>
      </c>
      <c r="C1841" t="str">
        <f>'Raw Data'!I1844</f>
        <v>Amazon</v>
      </c>
      <c r="D1841" s="31">
        <f>'Raw Data'!F1844</f>
        <v>153.66999999999999</v>
      </c>
    </row>
    <row r="1842" spans="1:4" x14ac:dyDescent="0.25">
      <c r="A1842" t="str">
        <f>'Raw Data'!A1845</f>
        <v>02/01/2025</v>
      </c>
      <c r="B1842" t="str">
        <f>'Raw Data'!C1845</f>
        <v>AMAZON MARKEPLACE NA PA</v>
      </c>
      <c r="C1842" t="str">
        <f>'Raw Data'!I1845</f>
        <v>Amazon</v>
      </c>
      <c r="D1842" s="31">
        <f>'Raw Data'!F1845</f>
        <v>292.95</v>
      </c>
    </row>
    <row r="1843" spans="1:4" x14ac:dyDescent="0.25">
      <c r="A1843" t="str">
        <f>'Raw Data'!A1846</f>
        <v>02/01/2025</v>
      </c>
      <c r="B1843" t="str">
        <f>'Raw Data'!C1846</f>
        <v>AMAZON.COM          AMZN.COM/BILL       WA</v>
      </c>
      <c r="C1843" t="str">
        <f>'Raw Data'!I1846</f>
        <v>Amazon</v>
      </c>
      <c r="D1843" s="31">
        <f>'Raw Data'!F1846</f>
        <v>23.8</v>
      </c>
    </row>
    <row r="1844" spans="1:4" x14ac:dyDescent="0.25">
      <c r="A1844" t="str">
        <f>'Raw Data'!A1847</f>
        <v>02/01/2025</v>
      </c>
      <c r="B1844" t="str">
        <f>'Raw Data'!C1847</f>
        <v>DNH*GODADDY#35586735Tempe               AZ</v>
      </c>
      <c r="C1844" t="str">
        <f>'Raw Data'!I1847</f>
        <v>Go Daddy</v>
      </c>
      <c r="D1844" s="31">
        <f>'Raw Data'!F1847</f>
        <v>31.97</v>
      </c>
    </row>
    <row r="1845" spans="1:4" x14ac:dyDescent="0.25">
      <c r="A1845" t="str">
        <f>'Raw Data'!A1848</f>
        <v>02/01/2025</v>
      </c>
      <c r="B1845" t="str">
        <f>'Raw Data'!C1848</f>
        <v>LOOM SUBSCRIPTION   SAN FRANCISCO       CA</v>
      </c>
      <c r="C1845" t="str">
        <f>'Raw Data'!I1848</f>
        <v>Software &amp; Subscriptions</v>
      </c>
      <c r="D1845" s="31">
        <f>'Raw Data'!F1848</f>
        <v>20</v>
      </c>
    </row>
    <row r="1846" spans="1:4" x14ac:dyDescent="0.25">
      <c r="A1846" t="str">
        <f>'Raw Data'!A1849</f>
        <v>01/31/2025</v>
      </c>
      <c r="B1846" t="str">
        <f>'Raw Data'!C1849</f>
        <v>AMAZON MARKETPLACE NAMZN.COM/BILL       WA</v>
      </c>
      <c r="C1846" t="str">
        <f>'Raw Data'!I1849</f>
        <v>Amazon</v>
      </c>
      <c r="D1846" s="31">
        <f>'Raw Data'!F1849</f>
        <v>-317.85000000000002</v>
      </c>
    </row>
    <row r="1847" spans="1:4" x14ac:dyDescent="0.25">
      <c r="A1847" t="str">
        <f>'Raw Data'!A1850</f>
        <v>01/31/2025</v>
      </c>
      <c r="B1847" t="str">
        <f>'Raw Data'!C1850</f>
        <v>AMAZON MARKETPLACE NAMZN.COM/BILL       WA</v>
      </c>
      <c r="C1847" t="str">
        <f>'Raw Data'!I1850</f>
        <v>Amazon</v>
      </c>
      <c r="D1847" s="31">
        <f>'Raw Data'!F1850</f>
        <v>-44.26</v>
      </c>
    </row>
    <row r="1848" spans="1:4" x14ac:dyDescent="0.25">
      <c r="A1848" t="str">
        <f>'Raw Data'!A1851</f>
        <v>01/31/2025</v>
      </c>
      <c r="B1848" t="str">
        <f>'Raw Data'!C1851</f>
        <v>AMAZON MARKETPLACE NAMZN.COM/BILL       WA</v>
      </c>
      <c r="C1848" t="str">
        <f>'Raw Data'!I1851</f>
        <v>Amazon</v>
      </c>
      <c r="D1848" s="31">
        <f>'Raw Data'!F1851</f>
        <v>-25.77</v>
      </c>
    </row>
    <row r="1849" spans="1:4" x14ac:dyDescent="0.25">
      <c r="A1849" t="str">
        <f>'Raw Data'!A1852</f>
        <v>01/31/2025</v>
      </c>
      <c r="B1849" t="str">
        <f>'Raw Data'!C1852</f>
        <v>AMAZON MARKEPLACE NA PA</v>
      </c>
      <c r="C1849" t="str">
        <f>'Raw Data'!I1852</f>
        <v>Amazon</v>
      </c>
      <c r="D1849" s="31">
        <f>'Raw Data'!F1852</f>
        <v>25.77</v>
      </c>
    </row>
    <row r="1850" spans="1:4" x14ac:dyDescent="0.25">
      <c r="A1850" t="str">
        <f>'Raw Data'!A1853</f>
        <v>01/31/2025</v>
      </c>
      <c r="B1850" t="str">
        <f>'Raw Data'!C1853</f>
        <v>AMAZON MARKEPLACE NA PA</v>
      </c>
      <c r="C1850" t="str">
        <f>'Raw Data'!I1853</f>
        <v>Amazon</v>
      </c>
      <c r="D1850" s="31">
        <f>'Raw Data'!F1853</f>
        <v>44.26</v>
      </c>
    </row>
    <row r="1851" spans="1:4" x14ac:dyDescent="0.25">
      <c r="A1851" t="str">
        <f>'Raw Data'!A1854</f>
        <v>01/31/2025</v>
      </c>
      <c r="B1851" t="str">
        <f>'Raw Data'!C1854</f>
        <v>AMAZON MARKEPLACE NA PA</v>
      </c>
      <c r="C1851" t="str">
        <f>'Raw Data'!I1854</f>
        <v>Amazon</v>
      </c>
      <c r="D1851" s="31">
        <f>'Raw Data'!F1854</f>
        <v>317.85000000000002</v>
      </c>
    </row>
    <row r="1852" spans="1:4" x14ac:dyDescent="0.25">
      <c r="A1852" t="str">
        <f>'Raw Data'!A1855</f>
        <v>01/31/2025</v>
      </c>
      <c r="B1852" t="str">
        <f>'Raw Data'!C1855</f>
        <v>AMERICAN AIRLINES   800-433-7300        TX</v>
      </c>
      <c r="C1852" t="str">
        <f>'Raw Data'!I1855</f>
        <v>Team Travel (Angela)</v>
      </c>
      <c r="D1852" s="31">
        <f>'Raw Data'!F1855</f>
        <v>35</v>
      </c>
    </row>
    <row r="1853" spans="1:4" x14ac:dyDescent="0.25">
      <c r="A1853" t="str">
        <f>'Raw Data'!A1856</f>
        <v>01/31/2025</v>
      </c>
      <c r="B1853" t="str">
        <f>'Raw Data'!C1856</f>
        <v>AMERICAN AIRLINES   800-433-7300        TX</v>
      </c>
      <c r="C1853" t="str">
        <f>'Raw Data'!I1856</f>
        <v>Team Travel (Angela)</v>
      </c>
      <c r="D1853" s="31">
        <f>'Raw Data'!F1856</f>
        <v>35</v>
      </c>
    </row>
    <row r="1854" spans="1:4" x14ac:dyDescent="0.25">
      <c r="A1854" t="str">
        <f>'Raw Data'!A1857</f>
        <v>01/31/2025</v>
      </c>
      <c r="B1854" t="str">
        <f>'Raw Data'!C1857</f>
        <v>AMERICAN AIRLINES   800-433-7300        TX</v>
      </c>
      <c r="C1854" t="str">
        <f>'Raw Data'!I1857</f>
        <v>Team Travel (Angela)</v>
      </c>
      <c r="D1854" s="31">
        <f>'Raw Data'!F1857</f>
        <v>45</v>
      </c>
    </row>
    <row r="1855" spans="1:4" x14ac:dyDescent="0.25">
      <c r="A1855" t="str">
        <f>'Raw Data'!A1858</f>
        <v>01/31/2025</v>
      </c>
      <c r="B1855" t="str">
        <f>'Raw Data'!C1858</f>
        <v>AMERICAN AIRLINES   800-433-7300        TX</v>
      </c>
      <c r="C1855" t="str">
        <f>'Raw Data'!I1858</f>
        <v>Team Travel (Angela)</v>
      </c>
      <c r="D1855" s="31">
        <f>'Raw Data'!F1858</f>
        <v>45</v>
      </c>
    </row>
    <row r="1856" spans="1:4" x14ac:dyDescent="0.25">
      <c r="A1856" t="str">
        <f>'Raw Data'!A1859</f>
        <v>01/31/2025</v>
      </c>
      <c r="B1856" t="str">
        <f>'Raw Data'!C1859</f>
        <v>KINDLE SVCS*Z795J8SJ888-802-3080        WA</v>
      </c>
      <c r="C1856" t="str">
        <f>'Raw Data'!I1859</f>
        <v>Team Travel (Angela)</v>
      </c>
      <c r="D1856" s="31">
        <f>'Raw Data'!F1859</f>
        <v>21.6</v>
      </c>
    </row>
    <row r="1857" spans="1:4" x14ac:dyDescent="0.25">
      <c r="A1857" t="str">
        <f>'Raw Data'!A1860</f>
        <v>01/31/2025</v>
      </c>
      <c r="B1857" t="str">
        <f>'Raw Data'!C1860</f>
        <v>KINDLE SVCS*ZC1UV10K888-802-3080        WA</v>
      </c>
      <c r="C1857" t="str">
        <f>'Raw Data'!I1860</f>
        <v>Personal - Entertainment</v>
      </c>
      <c r="D1857" s="31">
        <f>'Raw Data'!F1860</f>
        <v>166.03</v>
      </c>
    </row>
    <row r="1858" spans="1:4" x14ac:dyDescent="0.25">
      <c r="A1858" t="str">
        <f>'Raw Data'!A1861</f>
        <v>01/30/2025</v>
      </c>
      <c r="B1858" t="str">
        <f>'Raw Data'!C1861</f>
        <v>AMAZON MARKETPLACE NAMZN.COM/BILL       WA</v>
      </c>
      <c r="C1858" t="str">
        <f>'Raw Data'!I1861</f>
        <v>Amazon</v>
      </c>
      <c r="D1858" s="31">
        <f>'Raw Data'!F1861</f>
        <v>-413.9</v>
      </c>
    </row>
    <row r="1859" spans="1:4" x14ac:dyDescent="0.25">
      <c r="A1859" t="str">
        <f>'Raw Data'!A1862</f>
        <v>01/30/2025</v>
      </c>
      <c r="B1859" t="str">
        <f>'Raw Data'!C1862</f>
        <v>AMAZON MARKETPLACE NAMZN.COM/BILL       WA</v>
      </c>
      <c r="C1859" t="str">
        <f>'Raw Data'!I1862</f>
        <v>Amazon</v>
      </c>
      <c r="D1859" s="31">
        <f>'Raw Data'!F1862</f>
        <v>-317.85000000000002</v>
      </c>
    </row>
    <row r="1860" spans="1:4" x14ac:dyDescent="0.25">
      <c r="A1860" t="str">
        <f>'Raw Data'!A1863</f>
        <v>01/30/2025</v>
      </c>
      <c r="B1860" t="str">
        <f>'Raw Data'!C1863</f>
        <v>AMAZON MARKETPLACE NAMZN.COM/BILL       WA</v>
      </c>
      <c r="C1860" t="str">
        <f>'Raw Data'!I1863</f>
        <v>Amazon</v>
      </c>
      <c r="D1860" s="31">
        <f>'Raw Data'!F1863</f>
        <v>-191.43</v>
      </c>
    </row>
    <row r="1861" spans="1:4" x14ac:dyDescent="0.25">
      <c r="A1861" t="str">
        <f>'Raw Data'!A1864</f>
        <v>01/30/2025</v>
      </c>
      <c r="B1861" t="str">
        <f>'Raw Data'!C1864</f>
        <v>AMAZON MARKETPLACE NAMZN.COM/BILL       WA</v>
      </c>
      <c r="C1861" t="str">
        <f>'Raw Data'!I1864</f>
        <v>Amazon</v>
      </c>
      <c r="D1861" s="31">
        <f>'Raw Data'!F1864</f>
        <v>-108.24</v>
      </c>
    </row>
    <row r="1862" spans="1:4" x14ac:dyDescent="0.25">
      <c r="A1862" t="str">
        <f>'Raw Data'!A1865</f>
        <v>01/30/2025</v>
      </c>
      <c r="B1862" t="str">
        <f>'Raw Data'!C1865</f>
        <v>AMAZON MARKETPLACE NAMZN.COM/BILL       WA</v>
      </c>
      <c r="C1862" t="str">
        <f>'Raw Data'!I1865</f>
        <v>Amazon</v>
      </c>
      <c r="D1862" s="31">
        <f>'Raw Data'!F1865</f>
        <v>-86.31</v>
      </c>
    </row>
    <row r="1863" spans="1:4" x14ac:dyDescent="0.25">
      <c r="A1863" t="str">
        <f>'Raw Data'!A1866</f>
        <v>01/30/2025</v>
      </c>
      <c r="B1863" t="str">
        <f>'Raw Data'!C1866</f>
        <v>AMAZON MARKETPLACE NAMZN.COM/BILL       WA</v>
      </c>
      <c r="C1863" t="str">
        <f>'Raw Data'!I1866</f>
        <v>Amazon</v>
      </c>
      <c r="D1863" s="31">
        <f>'Raw Data'!F1866</f>
        <v>-67.349999999999994</v>
      </c>
    </row>
    <row r="1864" spans="1:4" x14ac:dyDescent="0.25">
      <c r="A1864" t="str">
        <f>'Raw Data'!A1867</f>
        <v>01/30/2025</v>
      </c>
      <c r="B1864" t="str">
        <f>'Raw Data'!C1867</f>
        <v>AMAZON MARKETPLACE NAMZN.COM/BILL       WA</v>
      </c>
      <c r="C1864" t="str">
        <f>'Raw Data'!I1867</f>
        <v>Amazon</v>
      </c>
      <c r="D1864" s="31">
        <f>'Raw Data'!F1867</f>
        <v>-54.11</v>
      </c>
    </row>
    <row r="1865" spans="1:4" x14ac:dyDescent="0.25">
      <c r="A1865" t="str">
        <f>'Raw Data'!A1868</f>
        <v>01/30/2025</v>
      </c>
      <c r="B1865" t="str">
        <f>'Raw Data'!C1868</f>
        <v>AMAZON MARKETPLACE NAMZN.COM/BILL       WA</v>
      </c>
      <c r="C1865" t="str">
        <f>'Raw Data'!I1868</f>
        <v>Amazon</v>
      </c>
      <c r="D1865" s="31">
        <f>'Raw Data'!F1868</f>
        <v>-51.54</v>
      </c>
    </row>
    <row r="1866" spans="1:4" x14ac:dyDescent="0.25">
      <c r="A1866" t="str">
        <f>'Raw Data'!A1869</f>
        <v>01/30/2025</v>
      </c>
      <c r="B1866" t="str">
        <f>'Raw Data'!C1869</f>
        <v>AMAZON MARKETPLACE NAMZN.COM/BILL       WA</v>
      </c>
      <c r="C1866" t="str">
        <f>'Raw Data'!I1869</f>
        <v>Amazon</v>
      </c>
      <c r="D1866" s="31">
        <f>'Raw Data'!F1869</f>
        <v>-40.04</v>
      </c>
    </row>
    <row r="1867" spans="1:4" x14ac:dyDescent="0.25">
      <c r="A1867" t="str">
        <f>'Raw Data'!A1870</f>
        <v>01/30/2025</v>
      </c>
      <c r="B1867" t="str">
        <f>'Raw Data'!C1870</f>
        <v>AMAZON MARKEPLACE NA PA</v>
      </c>
      <c r="C1867" t="str">
        <f>'Raw Data'!I1870</f>
        <v>Amazon</v>
      </c>
      <c r="D1867" s="31">
        <f>'Raw Data'!F1870</f>
        <v>40.04</v>
      </c>
    </row>
    <row r="1868" spans="1:4" x14ac:dyDescent="0.25">
      <c r="A1868" t="str">
        <f>'Raw Data'!A1871</f>
        <v>01/30/2025</v>
      </c>
      <c r="B1868" t="str">
        <f>'Raw Data'!C1871</f>
        <v>AMAZON MARKEPLACE NA PA</v>
      </c>
      <c r="C1868" t="str">
        <f>'Raw Data'!I1871</f>
        <v>Amazon</v>
      </c>
      <c r="D1868" s="31">
        <f>'Raw Data'!F1871</f>
        <v>51.54</v>
      </c>
    </row>
    <row r="1869" spans="1:4" x14ac:dyDescent="0.25">
      <c r="A1869" t="str">
        <f>'Raw Data'!A1872</f>
        <v>01/30/2025</v>
      </c>
      <c r="B1869" t="str">
        <f>'Raw Data'!C1872</f>
        <v>AMAZON MARKEPLACE NA PA</v>
      </c>
      <c r="C1869" t="str">
        <f>'Raw Data'!I1872</f>
        <v>Amazon</v>
      </c>
      <c r="D1869" s="31">
        <f>'Raw Data'!F1872</f>
        <v>54.11</v>
      </c>
    </row>
    <row r="1870" spans="1:4" x14ac:dyDescent="0.25">
      <c r="A1870" t="str">
        <f>'Raw Data'!A1873</f>
        <v>01/30/2025</v>
      </c>
      <c r="B1870" t="str">
        <f>'Raw Data'!C1873</f>
        <v>AMAZON MARKEPLACE NA PA</v>
      </c>
      <c r="C1870" t="str">
        <f>'Raw Data'!I1873</f>
        <v>Amazon</v>
      </c>
      <c r="D1870" s="31">
        <f>'Raw Data'!F1873</f>
        <v>67.349999999999994</v>
      </c>
    </row>
    <row r="1871" spans="1:4" x14ac:dyDescent="0.25">
      <c r="A1871" t="str">
        <f>'Raw Data'!A1874</f>
        <v>01/30/2025</v>
      </c>
      <c r="B1871" t="str">
        <f>'Raw Data'!C1874</f>
        <v>AMAZON MARKEPLACE NA PA</v>
      </c>
      <c r="C1871" t="str">
        <f>'Raw Data'!I1874</f>
        <v>Amazon</v>
      </c>
      <c r="D1871" s="31">
        <f>'Raw Data'!F1874</f>
        <v>86.31</v>
      </c>
    </row>
    <row r="1872" spans="1:4" x14ac:dyDescent="0.25">
      <c r="A1872" t="str">
        <f>'Raw Data'!A1875</f>
        <v>01/30/2025</v>
      </c>
      <c r="B1872" t="str">
        <f>'Raw Data'!C1875</f>
        <v>AMAZON MARKEPLACE NA PA</v>
      </c>
      <c r="C1872" t="str">
        <f>'Raw Data'!I1875</f>
        <v>Amazon</v>
      </c>
      <c r="D1872" s="31">
        <f>'Raw Data'!F1875</f>
        <v>108.24</v>
      </c>
    </row>
    <row r="1873" spans="1:4" x14ac:dyDescent="0.25">
      <c r="A1873" t="str">
        <f>'Raw Data'!A1876</f>
        <v>01/30/2025</v>
      </c>
      <c r="B1873" t="str">
        <f>'Raw Data'!C1876</f>
        <v>AMAZON MARKEPLACE NA PA</v>
      </c>
      <c r="C1873" t="str">
        <f>'Raw Data'!I1876</f>
        <v>Amazon</v>
      </c>
      <c r="D1873" s="31">
        <f>'Raw Data'!F1876</f>
        <v>191.43</v>
      </c>
    </row>
    <row r="1874" spans="1:4" x14ac:dyDescent="0.25">
      <c r="A1874" t="str">
        <f>'Raw Data'!A1877</f>
        <v>01/30/2025</v>
      </c>
      <c r="B1874" t="str">
        <f>'Raw Data'!C1877</f>
        <v>AMAZON MARKEPLACE NA PA</v>
      </c>
      <c r="C1874" t="str">
        <f>'Raw Data'!I1877</f>
        <v>Amazon</v>
      </c>
      <c r="D1874" s="31">
        <f>'Raw Data'!F1877</f>
        <v>317.85000000000002</v>
      </c>
    </row>
    <row r="1875" spans="1:4" x14ac:dyDescent="0.25">
      <c r="A1875" t="str">
        <f>'Raw Data'!A1878</f>
        <v>01/30/2025</v>
      </c>
      <c r="B1875" t="str">
        <f>'Raw Data'!C1878</f>
        <v>AMAZON MARKEPLACE NA PA</v>
      </c>
      <c r="C1875" t="str">
        <f>'Raw Data'!I1878</f>
        <v>Amazon</v>
      </c>
      <c r="D1875" s="31">
        <f>'Raw Data'!F1878</f>
        <v>413.9</v>
      </c>
    </row>
    <row r="1876" spans="1:4" x14ac:dyDescent="0.25">
      <c r="A1876" t="str">
        <f>'Raw Data'!A1879</f>
        <v>01/30/2025</v>
      </c>
      <c r="B1876" t="str">
        <f>'Raw Data'!C1879</f>
        <v>AMAZON.COM          AMZN.COM/BILL       WA</v>
      </c>
      <c r="C1876" t="str">
        <f>'Raw Data'!I1879</f>
        <v>Amazon</v>
      </c>
      <c r="D1876" s="31">
        <f>'Raw Data'!F1879</f>
        <v>28.48</v>
      </c>
    </row>
    <row r="1877" spans="1:4" x14ac:dyDescent="0.25">
      <c r="A1877" t="str">
        <f>'Raw Data'!A1880</f>
        <v>01/30/2025</v>
      </c>
      <c r="B1877" t="str">
        <f>'Raw Data'!C1880</f>
        <v>AMERICAN AIRLINES 45800-433-7300        TX</v>
      </c>
      <c r="C1877" t="str">
        <f>'Raw Data'!I1880</f>
        <v>Team Travel (Angela)</v>
      </c>
      <c r="D1877" s="31">
        <f>'Raw Data'!F1880</f>
        <v>42</v>
      </c>
    </row>
    <row r="1878" spans="1:4" x14ac:dyDescent="0.25">
      <c r="A1878" t="str">
        <f>'Raw Data'!A1881</f>
        <v>01/30/2025</v>
      </c>
      <c r="B1878" t="str">
        <f>'Raw Data'!C1881</f>
        <v>AMERICAN AIRLINES 45800-433-7300        TX</v>
      </c>
      <c r="C1878" t="str">
        <f>'Raw Data'!I1881</f>
        <v>Team Travel (Angela)</v>
      </c>
      <c r="D1878" s="31">
        <f>'Raw Data'!F1881</f>
        <v>42</v>
      </c>
    </row>
    <row r="1879" spans="1:4" x14ac:dyDescent="0.25">
      <c r="A1879" t="str">
        <f>'Raw Data'!A1882</f>
        <v>01/30/2025</v>
      </c>
      <c r="B1879" t="str">
        <f>'Raw Data'!C1882</f>
        <v>KINDLE SVCS*Z70S336H888-802-3080        WA</v>
      </c>
      <c r="C1879" t="str">
        <f>'Raw Data'!I1882</f>
        <v>Personal - Entertainment</v>
      </c>
      <c r="D1879" s="31">
        <f>'Raw Data'!F1882</f>
        <v>11.9</v>
      </c>
    </row>
    <row r="1880" spans="1:4" x14ac:dyDescent="0.25">
      <c r="A1880" t="str">
        <f>'Raw Data'!A1883</f>
        <v>01/30/2025</v>
      </c>
      <c r="B1880" t="str">
        <f>'Raw Data'!C1883</f>
        <v>KINDLE SVCS*Z75E34QD888-802-3080        WA</v>
      </c>
      <c r="C1880" t="str">
        <f>'Raw Data'!I1883</f>
        <v>Personal - Entertainment</v>
      </c>
      <c r="D1880" s="31">
        <f>'Raw Data'!F1883</f>
        <v>16.23</v>
      </c>
    </row>
    <row r="1881" spans="1:4" x14ac:dyDescent="0.25">
      <c r="A1881" t="str">
        <f>'Raw Data'!A1884</f>
        <v>01/30/2025</v>
      </c>
      <c r="B1881" t="str">
        <f>'Raw Data'!C1884</f>
        <v>KINDLE SVCS*Z76S026M888-802-3080        WA</v>
      </c>
      <c r="C1881" t="str">
        <f>'Raw Data'!I1884</f>
        <v>Personal - Entertainment</v>
      </c>
      <c r="D1881" s="31">
        <f>'Raw Data'!F1884</f>
        <v>14.05</v>
      </c>
    </row>
    <row r="1882" spans="1:4" x14ac:dyDescent="0.25">
      <c r="A1882" t="str">
        <f>'Raw Data'!A1885</f>
        <v>01/30/2025</v>
      </c>
      <c r="B1882" t="str">
        <f>'Raw Data'!C1885</f>
        <v>KINDLE SVCS*Z77662DS888-802-3080        WA</v>
      </c>
      <c r="C1882" t="str">
        <f>'Raw Data'!I1885</f>
        <v>Personal - Entertainment</v>
      </c>
      <c r="D1882" s="31">
        <f>'Raw Data'!F1885</f>
        <v>88.47</v>
      </c>
    </row>
    <row r="1883" spans="1:4" x14ac:dyDescent="0.25">
      <c r="A1883" t="str">
        <f>'Raw Data'!A1886</f>
        <v>01/30/2025</v>
      </c>
      <c r="B1883" t="str">
        <f>'Raw Data'!C1886</f>
        <v>KINDLE SVCS*Z79GH1DA888-802-3080        WA</v>
      </c>
      <c r="C1883" t="str">
        <f>'Raw Data'!I1886</f>
        <v>Personal - Entertainment</v>
      </c>
      <c r="D1883" s="31">
        <f>'Raw Data'!F1886</f>
        <v>31.37</v>
      </c>
    </row>
    <row r="1884" spans="1:4" x14ac:dyDescent="0.25">
      <c r="A1884" t="str">
        <f>'Raw Data'!A1887</f>
        <v>01/30/2025</v>
      </c>
      <c r="B1884" t="str">
        <f>'Raw Data'!C1887</f>
        <v>KINDLE SVCS*ZC0SA5KC888-802-3080        WA</v>
      </c>
      <c r="C1884" t="str">
        <f>'Raw Data'!I1887</f>
        <v>Personal - Entertainment</v>
      </c>
      <c r="D1884" s="31">
        <f>'Raw Data'!F1887</f>
        <v>11.9</v>
      </c>
    </row>
    <row r="1885" spans="1:4" x14ac:dyDescent="0.25">
      <c r="A1885" t="str">
        <f>'Raw Data'!A1888</f>
        <v>01/30/2025</v>
      </c>
      <c r="B1885" t="str">
        <f>'Raw Data'!C1888</f>
        <v>KINDLE SVCS*ZC1956E3888-802-3080        WA</v>
      </c>
      <c r="C1885" t="str">
        <f>'Raw Data'!I1888</f>
        <v>Personal - Entertainment</v>
      </c>
      <c r="D1885" s="31">
        <f>'Raw Data'!F1888</f>
        <v>11.9</v>
      </c>
    </row>
    <row r="1886" spans="1:4" x14ac:dyDescent="0.25">
      <c r="A1886" t="str">
        <f>'Raw Data'!A1889</f>
        <v>01/30/2025</v>
      </c>
      <c r="B1886" t="str">
        <f>'Raw Data'!C1889</f>
        <v>KINDLE SVCS*ZC2XD6K0888-802-3080        WA</v>
      </c>
      <c r="C1886" t="str">
        <f>'Raw Data'!I1889</f>
        <v>Personal - Entertainment</v>
      </c>
      <c r="D1886" s="31">
        <f>'Raw Data'!F1889</f>
        <v>11.9</v>
      </c>
    </row>
    <row r="1887" spans="1:4" x14ac:dyDescent="0.25">
      <c r="A1887" t="str">
        <f>'Raw Data'!A1890</f>
        <v>01/30/2025</v>
      </c>
      <c r="B1887" t="str">
        <f>'Raw Data'!C1890</f>
        <v>KINDLE SVCS*ZC4JB9KH888-802-3080        WA</v>
      </c>
      <c r="C1887" t="str">
        <f>'Raw Data'!I1890</f>
        <v>Personal - Entertainment</v>
      </c>
      <c r="D1887" s="31">
        <f>'Raw Data'!F1890</f>
        <v>11.9</v>
      </c>
    </row>
    <row r="1888" spans="1:4" x14ac:dyDescent="0.25">
      <c r="A1888" t="str">
        <f>'Raw Data'!A1891</f>
        <v>01/30/2025</v>
      </c>
      <c r="B1888" t="str">
        <f>'Raw Data'!C1891</f>
        <v>KINDLE SVCS*ZC5XK8KO888-802-3080        WA</v>
      </c>
      <c r="C1888" t="str">
        <f>'Raw Data'!I1891</f>
        <v>Personal - Entertainment</v>
      </c>
      <c r="D1888" s="31">
        <f>'Raw Data'!F1891</f>
        <v>62.18</v>
      </c>
    </row>
    <row r="1889" spans="1:4" x14ac:dyDescent="0.25">
      <c r="A1889" t="str">
        <f>'Raw Data'!A1892</f>
        <v>01/30/2025</v>
      </c>
      <c r="B1889" t="str">
        <f>'Raw Data'!C1892</f>
        <v>KINDLE SVCS*ZC6953ED888-802-3080        WA</v>
      </c>
      <c r="C1889" t="str">
        <f>'Raw Data'!I1892</f>
        <v>Personal - Entertainment</v>
      </c>
      <c r="D1889" s="31">
        <f>'Raw Data'!F1892</f>
        <v>11.9</v>
      </c>
    </row>
    <row r="1890" spans="1:4" x14ac:dyDescent="0.25">
      <c r="A1890" t="str">
        <f>'Raw Data'!A1893</f>
        <v>01/30/2025</v>
      </c>
      <c r="B1890" t="str">
        <f>'Raw Data'!C1893</f>
        <v>KINDLE SVCS*ZC6X18KK888-802-3080        WA</v>
      </c>
      <c r="C1890" t="str">
        <f>'Raw Data'!I1893</f>
        <v>Personal - Entertainment</v>
      </c>
      <c r="D1890" s="31">
        <f>'Raw Data'!F1893</f>
        <v>11.9</v>
      </c>
    </row>
    <row r="1891" spans="1:4" x14ac:dyDescent="0.25">
      <c r="A1891" t="str">
        <f>'Raw Data'!A1894</f>
        <v>01/29/2025</v>
      </c>
      <c r="B1891" t="str">
        <f>'Raw Data'!C1894</f>
        <v>OPENAI *CHATGPT SUBSSAN FRANCISCO       CA</v>
      </c>
      <c r="C1891" t="str">
        <f>'Raw Data'!I1894</f>
        <v>AI Subscriptions</v>
      </c>
      <c r="D1891" s="31">
        <f>'Raw Data'!F1894</f>
        <v>20</v>
      </c>
    </row>
    <row r="1892" spans="1:4" x14ac:dyDescent="0.25">
      <c r="A1892" t="str">
        <f>'Raw Data'!A1895</f>
        <v>01/28/2025</v>
      </c>
      <c r="B1892" t="str">
        <f>'Raw Data'!C1895</f>
        <v>ONLINE PAYMENT - THANK YOU</v>
      </c>
      <c r="C1892" t="str">
        <f>'Raw Data'!I1895</f>
        <v>Online AMEX Payment</v>
      </c>
      <c r="D1892" s="31">
        <f>'Raw Data'!F1895</f>
        <v>-26459.41</v>
      </c>
    </row>
    <row r="1893" spans="1:4" x14ac:dyDescent="0.25">
      <c r="A1893" t="str">
        <f>'Raw Data'!A1896</f>
        <v>01/28/2025</v>
      </c>
      <c r="B1893" t="str">
        <f>'Raw Data'!C1896</f>
        <v>ONLINE PAYMENT - THANK YOU</v>
      </c>
      <c r="C1893" t="str">
        <f>'Raw Data'!I1896</f>
        <v>Online AMEX Payment</v>
      </c>
      <c r="D1893" s="31">
        <f>'Raw Data'!F1896</f>
        <v>-1000</v>
      </c>
    </row>
    <row r="1894" spans="1:4" x14ac:dyDescent="0.25">
      <c r="A1894" t="str">
        <f>'Raw Data'!A1897</f>
        <v>01/27/2025</v>
      </c>
      <c r="B1894" t="str">
        <f>'Raw Data'!C1897</f>
        <v>AMAZON MARKETPLACE NAMZN.COM/BILL       WA</v>
      </c>
      <c r="C1894" t="str">
        <f>'Raw Data'!I1897</f>
        <v>Amazon</v>
      </c>
      <c r="D1894" s="31">
        <f>'Raw Data'!F1897</f>
        <v>-317.85000000000002</v>
      </c>
    </row>
    <row r="1895" spans="1:4" x14ac:dyDescent="0.25">
      <c r="A1895" t="str">
        <f>'Raw Data'!A1898</f>
        <v>01/27/2025</v>
      </c>
      <c r="B1895" t="str">
        <f>'Raw Data'!C1898</f>
        <v>AMAZON MARKEPLACE NA PA</v>
      </c>
      <c r="C1895" t="str">
        <f>'Raw Data'!I1898</f>
        <v>Amazon</v>
      </c>
      <c r="D1895" s="31">
        <f>'Raw Data'!F1898</f>
        <v>317.85000000000002</v>
      </c>
    </row>
    <row r="1896" spans="1:4" x14ac:dyDescent="0.25">
      <c r="A1896" t="str">
        <f>'Raw Data'!A1899</f>
        <v>01/27/2025</v>
      </c>
      <c r="B1896" t="str">
        <f>'Raw Data'!C1899</f>
        <v>DNH*GODADDY#35492039Tempe               AZ</v>
      </c>
      <c r="C1896" t="str">
        <f>'Raw Data'!I1899</f>
        <v>Go Daddy</v>
      </c>
      <c r="D1896" s="31">
        <f>'Raw Data'!F1899</f>
        <v>11.99</v>
      </c>
    </row>
    <row r="1897" spans="1:4" x14ac:dyDescent="0.25">
      <c r="A1897" t="str">
        <f>'Raw Data'!A1900</f>
        <v>01/27/2025</v>
      </c>
      <c r="B1897" t="str">
        <f>'Raw Data'!C1900</f>
        <v>OPENAI *CHATGPT SUBSSAN FRANCISCO       CA</v>
      </c>
      <c r="C1897" t="str">
        <f>'Raw Data'!I1900</f>
        <v>AI Subscriptions</v>
      </c>
      <c r="D1897" s="31">
        <f>'Raw Data'!F1900</f>
        <v>20</v>
      </c>
    </row>
    <row r="1898" spans="1:4" x14ac:dyDescent="0.25">
      <c r="A1898" t="str">
        <f>'Raw Data'!A1901</f>
        <v>01/27/2025</v>
      </c>
      <c r="B1898" t="str">
        <f>'Raw Data'!C1901</f>
        <v>SPLICE.COM          NEW YORK CITY       NY</v>
      </c>
      <c r="C1898" t="str">
        <f>'Raw Data'!I1901</f>
        <v>Software &amp; Subscriptions</v>
      </c>
      <c r="D1898" s="31">
        <f>'Raw Data'!F1901</f>
        <v>39.99</v>
      </c>
    </row>
    <row r="1899" spans="1:4" x14ac:dyDescent="0.25">
      <c r="A1899" t="str">
        <f>'Raw Data'!A1902</f>
        <v>01/26/2025</v>
      </c>
      <c r="B1899" t="str">
        <f>'Raw Data'!C1902</f>
        <v>AMAZON MARKETPLACE NAMZN.COM/BILL       WA</v>
      </c>
      <c r="C1899" t="str">
        <f>'Raw Data'!I1902</f>
        <v>Amazon</v>
      </c>
      <c r="D1899" s="31">
        <f>'Raw Data'!F1902</f>
        <v>-312.89999999999998</v>
      </c>
    </row>
    <row r="1900" spans="1:4" x14ac:dyDescent="0.25">
      <c r="A1900" t="str">
        <f>'Raw Data'!A1903</f>
        <v>01/26/2025</v>
      </c>
      <c r="B1900" t="str">
        <f>'Raw Data'!C1903</f>
        <v>AMAZON MARKEPLACE NA PA</v>
      </c>
      <c r="C1900" t="str">
        <f>'Raw Data'!I1903</f>
        <v>Amazon</v>
      </c>
      <c r="D1900" s="31">
        <f>'Raw Data'!F1903</f>
        <v>312.89999999999998</v>
      </c>
    </row>
    <row r="1901" spans="1:4" x14ac:dyDescent="0.25">
      <c r="A1901" t="str">
        <f>'Raw Data'!A1904</f>
        <v>01/25/2025</v>
      </c>
      <c r="B1901" t="str">
        <f>'Raw Data'!C1904</f>
        <v>AMAZON MARKETPLACE NAMZN.COM/BILL       WA</v>
      </c>
      <c r="C1901" t="str">
        <f>'Raw Data'!I1904</f>
        <v>Amazon</v>
      </c>
      <c r="D1901" s="31">
        <f>'Raw Data'!F1904</f>
        <v>-329.7</v>
      </c>
    </row>
    <row r="1902" spans="1:4" x14ac:dyDescent="0.25">
      <c r="A1902" t="str">
        <f>'Raw Data'!A1905</f>
        <v>01/25/2025</v>
      </c>
      <c r="B1902" t="str">
        <f>'Raw Data'!C1905</f>
        <v>AMAZON MARKETPLACE NAMZN.COM/BILL       WA</v>
      </c>
      <c r="C1902" t="str">
        <f>'Raw Data'!I1905</f>
        <v>Amazon</v>
      </c>
      <c r="D1902" s="31">
        <f>'Raw Data'!F1905</f>
        <v>-42.21</v>
      </c>
    </row>
    <row r="1903" spans="1:4" x14ac:dyDescent="0.25">
      <c r="A1903" t="str">
        <f>'Raw Data'!A1906</f>
        <v>01/25/2025</v>
      </c>
      <c r="B1903" t="str">
        <f>'Raw Data'!C1906</f>
        <v>AMAZON MARKEPLACE NA PA</v>
      </c>
      <c r="C1903" t="str">
        <f>'Raw Data'!I1906</f>
        <v>Amazon</v>
      </c>
      <c r="D1903" s="31">
        <f>'Raw Data'!F1906</f>
        <v>42.21</v>
      </c>
    </row>
    <row r="1904" spans="1:4" x14ac:dyDescent="0.25">
      <c r="A1904" t="str">
        <f>'Raw Data'!A1907</f>
        <v>01/25/2025</v>
      </c>
      <c r="B1904" t="str">
        <f>'Raw Data'!C1907</f>
        <v>AMAZON MARKEPLACE NA PA</v>
      </c>
      <c r="C1904" t="str">
        <f>'Raw Data'!I1907</f>
        <v>Amazon</v>
      </c>
      <c r="D1904" s="31">
        <f>'Raw Data'!F1907</f>
        <v>329.7</v>
      </c>
    </row>
    <row r="1905" spans="1:4" x14ac:dyDescent="0.25">
      <c r="A1905" t="str">
        <f>'Raw Data'!A1908</f>
        <v>01/25/2025</v>
      </c>
      <c r="B1905" t="str">
        <f>'Raw Data'!C1908</f>
        <v>AMAZON.COM          AMZN.COM/BILL       WA</v>
      </c>
      <c r="C1905" t="str">
        <f>'Raw Data'!I1908</f>
        <v>Amazon</v>
      </c>
      <c r="D1905" s="31">
        <f>'Raw Data'!F1908</f>
        <v>17.09</v>
      </c>
    </row>
    <row r="1906" spans="1:4" x14ac:dyDescent="0.25">
      <c r="A1906" t="str">
        <f>'Raw Data'!A1909</f>
        <v>01/25/2025</v>
      </c>
      <c r="B1906" t="str">
        <f>'Raw Data'!C1909</f>
        <v>AMAZON.COM          AMZN.COM/BILL       WA</v>
      </c>
      <c r="C1906" t="str">
        <f>'Raw Data'!I1909</f>
        <v>Amazon</v>
      </c>
      <c r="D1906" s="31">
        <f>'Raw Data'!F1909</f>
        <v>30.83</v>
      </c>
    </row>
    <row r="1907" spans="1:4" x14ac:dyDescent="0.25">
      <c r="A1907" t="str">
        <f>'Raw Data'!A1910</f>
        <v>01/25/2025</v>
      </c>
      <c r="B1907" t="str">
        <f>'Raw Data'!C1910</f>
        <v>DNH*GODADDY#35456975Tempe               AZ</v>
      </c>
      <c r="C1907" t="str">
        <f>'Raw Data'!I1910</f>
        <v>Go Daddy</v>
      </c>
      <c r="D1907" s="31">
        <f>'Raw Data'!F1910</f>
        <v>16.98</v>
      </c>
    </row>
    <row r="1908" spans="1:4" x14ac:dyDescent="0.25">
      <c r="A1908" t="str">
        <f>'Raw Data'!A1911</f>
        <v>01/25/2025</v>
      </c>
      <c r="B1908" t="str">
        <f>'Raw Data'!C1911</f>
        <v>EXPEDIA.COM TRAVEL  SEATTLE             WA</v>
      </c>
      <c r="C1908" t="str">
        <f>'Raw Data'!I1911</f>
        <v>Team Travel (Angela)</v>
      </c>
      <c r="D1908" s="31">
        <f>'Raw Data'!F1911</f>
        <v>34.19</v>
      </c>
    </row>
    <row r="1909" spans="1:4" x14ac:dyDescent="0.25">
      <c r="A1909" t="str">
        <f>'Raw Data'!A1912</f>
        <v>01/25/2025</v>
      </c>
      <c r="B1909" t="str">
        <f>'Raw Data'!C1912</f>
        <v>EXPEDIA.COM TRAVEL  SEATTLE             WA</v>
      </c>
      <c r="C1909" t="str">
        <f>'Raw Data'!I1912</f>
        <v>Team Travel (Angela)</v>
      </c>
      <c r="D1909" s="31">
        <f>'Raw Data'!F1912</f>
        <v>34.19</v>
      </c>
    </row>
    <row r="1910" spans="1:4" x14ac:dyDescent="0.25">
      <c r="A1910" t="str">
        <f>'Raw Data'!A1913</f>
        <v>01/25/2025</v>
      </c>
      <c r="B1910" t="str">
        <f>'Raw Data'!C1913</f>
        <v>EXPEDIA.COM TRAVEL  SEATTLE             WA</v>
      </c>
      <c r="C1910" t="str">
        <f>'Raw Data'!I1913</f>
        <v>Team Travel (Angela)</v>
      </c>
      <c r="D1910" s="31">
        <f>'Raw Data'!F1913</f>
        <v>438.48</v>
      </c>
    </row>
    <row r="1911" spans="1:4" x14ac:dyDescent="0.25">
      <c r="A1911" t="str">
        <f>'Raw Data'!A1914</f>
        <v>01/25/2025</v>
      </c>
      <c r="B1911" t="str">
        <f>'Raw Data'!C1914</f>
        <v>EXPEDIA.COM TRAVEL  SEATTLE             WA</v>
      </c>
      <c r="C1911" t="str">
        <f>'Raw Data'!I1914</f>
        <v>Team Travel (Angela)</v>
      </c>
      <c r="D1911" s="31">
        <f>'Raw Data'!F1914</f>
        <v>438.48</v>
      </c>
    </row>
    <row r="1912" spans="1:4" x14ac:dyDescent="0.25">
      <c r="A1912" t="str">
        <f>'Raw Data'!A1915</f>
        <v>01/24/2025</v>
      </c>
      <c r="B1912" t="str">
        <f>'Raw Data'!C1915</f>
        <v>AMAZON MARKETPLACE NAMZN.COM/BILL       WA</v>
      </c>
      <c r="C1912" t="str">
        <f>'Raw Data'!I1915</f>
        <v>Amazon</v>
      </c>
      <c r="D1912" s="31">
        <f>'Raw Data'!F1915</f>
        <v>-26.98</v>
      </c>
    </row>
    <row r="1913" spans="1:4" x14ac:dyDescent="0.25">
      <c r="A1913" t="str">
        <f>'Raw Data'!A1916</f>
        <v>01/24/2025</v>
      </c>
      <c r="B1913" t="str">
        <f>'Raw Data'!C1916</f>
        <v>AMAZON MARKEPLACE NA PA</v>
      </c>
      <c r="C1913" t="str">
        <f>'Raw Data'!I1916</f>
        <v>Amazon</v>
      </c>
      <c r="D1913" s="31">
        <f>'Raw Data'!F1916</f>
        <v>26.98</v>
      </c>
    </row>
    <row r="1914" spans="1:4" x14ac:dyDescent="0.25">
      <c r="A1914" t="str">
        <f>'Raw Data'!A1917</f>
        <v>01/24/2025</v>
      </c>
      <c r="B1914" t="str">
        <f>'Raw Data'!C1917</f>
        <v>AMAZON.COM          AMZN.COM/BILL       WA</v>
      </c>
      <c r="C1914" t="str">
        <f>'Raw Data'!I1917</f>
        <v>Amazon</v>
      </c>
      <c r="D1914" s="31">
        <f>'Raw Data'!F1917</f>
        <v>35.340000000000003</v>
      </c>
    </row>
    <row r="1915" spans="1:4" x14ac:dyDescent="0.25">
      <c r="A1915" t="str">
        <f>'Raw Data'!A1918</f>
        <v>01/23/2025</v>
      </c>
      <c r="B1915" t="str">
        <f>'Raw Data'!C1918</f>
        <v>AMAZON MARKETPLACE NAMZN.COM/BILL       WA</v>
      </c>
      <c r="C1915" t="str">
        <f>'Raw Data'!I1918</f>
        <v>Amazon</v>
      </c>
      <c r="D1915" s="31">
        <f>'Raw Data'!F1918</f>
        <v>-413.9</v>
      </c>
    </row>
    <row r="1916" spans="1:4" x14ac:dyDescent="0.25">
      <c r="A1916" t="str">
        <f>'Raw Data'!A1919</f>
        <v>01/23/2025</v>
      </c>
      <c r="B1916" t="str">
        <f>'Raw Data'!C1919</f>
        <v>AMAZON MARKEPLACE NA PA</v>
      </c>
      <c r="C1916" t="str">
        <f>'Raw Data'!I1919</f>
        <v>Amazon</v>
      </c>
      <c r="D1916" s="31">
        <f>'Raw Data'!F1919</f>
        <v>413.9</v>
      </c>
    </row>
    <row r="1917" spans="1:4" x14ac:dyDescent="0.25">
      <c r="A1917" t="str">
        <f>'Raw Data'!A1920</f>
        <v>01/23/2025</v>
      </c>
      <c r="B1917" t="str">
        <f>'Raw Data'!C1920</f>
        <v>DNH*GODADDY#35425314Tempe               AZ</v>
      </c>
      <c r="C1917" t="str">
        <f>'Raw Data'!I1920</f>
        <v>Go Daddy</v>
      </c>
      <c r="D1917" s="31">
        <f>'Raw Data'!F1920</f>
        <v>41.97</v>
      </c>
    </row>
    <row r="1918" spans="1:4" x14ac:dyDescent="0.25">
      <c r="A1918" t="str">
        <f>'Raw Data'!A1921</f>
        <v>01/23/2025</v>
      </c>
      <c r="B1918" t="str">
        <f>'Raw Data'!C1921</f>
        <v>WHOLE FOODS CLV 1052866-216-1072        DE</v>
      </c>
      <c r="C1918" t="str">
        <f>'Raw Data'!I1921</f>
        <v>Personal - House</v>
      </c>
      <c r="D1918" s="31">
        <f>'Raw Data'!F1921</f>
        <v>71.39</v>
      </c>
    </row>
    <row r="1919" spans="1:4" x14ac:dyDescent="0.25">
      <c r="A1919" t="str">
        <f>'Raw Data'!A1922</f>
        <v>01/22/2025</v>
      </c>
      <c r="B1919" t="str">
        <f>'Raw Data'!C1922</f>
        <v>AMAZON MARKETPLACE NAMZN.COM/BILL       WA</v>
      </c>
      <c r="C1919" t="str">
        <f>'Raw Data'!I1922</f>
        <v>Amazon</v>
      </c>
      <c r="D1919" s="31">
        <f>'Raw Data'!F1922</f>
        <v>-160.9</v>
      </c>
    </row>
    <row r="1920" spans="1:4" x14ac:dyDescent="0.25">
      <c r="A1920" t="str">
        <f>'Raw Data'!A1923</f>
        <v>01/22/2025</v>
      </c>
      <c r="B1920" t="str">
        <f>'Raw Data'!C1923</f>
        <v>AMAZON MARKETPLACE NAMZN.COM/BILL       WA</v>
      </c>
      <c r="C1920" t="str">
        <f>'Raw Data'!I1923</f>
        <v>Amazon</v>
      </c>
      <c r="D1920" s="31">
        <f>'Raw Data'!F1923</f>
        <v>-24.6</v>
      </c>
    </row>
    <row r="1921" spans="1:4" x14ac:dyDescent="0.25">
      <c r="A1921" t="str">
        <f>'Raw Data'!A1924</f>
        <v>01/22/2025</v>
      </c>
      <c r="B1921" t="str">
        <f>'Raw Data'!C1924</f>
        <v>AMAZON MARKEPLACE NA PA</v>
      </c>
      <c r="C1921" t="str">
        <f>'Raw Data'!I1924</f>
        <v>Amazon</v>
      </c>
      <c r="D1921" s="31">
        <f>'Raw Data'!F1924</f>
        <v>24.6</v>
      </c>
    </row>
    <row r="1922" spans="1:4" x14ac:dyDescent="0.25">
      <c r="A1922" t="str">
        <f>'Raw Data'!A1925</f>
        <v>01/22/2025</v>
      </c>
      <c r="B1922" t="str">
        <f>'Raw Data'!C1925</f>
        <v>AMAZON MARKEPLACE NA PA</v>
      </c>
      <c r="C1922" t="str">
        <f>'Raw Data'!I1925</f>
        <v>Amazon</v>
      </c>
      <c r="D1922" s="31">
        <f>'Raw Data'!F1925</f>
        <v>160.9</v>
      </c>
    </row>
    <row r="1923" spans="1:4" x14ac:dyDescent="0.25">
      <c r="A1923" t="str">
        <f>'Raw Data'!A1926</f>
        <v>01/21/2025</v>
      </c>
      <c r="B1923" t="str">
        <f>'Raw Data'!C1926</f>
        <v>AMAZON MARKETPLACE NAMZN.COM/BILL       WA</v>
      </c>
      <c r="C1923" t="str">
        <f>'Raw Data'!I1926</f>
        <v>Amazon</v>
      </c>
      <c r="D1923" s="31">
        <f>'Raw Data'!F1926</f>
        <v>-51.71</v>
      </c>
    </row>
    <row r="1924" spans="1:4" x14ac:dyDescent="0.25">
      <c r="A1924" t="str">
        <f>'Raw Data'!A1927</f>
        <v>01/21/2025</v>
      </c>
      <c r="B1924" t="str">
        <f>'Raw Data'!C1927</f>
        <v>AMAZON MARKETPLACE NAMZN.COM/BILL       WA</v>
      </c>
      <c r="C1924" t="str">
        <f>'Raw Data'!I1927</f>
        <v>Amazon</v>
      </c>
      <c r="D1924" s="31">
        <f>'Raw Data'!F1927</f>
        <v>-24.6</v>
      </c>
    </row>
    <row r="1925" spans="1:4" x14ac:dyDescent="0.25">
      <c r="A1925" t="str">
        <f>'Raw Data'!A1928</f>
        <v>01/21/2025</v>
      </c>
      <c r="B1925" t="str">
        <f>'Raw Data'!C1928</f>
        <v>AMAZON MARKEPLACE NA PA</v>
      </c>
      <c r="C1925" t="str">
        <f>'Raw Data'!I1928</f>
        <v>Amazon</v>
      </c>
      <c r="D1925" s="31">
        <f>'Raw Data'!F1928</f>
        <v>24.6</v>
      </c>
    </row>
    <row r="1926" spans="1:4" x14ac:dyDescent="0.25">
      <c r="A1926" t="str">
        <f>'Raw Data'!A1929</f>
        <v>01/21/2025</v>
      </c>
      <c r="B1926" t="str">
        <f>'Raw Data'!C1929</f>
        <v>AMAZON MARKEPLACE NA PA</v>
      </c>
      <c r="C1926" t="str">
        <f>'Raw Data'!I1929</f>
        <v>Amazon</v>
      </c>
      <c r="D1926" s="31">
        <f>'Raw Data'!F1929</f>
        <v>51.71</v>
      </c>
    </row>
    <row r="1927" spans="1:4" x14ac:dyDescent="0.25">
      <c r="A1927" t="str">
        <f>'Raw Data'!A1930</f>
        <v>01/21/2025</v>
      </c>
      <c r="B1927" t="str">
        <f>'Raw Data'!C1930</f>
        <v>EXPEDIATSPUS        EXPEDIA.COM         WA</v>
      </c>
      <c r="C1927" t="str">
        <f>'Raw Data'!I1930</f>
        <v>Team Travel (Angela)</v>
      </c>
      <c r="D1927" s="31">
        <f>'Raw Data'!F1930</f>
        <v>95.51</v>
      </c>
    </row>
    <row r="1928" spans="1:4" x14ac:dyDescent="0.25">
      <c r="A1928" t="str">
        <f>'Raw Data'!A1931</f>
        <v>01/20/2025</v>
      </c>
      <c r="B1928" t="str">
        <f>'Raw Data'!C1931</f>
        <v>AMAZON MARKETPLACE NAMZN.COM/BILL       WA</v>
      </c>
      <c r="C1928" t="str">
        <f>'Raw Data'!I1931</f>
        <v>Amazon</v>
      </c>
      <c r="D1928" s="31">
        <f>'Raw Data'!F1931</f>
        <v>-413.9</v>
      </c>
    </row>
    <row r="1929" spans="1:4" x14ac:dyDescent="0.25">
      <c r="A1929" t="str">
        <f>'Raw Data'!A1932</f>
        <v>01/20/2025</v>
      </c>
      <c r="B1929" t="str">
        <f>'Raw Data'!C1932</f>
        <v>AMAZON MARKETPLACE NAMZN.COM/BILL       WA</v>
      </c>
      <c r="C1929" t="str">
        <f>'Raw Data'!I1932</f>
        <v>Amazon</v>
      </c>
      <c r="D1929" s="31">
        <f>'Raw Data'!F1932</f>
        <v>-210.9</v>
      </c>
    </row>
    <row r="1930" spans="1:4" x14ac:dyDescent="0.25">
      <c r="A1930" t="str">
        <f>'Raw Data'!A1933</f>
        <v>01/20/2025</v>
      </c>
      <c r="B1930" t="str">
        <f>'Raw Data'!C1933</f>
        <v>AMAZON MARKEPLACE NA PA</v>
      </c>
      <c r="C1930" t="str">
        <f>'Raw Data'!I1933</f>
        <v>Amazon</v>
      </c>
      <c r="D1930" s="31">
        <f>'Raw Data'!F1933</f>
        <v>210.9</v>
      </c>
    </row>
    <row r="1931" spans="1:4" x14ac:dyDescent="0.25">
      <c r="A1931" t="str">
        <f>'Raw Data'!A1934</f>
        <v>01/20/2025</v>
      </c>
      <c r="B1931" t="str">
        <f>'Raw Data'!C1934</f>
        <v>AMAZON MARKEPLACE NA PA</v>
      </c>
      <c r="C1931" t="str">
        <f>'Raw Data'!I1934</f>
        <v>Amazon</v>
      </c>
      <c r="D1931" s="31">
        <f>'Raw Data'!F1934</f>
        <v>413.9</v>
      </c>
    </row>
    <row r="1932" spans="1:4" x14ac:dyDescent="0.25">
      <c r="A1932" t="str">
        <f>'Raw Data'!A1935</f>
        <v>01/20/2025</v>
      </c>
      <c r="B1932" t="str">
        <f>'Raw Data'!C1935</f>
        <v>CAMPAIGNER SVC      888-845-4544        CA</v>
      </c>
      <c r="C1932" t="str">
        <f>'Raw Data'!I1935</f>
        <v>Software &amp; Subscriptions</v>
      </c>
      <c r="D1932" s="31">
        <f>'Raw Data'!F1935</f>
        <v>584</v>
      </c>
    </row>
    <row r="1933" spans="1:4" x14ac:dyDescent="0.25">
      <c r="A1933" t="str">
        <f>'Raw Data'!A1936</f>
        <v>01/20/2025</v>
      </c>
      <c r="B1933" t="str">
        <f>'Raw Data'!C1936</f>
        <v>DNH*GODADDY#35363339Tempe               AZ</v>
      </c>
      <c r="C1933" t="str">
        <f>'Raw Data'!I1936</f>
        <v>Go Daddy</v>
      </c>
      <c r="D1933" s="31">
        <f>'Raw Data'!F1936</f>
        <v>18.97</v>
      </c>
    </row>
    <row r="1934" spans="1:4" x14ac:dyDescent="0.25">
      <c r="A1934" t="str">
        <f>'Raw Data'!A1937</f>
        <v>01/20/2025</v>
      </c>
      <c r="B1934" t="str">
        <f>'Raw Data'!C1937</f>
        <v>EXPEDIA 730126380188EXPEDIA.COM         WA</v>
      </c>
      <c r="C1934" t="str">
        <f>'Raw Data'!I1937</f>
        <v>Team Travel (Angela)</v>
      </c>
      <c r="D1934" s="31">
        <f>'Raw Data'!F1937</f>
        <v>-3434.7</v>
      </c>
    </row>
    <row r="1935" spans="1:4" x14ac:dyDescent="0.25">
      <c r="A1935" t="str">
        <f>'Raw Data'!A1938</f>
        <v>01/20/2025</v>
      </c>
      <c r="B1935" t="str">
        <f>'Raw Data'!C1938</f>
        <v>EXPEDIA 730126380188EXPEDIA.COM         WA</v>
      </c>
      <c r="C1935" t="str">
        <f>'Raw Data'!I1938</f>
        <v>Team Travel (Angela)</v>
      </c>
      <c r="D1935" s="31">
        <f>'Raw Data'!F1938</f>
        <v>3434.7</v>
      </c>
    </row>
    <row r="1936" spans="1:4" x14ac:dyDescent="0.25">
      <c r="A1936" t="str">
        <f>'Raw Data'!A1939</f>
        <v>01/20/2025</v>
      </c>
      <c r="B1936" t="str">
        <f>'Raw Data'!C1939</f>
        <v>EXPEDIA 730130585902EXPEDIA.COM         WA</v>
      </c>
      <c r="C1936" t="str">
        <f>'Raw Data'!I1939</f>
        <v>Team Travel (Angela)</v>
      </c>
      <c r="D1936" s="31">
        <f>'Raw Data'!F1939</f>
        <v>10.69</v>
      </c>
    </row>
    <row r="1937" spans="1:4" x14ac:dyDescent="0.25">
      <c r="A1937" t="str">
        <f>'Raw Data'!A1940</f>
        <v>01/20/2025</v>
      </c>
      <c r="B1937" t="str">
        <f>'Raw Data'!C1940</f>
        <v>EXPEDIA.COM TRAVEL  SEATTLE             WA</v>
      </c>
      <c r="C1937" t="str">
        <f>'Raw Data'!I1940</f>
        <v>Team Travel (Angela)</v>
      </c>
      <c r="D1937" s="31">
        <f>'Raw Data'!F1940</f>
        <v>36.630000000000003</v>
      </c>
    </row>
    <row r="1938" spans="1:4" x14ac:dyDescent="0.25">
      <c r="A1938" t="str">
        <f>'Raw Data'!A1941</f>
        <v>01/20/2025</v>
      </c>
      <c r="B1938" t="str">
        <f>'Raw Data'!C1941</f>
        <v>EXPEDIA.COM TRAVEL  SEATTLE             WA</v>
      </c>
      <c r="C1938" t="str">
        <f>'Raw Data'!I1941</f>
        <v>Team Travel (Angela)</v>
      </c>
      <c r="D1938" s="31">
        <f>'Raw Data'!F1941</f>
        <v>302.49</v>
      </c>
    </row>
    <row r="1939" spans="1:4" x14ac:dyDescent="0.25">
      <c r="A1939" t="str">
        <f>'Raw Data'!A1942</f>
        <v>01/20/2025</v>
      </c>
      <c r="B1939" t="str">
        <f>'Raw Data'!C1942</f>
        <v>EXPEDIA.COM TRAVEL  SEATTLE             WA</v>
      </c>
      <c r="C1939" t="str">
        <f>'Raw Data'!I1942</f>
        <v>Team Travel (Angela)</v>
      </c>
      <c r="D1939" s="31">
        <f>'Raw Data'!F1942</f>
        <v>302.49</v>
      </c>
    </row>
    <row r="1940" spans="1:4" x14ac:dyDescent="0.25">
      <c r="A1940" t="str">
        <f>'Raw Data'!A1943</f>
        <v>01/19/2025</v>
      </c>
      <c r="B1940" t="str">
        <f>'Raw Data'!C1943</f>
        <v>AMAZON.COM          AMZN.COM/BILL       WA</v>
      </c>
      <c r="C1940" t="str">
        <f>'Raw Data'!I1943</f>
        <v>Amazon</v>
      </c>
      <c r="D1940" s="31">
        <f>'Raw Data'!F1943</f>
        <v>28.48</v>
      </c>
    </row>
    <row r="1941" spans="1:4" x14ac:dyDescent="0.25">
      <c r="A1941" t="str">
        <f>'Raw Data'!A1944</f>
        <v>01/18/2025</v>
      </c>
      <c r="B1941" t="str">
        <f>'Raw Data'!C1944</f>
        <v>DNH*GODADDY#35317086Tempe               AZ</v>
      </c>
      <c r="C1941" t="str">
        <f>'Raw Data'!I1944</f>
        <v>Go Daddy</v>
      </c>
      <c r="D1941" s="31">
        <f>'Raw Data'!F1944</f>
        <v>16.98</v>
      </c>
    </row>
    <row r="1942" spans="1:4" x14ac:dyDescent="0.25">
      <c r="A1942" t="str">
        <f>'Raw Data'!A1945</f>
        <v>01/17/2025</v>
      </c>
      <c r="B1942" t="str">
        <f>'Raw Data'!C1945</f>
        <v>AMAZON MARKETPLACE NAMZN.COM/BILL       WA</v>
      </c>
      <c r="C1942" t="str">
        <f>'Raw Data'!I1945</f>
        <v>Amazon</v>
      </c>
      <c r="D1942" s="31">
        <f>'Raw Data'!F1945</f>
        <v>-312.89999999999998</v>
      </c>
    </row>
    <row r="1943" spans="1:4" x14ac:dyDescent="0.25">
      <c r="A1943" t="str">
        <f>'Raw Data'!A1946</f>
        <v>01/17/2025</v>
      </c>
      <c r="B1943" t="str">
        <f>'Raw Data'!C1946</f>
        <v>AMAZON MARKEPLACE NA PA</v>
      </c>
      <c r="C1943" t="str">
        <f>'Raw Data'!I1946</f>
        <v>Amazon</v>
      </c>
      <c r="D1943" s="31">
        <f>'Raw Data'!F1946</f>
        <v>312.89999999999998</v>
      </c>
    </row>
    <row r="1944" spans="1:4" x14ac:dyDescent="0.25">
      <c r="A1944" t="str">
        <f>'Raw Data'!A1947</f>
        <v>01/17/2025</v>
      </c>
      <c r="B1944" t="str">
        <f>'Raw Data'!C1947</f>
        <v>DNH*GODADDY#35300941Tempe               AZ</v>
      </c>
      <c r="C1944" t="str">
        <f>'Raw Data'!I1947</f>
        <v>Go Daddy</v>
      </c>
      <c r="D1944" s="31">
        <f>'Raw Data'!F1947</f>
        <v>14.98</v>
      </c>
    </row>
    <row r="1945" spans="1:4" x14ac:dyDescent="0.25">
      <c r="A1945" t="str">
        <f>'Raw Data'!A1948</f>
        <v>01/16/2025</v>
      </c>
      <c r="B1945" t="str">
        <f>'Raw Data'!C1948</f>
        <v>AMAZON MARKETPLACE NAMZN.COM/BILL       WA</v>
      </c>
      <c r="C1945" t="str">
        <f>'Raw Data'!I1948</f>
        <v>Amazon</v>
      </c>
      <c r="D1945" s="31">
        <f>'Raw Data'!F1948</f>
        <v>-317.85000000000002</v>
      </c>
    </row>
    <row r="1946" spans="1:4" x14ac:dyDescent="0.25">
      <c r="A1946" t="str">
        <f>'Raw Data'!A1949</f>
        <v>01/16/2025</v>
      </c>
      <c r="B1946" t="str">
        <f>'Raw Data'!C1949</f>
        <v>AMAZON MARKETPLACE NAMZN.COM/BILL       WA</v>
      </c>
      <c r="C1946" t="str">
        <f>'Raw Data'!I1949</f>
        <v>Amazon</v>
      </c>
      <c r="D1946" s="31">
        <f>'Raw Data'!F1949</f>
        <v>-34.630000000000003</v>
      </c>
    </row>
    <row r="1947" spans="1:4" x14ac:dyDescent="0.25">
      <c r="A1947" t="str">
        <f>'Raw Data'!A1950</f>
        <v>01/16/2025</v>
      </c>
      <c r="B1947" t="str">
        <f>'Raw Data'!C1950</f>
        <v>AMAZON MARKETPLACE NAMZN.COM/BILL       WA</v>
      </c>
      <c r="C1947" t="str">
        <f>'Raw Data'!I1950</f>
        <v>Amazon</v>
      </c>
      <c r="D1947" s="31">
        <f>'Raw Data'!F1950</f>
        <v>-25.97</v>
      </c>
    </row>
    <row r="1948" spans="1:4" x14ac:dyDescent="0.25">
      <c r="A1948" t="str">
        <f>'Raw Data'!A1951</f>
        <v>01/16/2025</v>
      </c>
      <c r="B1948" t="str">
        <f>'Raw Data'!C1951</f>
        <v>AMAZON MARKEPLACE NA PA</v>
      </c>
      <c r="C1948" t="str">
        <f>'Raw Data'!I1951</f>
        <v>Amazon</v>
      </c>
      <c r="D1948" s="31">
        <f>'Raw Data'!F1951</f>
        <v>25.97</v>
      </c>
    </row>
    <row r="1949" spans="1:4" x14ac:dyDescent="0.25">
      <c r="A1949" t="str">
        <f>'Raw Data'!A1952</f>
        <v>01/16/2025</v>
      </c>
      <c r="B1949" t="str">
        <f>'Raw Data'!C1952</f>
        <v>AMAZON MARKEPLACE NA PA</v>
      </c>
      <c r="C1949" t="str">
        <f>'Raw Data'!I1952</f>
        <v>Amazon</v>
      </c>
      <c r="D1949" s="31">
        <f>'Raw Data'!F1952</f>
        <v>34.630000000000003</v>
      </c>
    </row>
    <row r="1950" spans="1:4" x14ac:dyDescent="0.25">
      <c r="A1950" t="str">
        <f>'Raw Data'!A1953</f>
        <v>01/16/2025</v>
      </c>
      <c r="B1950" t="str">
        <f>'Raw Data'!C1953</f>
        <v>LEV INC             NEW YORK            NY</v>
      </c>
      <c r="C1950" t="str">
        <f>'Raw Data'!I1953</f>
        <v>DWG Listing Platform</v>
      </c>
      <c r="D1950" s="31">
        <f>'Raw Data'!F1953</f>
        <v>2000</v>
      </c>
    </row>
    <row r="1951" spans="1:4" x14ac:dyDescent="0.25">
      <c r="A1951" t="str">
        <f>'Raw Data'!A1954</f>
        <v>01/16/2025</v>
      </c>
      <c r="B1951" t="str">
        <f>'Raw Data'!C1954</f>
        <v>SOCIALPILOT         LEWES               DE</v>
      </c>
      <c r="C1951" t="str">
        <f>'Raw Data'!I1954</f>
        <v>Software &amp; Subscriptions</v>
      </c>
      <c r="D1951" s="31">
        <f>'Raw Data'!F1954</f>
        <v>50</v>
      </c>
    </row>
    <row r="1952" spans="1:4" x14ac:dyDescent="0.25">
      <c r="A1952" t="str">
        <f>'Raw Data'!A1955</f>
        <v>01/15/2025</v>
      </c>
      <c r="B1952" t="str">
        <f>'Raw Data'!C1955</f>
        <v>AMAZON MARKETPLACE NAMZN.COM/BILL       WA</v>
      </c>
      <c r="C1952" t="str">
        <f>'Raw Data'!I1955</f>
        <v>Amazon</v>
      </c>
      <c r="D1952" s="31">
        <f>'Raw Data'!F1955</f>
        <v>-413.9</v>
      </c>
    </row>
    <row r="1953" spans="1:4" x14ac:dyDescent="0.25">
      <c r="A1953" t="str">
        <f>'Raw Data'!A1956</f>
        <v>01/15/2025</v>
      </c>
      <c r="B1953" t="str">
        <f>'Raw Data'!C1956</f>
        <v>AMAZON MARKETPLACE NAMZN.COM/BILL       WA</v>
      </c>
      <c r="C1953" t="str">
        <f>'Raw Data'!I1956</f>
        <v>Amazon</v>
      </c>
      <c r="D1953" s="31">
        <f>'Raw Data'!F1956</f>
        <v>-18.98</v>
      </c>
    </row>
    <row r="1954" spans="1:4" x14ac:dyDescent="0.25">
      <c r="A1954" t="str">
        <f>'Raw Data'!A1957</f>
        <v>01/15/2025</v>
      </c>
      <c r="B1954" t="str">
        <f>'Raw Data'!C1957</f>
        <v>AMAZON MARKEPLACE NA PA</v>
      </c>
      <c r="C1954" t="str">
        <f>'Raw Data'!I1957</f>
        <v>Amazon</v>
      </c>
      <c r="D1954" s="31">
        <f>'Raw Data'!F1957</f>
        <v>18.98</v>
      </c>
    </row>
    <row r="1955" spans="1:4" x14ac:dyDescent="0.25">
      <c r="A1955" t="str">
        <f>'Raw Data'!A1958</f>
        <v>01/15/2025</v>
      </c>
      <c r="B1955" t="str">
        <f>'Raw Data'!C1958</f>
        <v>AMAZON MARKEPLACE NA PA</v>
      </c>
      <c r="C1955" t="str">
        <f>'Raw Data'!I1958</f>
        <v>Amazon</v>
      </c>
      <c r="D1955" s="31">
        <f>'Raw Data'!F1958</f>
        <v>413.9</v>
      </c>
    </row>
    <row r="1956" spans="1:4" x14ac:dyDescent="0.25">
      <c r="A1956" t="str">
        <f>'Raw Data'!A1959</f>
        <v>01/15/2025</v>
      </c>
      <c r="B1956" t="str">
        <f>'Raw Data'!C1959</f>
        <v>AMAZON.COM          AMZN.COM/BILL       WA</v>
      </c>
      <c r="C1956" t="str">
        <f>'Raw Data'!I1959</f>
        <v>Amazon</v>
      </c>
      <c r="D1956" s="31">
        <f>'Raw Data'!F1959</f>
        <v>20.56</v>
      </c>
    </row>
    <row r="1957" spans="1:4" x14ac:dyDescent="0.25">
      <c r="A1957" t="str">
        <f>'Raw Data'!A1960</f>
        <v>01/15/2025</v>
      </c>
      <c r="B1957" t="str">
        <f>'Raw Data'!C1960</f>
        <v>DNH*GODADDY#35270646Tempe               AZ</v>
      </c>
      <c r="C1957" t="str">
        <f>'Raw Data'!I1960</f>
        <v>Go Daddy</v>
      </c>
      <c r="D1957" s="31">
        <f>'Raw Data'!F1960</f>
        <v>8.99</v>
      </c>
    </row>
    <row r="1958" spans="1:4" x14ac:dyDescent="0.25">
      <c r="A1958" t="str">
        <f>'Raw Data'!A1961</f>
        <v>01/14/2025</v>
      </c>
      <c r="B1958" t="str">
        <f>'Raw Data'!C1961</f>
        <v>AMAZON MARKEPLACE NA PA</v>
      </c>
      <c r="C1958" t="str">
        <f>'Raw Data'!I1961</f>
        <v>Amazon</v>
      </c>
      <c r="D1958" s="31">
        <f>'Raw Data'!F1961</f>
        <v>317.85000000000002</v>
      </c>
    </row>
    <row r="1959" spans="1:4" x14ac:dyDescent="0.25">
      <c r="A1959" t="str">
        <f>'Raw Data'!A1962</f>
        <v>01/14/2025</v>
      </c>
      <c r="B1959" t="str">
        <f>'Raw Data'!C1962</f>
        <v>DNH*GODADDY#35249058Tempe               AZ</v>
      </c>
      <c r="C1959" t="str">
        <f>'Raw Data'!I1962</f>
        <v>Go Daddy</v>
      </c>
      <c r="D1959" s="31">
        <f>'Raw Data'!F1962</f>
        <v>31.97</v>
      </c>
    </row>
    <row r="1960" spans="1:4" x14ac:dyDescent="0.25">
      <c r="A1960" t="str">
        <f>'Raw Data'!A1963</f>
        <v>01/14/2025</v>
      </c>
      <c r="B1960" t="str">
        <f>'Raw Data'!C1963</f>
        <v>KINDLE UNLTD*Z541A21888-802-3080        WA</v>
      </c>
      <c r="C1960" t="str">
        <f>'Raw Data'!I1963</f>
        <v>Personal - Entertainment</v>
      </c>
      <c r="D1960" s="31">
        <f>'Raw Data'!F1963</f>
        <v>12.98</v>
      </c>
    </row>
    <row r="1961" spans="1:4" x14ac:dyDescent="0.25">
      <c r="A1961" t="str">
        <f>'Raw Data'!A1964</f>
        <v>01/13/2025</v>
      </c>
      <c r="B1961" t="str">
        <f>'Raw Data'!C1964</f>
        <v>AMAZON MARKETPLACE NAMZN.COM/BILL       WA</v>
      </c>
      <c r="C1961" t="str">
        <f>'Raw Data'!I1964</f>
        <v>Amazon</v>
      </c>
      <c r="D1961" s="31">
        <f>'Raw Data'!F1964</f>
        <v>-413.9</v>
      </c>
    </row>
    <row r="1962" spans="1:4" x14ac:dyDescent="0.25">
      <c r="A1962" t="str">
        <f>'Raw Data'!A1965</f>
        <v>01/13/2025</v>
      </c>
      <c r="B1962" t="str">
        <f>'Raw Data'!C1965</f>
        <v>AMAZON MARKETPLACE NAMZN.COM/BILL       WA</v>
      </c>
      <c r="C1962" t="str">
        <f>'Raw Data'!I1965</f>
        <v>Amazon</v>
      </c>
      <c r="D1962" s="31">
        <f>'Raw Data'!F1965</f>
        <v>-211.9</v>
      </c>
    </row>
    <row r="1963" spans="1:4" x14ac:dyDescent="0.25">
      <c r="A1963" t="str">
        <f>'Raw Data'!A1966</f>
        <v>01/13/2025</v>
      </c>
      <c r="B1963" t="str">
        <f>'Raw Data'!C1966</f>
        <v>AMAZON MARKETPLACE NAMZN.COM/BILL       WA</v>
      </c>
      <c r="C1963" t="str">
        <f>'Raw Data'!I1966</f>
        <v>Amazon</v>
      </c>
      <c r="D1963" s="31">
        <f>'Raw Data'!F1966</f>
        <v>-122.25</v>
      </c>
    </row>
    <row r="1964" spans="1:4" x14ac:dyDescent="0.25">
      <c r="A1964" t="str">
        <f>'Raw Data'!A1967</f>
        <v>01/13/2025</v>
      </c>
      <c r="B1964" t="str">
        <f>'Raw Data'!C1967</f>
        <v>AMAZON MARKETPLACE NAMZN.COM/BILL       WA</v>
      </c>
      <c r="C1964" t="str">
        <f>'Raw Data'!I1967</f>
        <v>Amazon</v>
      </c>
      <c r="D1964" s="31">
        <f>'Raw Data'!F1967</f>
        <v>-105.95</v>
      </c>
    </row>
    <row r="1965" spans="1:4" x14ac:dyDescent="0.25">
      <c r="A1965" t="str">
        <f>'Raw Data'!A1968</f>
        <v>01/13/2025</v>
      </c>
      <c r="B1965" t="str">
        <f>'Raw Data'!C1968</f>
        <v>AMAZON MARKETPLACE NAMZN.COM/BILL       WA</v>
      </c>
      <c r="C1965" t="str">
        <f>'Raw Data'!I1968</f>
        <v>Amazon</v>
      </c>
      <c r="D1965" s="31">
        <f>'Raw Data'!F1968</f>
        <v>-27.93</v>
      </c>
    </row>
    <row r="1966" spans="1:4" x14ac:dyDescent="0.25">
      <c r="A1966" t="str">
        <f>'Raw Data'!A1969</f>
        <v>01/13/2025</v>
      </c>
      <c r="B1966" t="str">
        <f>'Raw Data'!C1969</f>
        <v>AMAZON MARKETPLACE NAMZN.COM/BILL       WA</v>
      </c>
      <c r="C1966" t="str">
        <f>'Raw Data'!I1969</f>
        <v>Amazon</v>
      </c>
      <c r="D1966" s="31">
        <f>'Raw Data'!F1969</f>
        <v>-23.8</v>
      </c>
    </row>
    <row r="1967" spans="1:4" x14ac:dyDescent="0.25">
      <c r="A1967" t="str">
        <f>'Raw Data'!A1970</f>
        <v>01/13/2025</v>
      </c>
      <c r="B1967" t="str">
        <f>'Raw Data'!C1970</f>
        <v>AMAZON MARKEPLACE NA PA</v>
      </c>
      <c r="C1967" t="str">
        <f>'Raw Data'!I1970</f>
        <v>Amazon</v>
      </c>
      <c r="D1967" s="31">
        <f>'Raw Data'!F1970</f>
        <v>23.8</v>
      </c>
    </row>
    <row r="1968" spans="1:4" x14ac:dyDescent="0.25">
      <c r="A1968" t="str">
        <f>'Raw Data'!A1971</f>
        <v>01/13/2025</v>
      </c>
      <c r="B1968" t="str">
        <f>'Raw Data'!C1971</f>
        <v>AMAZON MARKEPLACE NA PA</v>
      </c>
      <c r="C1968" t="str">
        <f>'Raw Data'!I1971</f>
        <v>Amazon</v>
      </c>
      <c r="D1968" s="31">
        <f>'Raw Data'!F1971</f>
        <v>27.93</v>
      </c>
    </row>
    <row r="1969" spans="1:4" x14ac:dyDescent="0.25">
      <c r="A1969" t="str">
        <f>'Raw Data'!A1972</f>
        <v>01/13/2025</v>
      </c>
      <c r="B1969" t="str">
        <f>'Raw Data'!C1972</f>
        <v>AMAZON MARKEPLACE NA PA</v>
      </c>
      <c r="C1969" t="str">
        <f>'Raw Data'!I1972</f>
        <v>Amazon</v>
      </c>
      <c r="D1969" s="31">
        <f>'Raw Data'!F1972</f>
        <v>105.95</v>
      </c>
    </row>
    <row r="1970" spans="1:4" x14ac:dyDescent="0.25">
      <c r="A1970" t="str">
        <f>'Raw Data'!A1973</f>
        <v>01/13/2025</v>
      </c>
      <c r="B1970" t="str">
        <f>'Raw Data'!C1973</f>
        <v>AMAZON MARKEPLACE NA PA</v>
      </c>
      <c r="C1970" t="str">
        <f>'Raw Data'!I1973</f>
        <v>Amazon</v>
      </c>
      <c r="D1970" s="31">
        <f>'Raw Data'!F1973</f>
        <v>122.25</v>
      </c>
    </row>
    <row r="1971" spans="1:4" x14ac:dyDescent="0.25">
      <c r="A1971" t="str">
        <f>'Raw Data'!A1974</f>
        <v>01/13/2025</v>
      </c>
      <c r="B1971" t="str">
        <f>'Raw Data'!C1974</f>
        <v>AMAZON MARKEPLACE NA PA</v>
      </c>
      <c r="C1971" t="str">
        <f>'Raw Data'!I1974</f>
        <v>Amazon</v>
      </c>
      <c r="D1971" s="31">
        <f>'Raw Data'!F1974</f>
        <v>211.9</v>
      </c>
    </row>
    <row r="1972" spans="1:4" x14ac:dyDescent="0.25">
      <c r="A1972" t="str">
        <f>'Raw Data'!A1975</f>
        <v>01/13/2025</v>
      </c>
      <c r="B1972" t="str">
        <f>'Raw Data'!C1975</f>
        <v>AMAZON MARKEPLACE NA PA</v>
      </c>
      <c r="C1972" t="str">
        <f>'Raw Data'!I1975</f>
        <v>Amazon</v>
      </c>
      <c r="D1972" s="31">
        <f>'Raw Data'!F1975</f>
        <v>413.9</v>
      </c>
    </row>
    <row r="1973" spans="1:4" x14ac:dyDescent="0.25">
      <c r="A1973" t="str">
        <f>'Raw Data'!A1976</f>
        <v>01/13/2025</v>
      </c>
      <c r="B1973" t="str">
        <f>'Raw Data'!C1976</f>
        <v>AMAZON.COM          AMZN.COM/BILL       WA</v>
      </c>
      <c r="C1973" t="str">
        <f>'Raw Data'!I1976</f>
        <v>Amazon</v>
      </c>
      <c r="D1973" s="31">
        <f>'Raw Data'!F1976</f>
        <v>13.99</v>
      </c>
    </row>
    <row r="1974" spans="1:4" x14ac:dyDescent="0.25">
      <c r="A1974" t="str">
        <f>'Raw Data'!A1977</f>
        <v>01/13/2025</v>
      </c>
      <c r="B1974" t="str">
        <f>'Raw Data'!C1977</f>
        <v>DNH*GODADDY#35227918Tempe               AZ</v>
      </c>
      <c r="C1974" t="str">
        <f>'Raw Data'!I1977</f>
        <v>Go Daddy</v>
      </c>
      <c r="D1974" s="31">
        <f>'Raw Data'!F1977</f>
        <v>52.94</v>
      </c>
    </row>
    <row r="1975" spans="1:4" x14ac:dyDescent="0.25">
      <c r="A1975" t="str">
        <f>'Raw Data'!A1978</f>
        <v>01/12/2025</v>
      </c>
      <c r="B1975" t="str">
        <f>'Raw Data'!C1978</f>
        <v>AMAZON MARKETPLACE NAMZN.COM/BILL       WA</v>
      </c>
      <c r="C1975" t="str">
        <f>'Raw Data'!I1978</f>
        <v>Amazon</v>
      </c>
      <c r="D1975" s="31">
        <f>'Raw Data'!F1978</f>
        <v>-367.85</v>
      </c>
    </row>
    <row r="1976" spans="1:4" x14ac:dyDescent="0.25">
      <c r="A1976" t="str">
        <f>'Raw Data'!A1979</f>
        <v>01/12/2025</v>
      </c>
      <c r="B1976" t="str">
        <f>'Raw Data'!C1979</f>
        <v>AMAZON MARKEPLACE NA PA</v>
      </c>
      <c r="C1976" t="str">
        <f>'Raw Data'!I1979</f>
        <v>Amazon</v>
      </c>
      <c r="D1976" s="31">
        <f>'Raw Data'!F1979</f>
        <v>367.85</v>
      </c>
    </row>
    <row r="1977" spans="1:4" x14ac:dyDescent="0.25">
      <c r="A1977" t="str">
        <f>'Raw Data'!A1980</f>
        <v>01/12/2025</v>
      </c>
      <c r="B1977" t="str">
        <f>'Raw Data'!C1980</f>
        <v>PAYPAL *GOFNDME  HEL8448964938          CA</v>
      </c>
      <c r="C1977" t="str">
        <f>'Raw Data'!I1980</f>
        <v>Donation</v>
      </c>
      <c r="D1977" s="31">
        <f>'Raw Data'!F1980</f>
        <v>330</v>
      </c>
    </row>
    <row r="1978" spans="1:4" x14ac:dyDescent="0.25">
      <c r="A1978" t="str">
        <f>'Raw Data'!A1981</f>
        <v>01/12/2025</v>
      </c>
      <c r="B1978" t="str">
        <f>'Raw Data'!C1981</f>
        <v>SPOTIFY USA         NEW YORK            NY</v>
      </c>
      <c r="C1978" t="str">
        <f>'Raw Data'!I1981</f>
        <v>Software &amp; Subscriptions</v>
      </c>
      <c r="D1978" s="31">
        <f>'Raw Data'!F1981</f>
        <v>12.98</v>
      </c>
    </row>
    <row r="1979" spans="1:4" x14ac:dyDescent="0.25">
      <c r="A1979" t="str">
        <f>'Raw Data'!A1982</f>
        <v>01/11/2025</v>
      </c>
      <c r="B1979" t="str">
        <f>'Raw Data'!C1982</f>
        <v>1 HR PHOTO AVE 14500LOS ANGELES         CA</v>
      </c>
      <c r="C1979" t="str">
        <f>'Raw Data'!I1982</f>
        <v>Personal - Entertainment</v>
      </c>
      <c r="D1979" s="31">
        <f>'Raw Data'!F1982</f>
        <v>24.09</v>
      </c>
    </row>
    <row r="1980" spans="1:4" x14ac:dyDescent="0.25">
      <c r="A1980" t="str">
        <f>'Raw Data'!A1983</f>
        <v>01/11/2025</v>
      </c>
      <c r="B1980" t="str">
        <f>'Raw Data'!C1983</f>
        <v>AMAZON MARKETPLACE NAMZN.COM/BILL       WA</v>
      </c>
      <c r="C1980" t="str">
        <f>'Raw Data'!I1983</f>
        <v>Amazon</v>
      </c>
      <c r="D1980" s="31">
        <f>'Raw Data'!F1983</f>
        <v>-82.22</v>
      </c>
    </row>
    <row r="1981" spans="1:4" x14ac:dyDescent="0.25">
      <c r="A1981" t="str">
        <f>'Raw Data'!A1984</f>
        <v>01/11/2025</v>
      </c>
      <c r="B1981" t="str">
        <f>'Raw Data'!C1984</f>
        <v>AMAZON MARKEPLACE NA PA</v>
      </c>
      <c r="C1981" t="str">
        <f>'Raw Data'!I1984</f>
        <v>Amazon</v>
      </c>
      <c r="D1981" s="31">
        <f>'Raw Data'!F1984</f>
        <v>82.22</v>
      </c>
    </row>
    <row r="1982" spans="1:4" x14ac:dyDescent="0.25">
      <c r="A1982" t="str">
        <f>'Raw Data'!A1985</f>
        <v>01/11/2025</v>
      </c>
      <c r="B1982" t="str">
        <f>'Raw Data'!C1985</f>
        <v>DNH*GODADDY#35180809Tempe               AZ</v>
      </c>
      <c r="C1982" t="str">
        <f>'Raw Data'!I1985</f>
        <v>Go Daddy</v>
      </c>
      <c r="D1982" s="31">
        <f>'Raw Data'!F1985</f>
        <v>60.73</v>
      </c>
    </row>
    <row r="1983" spans="1:4" x14ac:dyDescent="0.25">
      <c r="A1983" t="str">
        <f>'Raw Data'!A1986</f>
        <v>01/11/2025</v>
      </c>
      <c r="B1983" t="str">
        <f>'Raw Data'!C1986</f>
        <v>ONSTAR, LLC         DETROIT             MI</v>
      </c>
      <c r="C1983" t="str">
        <f>'Raw Data'!I1986</f>
        <v>Personal - Car</v>
      </c>
      <c r="D1983" s="31">
        <f>'Raw Data'!F1986</f>
        <v>31.97</v>
      </c>
    </row>
    <row r="1984" spans="1:4" x14ac:dyDescent="0.25">
      <c r="A1984" t="str">
        <f>'Raw Data'!A1987</f>
        <v>01/11/2025</v>
      </c>
      <c r="B1984" t="str">
        <f>'Raw Data'!C1987</f>
        <v>PAYA THAI LA LLC    LOS ANGELES         CA</v>
      </c>
      <c r="C1984" t="str">
        <f>'Raw Data'!I1987</f>
        <v>Personal - Health</v>
      </c>
      <c r="D1984" s="31">
        <f>'Raw Data'!F1987</f>
        <v>150</v>
      </c>
    </row>
    <row r="1985" spans="1:4" x14ac:dyDescent="0.25">
      <c r="A1985" t="str">
        <f>'Raw Data'!A1988</f>
        <v>01/11/2025</v>
      </c>
      <c r="B1985" t="str">
        <f>'Raw Data'!C1988</f>
        <v>STARBUCKS STORE 0546LOS ANGELES         CA</v>
      </c>
      <c r="C1985" t="str">
        <f>'Raw Data'!I1988</f>
        <v>Personal - Food</v>
      </c>
      <c r="D1985" s="31">
        <f>'Raw Data'!F1988</f>
        <v>24.1</v>
      </c>
    </row>
    <row r="1986" spans="1:4" x14ac:dyDescent="0.25">
      <c r="A1986" t="str">
        <f>'Raw Data'!A1989</f>
        <v>01/11/2025</v>
      </c>
      <c r="B1986" t="str">
        <f>'Raw Data'!C1989</f>
        <v>TST* DOOMIES HOME COLOS ANGELES         CA</v>
      </c>
      <c r="C1986" t="str">
        <f>'Raw Data'!I1989</f>
        <v>Personal - Food</v>
      </c>
      <c r="D1986" s="31">
        <f>'Raw Data'!F1989</f>
        <v>72.97</v>
      </c>
    </row>
    <row r="1987" spans="1:4" x14ac:dyDescent="0.25">
      <c r="A1987" t="str">
        <f>'Raw Data'!A1990</f>
        <v>01/10/2025</v>
      </c>
      <c r="B1987" t="str">
        <f>'Raw Data'!C1990</f>
        <v>AMAZON.COM          AMZN.COM/BILL       WA</v>
      </c>
      <c r="C1987" t="str">
        <f>'Raw Data'!I1990</f>
        <v>Amazon</v>
      </c>
      <c r="D1987" s="31">
        <f>'Raw Data'!F1990</f>
        <v>187.83</v>
      </c>
    </row>
    <row r="1988" spans="1:4" x14ac:dyDescent="0.25">
      <c r="A1988" t="str">
        <f>'Raw Data'!A1991</f>
        <v>01/10/2025</v>
      </c>
      <c r="B1988" t="str">
        <f>'Raw Data'!C1991</f>
        <v>MED*CEDARS SINAI MEDLOS ANGELES         CA</v>
      </c>
      <c r="C1988" t="str">
        <f>'Raw Data'!I1991</f>
        <v>Personal - Health</v>
      </c>
      <c r="D1988" s="31">
        <f>'Raw Data'!F1991</f>
        <v>225</v>
      </c>
    </row>
    <row r="1989" spans="1:4" x14ac:dyDescent="0.25">
      <c r="A1989" t="str">
        <f>'Raw Data'!A1992</f>
        <v>01/10/2025</v>
      </c>
      <c r="B1989" t="str">
        <f>'Raw Data'!C1992</f>
        <v>TST* TUTS EGYPTIAN CLOS ANGELES         CA</v>
      </c>
      <c r="C1989" t="str">
        <f>'Raw Data'!I1992</f>
        <v>Personal - Food</v>
      </c>
      <c r="D1989" s="31">
        <f>'Raw Data'!F1992</f>
        <v>43.3</v>
      </c>
    </row>
    <row r="1990" spans="1:4" x14ac:dyDescent="0.25">
      <c r="A1990" t="str">
        <f>'Raw Data'!A1993</f>
        <v>01/10/2025</v>
      </c>
      <c r="B1990" t="str">
        <f>'Raw Data'!C1993</f>
        <v>VIMEO PRO           212-625-0668        NY</v>
      </c>
      <c r="C1990" t="str">
        <f>'Raw Data'!I1993</f>
        <v>Software &amp; Subscriptions</v>
      </c>
      <c r="D1990" s="31">
        <f>'Raw Data'!F1993</f>
        <v>24</v>
      </c>
    </row>
    <row r="1991" spans="1:4" x14ac:dyDescent="0.25">
      <c r="A1991" t="str">
        <f>'Raw Data'!A1994</f>
        <v>01/09/2025</v>
      </c>
      <c r="B1991" t="str">
        <f>'Raw Data'!C1994</f>
        <v>DEPARTMENT OF REAL ESACRAMENTO          CA</v>
      </c>
      <c r="C1991" t="str">
        <f>'Raw Data'!I1994</f>
        <v>Personal - Food</v>
      </c>
      <c r="D1991" s="31">
        <f>'Raw Data'!F1994</f>
        <v>525</v>
      </c>
    </row>
    <row r="1992" spans="1:4" x14ac:dyDescent="0.25">
      <c r="A1992" t="str">
        <f>'Raw Data'!A1995</f>
        <v>01/08/2025</v>
      </c>
      <c r="B1992" t="str">
        <f>'Raw Data'!C1995</f>
        <v>AMAZON MARKETPLACE NAMZN.COM/BILL       WA</v>
      </c>
      <c r="C1992" t="str">
        <f>'Raw Data'!I1995</f>
        <v>Amazon</v>
      </c>
      <c r="D1992" s="31">
        <f>'Raw Data'!F1995</f>
        <v>-238.14</v>
      </c>
    </row>
    <row r="1993" spans="1:4" x14ac:dyDescent="0.25">
      <c r="A1993" t="str">
        <f>'Raw Data'!A1996</f>
        <v>01/08/2025</v>
      </c>
      <c r="B1993" t="str">
        <f>'Raw Data'!C1996</f>
        <v>AMAZON MARKEPLACE NA PA</v>
      </c>
      <c r="C1993" t="str">
        <f>'Raw Data'!I1996</f>
        <v>Amazon</v>
      </c>
      <c r="D1993" s="31">
        <f>'Raw Data'!F1996</f>
        <v>238.14</v>
      </c>
    </row>
    <row r="1994" spans="1:4" x14ac:dyDescent="0.25">
      <c r="A1994" t="str">
        <f>'Raw Data'!A1997</f>
        <v>01/08/2025</v>
      </c>
      <c r="B1994" t="str">
        <f>'Raw Data'!C1997</f>
        <v>OPENAI *CHATGPT SUBSSAN FRANCISCO       CA</v>
      </c>
      <c r="C1994" t="str">
        <f>'Raw Data'!I1997</f>
        <v>AI Subscriptions</v>
      </c>
      <c r="D1994" s="31">
        <f>'Raw Data'!F1997</f>
        <v>20</v>
      </c>
    </row>
    <row r="1995" spans="1:4" x14ac:dyDescent="0.25">
      <c r="A1995" t="str">
        <f>'Raw Data'!A1998</f>
        <v>01/07/2025</v>
      </c>
      <c r="B1995" t="str">
        <f>'Raw Data'!C1998</f>
        <v>AMAZON MARKETPLACE NAMZN.COM/BILL       WA</v>
      </c>
      <c r="C1995" t="str">
        <f>'Raw Data'!I1998</f>
        <v>Amazon</v>
      </c>
      <c r="D1995" s="31">
        <f>'Raw Data'!F1998</f>
        <v>-31.38</v>
      </c>
    </row>
    <row r="1996" spans="1:4" x14ac:dyDescent="0.25">
      <c r="A1996" t="str">
        <f>'Raw Data'!A1999</f>
        <v>01/07/2025</v>
      </c>
      <c r="B1996" t="str">
        <f>'Raw Data'!C1999</f>
        <v>AMAZON MARKEPLACE NA PA</v>
      </c>
      <c r="C1996" t="str">
        <f>'Raw Data'!I1999</f>
        <v>Amazon</v>
      </c>
      <c r="D1996" s="31">
        <f>'Raw Data'!F1999</f>
        <v>31.38</v>
      </c>
    </row>
    <row r="1997" spans="1:4" x14ac:dyDescent="0.25">
      <c r="A1997" t="str">
        <f>'Raw Data'!A2000</f>
        <v>01/07/2025</v>
      </c>
      <c r="B1997" t="str">
        <f>'Raw Data'!C2000</f>
        <v>DNH*GODADDY#35113323Tempe               AZ</v>
      </c>
      <c r="C1997" t="str">
        <f>'Raw Data'!I2000</f>
        <v>Go Daddy</v>
      </c>
      <c r="D1997" s="31">
        <f>'Raw Data'!F2000</f>
        <v>10.99</v>
      </c>
    </row>
    <row r="1998" spans="1:4" x14ac:dyDescent="0.25">
      <c r="A1998" t="str">
        <f>'Raw Data'!A2001</f>
        <v>01/07/2025</v>
      </c>
      <c r="B1998" t="str">
        <f>'Raw Data'!C2001</f>
        <v>READ - MEETING MANAGSEATTLE             WA</v>
      </c>
      <c r="C1998" t="str">
        <f>'Raw Data'!I2001</f>
        <v>DWG Operations</v>
      </c>
      <c r="D1998" s="31">
        <f>'Raw Data'!F2001</f>
        <v>59.5</v>
      </c>
    </row>
    <row r="1999" spans="1:4" x14ac:dyDescent="0.25">
      <c r="A1999" t="str">
        <f>'Raw Data'!A2002</f>
        <v>01/06/2025</v>
      </c>
      <c r="B1999" t="str">
        <f>'Raw Data'!C2002</f>
        <v>DNH*GODADDY#35087567Tempe               AZ</v>
      </c>
      <c r="C1999" t="str">
        <f>'Raw Data'!I2002</f>
        <v>Go Daddy</v>
      </c>
      <c r="D1999" s="31">
        <f>'Raw Data'!F2002</f>
        <v>31.97</v>
      </c>
    </row>
    <row r="2000" spans="1:4" x14ac:dyDescent="0.25">
      <c r="A2000" t="str">
        <f>'Raw Data'!A2003</f>
        <v>01/06/2025</v>
      </c>
      <c r="B2000" t="str">
        <f>'Raw Data'!C2003</f>
        <v>AMAZON MARKETPLACE NAMZN.COM/BILL       WA</v>
      </c>
      <c r="C2000" t="str">
        <f>'Raw Data'!I2003</f>
        <v>Amazon</v>
      </c>
      <c r="D2000" s="31">
        <f>'Raw Data'!F2003</f>
        <v>-312.89999999999998</v>
      </c>
    </row>
    <row r="2001" spans="1:4" x14ac:dyDescent="0.25">
      <c r="A2001" t="str">
        <f>'Raw Data'!A2004</f>
        <v>01/06/2025</v>
      </c>
      <c r="B2001" t="str">
        <f>'Raw Data'!C2004</f>
        <v>AMAZON MARKEPLACE NA PA</v>
      </c>
      <c r="C2001" t="str">
        <f>'Raw Data'!I2004</f>
        <v>Amazon</v>
      </c>
      <c r="D2001" s="31">
        <f>'Raw Data'!F2004</f>
        <v>312.89999999999998</v>
      </c>
    </row>
    <row r="2002" spans="1:4" x14ac:dyDescent="0.25">
      <c r="A2002" t="str">
        <f>'Raw Data'!A2005</f>
        <v>01/06/2025</v>
      </c>
      <c r="B2002" t="str">
        <f>'Raw Data'!C2005</f>
        <v>AMAZON PRIME*ZD2AV0FAMZN.COM/BILL       WA</v>
      </c>
      <c r="C2002" t="str">
        <f>'Raw Data'!I2005</f>
        <v>Amazon</v>
      </c>
      <c r="D2002" s="31">
        <f>'Raw Data'!F2005</f>
        <v>3.24</v>
      </c>
    </row>
    <row r="2003" spans="1:4" x14ac:dyDescent="0.25">
      <c r="A2003" t="str">
        <f>'Raw Data'!A2006</f>
        <v>01/06/2025</v>
      </c>
      <c r="B2003" t="str">
        <f>'Raw Data'!C2006</f>
        <v>Amazon Prime        Amazon.com          WA</v>
      </c>
      <c r="C2003" t="str">
        <f>'Raw Data'!I2006</f>
        <v>Amazon</v>
      </c>
      <c r="D2003" s="31">
        <f>'Raw Data'!F2006</f>
        <v>16.23</v>
      </c>
    </row>
    <row r="2004" spans="1:4" x14ac:dyDescent="0.25">
      <c r="A2004" t="str">
        <f>'Raw Data'!A2007</f>
        <v>01/06/2025</v>
      </c>
      <c r="B2004" t="str">
        <f>'Raw Data'!C2007</f>
        <v>BRAVE.COM           SAN FRANCISCO       CA</v>
      </c>
      <c r="C2004" t="str">
        <f>'Raw Data'!I2007</f>
        <v>Software &amp; Subscriptions</v>
      </c>
      <c r="D2004" s="31">
        <f>'Raw Data'!F2007</f>
        <v>9.99</v>
      </c>
    </row>
    <row r="2005" spans="1:4" x14ac:dyDescent="0.25">
      <c r="A2005" t="str">
        <f>'Raw Data'!A2008</f>
        <v>01/06/2025</v>
      </c>
      <c r="B2005" t="str">
        <f>'Raw Data'!C2008</f>
        <v>CREXI               LOS ANGELES         CA</v>
      </c>
      <c r="C2005" t="str">
        <f>'Raw Data'!I2008</f>
        <v>DWG Listing Platform</v>
      </c>
      <c r="D2005" s="31">
        <f>'Raw Data'!F2008</f>
        <v>260</v>
      </c>
    </row>
    <row r="2006" spans="1:4" x14ac:dyDescent="0.25">
      <c r="A2006" t="str">
        <f>'Raw Data'!A2009</f>
        <v>01/05/2025</v>
      </c>
      <c r="B2006" t="str">
        <f>'Raw Data'!C2009</f>
        <v>DNH*GODADDY#35060880Tempe               AZ</v>
      </c>
      <c r="C2006" t="str">
        <f>'Raw Data'!I2009</f>
        <v>Go Daddy</v>
      </c>
      <c r="D2006" s="31">
        <f>'Raw Data'!F2009</f>
        <v>18.97</v>
      </c>
    </row>
    <row r="2007" spans="1:4" x14ac:dyDescent="0.25">
      <c r="A2007" t="str">
        <f>'Raw Data'!A2010</f>
        <v>01/05/2025</v>
      </c>
      <c r="B2007" t="str">
        <f>'Raw Data'!C2010</f>
        <v>TST* THE BUTCHERS DAVENICE              CA</v>
      </c>
      <c r="C2007" t="str">
        <f>'Raw Data'!I2010</f>
        <v>Personal - Food</v>
      </c>
      <c r="D2007" s="31">
        <f>'Raw Data'!F2010</f>
        <v>153.86000000000001</v>
      </c>
    </row>
    <row r="2008" spans="1:4" x14ac:dyDescent="0.25">
      <c r="A2008" t="str">
        <f>'Raw Data'!A2011</f>
        <v>01/04/2025</v>
      </c>
      <c r="B2008" t="str">
        <f>'Raw Data'!C2011</f>
        <v>AMAZON MARKETPLACE NAMZN.COM/BILL       WA</v>
      </c>
      <c r="C2008" t="str">
        <f>'Raw Data'!I2011</f>
        <v>Amazon</v>
      </c>
      <c r="D2008" s="31">
        <f>'Raw Data'!F2011</f>
        <v>-206.95</v>
      </c>
    </row>
    <row r="2009" spans="1:4" x14ac:dyDescent="0.25">
      <c r="A2009" t="str">
        <f>'Raw Data'!A2012</f>
        <v>01/04/2025</v>
      </c>
      <c r="B2009" t="str">
        <f>'Raw Data'!C2012</f>
        <v>AMAZON MARKETPLACE NAMZN.COM/BILL       WA</v>
      </c>
      <c r="C2009" t="str">
        <f>'Raw Data'!I2012</f>
        <v>Amazon</v>
      </c>
      <c r="D2009" s="31">
        <f>'Raw Data'!F2012</f>
        <v>-54.95</v>
      </c>
    </row>
    <row r="2010" spans="1:4" x14ac:dyDescent="0.25">
      <c r="A2010" t="str">
        <f>'Raw Data'!A2013</f>
        <v>01/04/2025</v>
      </c>
      <c r="B2010" t="str">
        <f>'Raw Data'!C2013</f>
        <v>AMAZON MARKEPLACE NA PA</v>
      </c>
      <c r="C2010" t="str">
        <f>'Raw Data'!I2013</f>
        <v>Amazon</v>
      </c>
      <c r="D2010" s="31">
        <f>'Raw Data'!F2013</f>
        <v>54.95</v>
      </c>
    </row>
    <row r="2011" spans="1:4" x14ac:dyDescent="0.25">
      <c r="A2011" t="str">
        <f>'Raw Data'!A2014</f>
        <v>01/04/2025</v>
      </c>
      <c r="B2011" t="str">
        <f>'Raw Data'!C2014</f>
        <v>AMAZON MARKEPLACE NA PA</v>
      </c>
      <c r="C2011" t="str">
        <f>'Raw Data'!I2014</f>
        <v>Amazon</v>
      </c>
      <c r="D2011" s="31">
        <f>'Raw Data'!F2014</f>
        <v>206.95</v>
      </c>
    </row>
    <row r="2012" spans="1:4" x14ac:dyDescent="0.25">
      <c r="A2012" t="str">
        <f>'Raw Data'!A2015</f>
        <v>01/04/2025</v>
      </c>
      <c r="B2012" t="str">
        <f>'Raw Data'!C2015</f>
        <v>AMERICAN EXPRESS TVLPHOENIX             AZ</v>
      </c>
      <c r="C2012" t="str">
        <f>'Raw Data'!I2015</f>
        <v>Team Travel (Judd)</v>
      </c>
      <c r="D2012" s="31">
        <f>'Raw Data'!F2015</f>
        <v>906.97</v>
      </c>
    </row>
    <row r="2013" spans="1:4" x14ac:dyDescent="0.25">
      <c r="A2013" t="str">
        <f>'Raw Data'!A2016</f>
        <v>01/04/2025</v>
      </c>
      <c r="B2013" t="str">
        <f>'Raw Data'!C2016</f>
        <v>AMEX TRAVEL PURCHASE WITH MR POINTS CREDIT</v>
      </c>
      <c r="C2013" t="str">
        <f>'Raw Data'!I2016</f>
        <v>Team Travel (Judd)</v>
      </c>
      <c r="D2013" s="31">
        <f>'Raw Data'!F2016</f>
        <v>-906.97</v>
      </c>
    </row>
    <row r="2014" spans="1:4" x14ac:dyDescent="0.25">
      <c r="A2014" t="str">
        <f>'Raw Data'!A2017</f>
        <v>01/04/2025</v>
      </c>
      <c r="B2014" t="str">
        <f>'Raw Data'!C2017</f>
        <v>UBER</v>
      </c>
      <c r="C2014" t="str">
        <f>'Raw Data'!I2017</f>
        <v>Team Travel (Judd)</v>
      </c>
      <c r="D2014" s="31">
        <f>'Raw Data'!F2017</f>
        <v>13</v>
      </c>
    </row>
    <row r="2015" spans="1:4" x14ac:dyDescent="0.25">
      <c r="A2015" t="str">
        <f>'Raw Data'!A2018</f>
        <v>01/04/2025</v>
      </c>
      <c r="B2015" t="str">
        <f>'Raw Data'!C2018</f>
        <v>DNH*GODADDY#35052430Tempe               AZ</v>
      </c>
      <c r="C2015" t="str">
        <f>'Raw Data'!I2018</f>
        <v>Go Daddy</v>
      </c>
      <c r="D2015" s="31">
        <f>'Raw Data'!F2018</f>
        <v>41.97</v>
      </c>
    </row>
    <row r="2016" spans="1:4" x14ac:dyDescent="0.25">
      <c r="A2016" t="str">
        <f>'Raw Data'!A2019</f>
        <v>01/04/2025</v>
      </c>
      <c r="B2016" t="str">
        <f>'Raw Data'!C2019</f>
        <v>DRI*AVID TECHNOLOGY AVID.COM            MN</v>
      </c>
      <c r="C2016" t="str">
        <f>'Raw Data'!I2019</f>
        <v>Software &amp; Subscriptions</v>
      </c>
      <c r="D2016" s="31">
        <f>'Raw Data'!F2019</f>
        <v>99</v>
      </c>
    </row>
    <row r="2017" spans="1:4" x14ac:dyDescent="0.25">
      <c r="A2017" t="str">
        <f>'Raw Data'!A2020</f>
        <v>01/04/2025</v>
      </c>
      <c r="B2017" t="str">
        <f>'Raw Data'!C2020</f>
        <v>JACKS SURF BOARDS   SANTA MONICA        CA</v>
      </c>
      <c r="C2017" t="str">
        <f>'Raw Data'!I2020</f>
        <v>Personal - Entertainment</v>
      </c>
      <c r="D2017" s="31">
        <f>'Raw Data'!F2020</f>
        <v>-233.73</v>
      </c>
    </row>
    <row r="2018" spans="1:4" x14ac:dyDescent="0.25">
      <c r="A2018" t="str">
        <f>'Raw Data'!A2021</f>
        <v>01/04/2025</v>
      </c>
      <c r="B2018" t="str">
        <f>'Raw Data'!C2021</f>
        <v>JACKS SURF BOARDS   SANTA MONICA        CA</v>
      </c>
      <c r="C2018" t="str">
        <f>'Raw Data'!I2021</f>
        <v>Personal - Entertainment</v>
      </c>
      <c r="D2018" s="31">
        <f>'Raw Data'!F2021</f>
        <v>69.69</v>
      </c>
    </row>
    <row r="2019" spans="1:4" x14ac:dyDescent="0.25">
      <c r="A2019" t="str">
        <f>'Raw Data'!A2022</f>
        <v>01/04/2025</v>
      </c>
      <c r="B2019" t="str">
        <f>'Raw Data'!C2022</f>
        <v>THE HANGAR          Santa Monica        CA</v>
      </c>
      <c r="C2019" t="str">
        <f>'Raw Data'!I2022</f>
        <v>Personal - House</v>
      </c>
      <c r="D2019" s="31">
        <f>'Raw Data'!F2022</f>
        <v>198.45</v>
      </c>
    </row>
    <row r="2020" spans="1:4" x14ac:dyDescent="0.25">
      <c r="A2020" t="str">
        <f>'Raw Data'!A2023</f>
        <v>01/04/2025</v>
      </c>
      <c r="B2020" t="str">
        <f>'Raw Data'!C2023</f>
        <v>TST* BLUEYS KITCHEN LOS ANGELES         CA</v>
      </c>
      <c r="C2020" t="str">
        <f>'Raw Data'!I2023</f>
        <v>Personal - Food</v>
      </c>
      <c r="D2020" s="31">
        <f>'Raw Data'!F2023</f>
        <v>101.01</v>
      </c>
    </row>
    <row r="2021" spans="1:4" x14ac:dyDescent="0.25">
      <c r="A2021" t="str">
        <f>'Raw Data'!A2024</f>
        <v>01/04/2025</v>
      </c>
      <c r="B2021" t="str">
        <f>'Raw Data'!C2024</f>
        <v>www.TheEpochTimes.coNEW YORK            NY</v>
      </c>
      <c r="C2021" t="str">
        <f>'Raw Data'!I2024</f>
        <v>Software &amp; Subscriptions</v>
      </c>
      <c r="D2021" s="31">
        <f>'Raw Data'!F2024</f>
        <v>77</v>
      </c>
    </row>
    <row r="2022" spans="1:4" x14ac:dyDescent="0.25">
      <c r="A2022" t="str">
        <f>'Raw Data'!A2025</f>
        <v>01/03/2025</v>
      </c>
      <c r="B2022" t="str">
        <f>'Raw Data'!C2025</f>
        <v>AMAZON MARKETPLACE NAMZN.COM/BILL       WA</v>
      </c>
      <c r="C2022" t="str">
        <f>'Raw Data'!I2025</f>
        <v>Amazon</v>
      </c>
      <c r="D2022" s="31">
        <f>'Raw Data'!F2025</f>
        <v>-30.3</v>
      </c>
    </row>
    <row r="2023" spans="1:4" x14ac:dyDescent="0.25">
      <c r="A2023" t="str">
        <f>'Raw Data'!A2026</f>
        <v>01/03/2025</v>
      </c>
      <c r="B2023" t="str">
        <f>'Raw Data'!C2026</f>
        <v>AMAZON MARKEPLACE NA PA</v>
      </c>
      <c r="C2023" t="str">
        <f>'Raw Data'!I2026</f>
        <v>Amazon</v>
      </c>
      <c r="D2023" s="31">
        <f>'Raw Data'!F2026</f>
        <v>30.3</v>
      </c>
    </row>
    <row r="2024" spans="1:4" x14ac:dyDescent="0.25">
      <c r="A2024" t="str">
        <f>'Raw Data'!A2027</f>
        <v>01/03/2025</v>
      </c>
      <c r="B2024" t="str">
        <f>'Raw Data'!C2027</f>
        <v>CONTACTS+           HUNTINGTON BEACH    CA</v>
      </c>
      <c r="C2024" t="str">
        <f>'Raw Data'!I2027</f>
        <v>Personal - Health</v>
      </c>
      <c r="D2024" s="31">
        <f>'Raw Data'!F2027</f>
        <v>13.99</v>
      </c>
    </row>
    <row r="2025" spans="1:4" x14ac:dyDescent="0.25">
      <c r="A2025" t="str">
        <f>'Raw Data'!A2028</f>
        <v>01/03/2025</v>
      </c>
      <c r="B2025" t="str">
        <f>'Raw Data'!C2028</f>
        <v>SALESMESSAGE.COM    DELRAY BEACH        FL</v>
      </c>
      <c r="C2025" t="str">
        <f>'Raw Data'!I2028</f>
        <v>Software &amp; Subscriptions</v>
      </c>
      <c r="D2025" s="31">
        <f>'Raw Data'!F2028</f>
        <v>52.14</v>
      </c>
    </row>
    <row r="2026" spans="1:4" x14ac:dyDescent="0.25">
      <c r="A2026" t="str">
        <f>'Raw Data'!A2029</f>
        <v>01/02/2025</v>
      </c>
      <c r="B2026" t="str">
        <f>'Raw Data'!C2029</f>
        <v>ALAMO CANADA C487   RICHMOND            CA</v>
      </c>
      <c r="C2026" t="str">
        <f>'Raw Data'!I2029</f>
        <v>2024/2025 Canada Family Trip</v>
      </c>
      <c r="D2026" s="31">
        <f>'Raw Data'!F2029</f>
        <v>1134.1099999999999</v>
      </c>
    </row>
    <row r="2027" spans="1:4" x14ac:dyDescent="0.25">
      <c r="A2027" t="str">
        <f>'Raw Data'!A2030</f>
        <v>01/02/2025</v>
      </c>
      <c r="B2027" t="str">
        <f>'Raw Data'!C2030</f>
        <v>AMAZON MARKETPLACE NAMZN.COM/BILL       WA</v>
      </c>
      <c r="C2027" t="str">
        <f>'Raw Data'!I2030</f>
        <v>Amazon</v>
      </c>
      <c r="D2027" s="31">
        <f>'Raw Data'!F2030</f>
        <v>-206.95</v>
      </c>
    </row>
    <row r="2028" spans="1:4" x14ac:dyDescent="0.25">
      <c r="A2028" t="str">
        <f>'Raw Data'!A2031</f>
        <v>01/02/2025</v>
      </c>
      <c r="B2028" t="str">
        <f>'Raw Data'!C2031</f>
        <v>AMAZON MARKETPLACE NAMZN.COM/BILL       WA</v>
      </c>
      <c r="C2028" t="str">
        <f>'Raw Data'!I2031</f>
        <v>Amazon</v>
      </c>
      <c r="D2028" s="31">
        <f>'Raw Data'!F2031</f>
        <v>-76.81</v>
      </c>
    </row>
    <row r="2029" spans="1:4" x14ac:dyDescent="0.25">
      <c r="A2029" t="str">
        <f>'Raw Data'!A2032</f>
        <v>01/02/2025</v>
      </c>
      <c r="B2029" t="str">
        <f>'Raw Data'!C2032</f>
        <v>AMAZON MARKEPLACE NA PA</v>
      </c>
      <c r="C2029" t="str">
        <f>'Raw Data'!I2032</f>
        <v>Amazon</v>
      </c>
      <c r="D2029" s="31">
        <f>'Raw Data'!F2032</f>
        <v>76.81</v>
      </c>
    </row>
    <row r="2030" spans="1:4" x14ac:dyDescent="0.25">
      <c r="A2030" t="str">
        <f>'Raw Data'!A2033</f>
        <v>01/02/2025</v>
      </c>
      <c r="B2030" t="str">
        <f>'Raw Data'!C2033</f>
        <v>AMAZON MARKEPLACE NA PA</v>
      </c>
      <c r="C2030" t="str">
        <f>'Raw Data'!I2033</f>
        <v>Amazon</v>
      </c>
      <c r="D2030" s="31">
        <f>'Raw Data'!F2033</f>
        <v>206.95</v>
      </c>
    </row>
    <row r="2031" spans="1:4" x14ac:dyDescent="0.25">
      <c r="A2031" t="str">
        <f>'Raw Data'!A2034</f>
        <v>01/02/2025</v>
      </c>
      <c r="B2031" t="str">
        <f>'Raw Data'!C2034</f>
        <v>AMAZON.COM          AMZN.COM/BILL       WA</v>
      </c>
      <c r="C2031" t="str">
        <f>'Raw Data'!I2034</f>
        <v>Amazon</v>
      </c>
      <c r="D2031" s="31">
        <f>'Raw Data'!F2034</f>
        <v>28.48</v>
      </c>
    </row>
    <row r="2032" spans="1:4" x14ac:dyDescent="0.25">
      <c r="A2032" t="str">
        <f>'Raw Data'!A2035</f>
        <v>01/02/2025</v>
      </c>
      <c r="B2032" t="str">
        <f>'Raw Data'!C2035</f>
        <v>UBER</v>
      </c>
      <c r="C2032" t="str">
        <f>'Raw Data'!I2035</f>
        <v>2024/2025 Canada Family Trip</v>
      </c>
      <c r="D2032" s="31">
        <f>'Raw Data'!F2035</f>
        <v>43.46</v>
      </c>
    </row>
    <row r="2033" spans="1:4" x14ac:dyDescent="0.25">
      <c r="A2033" t="str">
        <f>'Raw Data'!A2036</f>
        <v>01/02/2025</v>
      </c>
      <c r="B2033" t="str">
        <f>'Raw Data'!C2036</f>
        <v>AplPay WIFIONBOARD AVANCOUVER           CA</v>
      </c>
      <c r="C2033" t="str">
        <f>'Raw Data'!I2036</f>
        <v>2024/2025 Canada Family Trip</v>
      </c>
      <c r="D2033" s="31">
        <f>'Raw Data'!F2036</f>
        <v>10.050000000000001</v>
      </c>
    </row>
    <row r="2034" spans="1:4" x14ac:dyDescent="0.25">
      <c r="A2034" t="str">
        <f>'Raw Data'!A2037</f>
        <v>01/02/2025</v>
      </c>
      <c r="B2034" t="str">
        <f>'Raw Data'!C2037</f>
        <v>INFUSE WELLNESS     SANTA MONICA        CA</v>
      </c>
      <c r="C2034" t="str">
        <f>'Raw Data'!I2037</f>
        <v>Personal - Health</v>
      </c>
      <c r="D2034" s="31">
        <f>'Raw Data'!F2037</f>
        <v>370</v>
      </c>
    </row>
    <row r="2035" spans="1:4" x14ac:dyDescent="0.25">
      <c r="A2035" t="str">
        <f>'Raw Data'!A2038</f>
        <v>01/02/2025</v>
      </c>
      <c r="B2035" t="str">
        <f>'Raw Data'!C2038</f>
        <v>RE RENEWAL 760325333PALM SPRINGS        CA</v>
      </c>
      <c r="C2035" t="str">
        <f>'Raw Data'!I2038</f>
        <v>Palm Springs Renewal</v>
      </c>
      <c r="D2035" s="31">
        <f>'Raw Data'!F2038</f>
        <v>599</v>
      </c>
    </row>
    <row r="2036" spans="1:4" x14ac:dyDescent="0.25">
      <c r="A2036" t="str">
        <f>'Raw Data'!A2039</f>
        <v>01/01/2025</v>
      </c>
      <c r="B2036" t="str">
        <f>'Raw Data'!C2039</f>
        <v>ABC*ICONFIT         LOS ANGELES         CA</v>
      </c>
      <c r="C2036" t="str">
        <f>'Raw Data'!I2039</f>
        <v>Personal - Health</v>
      </c>
      <c r="D2036" s="31">
        <f>'Raw Data'!F2039</f>
        <v>109.52</v>
      </c>
    </row>
    <row r="2037" spans="1:4" x14ac:dyDescent="0.25">
      <c r="A2037" t="str">
        <f>'Raw Data'!A2040</f>
        <v>01/01/2025</v>
      </c>
      <c r="B2037" t="str">
        <f>'Raw Data'!C2040</f>
        <v>AMAZON.COM          AMZN.COM/BILL       WA</v>
      </c>
      <c r="C2037" t="str">
        <f>'Raw Data'!I2040</f>
        <v>Amazon</v>
      </c>
      <c r="D2037" s="31">
        <f>'Raw Data'!F2040</f>
        <v>206.95</v>
      </c>
    </row>
    <row r="2038" spans="1:4" x14ac:dyDescent="0.25">
      <c r="A2038" t="str">
        <f>'Raw Data'!A2041</f>
        <v>01/01/2025</v>
      </c>
      <c r="B2038" t="str">
        <f>'Raw Data'!C2041</f>
        <v>BCF - COASTAL RENAISVICTORIA            CA</v>
      </c>
      <c r="C2038" t="str">
        <f>'Raw Data'!I2041</f>
        <v>Personal - Entertainment</v>
      </c>
      <c r="D2038" s="31">
        <f>'Raw Data'!F2041</f>
        <v>39.090000000000003</v>
      </c>
    </row>
    <row r="2039" spans="1:4" x14ac:dyDescent="0.25">
      <c r="A2039" t="str">
        <f>'Raw Data'!A2042</f>
        <v>01/01/2025</v>
      </c>
      <c r="B2039" t="str">
        <f>'Raw Data'!C2042</f>
        <v>BCF - DUKE POINT    VICTORIA            CA</v>
      </c>
      <c r="C2039" t="str">
        <f>'Raw Data'!I2042</f>
        <v>Personal - Entertainment</v>
      </c>
      <c r="D2039" s="31">
        <f>'Raw Data'!F2042</f>
        <v>73.88</v>
      </c>
    </row>
    <row r="2040" spans="1:4" x14ac:dyDescent="0.25">
      <c r="A2040" t="str">
        <f>'Raw Data'!A2043</f>
        <v>01/01/2025</v>
      </c>
      <c r="B2040" t="str">
        <f>'Raw Data'!C2043</f>
        <v>CNN ST1528 CNN ST152RICHMOND            CA</v>
      </c>
      <c r="C2040" t="str">
        <f>'Raw Data'!I2043</f>
        <v>Personal - Entertainment</v>
      </c>
      <c r="D2040" s="31">
        <f>'Raw Data'!F2043</f>
        <v>27.22</v>
      </c>
    </row>
    <row r="2041" spans="1:4" x14ac:dyDescent="0.25">
      <c r="A2041" t="str">
        <f>'Raw Data'!A2044</f>
        <v>01/01/2025</v>
      </c>
      <c r="B2041" t="str">
        <f>'Raw Data'!C2044</f>
        <v>COYOTE COFFEE CORPORNanaimo             CA</v>
      </c>
      <c r="C2041" t="str">
        <f>'Raw Data'!I2044</f>
        <v>Personal - Food</v>
      </c>
      <c r="D2041" s="31">
        <f>'Raw Data'!F2044</f>
        <v>3.13</v>
      </c>
    </row>
    <row r="2042" spans="1:4" x14ac:dyDescent="0.25">
      <c r="A2042" t="str">
        <f>'Raw Data'!A2045</f>
        <v>01/01/2025</v>
      </c>
      <c r="B2042" t="str">
        <f>'Raw Data'!C2045</f>
        <v>COYOTE COFFEE CORPORNanaimo             CA</v>
      </c>
      <c r="C2042" t="str">
        <f>'Raw Data'!I2045</f>
        <v>Personal - Food</v>
      </c>
      <c r="D2042" s="31">
        <f>'Raw Data'!F2045</f>
        <v>8.01</v>
      </c>
    </row>
    <row r="2043" spans="1:4" x14ac:dyDescent="0.25">
      <c r="A2043" t="str">
        <f>'Raw Data'!A2046</f>
        <v>01/01/2025</v>
      </c>
      <c r="B2043" t="str">
        <f>'Raw Data'!C2046</f>
        <v>DNH*GODADDY#34998459Tempe               AZ</v>
      </c>
      <c r="C2043" t="str">
        <f>'Raw Data'!I2046</f>
        <v>Go Daddy</v>
      </c>
      <c r="D2043" s="31">
        <f>'Raw Data'!F2046</f>
        <v>31.97</v>
      </c>
    </row>
    <row r="2044" spans="1:4" x14ac:dyDescent="0.25">
      <c r="A2044" t="str">
        <f>'Raw Data'!A2047</f>
        <v>01/01/2025</v>
      </c>
      <c r="B2044" t="str">
        <f>'Raw Data'!C2047</f>
        <v>EXPEDIA.COM TRAVEL  SEATTLE             WA</v>
      </c>
      <c r="C2044" t="str">
        <f>'Raw Data'!I2047</f>
        <v>Team Travel (Angela)</v>
      </c>
      <c r="D2044" s="31">
        <f>'Raw Data'!F2047</f>
        <v>134</v>
      </c>
    </row>
    <row r="2045" spans="1:4" x14ac:dyDescent="0.25">
      <c r="A2045" t="str">
        <f>'Raw Data'!A2048</f>
        <v>01/01/2025</v>
      </c>
      <c r="B2045" t="str">
        <f>'Raw Data'!C2048</f>
        <v>EXPEDIA.COM TRAVEL  SEATTLE             WA</v>
      </c>
      <c r="C2045" t="str">
        <f>'Raw Data'!I2048</f>
        <v>Team Travel (Angela)</v>
      </c>
      <c r="D2045" s="31">
        <f>'Raw Data'!F2048</f>
        <v>134</v>
      </c>
    </row>
    <row r="2046" spans="1:4" x14ac:dyDescent="0.25">
      <c r="A2046" t="str">
        <f>'Raw Data'!A2049</f>
        <v>01/01/2025</v>
      </c>
      <c r="B2046" t="str">
        <f>'Raw Data'!C2049</f>
        <v>JOE &amp; THE JUICE ST20RICHMOND            CA</v>
      </c>
      <c r="C2046" t="str">
        <f>'Raw Data'!I2049</f>
        <v>Personal - Food</v>
      </c>
      <c r="D2046" s="31">
        <f>'Raw Data'!F2049</f>
        <v>17.22</v>
      </c>
    </row>
    <row r="2047" spans="1:4" x14ac:dyDescent="0.25">
      <c r="A2047" t="str">
        <f>'Raw Data'!A2050</f>
        <v>01/01/2025</v>
      </c>
      <c r="B2047" t="str">
        <f>'Raw Data'!C2050</f>
        <v>JOE &amp; THE JUICE ST20RICHMOND            CA</v>
      </c>
      <c r="C2047" t="str">
        <f>'Raw Data'!I2050</f>
        <v>Personal - Food</v>
      </c>
      <c r="D2047" s="31">
        <f>'Raw Data'!F2050</f>
        <v>29.24</v>
      </c>
    </row>
    <row r="2048" spans="1:4" x14ac:dyDescent="0.25">
      <c r="A2048" t="str">
        <f>'Raw Data'!A2051</f>
        <v>01/01/2025</v>
      </c>
      <c r="B2048" t="str">
        <f>'Raw Data'!C2051</f>
        <v>LOOM SUBSCRIPTION   SAN FRANCISCO       CA</v>
      </c>
      <c r="C2048" t="str">
        <f>'Raw Data'!I2051</f>
        <v>Software &amp; Subscriptions</v>
      </c>
      <c r="D2048" s="31">
        <f>'Raw Data'!F2051</f>
        <v>20</v>
      </c>
    </row>
    <row r="2049" spans="1:4" x14ac:dyDescent="0.25">
      <c r="A2049" t="str">
        <f>'Raw Data'!A2052</f>
        <v>01/01/2025</v>
      </c>
      <c r="B2049" t="str">
        <f>'Raw Data'!C2052</f>
        <v>WICKANINNISH INN LTDTOFINO              CA</v>
      </c>
      <c r="C2049" t="str">
        <f>'Raw Data'!I2052</f>
        <v>2024/2025 Canada Family Trip</v>
      </c>
      <c r="D2049" s="31">
        <f>'Raw Data'!F2052</f>
        <v>951.4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52"/>
  <sheetViews>
    <sheetView topLeftCell="I198" workbookViewId="0">
      <selection activeCell="I2052" sqref="I2052"/>
    </sheetView>
  </sheetViews>
  <sheetFormatPr defaultColWidth="26.28515625" defaultRowHeight="15" x14ac:dyDescent="0.25"/>
  <cols>
    <col min="9" max="9" width="30.28515625" customWidth="1"/>
  </cols>
  <sheetData>
    <row r="1" spans="1:11" ht="30" x14ac:dyDescent="0.25">
      <c r="A1" s="1" t="s">
        <v>1</v>
      </c>
      <c r="B1" s="1" t="s">
        <v>2</v>
      </c>
    </row>
    <row r="2" spans="1:11" x14ac:dyDescent="0.25">
      <c r="A2" s="2" t="s">
        <v>3</v>
      </c>
      <c r="B2" s="2" t="s">
        <v>0</v>
      </c>
    </row>
    <row r="3" spans="1:11" x14ac:dyDescent="0.25">
      <c r="A3" s="3" t="s">
        <v>4</v>
      </c>
      <c r="B3" s="3" t="s">
        <v>0</v>
      </c>
    </row>
    <row r="4" spans="1:11" x14ac:dyDescent="0.25">
      <c r="A4" s="2" t="s">
        <v>5</v>
      </c>
      <c r="B4" s="2" t="s">
        <v>0</v>
      </c>
    </row>
    <row r="5" spans="1:11" x14ac:dyDescent="0.25">
      <c r="A5" s="3" t="s">
        <v>6</v>
      </c>
      <c r="B5" s="3" t="s">
        <v>0</v>
      </c>
    </row>
    <row r="6" spans="1:11" x14ac:dyDescent="0.25">
      <c r="A6" s="2" t="s">
        <v>0</v>
      </c>
      <c r="B6" s="2" t="s">
        <v>0</v>
      </c>
    </row>
    <row r="7" spans="1:11" ht="30" x14ac:dyDescent="0.25">
      <c r="A7" s="4" t="s">
        <v>7</v>
      </c>
      <c r="B7" s="4" t="s">
        <v>8</v>
      </c>
      <c r="C7" s="4" t="s">
        <v>9</v>
      </c>
      <c r="D7" s="4" t="s">
        <v>10</v>
      </c>
      <c r="E7" s="4" t="s">
        <v>11</v>
      </c>
      <c r="F7" s="4" t="s">
        <v>12</v>
      </c>
      <c r="G7" s="4" t="s">
        <v>13</v>
      </c>
      <c r="H7" s="4" t="s">
        <v>14</v>
      </c>
      <c r="I7" s="4" t="s">
        <v>15</v>
      </c>
      <c r="K7" s="9" t="s">
        <v>2669</v>
      </c>
    </row>
    <row r="8" spans="1:11" ht="60" customHeight="1" x14ac:dyDescent="0.25">
      <c r="A8" s="8" t="s">
        <v>16</v>
      </c>
      <c r="B8" s="8" t="s">
        <v>0</v>
      </c>
      <c r="C8" s="8" t="s">
        <v>17</v>
      </c>
      <c r="D8" s="8" t="s">
        <v>4</v>
      </c>
      <c r="E8" s="8" t="s">
        <v>18</v>
      </c>
      <c r="F8" s="6">
        <v>72</v>
      </c>
      <c r="G8" s="8" t="s">
        <v>19</v>
      </c>
      <c r="H8" s="8" t="s">
        <v>17</v>
      </c>
      <c r="I8" s="8" t="s">
        <v>2624</v>
      </c>
      <c r="K8" s="9">
        <f>IF($A8="","",IF(ISNUMBER($A8),MONTH($A8),MONTH(DATEVALUE($A8))))</f>
        <v>12</v>
      </c>
    </row>
    <row r="9" spans="1:11" ht="60" customHeight="1" x14ac:dyDescent="0.25">
      <c r="A9" s="7" t="s">
        <v>16</v>
      </c>
      <c r="B9" s="7" t="s">
        <v>0</v>
      </c>
      <c r="C9" s="7" t="s">
        <v>20</v>
      </c>
      <c r="D9" s="7" t="s">
        <v>4</v>
      </c>
      <c r="E9" s="7" t="s">
        <v>18</v>
      </c>
      <c r="F9" s="5">
        <v>2160.6</v>
      </c>
      <c r="G9" s="7" t="s">
        <v>21</v>
      </c>
      <c r="H9" s="7" t="s">
        <v>20</v>
      </c>
      <c r="I9" s="7" t="s">
        <v>2625</v>
      </c>
      <c r="K9">
        <f>IF($A9="","",IF(ISNUMBER($A9),MONTH($A9),MONTH(DATEVALUE($A9))))</f>
        <v>12</v>
      </c>
    </row>
    <row r="10" spans="1:11" ht="60" customHeight="1" x14ac:dyDescent="0.25">
      <c r="A10" s="8" t="s">
        <v>16</v>
      </c>
      <c r="B10" s="8" t="s">
        <v>0</v>
      </c>
      <c r="C10" s="8" t="s">
        <v>22</v>
      </c>
      <c r="D10" s="8" t="s">
        <v>4</v>
      </c>
      <c r="E10" s="8" t="s">
        <v>18</v>
      </c>
      <c r="F10" s="6">
        <v>180.14</v>
      </c>
      <c r="G10" s="8" t="s">
        <v>23</v>
      </c>
      <c r="H10" s="8" t="s">
        <v>22</v>
      </c>
      <c r="I10" s="8" t="s">
        <v>2626</v>
      </c>
      <c r="K10">
        <f>IF($A10="","",IF(ISNUMBER($A10),MONTH($A10),MONTH(DATEVALUE($A10))))</f>
        <v>12</v>
      </c>
    </row>
    <row r="11" spans="1:11" ht="60" customHeight="1" x14ac:dyDescent="0.25">
      <c r="A11" s="7" t="s">
        <v>24</v>
      </c>
      <c r="B11" s="7" t="s">
        <v>0</v>
      </c>
      <c r="C11" s="7" t="s">
        <v>25</v>
      </c>
      <c r="D11" s="7" t="s">
        <v>4</v>
      </c>
      <c r="E11" s="7" t="s">
        <v>18</v>
      </c>
      <c r="F11" s="5">
        <v>22.98</v>
      </c>
      <c r="G11" s="7" t="s">
        <v>26</v>
      </c>
      <c r="H11" s="7" t="s">
        <v>25</v>
      </c>
      <c r="I11" s="7" t="s">
        <v>2627</v>
      </c>
      <c r="K11">
        <f>IF($A11="","",IF(ISNUMBER($A11),MONTH($A11),MONTH(DATEVALUE($A11))))</f>
        <v>12</v>
      </c>
    </row>
    <row r="12" spans="1:11" ht="60" customHeight="1" x14ac:dyDescent="0.25">
      <c r="A12" s="8" t="s">
        <v>24</v>
      </c>
      <c r="B12" s="8" t="s">
        <v>0</v>
      </c>
      <c r="C12" s="8" t="s">
        <v>27</v>
      </c>
      <c r="D12" s="8" t="s">
        <v>4</v>
      </c>
      <c r="E12" s="8" t="s">
        <v>18</v>
      </c>
      <c r="F12" s="6">
        <v>20</v>
      </c>
      <c r="G12" s="8" t="s">
        <v>28</v>
      </c>
      <c r="H12" s="8" t="s">
        <v>27</v>
      </c>
      <c r="I12" s="8" t="s">
        <v>2628</v>
      </c>
      <c r="K12">
        <f>IF($A12="","",IF(ISNUMBER($A12),MONTH($A12),MONTH(DATEVALUE($A12))))</f>
        <v>12</v>
      </c>
    </row>
    <row r="13" spans="1:11" ht="60" customHeight="1" x14ac:dyDescent="0.25">
      <c r="A13" s="7" t="s">
        <v>29</v>
      </c>
      <c r="B13" s="7" t="s">
        <v>0</v>
      </c>
      <c r="C13" s="7" t="s">
        <v>30</v>
      </c>
      <c r="D13" s="7" t="s">
        <v>4</v>
      </c>
      <c r="E13" s="7" t="s">
        <v>18</v>
      </c>
      <c r="F13" s="5">
        <v>-29571.15</v>
      </c>
      <c r="G13" s="7" t="s">
        <v>31</v>
      </c>
      <c r="H13" s="7" t="s">
        <v>30</v>
      </c>
      <c r="I13" s="7" t="s">
        <v>2629</v>
      </c>
      <c r="K13">
        <f>IF($A13="","",IF(ISNUMBER($A13),MONTH($A13),MONTH(DATEVALUE($A13))))</f>
        <v>12</v>
      </c>
    </row>
    <row r="14" spans="1:11" ht="60" customHeight="1" x14ac:dyDescent="0.25">
      <c r="A14" s="8" t="s">
        <v>32</v>
      </c>
      <c r="B14" s="8" t="s">
        <v>0</v>
      </c>
      <c r="C14" s="8" t="s">
        <v>33</v>
      </c>
      <c r="D14" s="8" t="s">
        <v>4</v>
      </c>
      <c r="E14" s="8" t="s">
        <v>18</v>
      </c>
      <c r="F14" s="6">
        <v>11.99</v>
      </c>
      <c r="G14" s="8" t="s">
        <v>34</v>
      </c>
      <c r="H14" s="8" t="s">
        <v>33</v>
      </c>
      <c r="I14" s="8" t="s">
        <v>2627</v>
      </c>
      <c r="K14">
        <f>IF($A14="","",IF(ISNUMBER($A14),MONTH($A14),MONTH(DATEVALUE($A14))))</f>
        <v>12</v>
      </c>
    </row>
    <row r="15" spans="1:11" ht="60" customHeight="1" x14ac:dyDescent="0.25">
      <c r="A15" s="7" t="s">
        <v>32</v>
      </c>
      <c r="B15" s="7" t="s">
        <v>0</v>
      </c>
      <c r="C15" s="7" t="s">
        <v>35</v>
      </c>
      <c r="D15" s="7" t="s">
        <v>4</v>
      </c>
      <c r="E15" s="7" t="s">
        <v>18</v>
      </c>
      <c r="F15" s="5">
        <v>39.99</v>
      </c>
      <c r="G15" s="7" t="s">
        <v>36</v>
      </c>
      <c r="H15" s="7" t="s">
        <v>35</v>
      </c>
      <c r="I15" s="7" t="s">
        <v>2630</v>
      </c>
      <c r="K15">
        <f>IF($A15="","",IF(ISNUMBER($A15),MONTH($A15),MONTH(DATEVALUE($A15))))</f>
        <v>12</v>
      </c>
    </row>
    <row r="16" spans="1:11" ht="60" customHeight="1" x14ac:dyDescent="0.25">
      <c r="A16" s="8" t="s">
        <v>37</v>
      </c>
      <c r="B16" s="8" t="s">
        <v>0</v>
      </c>
      <c r="C16" s="8" t="s">
        <v>38</v>
      </c>
      <c r="D16" s="8" t="s">
        <v>4</v>
      </c>
      <c r="E16" s="8" t="s">
        <v>18</v>
      </c>
      <c r="F16" s="6">
        <v>15.98</v>
      </c>
      <c r="G16" s="8" t="s">
        <v>39</v>
      </c>
      <c r="H16" s="8" t="s">
        <v>38</v>
      </c>
      <c r="I16" s="8" t="s">
        <v>2627</v>
      </c>
      <c r="K16">
        <f>IF($A16="","",IF(ISNUMBER($A16),MONTH($A16),MONTH(DATEVALUE($A16))))</f>
        <v>12</v>
      </c>
    </row>
    <row r="17" spans="1:11" ht="60" customHeight="1" x14ac:dyDescent="0.25">
      <c r="A17" s="7" t="s">
        <v>40</v>
      </c>
      <c r="B17" s="7" t="s">
        <v>0</v>
      </c>
      <c r="C17" s="7" t="s">
        <v>41</v>
      </c>
      <c r="D17" s="7" t="s">
        <v>4</v>
      </c>
      <c r="E17" s="7" t="s">
        <v>18</v>
      </c>
      <c r="F17" s="5">
        <v>40.97</v>
      </c>
      <c r="G17" s="7" t="s">
        <v>42</v>
      </c>
      <c r="H17" s="7" t="s">
        <v>41</v>
      </c>
      <c r="I17" s="7" t="s">
        <v>2627</v>
      </c>
      <c r="K17">
        <f>IF($A17="","",IF(ISNUMBER($A17),MONTH($A17),MONTH(DATEVALUE($A17))))</f>
        <v>12</v>
      </c>
    </row>
    <row r="18" spans="1:11" ht="60" customHeight="1" x14ac:dyDescent="0.25">
      <c r="A18" s="8" t="s">
        <v>43</v>
      </c>
      <c r="B18" s="8" t="s">
        <v>0</v>
      </c>
      <c r="C18" s="8" t="s">
        <v>44</v>
      </c>
      <c r="D18" s="8" t="s">
        <v>4</v>
      </c>
      <c r="E18" s="8" t="s">
        <v>18</v>
      </c>
      <c r="F18" s="6">
        <v>584</v>
      </c>
      <c r="G18" s="8" t="s">
        <v>45</v>
      </c>
      <c r="H18" s="8" t="s">
        <v>44</v>
      </c>
      <c r="I18" s="8" t="s">
        <v>2631</v>
      </c>
      <c r="K18">
        <f>IF($A18="","",IF(ISNUMBER($A18),MONTH($A18),MONTH(DATEVALUE($A18))))</f>
        <v>12</v>
      </c>
    </row>
    <row r="19" spans="1:11" ht="60" customHeight="1" x14ac:dyDescent="0.25">
      <c r="A19" s="7" t="s">
        <v>43</v>
      </c>
      <c r="B19" s="7" t="s">
        <v>0</v>
      </c>
      <c r="C19" s="7" t="s">
        <v>46</v>
      </c>
      <c r="D19" s="7" t="s">
        <v>4</v>
      </c>
      <c r="E19" s="7" t="s">
        <v>18</v>
      </c>
      <c r="F19" s="5">
        <v>17.97</v>
      </c>
      <c r="G19" s="7" t="s">
        <v>47</v>
      </c>
      <c r="H19" s="7" t="s">
        <v>46</v>
      </c>
      <c r="I19" s="7" t="s">
        <v>2627</v>
      </c>
      <c r="K19">
        <f>IF($A19="","",IF(ISNUMBER($A19),MONTH($A19),MONTH(DATEVALUE($A19))))</f>
        <v>12</v>
      </c>
    </row>
    <row r="20" spans="1:11" ht="60" customHeight="1" x14ac:dyDescent="0.25">
      <c r="A20" s="8" t="s">
        <v>48</v>
      </c>
      <c r="B20" s="8" t="s">
        <v>0</v>
      </c>
      <c r="C20" s="8" t="s">
        <v>49</v>
      </c>
      <c r="D20" s="8" t="s">
        <v>4</v>
      </c>
      <c r="E20" s="8" t="s">
        <v>18</v>
      </c>
      <c r="F20" s="6">
        <v>43.98</v>
      </c>
      <c r="G20" s="8" t="s">
        <v>50</v>
      </c>
      <c r="H20" s="8" t="s">
        <v>49</v>
      </c>
      <c r="I20" s="8" t="s">
        <v>2627</v>
      </c>
      <c r="K20">
        <f>IF($A20="","",IF(ISNUMBER($A20),MONTH($A20),MONTH(DATEVALUE($A20))))</f>
        <v>12</v>
      </c>
    </row>
    <row r="21" spans="1:11" ht="60" customHeight="1" x14ac:dyDescent="0.25">
      <c r="A21" s="7" t="s">
        <v>51</v>
      </c>
      <c r="B21" s="7" t="s">
        <v>0</v>
      </c>
      <c r="C21" s="7" t="s">
        <v>52</v>
      </c>
      <c r="D21" s="7" t="s">
        <v>4</v>
      </c>
      <c r="E21" s="7" t="s">
        <v>18</v>
      </c>
      <c r="F21" s="5">
        <v>40.42</v>
      </c>
      <c r="G21" s="7" t="s">
        <v>53</v>
      </c>
      <c r="H21" s="7" t="s">
        <v>52</v>
      </c>
      <c r="I21" s="7" t="s">
        <v>2632</v>
      </c>
      <c r="K21">
        <f>IF($A21="","",IF(ISNUMBER($A21),MONTH($A21),MONTH(DATEVALUE($A21))))</f>
        <v>12</v>
      </c>
    </row>
    <row r="22" spans="1:11" ht="60" customHeight="1" x14ac:dyDescent="0.25">
      <c r="A22" s="8" t="s">
        <v>51</v>
      </c>
      <c r="B22" s="8" t="s">
        <v>0</v>
      </c>
      <c r="C22" s="8" t="s">
        <v>54</v>
      </c>
      <c r="D22" s="8" t="s">
        <v>4</v>
      </c>
      <c r="E22" s="8" t="s">
        <v>18</v>
      </c>
      <c r="F22" s="6">
        <v>148.19</v>
      </c>
      <c r="G22" s="8" t="s">
        <v>55</v>
      </c>
      <c r="H22" s="8" t="s">
        <v>54</v>
      </c>
      <c r="I22" s="8" t="s">
        <v>2633</v>
      </c>
      <c r="K22">
        <f>IF($A22="","",IF(ISNUMBER($A22),MONTH($A22),MONTH(DATEVALUE($A22))))</f>
        <v>12</v>
      </c>
    </row>
    <row r="23" spans="1:11" ht="60" customHeight="1" x14ac:dyDescent="0.25">
      <c r="A23" s="7" t="s">
        <v>56</v>
      </c>
      <c r="B23" s="7" t="s">
        <v>0</v>
      </c>
      <c r="C23" s="7" t="s">
        <v>57</v>
      </c>
      <c r="D23" s="7" t="s">
        <v>4</v>
      </c>
      <c r="E23" s="7" t="s">
        <v>18</v>
      </c>
      <c r="F23" s="5">
        <v>3</v>
      </c>
      <c r="G23" s="7" t="s">
        <v>58</v>
      </c>
      <c r="H23" s="7" t="s">
        <v>57</v>
      </c>
      <c r="I23" s="7" t="s">
        <v>2634</v>
      </c>
      <c r="K23">
        <f>IF($A23="","",IF(ISNUMBER($A23),MONTH($A23),MONTH(DATEVALUE($A23))))</f>
        <v>12</v>
      </c>
    </row>
    <row r="24" spans="1:11" ht="60" customHeight="1" x14ac:dyDescent="0.25">
      <c r="A24" s="8" t="s">
        <v>56</v>
      </c>
      <c r="B24" s="8" t="s">
        <v>0</v>
      </c>
      <c r="C24" s="8" t="s">
        <v>59</v>
      </c>
      <c r="D24" s="8" t="s">
        <v>4</v>
      </c>
      <c r="E24" s="8" t="s">
        <v>18</v>
      </c>
      <c r="F24" s="6">
        <v>22.91</v>
      </c>
      <c r="G24" s="8" t="s">
        <v>60</v>
      </c>
      <c r="H24" s="8" t="s">
        <v>59</v>
      </c>
      <c r="I24" s="8" t="s">
        <v>2634</v>
      </c>
      <c r="K24">
        <f>IF($A24="","",IF(ISNUMBER($A24),MONTH($A24),MONTH(DATEVALUE($A24))))</f>
        <v>12</v>
      </c>
    </row>
    <row r="25" spans="1:11" ht="60" customHeight="1" x14ac:dyDescent="0.25">
      <c r="A25" s="7" t="s">
        <v>56</v>
      </c>
      <c r="B25" s="7" t="s">
        <v>0</v>
      </c>
      <c r="C25" s="7" t="s">
        <v>59</v>
      </c>
      <c r="D25" s="7" t="s">
        <v>4</v>
      </c>
      <c r="E25" s="7" t="s">
        <v>18</v>
      </c>
      <c r="F25" s="5">
        <v>67.78</v>
      </c>
      <c r="G25" s="7" t="s">
        <v>60</v>
      </c>
      <c r="H25" s="7" t="s">
        <v>59</v>
      </c>
      <c r="I25" s="7" t="s">
        <v>2634</v>
      </c>
      <c r="K25">
        <f>IF($A25="","",IF(ISNUMBER($A25),MONTH($A25),MONTH(DATEVALUE($A25))))</f>
        <v>12</v>
      </c>
    </row>
    <row r="26" spans="1:11" ht="60" customHeight="1" x14ac:dyDescent="0.25">
      <c r="A26" s="8" t="s">
        <v>56</v>
      </c>
      <c r="B26" s="8" t="s">
        <v>0</v>
      </c>
      <c r="C26" s="8" t="s">
        <v>61</v>
      </c>
      <c r="D26" s="8" t="s">
        <v>4</v>
      </c>
      <c r="E26" s="8" t="s">
        <v>18</v>
      </c>
      <c r="F26" s="6">
        <v>50</v>
      </c>
      <c r="G26" s="8" t="s">
        <v>62</v>
      </c>
      <c r="H26" s="8" t="s">
        <v>61</v>
      </c>
      <c r="I26" s="8" t="s">
        <v>2630</v>
      </c>
      <c r="K26">
        <f>IF($A26="","",IF(ISNUMBER($A26),MONTH($A26),MONTH(DATEVALUE($A26))))</f>
        <v>12</v>
      </c>
    </row>
    <row r="27" spans="1:11" ht="60" customHeight="1" x14ac:dyDescent="0.25">
      <c r="A27" s="7" t="s">
        <v>56</v>
      </c>
      <c r="B27" s="7" t="s">
        <v>0</v>
      </c>
      <c r="C27" s="7" t="s">
        <v>63</v>
      </c>
      <c r="D27" s="7" t="s">
        <v>4</v>
      </c>
      <c r="E27" s="7" t="s">
        <v>18</v>
      </c>
      <c r="F27" s="5">
        <v>82.4</v>
      </c>
      <c r="G27" s="7" t="s">
        <v>64</v>
      </c>
      <c r="H27" s="7" t="s">
        <v>63</v>
      </c>
      <c r="I27" s="7" t="s">
        <v>2633</v>
      </c>
      <c r="K27">
        <f>IF($A27="","",IF(ISNUMBER($A27),MONTH($A27),MONTH(DATEVALUE($A27))))</f>
        <v>12</v>
      </c>
    </row>
    <row r="28" spans="1:11" ht="60" customHeight="1" x14ac:dyDescent="0.25">
      <c r="A28" s="8" t="s">
        <v>65</v>
      </c>
      <c r="B28" s="8" t="s">
        <v>0</v>
      </c>
      <c r="C28" s="8" t="s">
        <v>66</v>
      </c>
      <c r="D28" s="8" t="s">
        <v>4</v>
      </c>
      <c r="E28" s="8" t="s">
        <v>18</v>
      </c>
      <c r="F28" s="6">
        <v>69.62</v>
      </c>
      <c r="G28" s="8" t="s">
        <v>67</v>
      </c>
      <c r="H28" s="8" t="s">
        <v>66</v>
      </c>
      <c r="I28" s="8" t="s">
        <v>2630</v>
      </c>
      <c r="K28">
        <f>IF($A28="","",IF(ISNUMBER($A28),MONTH($A28),MONTH(DATEVALUE($A28))))</f>
        <v>12</v>
      </c>
    </row>
    <row r="29" spans="1:11" ht="60" customHeight="1" x14ac:dyDescent="0.25">
      <c r="A29" s="7" t="s">
        <v>65</v>
      </c>
      <c r="B29" s="7" t="s">
        <v>0</v>
      </c>
      <c r="C29" s="7" t="s">
        <v>68</v>
      </c>
      <c r="D29" s="7" t="s">
        <v>4</v>
      </c>
      <c r="E29" s="7" t="s">
        <v>18</v>
      </c>
      <c r="F29" s="5">
        <v>109</v>
      </c>
      <c r="G29" s="7" t="s">
        <v>69</v>
      </c>
      <c r="H29" s="7" t="s">
        <v>68</v>
      </c>
      <c r="I29" s="7" t="s">
        <v>2632</v>
      </c>
      <c r="K29">
        <f>IF($A29="","",IF(ISNUMBER($A29),MONTH($A29),MONTH(DATEVALUE($A29))))</f>
        <v>12</v>
      </c>
    </row>
    <row r="30" spans="1:11" ht="60" customHeight="1" x14ac:dyDescent="0.25">
      <c r="A30" s="8" t="s">
        <v>65</v>
      </c>
      <c r="B30" s="8" t="s">
        <v>0</v>
      </c>
      <c r="C30" s="8" t="s">
        <v>70</v>
      </c>
      <c r="D30" s="8" t="s">
        <v>4</v>
      </c>
      <c r="E30" s="8" t="s">
        <v>18</v>
      </c>
      <c r="F30" s="6">
        <v>199</v>
      </c>
      <c r="G30" s="8" t="s">
        <v>71</v>
      </c>
      <c r="H30" s="8" t="s">
        <v>70</v>
      </c>
      <c r="I30" s="8" t="s">
        <v>2632</v>
      </c>
      <c r="K30">
        <f>IF($A30="","",IF(ISNUMBER($A30),MONTH($A30),MONTH(DATEVALUE($A30))))</f>
        <v>12</v>
      </c>
    </row>
    <row r="31" spans="1:11" ht="60" customHeight="1" x14ac:dyDescent="0.25">
      <c r="A31" s="7" t="s">
        <v>65</v>
      </c>
      <c r="B31" s="7" t="s">
        <v>0</v>
      </c>
      <c r="C31" s="7" t="s">
        <v>70</v>
      </c>
      <c r="D31" s="7" t="s">
        <v>4</v>
      </c>
      <c r="E31" s="7" t="s">
        <v>18</v>
      </c>
      <c r="F31" s="5">
        <v>230</v>
      </c>
      <c r="G31" s="7" t="s">
        <v>72</v>
      </c>
      <c r="H31" s="7" t="s">
        <v>70</v>
      </c>
      <c r="I31" s="7" t="s">
        <v>2632</v>
      </c>
      <c r="K31">
        <f>IF($A31="","",IF(ISNUMBER($A31),MONTH($A31),MONTH(DATEVALUE($A31))))</f>
        <v>12</v>
      </c>
    </row>
    <row r="32" spans="1:11" ht="60" customHeight="1" x14ac:dyDescent="0.25">
      <c r="A32" s="8" t="s">
        <v>65</v>
      </c>
      <c r="B32" s="8" t="s">
        <v>0</v>
      </c>
      <c r="C32" s="8" t="s">
        <v>73</v>
      </c>
      <c r="D32" s="8" t="s">
        <v>4</v>
      </c>
      <c r="E32" s="8" t="s">
        <v>18</v>
      </c>
      <c r="F32" s="6">
        <v>31.55</v>
      </c>
      <c r="G32" s="8" t="s">
        <v>74</v>
      </c>
      <c r="H32" s="8" t="s">
        <v>73</v>
      </c>
      <c r="I32" s="8" t="s">
        <v>2633</v>
      </c>
      <c r="K32">
        <f>IF($A32="","",IF(ISNUMBER($A32),MONTH($A32),MONTH(DATEVALUE($A32))))</f>
        <v>12</v>
      </c>
    </row>
    <row r="33" spans="1:11" ht="60" customHeight="1" x14ac:dyDescent="0.25">
      <c r="A33" s="7" t="s">
        <v>65</v>
      </c>
      <c r="B33" s="7" t="s">
        <v>0</v>
      </c>
      <c r="C33" s="7" t="s">
        <v>73</v>
      </c>
      <c r="D33" s="7" t="s">
        <v>4</v>
      </c>
      <c r="E33" s="7" t="s">
        <v>18</v>
      </c>
      <c r="F33" s="5">
        <v>37.299999999999997</v>
      </c>
      <c r="G33" s="7" t="s">
        <v>74</v>
      </c>
      <c r="H33" s="7" t="s">
        <v>73</v>
      </c>
      <c r="I33" s="7" t="s">
        <v>2633</v>
      </c>
      <c r="K33">
        <f>IF($A33="","",IF(ISNUMBER($A33),MONTH($A33),MONTH(DATEVALUE($A33))))</f>
        <v>12</v>
      </c>
    </row>
    <row r="34" spans="1:11" ht="60" customHeight="1" x14ac:dyDescent="0.25">
      <c r="A34" s="8" t="s">
        <v>75</v>
      </c>
      <c r="B34" s="8" t="s">
        <v>0</v>
      </c>
      <c r="C34" s="8" t="s">
        <v>52</v>
      </c>
      <c r="D34" s="8" t="s">
        <v>4</v>
      </c>
      <c r="E34" s="8" t="s">
        <v>18</v>
      </c>
      <c r="F34" s="6">
        <v>20.84</v>
      </c>
      <c r="G34" s="8" t="s">
        <v>76</v>
      </c>
      <c r="H34" s="8" t="s">
        <v>52</v>
      </c>
      <c r="I34" s="8" t="s">
        <v>2632</v>
      </c>
      <c r="K34">
        <f>IF($A34="","",IF(ISNUMBER($A34),MONTH($A34),MONTH(DATEVALUE($A34))))</f>
        <v>12</v>
      </c>
    </row>
    <row r="35" spans="1:11" ht="60" customHeight="1" x14ac:dyDescent="0.25">
      <c r="A35" s="7" t="s">
        <v>75</v>
      </c>
      <c r="B35" s="7" t="s">
        <v>0</v>
      </c>
      <c r="C35" s="7" t="s">
        <v>77</v>
      </c>
      <c r="D35" s="7" t="s">
        <v>4</v>
      </c>
      <c r="E35" s="7" t="s">
        <v>18</v>
      </c>
      <c r="F35" s="5">
        <v>378.04</v>
      </c>
      <c r="G35" s="7" t="s">
        <v>78</v>
      </c>
      <c r="H35" s="7" t="s">
        <v>77</v>
      </c>
      <c r="I35" s="7" t="s">
        <v>2625</v>
      </c>
      <c r="K35">
        <f>IF($A35="","",IF(ISNUMBER($A35),MONTH($A35),MONTH(DATEVALUE($A35))))</f>
        <v>12</v>
      </c>
    </row>
    <row r="36" spans="1:11" ht="60" customHeight="1" x14ac:dyDescent="0.25">
      <c r="A36" s="8" t="s">
        <v>75</v>
      </c>
      <c r="B36" s="8" t="s">
        <v>0</v>
      </c>
      <c r="C36" s="8" t="s">
        <v>79</v>
      </c>
      <c r="D36" s="8" t="s">
        <v>4</v>
      </c>
      <c r="E36" s="8" t="s">
        <v>18</v>
      </c>
      <c r="F36" s="6">
        <v>14.24</v>
      </c>
      <c r="G36" s="8" t="s">
        <v>80</v>
      </c>
      <c r="H36" s="8" t="s">
        <v>79</v>
      </c>
      <c r="I36" s="8" t="s">
        <v>2635</v>
      </c>
      <c r="K36">
        <f>IF($A36="","",IF(ISNUMBER($A36),MONTH($A36),MONTH(DATEVALUE($A36))))</f>
        <v>12</v>
      </c>
    </row>
    <row r="37" spans="1:11" ht="60" customHeight="1" x14ac:dyDescent="0.25">
      <c r="A37" s="7" t="s">
        <v>75</v>
      </c>
      <c r="B37" s="7" t="s">
        <v>0</v>
      </c>
      <c r="C37" s="7" t="s">
        <v>79</v>
      </c>
      <c r="D37" s="7" t="s">
        <v>4</v>
      </c>
      <c r="E37" s="7" t="s">
        <v>18</v>
      </c>
      <c r="F37" s="5">
        <v>20.350000000000001</v>
      </c>
      <c r="G37" s="7" t="s">
        <v>81</v>
      </c>
      <c r="H37" s="7" t="s">
        <v>79</v>
      </c>
      <c r="I37" s="7" t="s">
        <v>2635</v>
      </c>
      <c r="K37">
        <f>IF($A37="","",IF(ISNUMBER($A37),MONTH($A37),MONTH(DATEVALUE($A37))))</f>
        <v>12</v>
      </c>
    </row>
    <row r="38" spans="1:11" ht="60" customHeight="1" x14ac:dyDescent="0.25">
      <c r="A38" s="8" t="s">
        <v>75</v>
      </c>
      <c r="B38" s="8" t="s">
        <v>0</v>
      </c>
      <c r="C38" s="8" t="s">
        <v>79</v>
      </c>
      <c r="D38" s="8" t="s">
        <v>4</v>
      </c>
      <c r="E38" s="8" t="s">
        <v>18</v>
      </c>
      <c r="F38" s="6">
        <v>23.4</v>
      </c>
      <c r="G38" s="8" t="s">
        <v>82</v>
      </c>
      <c r="H38" s="8" t="s">
        <v>79</v>
      </c>
      <c r="I38" s="8" t="s">
        <v>2635</v>
      </c>
      <c r="K38">
        <f>IF($A38="","",IF(ISNUMBER($A38),MONTH($A38),MONTH(DATEVALUE($A38))))</f>
        <v>12</v>
      </c>
    </row>
    <row r="39" spans="1:11" ht="60" customHeight="1" x14ac:dyDescent="0.25">
      <c r="A39" s="7" t="s">
        <v>83</v>
      </c>
      <c r="B39" s="7" t="s">
        <v>0</v>
      </c>
      <c r="C39" s="7" t="s">
        <v>84</v>
      </c>
      <c r="D39" s="7" t="s">
        <v>4</v>
      </c>
      <c r="E39" s="7" t="s">
        <v>18</v>
      </c>
      <c r="F39" s="5">
        <v>25</v>
      </c>
      <c r="G39" s="7" t="s">
        <v>85</v>
      </c>
      <c r="H39" s="7" t="s">
        <v>84</v>
      </c>
      <c r="I39" s="7" t="s">
        <v>2634</v>
      </c>
      <c r="K39">
        <f>IF($A39="","",IF(ISNUMBER($A39),MONTH($A39),MONTH(DATEVALUE($A39))))</f>
        <v>12</v>
      </c>
    </row>
    <row r="40" spans="1:11" ht="60" customHeight="1" x14ac:dyDescent="0.25">
      <c r="A40" s="8" t="s">
        <v>83</v>
      </c>
      <c r="B40" s="8" t="s">
        <v>0</v>
      </c>
      <c r="C40" s="8" t="s">
        <v>86</v>
      </c>
      <c r="D40" s="8" t="s">
        <v>4</v>
      </c>
      <c r="E40" s="8" t="s">
        <v>18</v>
      </c>
      <c r="F40" s="6">
        <v>13.29</v>
      </c>
      <c r="G40" s="8" t="s">
        <v>87</v>
      </c>
      <c r="H40" s="8" t="s">
        <v>86</v>
      </c>
      <c r="I40" s="8" t="s">
        <v>2628</v>
      </c>
      <c r="K40">
        <f>IF($A40="","",IF(ISNUMBER($A40),MONTH($A40),MONTH(DATEVALUE($A40))))</f>
        <v>12</v>
      </c>
    </row>
    <row r="41" spans="1:11" ht="60" customHeight="1" x14ac:dyDescent="0.25">
      <c r="A41" s="7" t="s">
        <v>83</v>
      </c>
      <c r="B41" s="7" t="s">
        <v>0</v>
      </c>
      <c r="C41" s="7" t="s">
        <v>88</v>
      </c>
      <c r="D41" s="7" t="s">
        <v>4</v>
      </c>
      <c r="E41" s="7" t="s">
        <v>18</v>
      </c>
      <c r="F41" s="5">
        <v>43.96</v>
      </c>
      <c r="G41" s="7" t="s">
        <v>89</v>
      </c>
      <c r="H41" s="7" t="s">
        <v>88</v>
      </c>
      <c r="I41" s="7" t="s">
        <v>2627</v>
      </c>
      <c r="K41">
        <f>IF($A41="","",IF(ISNUMBER($A41),MONTH($A41),MONTH(DATEVALUE($A41))))</f>
        <v>12</v>
      </c>
    </row>
    <row r="42" spans="1:11" ht="60" customHeight="1" x14ac:dyDescent="0.25">
      <c r="A42" s="8" t="s">
        <v>83</v>
      </c>
      <c r="B42" s="8" t="s">
        <v>0</v>
      </c>
      <c r="C42" s="8" t="s">
        <v>90</v>
      </c>
      <c r="D42" s="8" t="s">
        <v>4</v>
      </c>
      <c r="E42" s="8" t="s">
        <v>18</v>
      </c>
      <c r="F42" s="6">
        <v>80</v>
      </c>
      <c r="G42" s="8" t="s">
        <v>91</v>
      </c>
      <c r="H42" s="8" t="s">
        <v>90</v>
      </c>
      <c r="I42" s="8" t="s">
        <v>2636</v>
      </c>
      <c r="K42">
        <f>IF($A42="","",IF(ISNUMBER($A42),MONTH($A42),MONTH(DATEVALUE($A42))))</f>
        <v>12</v>
      </c>
    </row>
    <row r="43" spans="1:11" ht="60" customHeight="1" x14ac:dyDescent="0.25">
      <c r="A43" s="7" t="s">
        <v>83</v>
      </c>
      <c r="B43" s="7" t="s">
        <v>0</v>
      </c>
      <c r="C43" s="7" t="s">
        <v>92</v>
      </c>
      <c r="D43" s="7" t="s">
        <v>4</v>
      </c>
      <c r="E43" s="7" t="s">
        <v>18</v>
      </c>
      <c r="F43" s="5">
        <v>154.54</v>
      </c>
      <c r="G43" s="7" t="s">
        <v>93</v>
      </c>
      <c r="H43" s="7" t="s">
        <v>92</v>
      </c>
      <c r="I43" s="7" t="s">
        <v>2633</v>
      </c>
      <c r="K43">
        <f>IF($A43="","",IF(ISNUMBER($A43),MONTH($A43),MONTH(DATEVALUE($A43))))</f>
        <v>12</v>
      </c>
    </row>
    <row r="44" spans="1:11" ht="60" customHeight="1" x14ac:dyDescent="0.25">
      <c r="A44" s="8" t="s">
        <v>83</v>
      </c>
      <c r="B44" s="8" t="s">
        <v>0</v>
      </c>
      <c r="C44" s="8" t="s">
        <v>68</v>
      </c>
      <c r="D44" s="8" t="s">
        <v>4</v>
      </c>
      <c r="E44" s="8" t="s">
        <v>18</v>
      </c>
      <c r="F44" s="6">
        <v>220</v>
      </c>
      <c r="G44" s="8" t="s">
        <v>94</v>
      </c>
      <c r="H44" s="8" t="s">
        <v>68</v>
      </c>
      <c r="I44" s="8" t="s">
        <v>2632</v>
      </c>
      <c r="K44">
        <f>IF($A44="","",IF(ISNUMBER($A44),MONTH($A44),MONTH(DATEVALUE($A44))))</f>
        <v>12</v>
      </c>
    </row>
    <row r="45" spans="1:11" ht="60" customHeight="1" x14ac:dyDescent="0.25">
      <c r="A45" s="7" t="s">
        <v>83</v>
      </c>
      <c r="B45" s="7" t="s">
        <v>0</v>
      </c>
      <c r="C45" s="7" t="s">
        <v>95</v>
      </c>
      <c r="D45" s="7" t="s">
        <v>4</v>
      </c>
      <c r="E45" s="7" t="s">
        <v>18</v>
      </c>
      <c r="F45" s="5">
        <v>5.97</v>
      </c>
      <c r="G45" s="7" t="s">
        <v>96</v>
      </c>
      <c r="H45" s="7" t="s">
        <v>95</v>
      </c>
      <c r="I45" s="7" t="s">
        <v>2636</v>
      </c>
      <c r="K45">
        <f>IF($A45="","",IF(ISNUMBER($A45),MONTH($A45),MONTH(DATEVALUE($A45))))</f>
        <v>12</v>
      </c>
    </row>
    <row r="46" spans="1:11" ht="60" customHeight="1" x14ac:dyDescent="0.25">
      <c r="A46" s="8" t="s">
        <v>83</v>
      </c>
      <c r="B46" s="8" t="s">
        <v>0</v>
      </c>
      <c r="C46" s="8" t="s">
        <v>97</v>
      </c>
      <c r="D46" s="8" t="s">
        <v>4</v>
      </c>
      <c r="E46" s="8" t="s">
        <v>18</v>
      </c>
      <c r="F46" s="6">
        <v>32.42</v>
      </c>
      <c r="G46" s="8" t="s">
        <v>98</v>
      </c>
      <c r="H46" s="8" t="s">
        <v>97</v>
      </c>
      <c r="I46" s="8" t="s">
        <v>2633</v>
      </c>
      <c r="K46">
        <f>IF($A46="","",IF(ISNUMBER($A46),MONTH($A46),MONTH(DATEVALUE($A46))))</f>
        <v>12</v>
      </c>
    </row>
    <row r="47" spans="1:11" ht="60" customHeight="1" x14ac:dyDescent="0.25">
      <c r="A47" s="7" t="s">
        <v>99</v>
      </c>
      <c r="B47" s="7" t="s">
        <v>0</v>
      </c>
      <c r="C47" s="7" t="s">
        <v>100</v>
      </c>
      <c r="D47" s="7" t="s">
        <v>4</v>
      </c>
      <c r="E47" s="7" t="s">
        <v>18</v>
      </c>
      <c r="F47" s="5">
        <v>13.56</v>
      </c>
      <c r="G47" s="7" t="s">
        <v>101</v>
      </c>
      <c r="H47" s="7" t="s">
        <v>100</v>
      </c>
      <c r="I47" s="7" t="s">
        <v>2633</v>
      </c>
      <c r="K47">
        <f>IF($A47="","",IF(ISNUMBER($A47),MONTH($A47),MONTH(DATEVALUE($A47))))</f>
        <v>12</v>
      </c>
    </row>
    <row r="48" spans="1:11" ht="60" customHeight="1" x14ac:dyDescent="0.25">
      <c r="A48" s="8" t="s">
        <v>99</v>
      </c>
      <c r="B48" s="8" t="s">
        <v>0</v>
      </c>
      <c r="C48" s="8" t="s">
        <v>102</v>
      </c>
      <c r="D48" s="8" t="s">
        <v>4</v>
      </c>
      <c r="E48" s="8" t="s">
        <v>18</v>
      </c>
      <c r="F48" s="6">
        <v>621.45000000000005</v>
      </c>
      <c r="G48" s="8" t="s">
        <v>103</v>
      </c>
      <c r="H48" s="8" t="s">
        <v>102</v>
      </c>
      <c r="I48" s="8" t="s">
        <v>2636</v>
      </c>
      <c r="K48">
        <f>IF($A48="","",IF(ISNUMBER($A48),MONTH($A48),MONTH(DATEVALUE($A48))))</f>
        <v>12</v>
      </c>
    </row>
    <row r="49" spans="1:11" ht="60" customHeight="1" x14ac:dyDescent="0.25">
      <c r="A49" s="7" t="s">
        <v>99</v>
      </c>
      <c r="B49" s="7" t="s">
        <v>0</v>
      </c>
      <c r="C49" s="7" t="s">
        <v>104</v>
      </c>
      <c r="D49" s="7" t="s">
        <v>4</v>
      </c>
      <c r="E49" s="7" t="s">
        <v>18</v>
      </c>
      <c r="F49" s="5">
        <v>13.99</v>
      </c>
      <c r="G49" s="7" t="s">
        <v>105</v>
      </c>
      <c r="H49" s="7" t="s">
        <v>104</v>
      </c>
      <c r="I49" s="7" t="s">
        <v>2632</v>
      </c>
      <c r="K49">
        <f>IF($A49="","",IF(ISNUMBER($A49),MONTH($A49),MONTH(DATEVALUE($A49))))</f>
        <v>12</v>
      </c>
    </row>
    <row r="50" spans="1:11" ht="60" customHeight="1" x14ac:dyDescent="0.25">
      <c r="A50" s="8" t="s">
        <v>99</v>
      </c>
      <c r="B50" s="8" t="s">
        <v>0</v>
      </c>
      <c r="C50" s="8" t="s">
        <v>106</v>
      </c>
      <c r="D50" s="8" t="s">
        <v>4</v>
      </c>
      <c r="E50" s="8" t="s">
        <v>18</v>
      </c>
      <c r="F50" s="6">
        <v>54.15</v>
      </c>
      <c r="G50" s="8" t="s">
        <v>107</v>
      </c>
      <c r="H50" s="8" t="s">
        <v>106</v>
      </c>
      <c r="I50" s="8" t="s">
        <v>2633</v>
      </c>
      <c r="K50">
        <f>IF($A50="","",IF(ISNUMBER($A50),MONTH($A50),MONTH(DATEVALUE($A50))))</f>
        <v>12</v>
      </c>
    </row>
    <row r="51" spans="1:11" ht="60" customHeight="1" x14ac:dyDescent="0.25">
      <c r="A51" s="7" t="s">
        <v>99</v>
      </c>
      <c r="B51" s="7" t="s">
        <v>0</v>
      </c>
      <c r="C51" s="7" t="s">
        <v>108</v>
      </c>
      <c r="D51" s="7" t="s">
        <v>4</v>
      </c>
      <c r="E51" s="7" t="s">
        <v>18</v>
      </c>
      <c r="F51" s="5">
        <v>12.98</v>
      </c>
      <c r="G51" s="7" t="s">
        <v>109</v>
      </c>
      <c r="H51" s="7" t="s">
        <v>108</v>
      </c>
      <c r="I51" s="7" t="s">
        <v>2630</v>
      </c>
      <c r="K51">
        <f>IF($A51="","",IF(ISNUMBER($A51),MONTH($A51),MONTH(DATEVALUE($A51))))</f>
        <v>12</v>
      </c>
    </row>
    <row r="52" spans="1:11" ht="60" customHeight="1" x14ac:dyDescent="0.25">
      <c r="A52" s="8" t="s">
        <v>99</v>
      </c>
      <c r="B52" s="8" t="s">
        <v>0</v>
      </c>
      <c r="C52" s="8" t="s">
        <v>110</v>
      </c>
      <c r="D52" s="8" t="s">
        <v>4</v>
      </c>
      <c r="E52" s="8" t="s">
        <v>18</v>
      </c>
      <c r="F52" s="6">
        <v>13.4</v>
      </c>
      <c r="G52" s="8" t="s">
        <v>111</v>
      </c>
      <c r="H52" s="8" t="s">
        <v>110</v>
      </c>
      <c r="I52" s="8" t="s">
        <v>2633</v>
      </c>
      <c r="K52">
        <f>IF($A52="","",IF(ISNUMBER($A52),MONTH($A52),MONTH(DATEVALUE($A52))))</f>
        <v>12</v>
      </c>
    </row>
    <row r="53" spans="1:11" ht="60" customHeight="1" x14ac:dyDescent="0.25">
      <c r="A53" s="7" t="s">
        <v>99</v>
      </c>
      <c r="B53" s="7" t="s">
        <v>0</v>
      </c>
      <c r="C53" s="7" t="s">
        <v>112</v>
      </c>
      <c r="D53" s="7" t="s">
        <v>4</v>
      </c>
      <c r="E53" s="7" t="s">
        <v>18</v>
      </c>
      <c r="F53" s="5">
        <v>236.31</v>
      </c>
      <c r="G53" s="7" t="s">
        <v>113</v>
      </c>
      <c r="H53" s="7" t="s">
        <v>112</v>
      </c>
      <c r="I53" s="7" t="s">
        <v>2636</v>
      </c>
      <c r="K53">
        <f>IF($A53="","",IF(ISNUMBER($A53),MONTH($A53),MONTH(DATEVALUE($A53))))</f>
        <v>12</v>
      </c>
    </row>
    <row r="54" spans="1:11" ht="60" customHeight="1" x14ac:dyDescent="0.25">
      <c r="A54" s="8" t="s">
        <v>99</v>
      </c>
      <c r="B54" s="8" t="s">
        <v>0</v>
      </c>
      <c r="C54" s="8" t="s">
        <v>114</v>
      </c>
      <c r="D54" s="8" t="s">
        <v>4</v>
      </c>
      <c r="E54" s="8" t="s">
        <v>18</v>
      </c>
      <c r="F54" s="6">
        <v>40</v>
      </c>
      <c r="G54" s="8" t="s">
        <v>115</v>
      </c>
      <c r="H54" s="8" t="s">
        <v>114</v>
      </c>
      <c r="I54" s="8" t="s">
        <v>2636</v>
      </c>
      <c r="K54">
        <f>IF($A54="","",IF(ISNUMBER($A54),MONTH($A54),MONTH(DATEVALUE($A54))))</f>
        <v>12</v>
      </c>
    </row>
    <row r="55" spans="1:11" ht="60" customHeight="1" x14ac:dyDescent="0.25">
      <c r="A55" s="7" t="s">
        <v>116</v>
      </c>
      <c r="B55" s="7" t="s">
        <v>0</v>
      </c>
      <c r="C55" s="7" t="s">
        <v>117</v>
      </c>
      <c r="D55" s="7" t="s">
        <v>4</v>
      </c>
      <c r="E55" s="7" t="s">
        <v>18</v>
      </c>
      <c r="F55" s="5">
        <v>57.73</v>
      </c>
      <c r="G55" s="7" t="s">
        <v>118</v>
      </c>
      <c r="H55" s="7" t="s">
        <v>117</v>
      </c>
      <c r="I55" s="7" t="s">
        <v>2627</v>
      </c>
      <c r="K55">
        <f>IF($A55="","",IF(ISNUMBER($A55),MONTH($A55),MONTH(DATEVALUE($A55))))</f>
        <v>12</v>
      </c>
    </row>
    <row r="56" spans="1:11" ht="60" customHeight="1" x14ac:dyDescent="0.25">
      <c r="A56" s="8" t="s">
        <v>116</v>
      </c>
      <c r="B56" s="8" t="s">
        <v>0</v>
      </c>
      <c r="C56" s="8" t="s">
        <v>119</v>
      </c>
      <c r="D56" s="8" t="s">
        <v>4</v>
      </c>
      <c r="E56" s="8" t="s">
        <v>18</v>
      </c>
      <c r="F56" s="6">
        <v>16.96</v>
      </c>
      <c r="G56" s="8" t="s">
        <v>120</v>
      </c>
      <c r="H56" s="8" t="s">
        <v>119</v>
      </c>
      <c r="I56" s="8" t="s">
        <v>2636</v>
      </c>
      <c r="K56">
        <f>IF($A56="","",IF(ISNUMBER($A56),MONTH($A56),MONTH(DATEVALUE($A56))))</f>
        <v>12</v>
      </c>
    </row>
    <row r="57" spans="1:11" ht="60" customHeight="1" x14ac:dyDescent="0.25">
      <c r="A57" s="7" t="s">
        <v>116</v>
      </c>
      <c r="B57" s="7" t="s">
        <v>0</v>
      </c>
      <c r="C57" s="7" t="s">
        <v>121</v>
      </c>
      <c r="D57" s="7" t="s">
        <v>4</v>
      </c>
      <c r="E57" s="7" t="s">
        <v>18</v>
      </c>
      <c r="F57" s="5">
        <v>78.819999999999993</v>
      </c>
      <c r="G57" s="7" t="s">
        <v>122</v>
      </c>
      <c r="H57" s="7" t="s">
        <v>121</v>
      </c>
      <c r="I57" s="7" t="s">
        <v>2636</v>
      </c>
      <c r="K57">
        <f>IF($A57="","",IF(ISNUMBER($A57),MONTH($A57),MONTH(DATEVALUE($A57))))</f>
        <v>12</v>
      </c>
    </row>
    <row r="58" spans="1:11" ht="60" customHeight="1" x14ac:dyDescent="0.25">
      <c r="A58" s="8" t="s">
        <v>123</v>
      </c>
      <c r="B58" s="8" t="s">
        <v>0</v>
      </c>
      <c r="C58" s="8" t="s">
        <v>124</v>
      </c>
      <c r="D58" s="8" t="s">
        <v>4</v>
      </c>
      <c r="E58" s="8" t="s">
        <v>18</v>
      </c>
      <c r="F58" s="6">
        <v>32.79</v>
      </c>
      <c r="G58" s="8" t="s">
        <v>125</v>
      </c>
      <c r="H58" s="8" t="s">
        <v>124</v>
      </c>
      <c r="I58" s="8" t="s">
        <v>2636</v>
      </c>
      <c r="K58">
        <f>IF($A58="","",IF(ISNUMBER($A58),MONTH($A58),MONTH(DATEVALUE($A58))))</f>
        <v>12</v>
      </c>
    </row>
    <row r="59" spans="1:11" ht="60" customHeight="1" x14ac:dyDescent="0.25">
      <c r="A59" s="7" t="s">
        <v>123</v>
      </c>
      <c r="B59" s="7" t="s">
        <v>0</v>
      </c>
      <c r="C59" s="7" t="s">
        <v>126</v>
      </c>
      <c r="D59" s="7" t="s">
        <v>4</v>
      </c>
      <c r="E59" s="7" t="s">
        <v>18</v>
      </c>
      <c r="F59" s="5">
        <v>40</v>
      </c>
      <c r="G59" s="7" t="s">
        <v>127</v>
      </c>
      <c r="H59" s="7" t="s">
        <v>126</v>
      </c>
      <c r="I59" s="7" t="s">
        <v>2636</v>
      </c>
      <c r="K59">
        <f>IF($A59="","",IF(ISNUMBER($A59),MONTH($A59),MONTH(DATEVALUE($A59))))</f>
        <v>12</v>
      </c>
    </row>
    <row r="60" spans="1:11" ht="60" customHeight="1" x14ac:dyDescent="0.25">
      <c r="A60" s="8" t="s">
        <v>123</v>
      </c>
      <c r="B60" s="8" t="s">
        <v>0</v>
      </c>
      <c r="C60" s="8" t="s">
        <v>128</v>
      </c>
      <c r="D60" s="8" t="s">
        <v>4</v>
      </c>
      <c r="E60" s="8" t="s">
        <v>18</v>
      </c>
      <c r="F60" s="6">
        <v>26.98</v>
      </c>
      <c r="G60" s="8" t="s">
        <v>129</v>
      </c>
      <c r="H60" s="8" t="s">
        <v>128</v>
      </c>
      <c r="I60" s="8" t="s">
        <v>2627</v>
      </c>
      <c r="K60">
        <f>IF($A60="","",IF(ISNUMBER($A60),MONTH($A60),MONTH(DATEVALUE($A60))))</f>
        <v>12</v>
      </c>
    </row>
    <row r="61" spans="1:11" ht="60" customHeight="1" x14ac:dyDescent="0.25">
      <c r="A61" s="7" t="s">
        <v>123</v>
      </c>
      <c r="B61" s="7" t="s">
        <v>0</v>
      </c>
      <c r="C61" s="7" t="s">
        <v>130</v>
      </c>
      <c r="D61" s="7" t="s">
        <v>4</v>
      </c>
      <c r="E61" s="7" t="s">
        <v>18</v>
      </c>
      <c r="F61" s="5">
        <v>30.69</v>
      </c>
      <c r="G61" s="7" t="s">
        <v>131</v>
      </c>
      <c r="H61" s="7" t="s">
        <v>130</v>
      </c>
      <c r="I61" s="7" t="s">
        <v>2636</v>
      </c>
      <c r="K61">
        <f>IF($A61="","",IF(ISNUMBER($A61),MONTH($A61),MONTH(DATEVALUE($A61))))</f>
        <v>12</v>
      </c>
    </row>
    <row r="62" spans="1:11" ht="60" customHeight="1" x14ac:dyDescent="0.25">
      <c r="A62" s="8" t="s">
        <v>123</v>
      </c>
      <c r="B62" s="8" t="s">
        <v>0</v>
      </c>
      <c r="C62" s="8" t="s">
        <v>132</v>
      </c>
      <c r="D62" s="8" t="s">
        <v>4</v>
      </c>
      <c r="E62" s="8" t="s">
        <v>18</v>
      </c>
      <c r="F62" s="6">
        <v>24</v>
      </c>
      <c r="G62" s="8" t="s">
        <v>133</v>
      </c>
      <c r="H62" s="8" t="s">
        <v>132</v>
      </c>
      <c r="I62" s="8" t="s">
        <v>2630</v>
      </c>
      <c r="K62">
        <f>IF($A62="","",IF(ISNUMBER($A62),MONTH($A62),MONTH(DATEVALUE($A62))))</f>
        <v>12</v>
      </c>
    </row>
    <row r="63" spans="1:11" ht="60" customHeight="1" x14ac:dyDescent="0.25">
      <c r="A63" s="7" t="s">
        <v>134</v>
      </c>
      <c r="B63" s="7" t="s">
        <v>0</v>
      </c>
      <c r="C63" s="7" t="s">
        <v>135</v>
      </c>
      <c r="D63" s="7" t="s">
        <v>4</v>
      </c>
      <c r="E63" s="7" t="s">
        <v>18</v>
      </c>
      <c r="F63" s="5">
        <v>20.89</v>
      </c>
      <c r="G63" s="7" t="s">
        <v>136</v>
      </c>
      <c r="H63" s="7" t="s">
        <v>135</v>
      </c>
      <c r="I63" s="7" t="s">
        <v>2632</v>
      </c>
      <c r="K63">
        <f>IF($A63="","",IF(ISNUMBER($A63),MONTH($A63),MONTH(DATEVALUE($A63))))</f>
        <v>12</v>
      </c>
    </row>
    <row r="64" spans="1:11" ht="60" customHeight="1" x14ac:dyDescent="0.25">
      <c r="A64" s="8" t="s">
        <v>134</v>
      </c>
      <c r="B64" s="8" t="s">
        <v>0</v>
      </c>
      <c r="C64" s="8" t="s">
        <v>137</v>
      </c>
      <c r="D64" s="8" t="s">
        <v>4</v>
      </c>
      <c r="E64" s="8" t="s">
        <v>18</v>
      </c>
      <c r="F64" s="6">
        <v>13.79</v>
      </c>
      <c r="G64" s="8" t="s">
        <v>138</v>
      </c>
      <c r="H64" s="8" t="s">
        <v>137</v>
      </c>
      <c r="I64" s="8" t="s">
        <v>2627</v>
      </c>
      <c r="K64">
        <f>IF($A64="","",IF(ISNUMBER($A64),MONTH($A64),MONTH(DATEVALUE($A64))))</f>
        <v>12</v>
      </c>
    </row>
    <row r="65" spans="1:11" ht="60" customHeight="1" x14ac:dyDescent="0.25">
      <c r="A65" s="7" t="s">
        <v>134</v>
      </c>
      <c r="B65" s="7" t="s">
        <v>0</v>
      </c>
      <c r="C65" s="7" t="s">
        <v>139</v>
      </c>
      <c r="D65" s="7" t="s">
        <v>4</v>
      </c>
      <c r="E65" s="7" t="s">
        <v>18</v>
      </c>
      <c r="F65" s="5">
        <v>105.24</v>
      </c>
      <c r="G65" s="7" t="s">
        <v>140</v>
      </c>
      <c r="H65" s="7" t="s">
        <v>139</v>
      </c>
      <c r="I65" s="7" t="s">
        <v>2636</v>
      </c>
      <c r="K65">
        <f>IF($A65="","",IF(ISNUMBER($A65),MONTH($A65),MONTH(DATEVALUE($A65))))</f>
        <v>12</v>
      </c>
    </row>
    <row r="66" spans="1:11" ht="60" customHeight="1" x14ac:dyDescent="0.25">
      <c r="A66" s="8" t="s">
        <v>134</v>
      </c>
      <c r="B66" s="8" t="s">
        <v>0</v>
      </c>
      <c r="C66" s="8" t="s">
        <v>141</v>
      </c>
      <c r="D66" s="8" t="s">
        <v>4</v>
      </c>
      <c r="E66" s="8" t="s">
        <v>18</v>
      </c>
      <c r="F66" s="6">
        <v>136.06</v>
      </c>
      <c r="G66" s="8" t="s">
        <v>142</v>
      </c>
      <c r="H66" s="8" t="s">
        <v>141</v>
      </c>
      <c r="I66" s="8" t="s">
        <v>2636</v>
      </c>
      <c r="K66">
        <f>IF($A66="","",IF(ISNUMBER($A66),MONTH($A66),MONTH(DATEVALUE($A66))))</f>
        <v>12</v>
      </c>
    </row>
    <row r="67" spans="1:11" ht="60" customHeight="1" x14ac:dyDescent="0.25">
      <c r="A67" s="7" t="s">
        <v>143</v>
      </c>
      <c r="B67" s="7" t="s">
        <v>0</v>
      </c>
      <c r="C67" s="7" t="s">
        <v>144</v>
      </c>
      <c r="D67" s="7" t="s">
        <v>4</v>
      </c>
      <c r="E67" s="7" t="s">
        <v>18</v>
      </c>
      <c r="F67" s="5">
        <v>64.569999999999993</v>
      </c>
      <c r="G67" s="7" t="s">
        <v>145</v>
      </c>
      <c r="H67" s="7" t="s">
        <v>144</v>
      </c>
      <c r="I67" s="7" t="s">
        <v>2636</v>
      </c>
      <c r="K67">
        <f>IF($A67="","",IF(ISNUMBER($A67),MONTH($A67),MONTH(DATEVALUE($A67))))</f>
        <v>12</v>
      </c>
    </row>
    <row r="68" spans="1:11" ht="60" customHeight="1" x14ac:dyDescent="0.25">
      <c r="A68" s="8" t="s">
        <v>143</v>
      </c>
      <c r="B68" s="8" t="s">
        <v>0</v>
      </c>
      <c r="C68" s="8" t="s">
        <v>146</v>
      </c>
      <c r="D68" s="8" t="s">
        <v>4</v>
      </c>
      <c r="E68" s="8" t="s">
        <v>18</v>
      </c>
      <c r="F68" s="6">
        <v>30.97</v>
      </c>
      <c r="G68" s="8" t="s">
        <v>147</v>
      </c>
      <c r="H68" s="8" t="s">
        <v>146</v>
      </c>
      <c r="I68" s="8" t="s">
        <v>2627</v>
      </c>
      <c r="K68">
        <f>IF($A68="","",IF(ISNUMBER($A68),MONTH($A68),MONTH(DATEVALUE($A68))))</f>
        <v>12</v>
      </c>
    </row>
    <row r="69" spans="1:11" ht="60" customHeight="1" x14ac:dyDescent="0.25">
      <c r="A69" s="7" t="s">
        <v>143</v>
      </c>
      <c r="B69" s="7" t="s">
        <v>0</v>
      </c>
      <c r="C69" s="7" t="s">
        <v>148</v>
      </c>
      <c r="D69" s="7" t="s">
        <v>4</v>
      </c>
      <c r="E69" s="7" t="s">
        <v>18</v>
      </c>
      <c r="F69" s="5">
        <v>194.85</v>
      </c>
      <c r="G69" s="7" t="s">
        <v>149</v>
      </c>
      <c r="H69" s="7" t="s">
        <v>148</v>
      </c>
      <c r="I69" s="7" t="s">
        <v>2637</v>
      </c>
      <c r="K69">
        <f>IF($A69="","",IF(ISNUMBER($A69),MONTH($A69),MONTH(DATEVALUE($A69))))</f>
        <v>12</v>
      </c>
    </row>
    <row r="70" spans="1:11" ht="60" customHeight="1" x14ac:dyDescent="0.25">
      <c r="A70" s="8" t="s">
        <v>143</v>
      </c>
      <c r="B70" s="8" t="s">
        <v>0</v>
      </c>
      <c r="C70" s="8" t="s">
        <v>27</v>
      </c>
      <c r="D70" s="8" t="s">
        <v>4</v>
      </c>
      <c r="E70" s="8" t="s">
        <v>18</v>
      </c>
      <c r="F70" s="6">
        <v>20</v>
      </c>
      <c r="G70" s="8" t="s">
        <v>150</v>
      </c>
      <c r="H70" s="8" t="s">
        <v>27</v>
      </c>
      <c r="I70" s="8" t="s">
        <v>2628</v>
      </c>
      <c r="K70">
        <f>IF($A70="","",IF(ISNUMBER($A70),MONTH($A70),MONTH(DATEVALUE($A70))))</f>
        <v>12</v>
      </c>
    </row>
    <row r="71" spans="1:11" ht="60" customHeight="1" x14ac:dyDescent="0.25">
      <c r="A71" s="7" t="s">
        <v>143</v>
      </c>
      <c r="B71" s="7" t="s">
        <v>0</v>
      </c>
      <c r="C71" s="7" t="s">
        <v>151</v>
      </c>
      <c r="D71" s="7" t="s">
        <v>4</v>
      </c>
      <c r="E71" s="7" t="s">
        <v>18</v>
      </c>
      <c r="F71" s="5">
        <v>62.11</v>
      </c>
      <c r="G71" s="7" t="s">
        <v>152</v>
      </c>
      <c r="H71" s="7" t="s">
        <v>151</v>
      </c>
      <c r="I71" s="7" t="s">
        <v>2636</v>
      </c>
      <c r="K71">
        <f>IF($A71="","",IF(ISNUMBER($A71),MONTH($A71),MONTH(DATEVALUE($A71))))</f>
        <v>12</v>
      </c>
    </row>
    <row r="72" spans="1:11" ht="60" customHeight="1" x14ac:dyDescent="0.25">
      <c r="A72" s="8" t="s">
        <v>143</v>
      </c>
      <c r="B72" s="8" t="s">
        <v>0</v>
      </c>
      <c r="C72" s="8" t="s">
        <v>153</v>
      </c>
      <c r="D72" s="8" t="s">
        <v>4</v>
      </c>
      <c r="E72" s="8" t="s">
        <v>18</v>
      </c>
      <c r="F72" s="6">
        <v>20.89</v>
      </c>
      <c r="G72" s="8" t="s">
        <v>154</v>
      </c>
      <c r="H72" s="8" t="s">
        <v>153</v>
      </c>
      <c r="I72" s="8" t="s">
        <v>2636</v>
      </c>
      <c r="K72">
        <f>IF($A72="","",IF(ISNUMBER($A72),MONTH($A72),MONTH(DATEVALUE($A72))))</f>
        <v>12</v>
      </c>
    </row>
    <row r="73" spans="1:11" ht="60" customHeight="1" x14ac:dyDescent="0.25">
      <c r="A73" s="7" t="s">
        <v>143</v>
      </c>
      <c r="B73" s="7" t="s">
        <v>0</v>
      </c>
      <c r="C73" s="7" t="s">
        <v>155</v>
      </c>
      <c r="D73" s="7" t="s">
        <v>4</v>
      </c>
      <c r="E73" s="7" t="s">
        <v>18</v>
      </c>
      <c r="F73" s="5">
        <v>8.16</v>
      </c>
      <c r="G73" s="7" t="s">
        <v>156</v>
      </c>
      <c r="H73" s="7" t="s">
        <v>155</v>
      </c>
      <c r="I73" s="7" t="s">
        <v>2636</v>
      </c>
      <c r="K73">
        <f>IF($A73="","",IF(ISNUMBER($A73),MONTH($A73),MONTH(DATEVALUE($A73))))</f>
        <v>12</v>
      </c>
    </row>
    <row r="74" spans="1:11" ht="60" customHeight="1" x14ac:dyDescent="0.25">
      <c r="A74" s="8" t="s">
        <v>143</v>
      </c>
      <c r="B74" s="8" t="s">
        <v>0</v>
      </c>
      <c r="C74" s="8" t="s">
        <v>155</v>
      </c>
      <c r="D74" s="8" t="s">
        <v>4</v>
      </c>
      <c r="E74" s="8" t="s">
        <v>18</v>
      </c>
      <c r="F74" s="6">
        <v>57.79</v>
      </c>
      <c r="G74" s="8" t="s">
        <v>157</v>
      </c>
      <c r="H74" s="8" t="s">
        <v>155</v>
      </c>
      <c r="I74" s="8" t="s">
        <v>2636</v>
      </c>
      <c r="K74">
        <f>IF($A74="","",IF(ISNUMBER($A74),MONTH($A74),MONTH(DATEVALUE($A74))))</f>
        <v>12</v>
      </c>
    </row>
    <row r="75" spans="1:11" ht="60" customHeight="1" x14ac:dyDescent="0.25">
      <c r="A75" s="7" t="s">
        <v>143</v>
      </c>
      <c r="B75" s="7" t="s">
        <v>0</v>
      </c>
      <c r="C75" s="7" t="s">
        <v>158</v>
      </c>
      <c r="D75" s="7" t="s">
        <v>4</v>
      </c>
      <c r="E75" s="7" t="s">
        <v>18</v>
      </c>
      <c r="F75" s="5">
        <v>47.45</v>
      </c>
      <c r="G75" s="7" t="s">
        <v>159</v>
      </c>
      <c r="H75" s="7" t="s">
        <v>158</v>
      </c>
      <c r="I75" s="7" t="s">
        <v>2636</v>
      </c>
      <c r="K75">
        <f>IF($A75="","",IF(ISNUMBER($A75),MONTH($A75),MONTH(DATEVALUE($A75))))</f>
        <v>12</v>
      </c>
    </row>
    <row r="76" spans="1:11" ht="60" customHeight="1" x14ac:dyDescent="0.25">
      <c r="A76" s="8" t="s">
        <v>160</v>
      </c>
      <c r="B76" s="8" t="s">
        <v>0</v>
      </c>
      <c r="C76" s="8" t="s">
        <v>161</v>
      </c>
      <c r="D76" s="8" t="s">
        <v>4</v>
      </c>
      <c r="E76" s="8" t="s">
        <v>18</v>
      </c>
      <c r="F76" s="6">
        <v>12.4</v>
      </c>
      <c r="G76" s="8" t="s">
        <v>162</v>
      </c>
      <c r="H76" s="8" t="s">
        <v>161</v>
      </c>
      <c r="I76" s="8" t="s">
        <v>2636</v>
      </c>
      <c r="K76">
        <f>IF($A76="","",IF(ISNUMBER($A76),MONTH($A76),MONTH(DATEVALUE($A76))))</f>
        <v>12</v>
      </c>
    </row>
    <row r="77" spans="1:11" ht="60" customHeight="1" x14ac:dyDescent="0.25">
      <c r="A77" s="7" t="s">
        <v>160</v>
      </c>
      <c r="B77" s="7" t="s">
        <v>0</v>
      </c>
      <c r="C77" s="7" t="s">
        <v>163</v>
      </c>
      <c r="D77" s="7" t="s">
        <v>4</v>
      </c>
      <c r="E77" s="7" t="s">
        <v>18</v>
      </c>
      <c r="F77" s="5">
        <v>10.99</v>
      </c>
      <c r="G77" s="7" t="s">
        <v>164</v>
      </c>
      <c r="H77" s="7" t="s">
        <v>163</v>
      </c>
      <c r="I77" s="7" t="s">
        <v>2627</v>
      </c>
      <c r="K77">
        <f>IF($A77="","",IF(ISNUMBER($A77),MONTH($A77),MONTH(DATEVALUE($A77))))</f>
        <v>12</v>
      </c>
    </row>
    <row r="78" spans="1:11" ht="60" customHeight="1" x14ac:dyDescent="0.25">
      <c r="A78" s="8" t="s">
        <v>160</v>
      </c>
      <c r="B78" s="8" t="s">
        <v>0</v>
      </c>
      <c r="C78" s="8" t="s">
        <v>165</v>
      </c>
      <c r="D78" s="8" t="s">
        <v>4</v>
      </c>
      <c r="E78" s="8" t="s">
        <v>18</v>
      </c>
      <c r="F78" s="6">
        <v>195</v>
      </c>
      <c r="G78" s="8" t="s">
        <v>166</v>
      </c>
      <c r="H78" s="8" t="s">
        <v>165</v>
      </c>
      <c r="I78" s="8" t="s">
        <v>2638</v>
      </c>
      <c r="K78">
        <f>IF($A78="","",IF(ISNUMBER($A78),MONTH($A78),MONTH(DATEVALUE($A78))))</f>
        <v>12</v>
      </c>
    </row>
    <row r="79" spans="1:11" ht="60" customHeight="1" x14ac:dyDescent="0.25">
      <c r="A79" s="7" t="s">
        <v>160</v>
      </c>
      <c r="B79" s="7" t="s">
        <v>0</v>
      </c>
      <c r="C79" s="7" t="s">
        <v>167</v>
      </c>
      <c r="D79" s="7" t="s">
        <v>4</v>
      </c>
      <c r="E79" s="7" t="s">
        <v>18</v>
      </c>
      <c r="F79" s="5">
        <v>-713.38</v>
      </c>
      <c r="G79" s="7" t="s">
        <v>168</v>
      </c>
      <c r="H79" s="7" t="s">
        <v>167</v>
      </c>
      <c r="I79" s="7" t="s">
        <v>2639</v>
      </c>
      <c r="K79">
        <f>IF($A79="","",IF(ISNUMBER($A79),MONTH($A79),MONTH(DATEVALUE($A79))))</f>
        <v>12</v>
      </c>
    </row>
    <row r="80" spans="1:11" ht="60" customHeight="1" x14ac:dyDescent="0.25">
      <c r="A80" s="8" t="s">
        <v>160</v>
      </c>
      <c r="B80" s="8" t="s">
        <v>0</v>
      </c>
      <c r="C80" s="8" t="s">
        <v>169</v>
      </c>
      <c r="D80" s="8" t="s">
        <v>4</v>
      </c>
      <c r="E80" s="8" t="s">
        <v>18</v>
      </c>
      <c r="F80" s="6">
        <v>7.61</v>
      </c>
      <c r="G80" s="8" t="s">
        <v>170</v>
      </c>
      <c r="H80" s="8" t="s">
        <v>169</v>
      </c>
      <c r="I80" s="8" t="s">
        <v>2633</v>
      </c>
      <c r="K80">
        <f>IF($A80="","",IF(ISNUMBER($A80),MONTH($A80),MONTH(DATEVALUE($A80))))</f>
        <v>12</v>
      </c>
    </row>
    <row r="81" spans="1:11" ht="60" customHeight="1" x14ac:dyDescent="0.25">
      <c r="A81" s="7" t="s">
        <v>160</v>
      </c>
      <c r="B81" s="7" t="s">
        <v>0</v>
      </c>
      <c r="C81" s="7" t="s">
        <v>171</v>
      </c>
      <c r="D81" s="7" t="s">
        <v>4</v>
      </c>
      <c r="E81" s="7" t="s">
        <v>18</v>
      </c>
      <c r="F81" s="5">
        <v>162.80000000000001</v>
      </c>
      <c r="G81" s="7" t="s">
        <v>172</v>
      </c>
      <c r="H81" s="7" t="s">
        <v>171</v>
      </c>
      <c r="I81" s="7" t="s">
        <v>2633</v>
      </c>
      <c r="K81">
        <f>IF($A81="","",IF(ISNUMBER($A81),MONTH($A81),MONTH(DATEVALUE($A81))))</f>
        <v>12</v>
      </c>
    </row>
    <row r="82" spans="1:11" ht="60" customHeight="1" x14ac:dyDescent="0.25">
      <c r="A82" s="8" t="s">
        <v>160</v>
      </c>
      <c r="B82" s="8" t="s">
        <v>0</v>
      </c>
      <c r="C82" s="8" t="s">
        <v>173</v>
      </c>
      <c r="D82" s="8" t="s">
        <v>4</v>
      </c>
      <c r="E82" s="8" t="s">
        <v>18</v>
      </c>
      <c r="F82" s="6">
        <v>212.88</v>
      </c>
      <c r="G82" s="8" t="s">
        <v>174</v>
      </c>
      <c r="H82" s="8" t="s">
        <v>173</v>
      </c>
      <c r="I82" s="8" t="s">
        <v>2633</v>
      </c>
      <c r="K82">
        <f>IF($A82="","",IF(ISNUMBER($A82),MONTH($A82),MONTH(DATEVALUE($A82))))</f>
        <v>12</v>
      </c>
    </row>
    <row r="83" spans="1:11" ht="60" customHeight="1" x14ac:dyDescent="0.25">
      <c r="A83" s="7" t="s">
        <v>175</v>
      </c>
      <c r="B83" s="7" t="s">
        <v>0</v>
      </c>
      <c r="C83" s="7" t="s">
        <v>176</v>
      </c>
      <c r="D83" s="7" t="s">
        <v>4</v>
      </c>
      <c r="E83" s="7" t="s">
        <v>18</v>
      </c>
      <c r="F83" s="5">
        <v>9.99</v>
      </c>
      <c r="G83" s="7" t="s">
        <v>177</v>
      </c>
      <c r="H83" s="7" t="s">
        <v>176</v>
      </c>
      <c r="I83" s="7" t="s">
        <v>2630</v>
      </c>
      <c r="K83">
        <f>IF($A83="","",IF(ISNUMBER($A83),MONTH($A83),MONTH(DATEVALUE($A83))))</f>
        <v>12</v>
      </c>
    </row>
    <row r="84" spans="1:11" ht="60" customHeight="1" x14ac:dyDescent="0.25">
      <c r="A84" s="8" t="s">
        <v>175</v>
      </c>
      <c r="B84" s="8" t="s">
        <v>0</v>
      </c>
      <c r="C84" s="8" t="s">
        <v>178</v>
      </c>
      <c r="D84" s="8" t="s">
        <v>4</v>
      </c>
      <c r="E84" s="8" t="s">
        <v>18</v>
      </c>
      <c r="F84" s="6">
        <v>260</v>
      </c>
      <c r="G84" s="8" t="s">
        <v>179</v>
      </c>
      <c r="H84" s="8" t="s">
        <v>178</v>
      </c>
      <c r="I84" s="8" t="s">
        <v>2638</v>
      </c>
      <c r="K84">
        <f>IF($A84="","",IF(ISNUMBER($A84),MONTH($A84),MONTH(DATEVALUE($A84))))</f>
        <v>12</v>
      </c>
    </row>
    <row r="85" spans="1:11" ht="60" customHeight="1" x14ac:dyDescent="0.25">
      <c r="A85" s="7" t="s">
        <v>175</v>
      </c>
      <c r="B85" s="7" t="s">
        <v>0</v>
      </c>
      <c r="C85" s="7" t="s">
        <v>180</v>
      </c>
      <c r="D85" s="7" t="s">
        <v>4</v>
      </c>
      <c r="E85" s="7" t="s">
        <v>18</v>
      </c>
      <c r="F85" s="5">
        <v>31.18</v>
      </c>
      <c r="G85" s="7" t="s">
        <v>181</v>
      </c>
      <c r="H85" s="7" t="s">
        <v>180</v>
      </c>
      <c r="I85" s="7" t="s">
        <v>2627</v>
      </c>
      <c r="K85">
        <f>IF($A85="","",IF(ISNUMBER($A85),MONTH($A85),MONTH(DATEVALUE($A85))))</f>
        <v>12</v>
      </c>
    </row>
    <row r="86" spans="1:11" ht="60" customHeight="1" x14ac:dyDescent="0.25">
      <c r="A86" s="8" t="s">
        <v>175</v>
      </c>
      <c r="B86" s="8" t="s">
        <v>0</v>
      </c>
      <c r="C86" s="8" t="s">
        <v>167</v>
      </c>
      <c r="D86" s="8" t="s">
        <v>4</v>
      </c>
      <c r="E86" s="8" t="s">
        <v>18</v>
      </c>
      <c r="F86" s="6">
        <v>713.38</v>
      </c>
      <c r="G86" s="8" t="s">
        <v>182</v>
      </c>
      <c r="H86" s="8" t="s">
        <v>167</v>
      </c>
      <c r="I86" s="8" t="s">
        <v>2639</v>
      </c>
      <c r="K86">
        <f>IF($A86="","",IF(ISNUMBER($A86),MONTH($A86),MONTH(DATEVALUE($A86))))</f>
        <v>12</v>
      </c>
    </row>
    <row r="87" spans="1:11" ht="60" customHeight="1" x14ac:dyDescent="0.25">
      <c r="A87" s="7" t="s">
        <v>175</v>
      </c>
      <c r="B87" s="7" t="s">
        <v>0</v>
      </c>
      <c r="C87" s="7" t="s">
        <v>167</v>
      </c>
      <c r="D87" s="7" t="s">
        <v>4</v>
      </c>
      <c r="E87" s="7" t="s">
        <v>18</v>
      </c>
      <c r="F87" s="5">
        <v>713.38</v>
      </c>
      <c r="G87" s="7" t="s">
        <v>183</v>
      </c>
      <c r="H87" s="7" t="s">
        <v>167</v>
      </c>
      <c r="I87" s="7" t="s">
        <v>2639</v>
      </c>
      <c r="K87">
        <f>IF($A87="","",IF(ISNUMBER($A87),MONTH($A87),MONTH(DATEVALUE($A87))))</f>
        <v>12</v>
      </c>
    </row>
    <row r="88" spans="1:11" ht="60" customHeight="1" x14ac:dyDescent="0.25">
      <c r="A88" s="8" t="s">
        <v>175</v>
      </c>
      <c r="B88" s="8" t="s">
        <v>0</v>
      </c>
      <c r="C88" s="8" t="s">
        <v>54</v>
      </c>
      <c r="D88" s="8" t="s">
        <v>4</v>
      </c>
      <c r="E88" s="8" t="s">
        <v>18</v>
      </c>
      <c r="F88" s="6">
        <v>169.38</v>
      </c>
      <c r="G88" s="8" t="s">
        <v>184</v>
      </c>
      <c r="H88" s="8" t="s">
        <v>54</v>
      </c>
      <c r="I88" s="8" t="s">
        <v>2633</v>
      </c>
      <c r="K88">
        <f>IF($A88="","",IF(ISNUMBER($A88),MONTH($A88),MONTH(DATEVALUE($A88))))</f>
        <v>12</v>
      </c>
    </row>
    <row r="89" spans="1:11" ht="60" customHeight="1" x14ac:dyDescent="0.25">
      <c r="A89" s="7" t="s">
        <v>185</v>
      </c>
      <c r="B89" s="7" t="s">
        <v>0</v>
      </c>
      <c r="C89" s="7" t="s">
        <v>186</v>
      </c>
      <c r="D89" s="7" t="s">
        <v>4</v>
      </c>
      <c r="E89" s="7" t="s">
        <v>18</v>
      </c>
      <c r="F89" s="5">
        <v>2195</v>
      </c>
      <c r="G89" s="7" t="s">
        <v>187</v>
      </c>
      <c r="H89" s="7" t="s">
        <v>186</v>
      </c>
      <c r="I89" s="7" t="s">
        <v>2640</v>
      </c>
      <c r="K89">
        <f>IF($A89="","",IF(ISNUMBER($A89),MONTH($A89),MONTH(DATEVALUE($A89))))</f>
        <v>12</v>
      </c>
    </row>
    <row r="90" spans="1:11" ht="60" customHeight="1" x14ac:dyDescent="0.25">
      <c r="A90" s="8" t="s">
        <v>185</v>
      </c>
      <c r="B90" s="8" t="s">
        <v>0</v>
      </c>
      <c r="C90" s="8" t="s">
        <v>188</v>
      </c>
      <c r="D90" s="8" t="s">
        <v>4</v>
      </c>
      <c r="E90" s="8" t="s">
        <v>18</v>
      </c>
      <c r="F90" s="6">
        <v>-10000</v>
      </c>
      <c r="G90" s="8" t="s">
        <v>189</v>
      </c>
      <c r="H90" s="8" t="s">
        <v>188</v>
      </c>
      <c r="I90" s="8" t="s">
        <v>2629</v>
      </c>
      <c r="K90">
        <f>IF($A90="","",IF(ISNUMBER($A90),MONTH($A90),MONTH(DATEVALUE($A90))))</f>
        <v>12</v>
      </c>
    </row>
    <row r="91" spans="1:11" ht="60" customHeight="1" x14ac:dyDescent="0.25">
      <c r="A91" s="7" t="s">
        <v>185</v>
      </c>
      <c r="B91" s="7" t="s">
        <v>0</v>
      </c>
      <c r="C91" s="7" t="s">
        <v>190</v>
      </c>
      <c r="D91" s="7" t="s">
        <v>4</v>
      </c>
      <c r="E91" s="7" t="s">
        <v>18</v>
      </c>
      <c r="F91" s="5">
        <v>17.97</v>
      </c>
      <c r="G91" s="7" t="s">
        <v>191</v>
      </c>
      <c r="H91" s="7" t="s">
        <v>190</v>
      </c>
      <c r="I91" s="7" t="s">
        <v>2627</v>
      </c>
      <c r="K91">
        <f>IF($A91="","",IF(ISNUMBER($A91),MONTH($A91),MONTH(DATEVALUE($A91))))</f>
        <v>12</v>
      </c>
    </row>
    <row r="92" spans="1:11" ht="60" customHeight="1" x14ac:dyDescent="0.25">
      <c r="A92" s="8" t="s">
        <v>185</v>
      </c>
      <c r="B92" s="8" t="s">
        <v>0</v>
      </c>
      <c r="C92" s="8" t="s">
        <v>192</v>
      </c>
      <c r="D92" s="8" t="s">
        <v>4</v>
      </c>
      <c r="E92" s="8" t="s">
        <v>18</v>
      </c>
      <c r="F92" s="6">
        <v>234.69</v>
      </c>
      <c r="G92" s="8" t="s">
        <v>193</v>
      </c>
      <c r="H92" s="8" t="s">
        <v>192</v>
      </c>
      <c r="I92" s="8" t="s">
        <v>2636</v>
      </c>
      <c r="K92">
        <f>IF($A92="","",IF(ISNUMBER($A92),MONTH($A92),MONTH(DATEVALUE($A92))))</f>
        <v>12</v>
      </c>
    </row>
    <row r="93" spans="1:11" ht="60" customHeight="1" x14ac:dyDescent="0.25">
      <c r="A93" s="7" t="s">
        <v>185</v>
      </c>
      <c r="B93" s="7" t="s">
        <v>0</v>
      </c>
      <c r="C93" s="7" t="s">
        <v>194</v>
      </c>
      <c r="D93" s="7" t="s">
        <v>4</v>
      </c>
      <c r="E93" s="7" t="s">
        <v>18</v>
      </c>
      <c r="F93" s="5">
        <v>329.66</v>
      </c>
      <c r="G93" s="7" t="s">
        <v>195</v>
      </c>
      <c r="H93" s="7" t="s">
        <v>194</v>
      </c>
      <c r="I93" s="7" t="s">
        <v>2636</v>
      </c>
      <c r="K93">
        <f>IF($A93="","",IF(ISNUMBER($A93),MONTH($A93),MONTH(DATEVALUE($A93))))</f>
        <v>12</v>
      </c>
    </row>
    <row r="94" spans="1:11" ht="60" customHeight="1" x14ac:dyDescent="0.25">
      <c r="A94" s="8" t="s">
        <v>185</v>
      </c>
      <c r="B94" s="8" t="s">
        <v>0</v>
      </c>
      <c r="C94" s="8" t="s">
        <v>196</v>
      </c>
      <c r="D94" s="8" t="s">
        <v>4</v>
      </c>
      <c r="E94" s="8" t="s">
        <v>18</v>
      </c>
      <c r="F94" s="6">
        <v>227.02</v>
      </c>
      <c r="G94" s="8" t="s">
        <v>197</v>
      </c>
      <c r="H94" s="8" t="s">
        <v>196</v>
      </c>
      <c r="I94" s="8" t="s">
        <v>2636</v>
      </c>
      <c r="K94">
        <f>IF($A94="","",IF(ISNUMBER($A94),MONTH($A94),MONTH(DATEVALUE($A94))))</f>
        <v>12</v>
      </c>
    </row>
    <row r="95" spans="1:11" ht="60" customHeight="1" x14ac:dyDescent="0.25">
      <c r="A95" s="7" t="s">
        <v>185</v>
      </c>
      <c r="B95" s="7" t="s">
        <v>0</v>
      </c>
      <c r="C95" s="7" t="s">
        <v>198</v>
      </c>
      <c r="D95" s="7" t="s">
        <v>4</v>
      </c>
      <c r="E95" s="7" t="s">
        <v>18</v>
      </c>
      <c r="F95" s="5">
        <v>240.3</v>
      </c>
      <c r="G95" s="7" t="s">
        <v>199</v>
      </c>
      <c r="H95" s="7" t="s">
        <v>198</v>
      </c>
      <c r="I95" s="7" t="s">
        <v>2636</v>
      </c>
      <c r="K95">
        <f>IF($A95="","",IF(ISNUMBER($A95),MONTH($A95),MONTH(DATEVALUE($A95))))</f>
        <v>12</v>
      </c>
    </row>
    <row r="96" spans="1:11" ht="60" customHeight="1" x14ac:dyDescent="0.25">
      <c r="A96" s="8" t="s">
        <v>185</v>
      </c>
      <c r="B96" s="8" t="s">
        <v>0</v>
      </c>
      <c r="C96" s="8" t="s">
        <v>200</v>
      </c>
      <c r="D96" s="8" t="s">
        <v>4</v>
      </c>
      <c r="E96" s="8" t="s">
        <v>18</v>
      </c>
      <c r="F96" s="6">
        <v>491.41</v>
      </c>
      <c r="G96" s="8" t="s">
        <v>201</v>
      </c>
      <c r="H96" s="8" t="s">
        <v>200</v>
      </c>
      <c r="I96" s="8" t="s">
        <v>2636</v>
      </c>
      <c r="K96">
        <f>IF($A96="","",IF(ISNUMBER($A96),MONTH($A96),MONTH(DATEVALUE($A96))))</f>
        <v>12</v>
      </c>
    </row>
    <row r="97" spans="1:11" ht="60" customHeight="1" x14ac:dyDescent="0.25">
      <c r="A97" s="7" t="s">
        <v>202</v>
      </c>
      <c r="B97" s="7" t="s">
        <v>0</v>
      </c>
      <c r="C97" s="7" t="s">
        <v>70</v>
      </c>
      <c r="D97" s="7" t="s">
        <v>4</v>
      </c>
      <c r="E97" s="7" t="s">
        <v>18</v>
      </c>
      <c r="F97" s="5">
        <v>230</v>
      </c>
      <c r="G97" s="7" t="s">
        <v>203</v>
      </c>
      <c r="H97" s="7" t="s">
        <v>70</v>
      </c>
      <c r="I97" s="7" t="s">
        <v>2632</v>
      </c>
      <c r="K97">
        <f>IF($A97="","",IF(ISNUMBER($A97),MONTH($A97),MONTH(DATEVALUE($A97))))</f>
        <v>12</v>
      </c>
    </row>
    <row r="98" spans="1:11" ht="60" customHeight="1" x14ac:dyDescent="0.25">
      <c r="A98" s="8" t="s">
        <v>202</v>
      </c>
      <c r="B98" s="8" t="s">
        <v>0</v>
      </c>
      <c r="C98" s="8" t="s">
        <v>204</v>
      </c>
      <c r="D98" s="8" t="s">
        <v>4</v>
      </c>
      <c r="E98" s="8" t="s">
        <v>18</v>
      </c>
      <c r="F98" s="6">
        <v>30</v>
      </c>
      <c r="G98" s="8" t="s">
        <v>205</v>
      </c>
      <c r="H98" s="8" t="s">
        <v>204</v>
      </c>
      <c r="I98" s="8" t="s">
        <v>2628</v>
      </c>
      <c r="K98">
        <f>IF($A98="","",IF(ISNUMBER($A98),MONTH($A98),MONTH(DATEVALUE($A98))))</f>
        <v>12</v>
      </c>
    </row>
    <row r="99" spans="1:11" ht="60" customHeight="1" x14ac:dyDescent="0.25">
      <c r="A99" s="7" t="s">
        <v>206</v>
      </c>
      <c r="B99" s="7" t="s">
        <v>0</v>
      </c>
      <c r="C99" s="7" t="s">
        <v>207</v>
      </c>
      <c r="D99" s="7" t="s">
        <v>4</v>
      </c>
      <c r="E99" s="7" t="s">
        <v>18</v>
      </c>
      <c r="F99" s="5">
        <v>385.22</v>
      </c>
      <c r="G99" s="7" t="s">
        <v>208</v>
      </c>
      <c r="H99" s="7" t="s">
        <v>207</v>
      </c>
      <c r="I99" s="7" t="s">
        <v>207</v>
      </c>
      <c r="K99">
        <f>IF($A99="","",IF(ISNUMBER($A99),MONTH($A99),MONTH(DATEVALUE($A99))))</f>
        <v>12</v>
      </c>
    </row>
    <row r="100" spans="1:11" ht="60" customHeight="1" x14ac:dyDescent="0.25">
      <c r="A100" s="8" t="s">
        <v>206</v>
      </c>
      <c r="B100" s="8" t="s">
        <v>0</v>
      </c>
      <c r="C100" s="8" t="s">
        <v>209</v>
      </c>
      <c r="D100" s="8" t="s">
        <v>4</v>
      </c>
      <c r="E100" s="8" t="s">
        <v>18</v>
      </c>
      <c r="F100" s="6">
        <v>-10000</v>
      </c>
      <c r="G100" s="8" t="s">
        <v>210</v>
      </c>
      <c r="H100" s="8" t="s">
        <v>209</v>
      </c>
      <c r="I100" s="8" t="s">
        <v>2629</v>
      </c>
      <c r="K100">
        <f>IF($A100="","",IF(ISNUMBER($A100),MONTH($A100),MONTH(DATEVALUE($A100))))</f>
        <v>12</v>
      </c>
    </row>
    <row r="101" spans="1:11" ht="60" customHeight="1" x14ac:dyDescent="0.25">
      <c r="A101" s="7" t="s">
        <v>206</v>
      </c>
      <c r="B101" s="7" t="s">
        <v>0</v>
      </c>
      <c r="C101" s="7" t="s">
        <v>211</v>
      </c>
      <c r="D101" s="7" t="s">
        <v>4</v>
      </c>
      <c r="E101" s="7" t="s">
        <v>18</v>
      </c>
      <c r="F101" s="5">
        <v>52.14</v>
      </c>
      <c r="G101" s="7" t="s">
        <v>212</v>
      </c>
      <c r="H101" s="7" t="s">
        <v>211</v>
      </c>
      <c r="I101" s="7" t="s">
        <v>2630</v>
      </c>
      <c r="K101">
        <f>IF($A101="","",IF(ISNUMBER($A101),MONTH($A101),MONTH(DATEVALUE($A101))))</f>
        <v>12</v>
      </c>
    </row>
    <row r="102" spans="1:11" ht="60" customHeight="1" x14ac:dyDescent="0.25">
      <c r="A102" s="8" t="s">
        <v>213</v>
      </c>
      <c r="B102" s="8" t="s">
        <v>0</v>
      </c>
      <c r="C102" s="8" t="s">
        <v>214</v>
      </c>
      <c r="D102" s="8" t="s">
        <v>4</v>
      </c>
      <c r="E102" s="8" t="s">
        <v>18</v>
      </c>
      <c r="F102" s="6">
        <v>9.75</v>
      </c>
      <c r="G102" s="8" t="s">
        <v>215</v>
      </c>
      <c r="H102" s="8" t="s">
        <v>214</v>
      </c>
      <c r="I102" s="8" t="s">
        <v>2633</v>
      </c>
      <c r="K102">
        <f>IF($A102="","",IF(ISNUMBER($A102),MONTH($A102),MONTH(DATEVALUE($A102))))</f>
        <v>12</v>
      </c>
    </row>
    <row r="103" spans="1:11" ht="60" customHeight="1" x14ac:dyDescent="0.25">
      <c r="A103" s="7" t="s">
        <v>216</v>
      </c>
      <c r="B103" s="7" t="s">
        <v>0</v>
      </c>
      <c r="C103" s="7" t="s">
        <v>217</v>
      </c>
      <c r="D103" s="7" t="s">
        <v>4</v>
      </c>
      <c r="E103" s="7" t="s">
        <v>18</v>
      </c>
      <c r="F103" s="5">
        <v>119.52</v>
      </c>
      <c r="G103" s="7" t="s">
        <v>218</v>
      </c>
      <c r="H103" s="7" t="s">
        <v>217</v>
      </c>
      <c r="I103" s="7" t="s">
        <v>2632</v>
      </c>
      <c r="K103">
        <f>IF($A103="","",IF(ISNUMBER($A103),MONTH($A103),MONTH(DATEVALUE($A103))))</f>
        <v>12</v>
      </c>
    </row>
    <row r="104" spans="1:11" ht="60" customHeight="1" x14ac:dyDescent="0.25">
      <c r="A104" s="8" t="s">
        <v>216</v>
      </c>
      <c r="B104" s="8" t="s">
        <v>0</v>
      </c>
      <c r="C104" s="8" t="s">
        <v>219</v>
      </c>
      <c r="D104" s="8" t="s">
        <v>4</v>
      </c>
      <c r="E104" s="8" t="s">
        <v>18</v>
      </c>
      <c r="F104" s="6">
        <v>30.97</v>
      </c>
      <c r="G104" s="8" t="s">
        <v>220</v>
      </c>
      <c r="H104" s="8" t="s">
        <v>219</v>
      </c>
      <c r="I104" s="8" t="s">
        <v>2627</v>
      </c>
      <c r="K104">
        <f>IF($A104="","",IF(ISNUMBER($A104),MONTH($A104),MONTH(DATEVALUE($A104))))</f>
        <v>12</v>
      </c>
    </row>
    <row r="105" spans="1:11" ht="60" customHeight="1" x14ac:dyDescent="0.25">
      <c r="A105" s="7" t="s">
        <v>216</v>
      </c>
      <c r="B105" s="7" t="s">
        <v>0</v>
      </c>
      <c r="C105" s="7" t="s">
        <v>221</v>
      </c>
      <c r="D105" s="7" t="s">
        <v>4</v>
      </c>
      <c r="E105" s="7" t="s">
        <v>18</v>
      </c>
      <c r="F105" s="5">
        <v>20</v>
      </c>
      <c r="G105" s="7" t="s">
        <v>222</v>
      </c>
      <c r="H105" s="7" t="s">
        <v>221</v>
      </c>
      <c r="I105" s="7" t="s">
        <v>2630</v>
      </c>
      <c r="K105">
        <f>IF($A105="","",IF(ISNUMBER($A105),MONTH($A105),MONTH(DATEVALUE($A105))))</f>
        <v>12</v>
      </c>
    </row>
    <row r="106" spans="1:11" ht="60" customHeight="1" x14ac:dyDescent="0.25">
      <c r="A106" s="8" t="s">
        <v>216</v>
      </c>
      <c r="B106" s="8" t="s">
        <v>0</v>
      </c>
      <c r="C106" s="8" t="s">
        <v>63</v>
      </c>
      <c r="D106" s="8" t="s">
        <v>4</v>
      </c>
      <c r="E106" s="8" t="s">
        <v>18</v>
      </c>
      <c r="F106" s="6">
        <v>8.7799999999999994</v>
      </c>
      <c r="G106" s="8" t="s">
        <v>223</v>
      </c>
      <c r="H106" s="8" t="s">
        <v>63</v>
      </c>
      <c r="I106" s="8" t="s">
        <v>2633</v>
      </c>
      <c r="K106">
        <f>IF($A106="","",IF(ISNUMBER($A106),MONTH($A106),MONTH(DATEVALUE($A106))))</f>
        <v>12</v>
      </c>
    </row>
    <row r="107" spans="1:11" ht="60" customHeight="1" x14ac:dyDescent="0.25">
      <c r="A107" s="7" t="s">
        <v>216</v>
      </c>
      <c r="B107" s="7" t="s">
        <v>0</v>
      </c>
      <c r="C107" s="7" t="s">
        <v>63</v>
      </c>
      <c r="D107" s="7" t="s">
        <v>4</v>
      </c>
      <c r="E107" s="7" t="s">
        <v>18</v>
      </c>
      <c r="F107" s="5">
        <v>69.290000000000006</v>
      </c>
      <c r="G107" s="7" t="s">
        <v>223</v>
      </c>
      <c r="H107" s="7" t="s">
        <v>63</v>
      </c>
      <c r="I107" s="7" t="s">
        <v>2633</v>
      </c>
      <c r="K107">
        <f>IF($A107="","",IF(ISNUMBER($A107),MONTH($A107),MONTH(DATEVALUE($A107))))</f>
        <v>12</v>
      </c>
    </row>
    <row r="108" spans="1:11" ht="60" customHeight="1" x14ac:dyDescent="0.25">
      <c r="A108" s="8" t="s">
        <v>224</v>
      </c>
      <c r="B108" s="8" t="s">
        <v>0</v>
      </c>
      <c r="C108" s="8" t="s">
        <v>225</v>
      </c>
      <c r="D108" s="8" t="s">
        <v>4</v>
      </c>
      <c r="E108" s="8" t="s">
        <v>18</v>
      </c>
      <c r="F108" s="6">
        <v>74.349999999999994</v>
      </c>
      <c r="G108" s="8" t="s">
        <v>226</v>
      </c>
      <c r="H108" s="8" t="s">
        <v>225</v>
      </c>
      <c r="I108" s="8" t="s">
        <v>2633</v>
      </c>
      <c r="K108">
        <f>IF($A108="","",IF(ISNUMBER($A108),MONTH($A108),MONTH(DATEVALUE($A108))))</f>
        <v>11</v>
      </c>
    </row>
    <row r="109" spans="1:11" ht="60" customHeight="1" x14ac:dyDescent="0.25">
      <c r="A109" s="7" t="s">
        <v>224</v>
      </c>
      <c r="B109" s="7" t="s">
        <v>227</v>
      </c>
      <c r="C109" s="7" t="s">
        <v>228</v>
      </c>
      <c r="D109" s="7" t="s">
        <v>4</v>
      </c>
      <c r="E109" s="7" t="s">
        <v>18</v>
      </c>
      <c r="F109" s="5">
        <v>58</v>
      </c>
      <c r="G109" s="7" t="s">
        <v>229</v>
      </c>
      <c r="H109" s="7" t="s">
        <v>228</v>
      </c>
      <c r="I109" s="7" t="s">
        <v>2633</v>
      </c>
      <c r="K109">
        <f>IF($A109="","",IF(ISNUMBER($A109),MONTH($A109),MONTH(DATEVALUE($A109))))</f>
        <v>11</v>
      </c>
    </row>
    <row r="110" spans="1:11" ht="60" customHeight="1" x14ac:dyDescent="0.25">
      <c r="A110" s="8" t="s">
        <v>224</v>
      </c>
      <c r="B110" s="8" t="s">
        <v>0</v>
      </c>
      <c r="C110" s="8" t="s">
        <v>230</v>
      </c>
      <c r="D110" s="8" t="s">
        <v>4</v>
      </c>
      <c r="E110" s="8" t="s">
        <v>18</v>
      </c>
      <c r="F110" s="6">
        <v>54.37</v>
      </c>
      <c r="G110" s="8" t="s">
        <v>231</v>
      </c>
      <c r="H110" s="8" t="s">
        <v>230</v>
      </c>
      <c r="I110" s="8" t="s">
        <v>2633</v>
      </c>
      <c r="K110">
        <f>IF($A110="","",IF(ISNUMBER($A110),MONTH($A110),MONTH(DATEVALUE($A110))))</f>
        <v>11</v>
      </c>
    </row>
    <row r="111" spans="1:11" ht="60" customHeight="1" x14ac:dyDescent="0.25">
      <c r="A111" s="7" t="s">
        <v>224</v>
      </c>
      <c r="B111" s="7" t="s">
        <v>0</v>
      </c>
      <c r="C111" s="7" t="s">
        <v>22</v>
      </c>
      <c r="D111" s="7" t="s">
        <v>4</v>
      </c>
      <c r="E111" s="7" t="s">
        <v>18</v>
      </c>
      <c r="F111" s="5">
        <v>180.14</v>
      </c>
      <c r="G111" s="7" t="s">
        <v>232</v>
      </c>
      <c r="H111" s="7" t="s">
        <v>22</v>
      </c>
      <c r="I111" s="7" t="s">
        <v>2626</v>
      </c>
      <c r="K111">
        <f>IF($A111="","",IF(ISNUMBER($A111),MONTH($A111),MONTH(DATEVALUE($A111))))</f>
        <v>11</v>
      </c>
    </row>
    <row r="112" spans="1:11" ht="60" customHeight="1" x14ac:dyDescent="0.25">
      <c r="A112" s="8" t="s">
        <v>224</v>
      </c>
      <c r="B112" s="8" t="s">
        <v>0</v>
      </c>
      <c r="C112" s="8" t="s">
        <v>233</v>
      </c>
      <c r="D112" s="8" t="s">
        <v>4</v>
      </c>
      <c r="E112" s="8" t="s">
        <v>18</v>
      </c>
      <c r="F112" s="6">
        <v>283.23</v>
      </c>
      <c r="G112" s="8" t="s">
        <v>234</v>
      </c>
      <c r="H112" s="8" t="s">
        <v>233</v>
      </c>
      <c r="I112" s="8" t="s">
        <v>2633</v>
      </c>
      <c r="K112">
        <f>IF($A112="","",IF(ISNUMBER($A112),MONTH($A112),MONTH(DATEVALUE($A112))))</f>
        <v>11</v>
      </c>
    </row>
    <row r="113" spans="1:11" ht="60" customHeight="1" x14ac:dyDescent="0.25">
      <c r="A113" s="7" t="s">
        <v>224</v>
      </c>
      <c r="B113" s="7" t="s">
        <v>0</v>
      </c>
      <c r="C113" s="7" t="s">
        <v>235</v>
      </c>
      <c r="D113" s="7" t="s">
        <v>4</v>
      </c>
      <c r="E113" s="7" t="s">
        <v>18</v>
      </c>
      <c r="F113" s="5">
        <v>6.69</v>
      </c>
      <c r="G113" s="7" t="s">
        <v>236</v>
      </c>
      <c r="H113" s="7" t="s">
        <v>235</v>
      </c>
      <c r="I113" s="7" t="s">
        <v>2634</v>
      </c>
      <c r="K113">
        <f>IF($A113="","",IF(ISNUMBER($A113),MONTH($A113),MONTH(DATEVALUE($A113))))</f>
        <v>11</v>
      </c>
    </row>
    <row r="114" spans="1:11" ht="60" customHeight="1" x14ac:dyDescent="0.25">
      <c r="A114" s="8" t="s">
        <v>237</v>
      </c>
      <c r="B114" s="8" t="s">
        <v>0</v>
      </c>
      <c r="C114" s="8" t="s">
        <v>238</v>
      </c>
      <c r="D114" s="8" t="s">
        <v>4</v>
      </c>
      <c r="E114" s="8" t="s">
        <v>18</v>
      </c>
      <c r="F114" s="6">
        <v>147.86000000000001</v>
      </c>
      <c r="G114" s="8" t="s">
        <v>239</v>
      </c>
      <c r="H114" s="8" t="s">
        <v>238</v>
      </c>
      <c r="I114" s="8" t="s">
        <v>2633</v>
      </c>
      <c r="K114">
        <f>IF($A114="","",IF(ISNUMBER($A114),MONTH($A114),MONTH(DATEVALUE($A114))))</f>
        <v>11</v>
      </c>
    </row>
    <row r="115" spans="1:11" ht="60" customHeight="1" x14ac:dyDescent="0.25">
      <c r="A115" s="7" t="s">
        <v>237</v>
      </c>
      <c r="B115" s="7" t="s">
        <v>0</v>
      </c>
      <c r="C115" s="7" t="s">
        <v>240</v>
      </c>
      <c r="D115" s="7" t="s">
        <v>4</v>
      </c>
      <c r="E115" s="7" t="s">
        <v>18</v>
      </c>
      <c r="F115" s="5">
        <v>22.98</v>
      </c>
      <c r="G115" s="7" t="s">
        <v>241</v>
      </c>
      <c r="H115" s="7" t="s">
        <v>240</v>
      </c>
      <c r="I115" s="7" t="s">
        <v>2627</v>
      </c>
      <c r="K115">
        <f>IF($A115="","",IF(ISNUMBER($A115),MONTH($A115),MONTH(DATEVALUE($A115))))</f>
        <v>11</v>
      </c>
    </row>
    <row r="116" spans="1:11" ht="60" customHeight="1" x14ac:dyDescent="0.25">
      <c r="A116" s="8" t="s">
        <v>237</v>
      </c>
      <c r="B116" s="8" t="s">
        <v>0</v>
      </c>
      <c r="C116" s="8" t="s">
        <v>242</v>
      </c>
      <c r="D116" s="8" t="s">
        <v>4</v>
      </c>
      <c r="E116" s="8" t="s">
        <v>18</v>
      </c>
      <c r="F116" s="6">
        <v>614.29</v>
      </c>
      <c r="G116" s="8" t="s">
        <v>243</v>
      </c>
      <c r="H116" s="8" t="s">
        <v>242</v>
      </c>
      <c r="I116" s="8" t="s">
        <v>2635</v>
      </c>
      <c r="K116">
        <f>IF($A116="","",IF(ISNUMBER($A116),MONTH($A116),MONTH(DATEVALUE($A116))))</f>
        <v>11</v>
      </c>
    </row>
    <row r="117" spans="1:11" ht="60" customHeight="1" x14ac:dyDescent="0.25">
      <c r="A117" s="7" t="s">
        <v>237</v>
      </c>
      <c r="B117" s="7" t="s">
        <v>0</v>
      </c>
      <c r="C117" s="7" t="s">
        <v>244</v>
      </c>
      <c r="D117" s="7" t="s">
        <v>4</v>
      </c>
      <c r="E117" s="7" t="s">
        <v>18</v>
      </c>
      <c r="F117" s="5">
        <v>99.62</v>
      </c>
      <c r="G117" s="7" t="s">
        <v>245</v>
      </c>
      <c r="H117" s="7" t="s">
        <v>244</v>
      </c>
      <c r="I117" s="7" t="s">
        <v>2635</v>
      </c>
      <c r="K117">
        <f>IF($A117="","",IF(ISNUMBER($A117),MONTH($A117),MONTH(DATEVALUE($A117))))</f>
        <v>11</v>
      </c>
    </row>
    <row r="118" spans="1:11" ht="60" customHeight="1" x14ac:dyDescent="0.25">
      <c r="A118" s="8" t="s">
        <v>237</v>
      </c>
      <c r="B118" s="8" t="s">
        <v>0</v>
      </c>
      <c r="C118" s="8" t="s">
        <v>27</v>
      </c>
      <c r="D118" s="8" t="s">
        <v>4</v>
      </c>
      <c r="E118" s="8" t="s">
        <v>18</v>
      </c>
      <c r="F118" s="6">
        <v>20</v>
      </c>
      <c r="G118" s="8" t="s">
        <v>246</v>
      </c>
      <c r="H118" s="8" t="s">
        <v>27</v>
      </c>
      <c r="I118" s="8" t="s">
        <v>2628</v>
      </c>
      <c r="K118">
        <f>IF($A118="","",IF(ISNUMBER($A118),MONTH($A118),MONTH(DATEVALUE($A118))))</f>
        <v>11</v>
      </c>
    </row>
    <row r="119" spans="1:11" ht="60" customHeight="1" x14ac:dyDescent="0.25">
      <c r="A119" s="7" t="s">
        <v>237</v>
      </c>
      <c r="B119" s="7" t="s">
        <v>0</v>
      </c>
      <c r="C119" s="7" t="s">
        <v>247</v>
      </c>
      <c r="D119" s="7" t="s">
        <v>4</v>
      </c>
      <c r="E119" s="7" t="s">
        <v>18</v>
      </c>
      <c r="F119" s="5">
        <v>8.3000000000000007</v>
      </c>
      <c r="G119" s="7" t="s">
        <v>248</v>
      </c>
      <c r="H119" s="7" t="s">
        <v>247</v>
      </c>
      <c r="I119" s="7" t="s">
        <v>2633</v>
      </c>
      <c r="K119">
        <f>IF($A119="","",IF(ISNUMBER($A119),MONTH($A119),MONTH(DATEVALUE($A119))))</f>
        <v>11</v>
      </c>
    </row>
    <row r="120" spans="1:11" ht="60" customHeight="1" x14ac:dyDescent="0.25">
      <c r="A120" s="8" t="s">
        <v>249</v>
      </c>
      <c r="B120" s="8" t="s">
        <v>0</v>
      </c>
      <c r="C120" s="8" t="s">
        <v>250</v>
      </c>
      <c r="D120" s="8" t="s">
        <v>4</v>
      </c>
      <c r="E120" s="8" t="s">
        <v>18</v>
      </c>
      <c r="F120" s="6">
        <v>87.4</v>
      </c>
      <c r="G120" s="8" t="s">
        <v>251</v>
      </c>
      <c r="H120" s="8" t="s">
        <v>250</v>
      </c>
      <c r="I120" s="8" t="s">
        <v>2635</v>
      </c>
      <c r="K120">
        <f>IF($A120="","",IF(ISNUMBER($A120),MONTH($A120),MONTH(DATEVALUE($A120))))</f>
        <v>11</v>
      </c>
    </row>
    <row r="121" spans="1:11" ht="60" customHeight="1" x14ac:dyDescent="0.25">
      <c r="A121" s="7" t="s">
        <v>249</v>
      </c>
      <c r="B121" s="7" t="s">
        <v>0</v>
      </c>
      <c r="C121" s="7" t="s">
        <v>250</v>
      </c>
      <c r="D121" s="7" t="s">
        <v>4</v>
      </c>
      <c r="E121" s="7" t="s">
        <v>18</v>
      </c>
      <c r="F121" s="5">
        <v>318.95999999999998</v>
      </c>
      <c r="G121" s="7" t="s">
        <v>252</v>
      </c>
      <c r="H121" s="7" t="s">
        <v>250</v>
      </c>
      <c r="I121" s="7" t="s">
        <v>2635</v>
      </c>
      <c r="K121">
        <f>IF($A121="","",IF(ISNUMBER($A121),MONTH($A121),MONTH(DATEVALUE($A121))))</f>
        <v>11</v>
      </c>
    </row>
    <row r="122" spans="1:11" ht="60" customHeight="1" x14ac:dyDescent="0.25">
      <c r="A122" s="8" t="s">
        <v>249</v>
      </c>
      <c r="B122" s="8" t="s">
        <v>0</v>
      </c>
      <c r="C122" s="8" t="s">
        <v>253</v>
      </c>
      <c r="D122" s="8" t="s">
        <v>4</v>
      </c>
      <c r="E122" s="8" t="s">
        <v>18</v>
      </c>
      <c r="F122" s="6">
        <v>75.48</v>
      </c>
      <c r="G122" s="8" t="s">
        <v>254</v>
      </c>
      <c r="H122" s="8" t="s">
        <v>253</v>
      </c>
      <c r="I122" s="8" t="s">
        <v>2634</v>
      </c>
      <c r="K122">
        <f>IF($A122="","",IF(ISNUMBER($A122),MONTH($A122),MONTH(DATEVALUE($A122))))</f>
        <v>11</v>
      </c>
    </row>
    <row r="123" spans="1:11" ht="60" customHeight="1" x14ac:dyDescent="0.25">
      <c r="A123" s="7" t="s">
        <v>249</v>
      </c>
      <c r="B123" s="7" t="s">
        <v>0</v>
      </c>
      <c r="C123" s="7" t="s">
        <v>255</v>
      </c>
      <c r="D123" s="7" t="s">
        <v>4</v>
      </c>
      <c r="E123" s="7" t="s">
        <v>18</v>
      </c>
      <c r="F123" s="5">
        <v>170.93</v>
      </c>
      <c r="G123" s="7" t="s">
        <v>256</v>
      </c>
      <c r="H123" s="7" t="s">
        <v>255</v>
      </c>
      <c r="I123" s="7" t="s">
        <v>2633</v>
      </c>
      <c r="K123">
        <f>IF($A123="","",IF(ISNUMBER($A123),MONTH($A123),MONTH(DATEVALUE($A123))))</f>
        <v>11</v>
      </c>
    </row>
    <row r="124" spans="1:11" ht="60" customHeight="1" x14ac:dyDescent="0.25">
      <c r="A124" s="8" t="s">
        <v>257</v>
      </c>
      <c r="B124" s="8" t="s">
        <v>0</v>
      </c>
      <c r="C124" s="8" t="s">
        <v>258</v>
      </c>
      <c r="D124" s="8" t="s">
        <v>4</v>
      </c>
      <c r="E124" s="8" t="s">
        <v>18</v>
      </c>
      <c r="F124" s="6">
        <v>57.35</v>
      </c>
      <c r="G124" s="8" t="s">
        <v>259</v>
      </c>
      <c r="H124" s="8" t="s">
        <v>258</v>
      </c>
      <c r="I124" s="8" t="s">
        <v>2627</v>
      </c>
      <c r="K124">
        <f>IF($A124="","",IF(ISNUMBER($A124),MONTH($A124),MONTH(DATEVALUE($A124))))</f>
        <v>11</v>
      </c>
    </row>
    <row r="125" spans="1:11" ht="60" customHeight="1" x14ac:dyDescent="0.25">
      <c r="A125" s="7" t="s">
        <v>257</v>
      </c>
      <c r="B125" s="7" t="s">
        <v>0</v>
      </c>
      <c r="C125" s="7" t="s">
        <v>260</v>
      </c>
      <c r="D125" s="7" t="s">
        <v>4</v>
      </c>
      <c r="E125" s="7" t="s">
        <v>18</v>
      </c>
      <c r="F125" s="5">
        <v>200</v>
      </c>
      <c r="G125" s="7" t="s">
        <v>261</v>
      </c>
      <c r="H125" s="7" t="s">
        <v>260</v>
      </c>
      <c r="I125" s="7" t="s">
        <v>2633</v>
      </c>
      <c r="K125">
        <f>IF($A125="","",IF(ISNUMBER($A125),MONTH($A125),MONTH(DATEVALUE($A125))))</f>
        <v>11</v>
      </c>
    </row>
    <row r="126" spans="1:11" ht="60" customHeight="1" x14ac:dyDescent="0.25">
      <c r="A126" s="8" t="s">
        <v>257</v>
      </c>
      <c r="B126" s="8" t="s">
        <v>0</v>
      </c>
      <c r="C126" s="8" t="s">
        <v>35</v>
      </c>
      <c r="D126" s="8" t="s">
        <v>4</v>
      </c>
      <c r="E126" s="8" t="s">
        <v>18</v>
      </c>
      <c r="F126" s="6">
        <v>39.99</v>
      </c>
      <c r="G126" s="8" t="s">
        <v>262</v>
      </c>
      <c r="H126" s="8" t="s">
        <v>35</v>
      </c>
      <c r="I126" s="8" t="s">
        <v>2630</v>
      </c>
      <c r="K126">
        <f>IF($A126="","",IF(ISNUMBER($A126),MONTH($A126),MONTH(DATEVALUE($A126))))</f>
        <v>11</v>
      </c>
    </row>
    <row r="127" spans="1:11" ht="60" customHeight="1" x14ac:dyDescent="0.25">
      <c r="A127" s="7" t="s">
        <v>257</v>
      </c>
      <c r="B127" s="7" t="s">
        <v>0</v>
      </c>
      <c r="C127" s="7" t="s">
        <v>97</v>
      </c>
      <c r="D127" s="7" t="s">
        <v>4</v>
      </c>
      <c r="E127" s="7" t="s">
        <v>18</v>
      </c>
      <c r="F127" s="5">
        <v>18.86</v>
      </c>
      <c r="G127" s="7" t="s">
        <v>263</v>
      </c>
      <c r="H127" s="7" t="s">
        <v>97</v>
      </c>
      <c r="I127" s="7" t="s">
        <v>2633</v>
      </c>
      <c r="K127">
        <f>IF($A127="","",IF(ISNUMBER($A127),MONTH($A127),MONTH(DATEVALUE($A127))))</f>
        <v>11</v>
      </c>
    </row>
    <row r="128" spans="1:11" ht="60" customHeight="1" x14ac:dyDescent="0.25">
      <c r="A128" s="8" t="s">
        <v>264</v>
      </c>
      <c r="B128" s="8" t="s">
        <v>0</v>
      </c>
      <c r="C128" s="8" t="s">
        <v>188</v>
      </c>
      <c r="D128" s="8" t="s">
        <v>4</v>
      </c>
      <c r="E128" s="8" t="s">
        <v>18</v>
      </c>
      <c r="F128" s="6">
        <v>-1484</v>
      </c>
      <c r="G128" s="8" t="s">
        <v>189</v>
      </c>
      <c r="H128" s="8" t="s">
        <v>188</v>
      </c>
      <c r="I128" s="8" t="s">
        <v>2629</v>
      </c>
      <c r="K128">
        <f>IF($A128="","",IF(ISNUMBER($A128),MONTH($A128),MONTH(DATEVALUE($A128))))</f>
        <v>11</v>
      </c>
    </row>
    <row r="129" spans="1:11" ht="60" customHeight="1" x14ac:dyDescent="0.25">
      <c r="A129" s="7" t="s">
        <v>264</v>
      </c>
      <c r="B129" s="7" t="s">
        <v>0</v>
      </c>
      <c r="C129" s="7" t="s">
        <v>265</v>
      </c>
      <c r="D129" s="7" t="s">
        <v>4</v>
      </c>
      <c r="E129" s="7" t="s">
        <v>18</v>
      </c>
      <c r="F129" s="5">
        <v>11.19</v>
      </c>
      <c r="G129" s="7" t="s">
        <v>266</v>
      </c>
      <c r="H129" s="7" t="s">
        <v>265</v>
      </c>
      <c r="I129" s="7" t="s">
        <v>2627</v>
      </c>
      <c r="K129">
        <f>IF($A129="","",IF(ISNUMBER($A129),MONTH($A129),MONTH(DATEVALUE($A129))))</f>
        <v>11</v>
      </c>
    </row>
    <row r="130" spans="1:11" ht="60" customHeight="1" x14ac:dyDescent="0.25">
      <c r="A130" s="8" t="s">
        <v>267</v>
      </c>
      <c r="B130" s="8" t="s">
        <v>0</v>
      </c>
      <c r="C130" s="8" t="s">
        <v>268</v>
      </c>
      <c r="D130" s="8" t="s">
        <v>4</v>
      </c>
      <c r="E130" s="8" t="s">
        <v>18</v>
      </c>
      <c r="F130" s="6">
        <v>15.98</v>
      </c>
      <c r="G130" s="8" t="s">
        <v>269</v>
      </c>
      <c r="H130" s="8" t="s">
        <v>268</v>
      </c>
      <c r="I130" s="8" t="s">
        <v>2627</v>
      </c>
      <c r="K130">
        <f>IF($A130="","",IF(ISNUMBER($A130),MONTH($A130),MONTH(DATEVALUE($A130))))</f>
        <v>11</v>
      </c>
    </row>
    <row r="131" spans="1:11" ht="60" customHeight="1" x14ac:dyDescent="0.25">
      <c r="A131" s="7" t="s">
        <v>270</v>
      </c>
      <c r="B131" s="7" t="s">
        <v>0</v>
      </c>
      <c r="C131" s="7" t="s">
        <v>271</v>
      </c>
      <c r="D131" s="7" t="s">
        <v>4</v>
      </c>
      <c r="E131" s="7" t="s">
        <v>18</v>
      </c>
      <c r="F131" s="5">
        <v>40.97</v>
      </c>
      <c r="G131" s="7" t="s">
        <v>272</v>
      </c>
      <c r="H131" s="7" t="s">
        <v>271</v>
      </c>
      <c r="I131" s="7" t="s">
        <v>2627</v>
      </c>
      <c r="K131">
        <f>IF($A131="","",IF(ISNUMBER($A131),MONTH($A131),MONTH(DATEVALUE($A131))))</f>
        <v>11</v>
      </c>
    </row>
    <row r="132" spans="1:11" ht="60" customHeight="1" x14ac:dyDescent="0.25">
      <c r="A132" s="8" t="s">
        <v>273</v>
      </c>
      <c r="B132" s="8" t="s">
        <v>0</v>
      </c>
      <c r="C132" s="8" t="s">
        <v>214</v>
      </c>
      <c r="D132" s="8" t="s">
        <v>4</v>
      </c>
      <c r="E132" s="8" t="s">
        <v>18</v>
      </c>
      <c r="F132" s="6">
        <v>7</v>
      </c>
      <c r="G132" s="8" t="s">
        <v>274</v>
      </c>
      <c r="H132" s="8" t="s">
        <v>214</v>
      </c>
      <c r="I132" s="8" t="s">
        <v>2633</v>
      </c>
      <c r="K132">
        <f>IF($A132="","",IF(ISNUMBER($A132),MONTH($A132),MONTH(DATEVALUE($A132))))</f>
        <v>11</v>
      </c>
    </row>
    <row r="133" spans="1:11" ht="60" customHeight="1" x14ac:dyDescent="0.25">
      <c r="A133" s="7" t="s">
        <v>273</v>
      </c>
      <c r="B133" s="7" t="s">
        <v>0</v>
      </c>
      <c r="C133" s="7" t="s">
        <v>70</v>
      </c>
      <c r="D133" s="7" t="s">
        <v>4</v>
      </c>
      <c r="E133" s="7" t="s">
        <v>18</v>
      </c>
      <c r="F133" s="5">
        <v>25</v>
      </c>
      <c r="G133" s="7" t="s">
        <v>275</v>
      </c>
      <c r="H133" s="7" t="s">
        <v>70</v>
      </c>
      <c r="I133" s="7" t="s">
        <v>2632</v>
      </c>
      <c r="K133">
        <f>IF($A133="","",IF(ISNUMBER($A133),MONTH($A133),MONTH(DATEVALUE($A133))))</f>
        <v>11</v>
      </c>
    </row>
    <row r="134" spans="1:11" ht="60" customHeight="1" x14ac:dyDescent="0.25">
      <c r="A134" s="8" t="s">
        <v>273</v>
      </c>
      <c r="B134" s="8" t="s">
        <v>0</v>
      </c>
      <c r="C134" s="8" t="s">
        <v>276</v>
      </c>
      <c r="D134" s="8" t="s">
        <v>4</v>
      </c>
      <c r="E134" s="8" t="s">
        <v>18</v>
      </c>
      <c r="F134" s="6">
        <v>23.32</v>
      </c>
      <c r="G134" s="8" t="s">
        <v>277</v>
      </c>
      <c r="H134" s="8" t="s">
        <v>276</v>
      </c>
      <c r="I134" s="8" t="s">
        <v>2633</v>
      </c>
      <c r="K134">
        <f>IF($A134="","",IF(ISNUMBER($A134),MONTH($A134),MONTH(DATEVALUE($A134))))</f>
        <v>11</v>
      </c>
    </row>
    <row r="135" spans="1:11" ht="60" customHeight="1" x14ac:dyDescent="0.25">
      <c r="A135" s="7" t="s">
        <v>278</v>
      </c>
      <c r="B135" s="7" t="s">
        <v>0</v>
      </c>
      <c r="C135" s="7" t="s">
        <v>279</v>
      </c>
      <c r="D135" s="7" t="s">
        <v>4</v>
      </c>
      <c r="E135" s="7" t="s">
        <v>18</v>
      </c>
      <c r="F135" s="5">
        <v>1</v>
      </c>
      <c r="G135" s="7" t="s">
        <v>280</v>
      </c>
      <c r="H135" s="7" t="s">
        <v>279</v>
      </c>
      <c r="I135" s="7" t="s">
        <v>2634</v>
      </c>
      <c r="K135">
        <f>IF($A135="","",IF(ISNUMBER($A135),MONTH($A135),MONTH(DATEVALUE($A135))))</f>
        <v>11</v>
      </c>
    </row>
    <row r="136" spans="1:11" ht="60" customHeight="1" x14ac:dyDescent="0.25">
      <c r="A136" s="8" t="s">
        <v>278</v>
      </c>
      <c r="B136" s="8" t="s">
        <v>0</v>
      </c>
      <c r="C136" s="8" t="s">
        <v>63</v>
      </c>
      <c r="D136" s="8" t="s">
        <v>4</v>
      </c>
      <c r="E136" s="8" t="s">
        <v>18</v>
      </c>
      <c r="F136" s="6">
        <v>86.28</v>
      </c>
      <c r="G136" s="8" t="s">
        <v>281</v>
      </c>
      <c r="H136" s="8" t="s">
        <v>63</v>
      </c>
      <c r="I136" s="8" t="s">
        <v>2633</v>
      </c>
      <c r="K136">
        <f>IF($A136="","",IF(ISNUMBER($A136),MONTH($A136),MONTH(DATEVALUE($A136))))</f>
        <v>11</v>
      </c>
    </row>
    <row r="137" spans="1:11" ht="60" customHeight="1" x14ac:dyDescent="0.25">
      <c r="A137" s="7" t="s">
        <v>278</v>
      </c>
      <c r="B137" s="7" t="s">
        <v>0</v>
      </c>
      <c r="C137" s="7" t="s">
        <v>282</v>
      </c>
      <c r="D137" s="7" t="s">
        <v>4</v>
      </c>
      <c r="E137" s="7" t="s">
        <v>18</v>
      </c>
      <c r="F137" s="5">
        <v>268.76</v>
      </c>
      <c r="G137" s="7" t="s">
        <v>283</v>
      </c>
      <c r="H137" s="7" t="s">
        <v>282</v>
      </c>
      <c r="I137" s="8" t="s">
        <v>2633</v>
      </c>
      <c r="K137">
        <f>IF($A137="","",IF(ISNUMBER($A137),MONTH($A137),MONTH(DATEVALUE($A137))))</f>
        <v>11</v>
      </c>
    </row>
    <row r="138" spans="1:11" ht="60" customHeight="1" x14ac:dyDescent="0.25">
      <c r="A138" s="8" t="s">
        <v>278</v>
      </c>
      <c r="B138" s="8" t="s">
        <v>0</v>
      </c>
      <c r="C138" s="8" t="s">
        <v>132</v>
      </c>
      <c r="D138" s="8" t="s">
        <v>4</v>
      </c>
      <c r="E138" s="8" t="s">
        <v>18</v>
      </c>
      <c r="F138" s="6">
        <v>108</v>
      </c>
      <c r="G138" s="8" t="s">
        <v>284</v>
      </c>
      <c r="H138" s="8" t="s">
        <v>132</v>
      </c>
      <c r="I138" s="8" t="s">
        <v>2630</v>
      </c>
      <c r="K138">
        <f>IF($A138="","",IF(ISNUMBER($A138),MONTH($A138),MONTH(DATEVALUE($A138))))</f>
        <v>11</v>
      </c>
    </row>
    <row r="139" spans="1:11" ht="60" customHeight="1" x14ac:dyDescent="0.25">
      <c r="A139" s="7" t="s">
        <v>285</v>
      </c>
      <c r="B139" s="7" t="s">
        <v>0</v>
      </c>
      <c r="C139" s="7" t="s">
        <v>44</v>
      </c>
      <c r="D139" s="7" t="s">
        <v>4</v>
      </c>
      <c r="E139" s="7" t="s">
        <v>18</v>
      </c>
      <c r="F139" s="5">
        <v>584</v>
      </c>
      <c r="G139" s="7" t="s">
        <v>286</v>
      </c>
      <c r="H139" s="7" t="s">
        <v>44</v>
      </c>
      <c r="I139" s="7" t="s">
        <v>2630</v>
      </c>
      <c r="K139">
        <f>IF($A139="","",IF(ISNUMBER($A139),MONTH($A139),MONTH(DATEVALUE($A139))))</f>
        <v>11</v>
      </c>
    </row>
    <row r="140" spans="1:11" ht="60" customHeight="1" x14ac:dyDescent="0.25">
      <c r="A140" s="8" t="s">
        <v>285</v>
      </c>
      <c r="B140" s="8" t="s">
        <v>0</v>
      </c>
      <c r="C140" s="8" t="s">
        <v>287</v>
      </c>
      <c r="D140" s="8" t="s">
        <v>4</v>
      </c>
      <c r="E140" s="8" t="s">
        <v>18</v>
      </c>
      <c r="F140" s="6">
        <v>17.97</v>
      </c>
      <c r="G140" s="8" t="s">
        <v>288</v>
      </c>
      <c r="H140" s="8" t="s">
        <v>287</v>
      </c>
      <c r="I140" s="8" t="s">
        <v>2627</v>
      </c>
      <c r="K140">
        <f>IF($A140="","",IF(ISNUMBER($A140),MONTH($A140),MONTH(DATEVALUE($A140))))</f>
        <v>11</v>
      </c>
    </row>
    <row r="141" spans="1:11" ht="60" customHeight="1" x14ac:dyDescent="0.25">
      <c r="A141" s="7" t="s">
        <v>289</v>
      </c>
      <c r="B141" s="7" t="s">
        <v>0</v>
      </c>
      <c r="C141" s="7" t="s">
        <v>290</v>
      </c>
      <c r="D141" s="7" t="s">
        <v>4</v>
      </c>
      <c r="E141" s="7" t="s">
        <v>18</v>
      </c>
      <c r="F141" s="5">
        <v>31.18</v>
      </c>
      <c r="G141" s="7" t="s">
        <v>291</v>
      </c>
      <c r="H141" s="7" t="s">
        <v>290</v>
      </c>
      <c r="I141" s="7" t="s">
        <v>2627</v>
      </c>
      <c r="K141">
        <f>IF($A141="","",IF(ISNUMBER($A141),MONTH($A141),MONTH(DATEVALUE($A141))))</f>
        <v>11</v>
      </c>
    </row>
    <row r="142" spans="1:11" ht="60" customHeight="1" x14ac:dyDescent="0.25">
      <c r="A142" s="8" t="s">
        <v>289</v>
      </c>
      <c r="B142" s="8" t="s">
        <v>0</v>
      </c>
      <c r="C142" s="8" t="s">
        <v>92</v>
      </c>
      <c r="D142" s="8" t="s">
        <v>4</v>
      </c>
      <c r="E142" s="8" t="s">
        <v>18</v>
      </c>
      <c r="F142" s="6">
        <v>134.36000000000001</v>
      </c>
      <c r="G142" s="8" t="s">
        <v>292</v>
      </c>
      <c r="H142" s="8" t="s">
        <v>92</v>
      </c>
      <c r="I142" s="8" t="s">
        <v>2633</v>
      </c>
      <c r="K142">
        <f>IF($A142="","",IF(ISNUMBER($A142),MONTH($A142),MONTH(DATEVALUE($A142))))</f>
        <v>11</v>
      </c>
    </row>
    <row r="143" spans="1:11" ht="60" customHeight="1" x14ac:dyDescent="0.25">
      <c r="A143" s="7" t="s">
        <v>289</v>
      </c>
      <c r="B143" s="7" t="s">
        <v>0</v>
      </c>
      <c r="C143" s="7" t="s">
        <v>63</v>
      </c>
      <c r="D143" s="7" t="s">
        <v>4</v>
      </c>
      <c r="E143" s="7" t="s">
        <v>18</v>
      </c>
      <c r="F143" s="5">
        <v>60.35</v>
      </c>
      <c r="G143" s="7" t="s">
        <v>293</v>
      </c>
      <c r="H143" s="7" t="s">
        <v>63</v>
      </c>
      <c r="I143" s="7" t="s">
        <v>2633</v>
      </c>
      <c r="K143">
        <f>IF($A143="","",IF(ISNUMBER($A143),MONTH($A143),MONTH(DATEVALUE($A143))))</f>
        <v>11</v>
      </c>
    </row>
    <row r="144" spans="1:11" ht="60" customHeight="1" x14ac:dyDescent="0.25">
      <c r="A144" s="8" t="s">
        <v>294</v>
      </c>
      <c r="B144" s="8" t="s">
        <v>0</v>
      </c>
      <c r="C144" s="8" t="s">
        <v>295</v>
      </c>
      <c r="D144" s="8" t="s">
        <v>4</v>
      </c>
      <c r="E144" s="8" t="s">
        <v>18</v>
      </c>
      <c r="F144" s="6">
        <v>43.98</v>
      </c>
      <c r="G144" s="8" t="s">
        <v>296</v>
      </c>
      <c r="H144" s="8" t="s">
        <v>295</v>
      </c>
      <c r="I144" s="8" t="s">
        <v>2627</v>
      </c>
      <c r="K144">
        <f>IF($A144="","",IF(ISNUMBER($A144),MONTH($A144),MONTH(DATEVALUE($A144))))</f>
        <v>11</v>
      </c>
    </row>
    <row r="145" spans="1:11" ht="60" customHeight="1" x14ac:dyDescent="0.25">
      <c r="A145" s="7" t="s">
        <v>294</v>
      </c>
      <c r="B145" s="7" t="s">
        <v>0</v>
      </c>
      <c r="C145" s="7" t="s">
        <v>22</v>
      </c>
      <c r="D145" s="7" t="s">
        <v>4</v>
      </c>
      <c r="E145" s="7" t="s">
        <v>18</v>
      </c>
      <c r="F145" s="5">
        <v>60</v>
      </c>
      <c r="G145" s="7" t="s">
        <v>297</v>
      </c>
      <c r="H145" s="7" t="s">
        <v>22</v>
      </c>
      <c r="I145" s="7" t="s">
        <v>2626</v>
      </c>
      <c r="K145">
        <f>IF($A145="","",IF(ISNUMBER($A145),MONTH($A145),MONTH(DATEVALUE($A145))))</f>
        <v>11</v>
      </c>
    </row>
    <row r="146" spans="1:11" ht="60" customHeight="1" x14ac:dyDescent="0.25">
      <c r="A146" s="8" t="s">
        <v>298</v>
      </c>
      <c r="B146" s="8" t="s">
        <v>0</v>
      </c>
      <c r="C146" s="8" t="s">
        <v>299</v>
      </c>
      <c r="D146" s="8" t="s">
        <v>4</v>
      </c>
      <c r="E146" s="8" t="s">
        <v>18</v>
      </c>
      <c r="F146" s="6">
        <v>19.690000000000001</v>
      </c>
      <c r="G146" s="8" t="s">
        <v>300</v>
      </c>
      <c r="H146" s="8" t="s">
        <v>299</v>
      </c>
      <c r="I146" s="8" t="s">
        <v>2632</v>
      </c>
      <c r="K146">
        <f>IF($A146="","",IF(ISNUMBER($A146),MONTH($A146),MONTH(DATEVALUE($A146))))</f>
        <v>11</v>
      </c>
    </row>
    <row r="147" spans="1:11" ht="60" customHeight="1" x14ac:dyDescent="0.25">
      <c r="A147" s="7" t="s">
        <v>298</v>
      </c>
      <c r="B147" s="7" t="s">
        <v>0</v>
      </c>
      <c r="C147" s="7" t="s">
        <v>97</v>
      </c>
      <c r="D147" s="7" t="s">
        <v>4</v>
      </c>
      <c r="E147" s="7" t="s">
        <v>18</v>
      </c>
      <c r="F147" s="5">
        <v>27.43</v>
      </c>
      <c r="G147" s="7" t="s">
        <v>301</v>
      </c>
      <c r="H147" s="7" t="s">
        <v>97</v>
      </c>
      <c r="I147" s="7" t="s">
        <v>2633</v>
      </c>
      <c r="K147">
        <f>IF($A147="","",IF(ISNUMBER($A147),MONTH($A147),MONTH(DATEVALUE($A147))))</f>
        <v>11</v>
      </c>
    </row>
    <row r="148" spans="1:11" ht="60" customHeight="1" x14ac:dyDescent="0.25">
      <c r="A148" s="8" t="s">
        <v>302</v>
      </c>
      <c r="B148" s="8" t="s">
        <v>0</v>
      </c>
      <c r="C148" s="8" t="s">
        <v>61</v>
      </c>
      <c r="D148" s="8" t="s">
        <v>4</v>
      </c>
      <c r="E148" s="8" t="s">
        <v>18</v>
      </c>
      <c r="F148" s="6">
        <v>50</v>
      </c>
      <c r="G148" s="8" t="s">
        <v>303</v>
      </c>
      <c r="H148" s="8" t="s">
        <v>61</v>
      </c>
      <c r="I148" s="8" t="s">
        <v>2630</v>
      </c>
      <c r="K148">
        <f>IF($A148="","",IF(ISNUMBER($A148),MONTH($A148),MONTH(DATEVALUE($A148))))</f>
        <v>11</v>
      </c>
    </row>
    <row r="149" spans="1:11" ht="60" customHeight="1" x14ac:dyDescent="0.25">
      <c r="A149" s="7" t="s">
        <v>302</v>
      </c>
      <c r="B149" s="7" t="s">
        <v>227</v>
      </c>
      <c r="C149" s="7" t="s">
        <v>304</v>
      </c>
      <c r="D149" s="7" t="s">
        <v>4</v>
      </c>
      <c r="E149" s="7" t="s">
        <v>18</v>
      </c>
      <c r="F149" s="5">
        <v>7</v>
      </c>
      <c r="G149" s="7" t="s">
        <v>305</v>
      </c>
      <c r="H149" s="7" t="s">
        <v>304</v>
      </c>
      <c r="I149" s="7" t="s">
        <v>2635</v>
      </c>
      <c r="K149">
        <f>IF($A149="","",IF(ISNUMBER($A149),MONTH($A149),MONTH(DATEVALUE($A149))))</f>
        <v>11</v>
      </c>
    </row>
    <row r="150" spans="1:11" ht="60" customHeight="1" x14ac:dyDescent="0.25">
      <c r="A150" s="8" t="s">
        <v>306</v>
      </c>
      <c r="B150" s="8" t="s">
        <v>0</v>
      </c>
      <c r="C150" s="8" t="s">
        <v>66</v>
      </c>
      <c r="D150" s="8" t="s">
        <v>4</v>
      </c>
      <c r="E150" s="8" t="s">
        <v>18</v>
      </c>
      <c r="F150" s="6">
        <v>69.62</v>
      </c>
      <c r="G150" s="8" t="s">
        <v>307</v>
      </c>
      <c r="H150" s="8" t="s">
        <v>66</v>
      </c>
      <c r="I150" s="8" t="s">
        <v>2630</v>
      </c>
      <c r="K150">
        <f>IF($A150="","",IF(ISNUMBER($A150),MONTH($A150),MONTH(DATEVALUE($A150))))</f>
        <v>11</v>
      </c>
    </row>
    <row r="151" spans="1:11" ht="60" customHeight="1" x14ac:dyDescent="0.25">
      <c r="A151" s="7" t="s">
        <v>306</v>
      </c>
      <c r="B151" s="7" t="s">
        <v>0</v>
      </c>
      <c r="C151" s="7" t="s">
        <v>52</v>
      </c>
      <c r="D151" s="7" t="s">
        <v>4</v>
      </c>
      <c r="E151" s="7" t="s">
        <v>18</v>
      </c>
      <c r="F151" s="5">
        <v>31.26</v>
      </c>
      <c r="G151" s="7" t="s">
        <v>308</v>
      </c>
      <c r="H151" s="7" t="s">
        <v>52</v>
      </c>
      <c r="I151" s="7" t="s">
        <v>2632</v>
      </c>
      <c r="K151">
        <f>IF($A151="","",IF(ISNUMBER($A151),MONTH($A151),MONTH(DATEVALUE($A151))))</f>
        <v>11</v>
      </c>
    </row>
    <row r="152" spans="1:11" ht="60" customHeight="1" x14ac:dyDescent="0.25">
      <c r="A152" s="8" t="s">
        <v>306</v>
      </c>
      <c r="B152" s="8" t="s">
        <v>0</v>
      </c>
      <c r="C152" s="8" t="s">
        <v>70</v>
      </c>
      <c r="D152" s="8" t="s">
        <v>4</v>
      </c>
      <c r="E152" s="8" t="s">
        <v>18</v>
      </c>
      <c r="F152" s="6">
        <v>199</v>
      </c>
      <c r="G152" s="8" t="s">
        <v>309</v>
      </c>
      <c r="H152" s="8" t="s">
        <v>70</v>
      </c>
      <c r="I152" s="8" t="s">
        <v>2632</v>
      </c>
      <c r="K152">
        <f>IF($A152="","",IF(ISNUMBER($A152),MONTH($A152),MONTH(DATEVALUE($A152))))</f>
        <v>11</v>
      </c>
    </row>
    <row r="153" spans="1:11" ht="60" customHeight="1" x14ac:dyDescent="0.25">
      <c r="A153" s="7" t="s">
        <v>306</v>
      </c>
      <c r="B153" s="7" t="s">
        <v>0</v>
      </c>
      <c r="C153" s="7" t="s">
        <v>282</v>
      </c>
      <c r="D153" s="7" t="s">
        <v>4</v>
      </c>
      <c r="E153" s="7" t="s">
        <v>18</v>
      </c>
      <c r="F153" s="5">
        <v>88.94</v>
      </c>
      <c r="G153" s="7" t="s">
        <v>310</v>
      </c>
      <c r="H153" s="7" t="s">
        <v>282</v>
      </c>
      <c r="I153" s="7" t="s">
        <v>2633</v>
      </c>
      <c r="K153">
        <f>IF($A153="","",IF(ISNUMBER($A153),MONTH($A153),MONTH(DATEVALUE($A153))))</f>
        <v>11</v>
      </c>
    </row>
    <row r="154" spans="1:11" ht="60" customHeight="1" x14ac:dyDescent="0.25">
      <c r="A154" s="8" t="s">
        <v>311</v>
      </c>
      <c r="B154" s="8" t="s">
        <v>0</v>
      </c>
      <c r="C154" s="8" t="s">
        <v>70</v>
      </c>
      <c r="D154" s="8" t="s">
        <v>4</v>
      </c>
      <c r="E154" s="8" t="s">
        <v>18</v>
      </c>
      <c r="F154" s="6">
        <v>206</v>
      </c>
      <c r="G154" s="8" t="s">
        <v>312</v>
      </c>
      <c r="H154" s="8" t="s">
        <v>70</v>
      </c>
      <c r="I154" s="8" t="s">
        <v>2632</v>
      </c>
      <c r="K154">
        <f>IF($A154="","",IF(ISNUMBER($A154),MONTH($A154),MONTH(DATEVALUE($A154))))</f>
        <v>11</v>
      </c>
    </row>
    <row r="155" spans="1:11" ht="60" customHeight="1" x14ac:dyDescent="0.25">
      <c r="A155" s="7" t="s">
        <v>311</v>
      </c>
      <c r="B155" s="7" t="s">
        <v>0</v>
      </c>
      <c r="C155" s="7" t="s">
        <v>63</v>
      </c>
      <c r="D155" s="7" t="s">
        <v>4</v>
      </c>
      <c r="E155" s="7" t="s">
        <v>18</v>
      </c>
      <c r="F155" s="5">
        <v>96.64</v>
      </c>
      <c r="G155" s="7" t="s">
        <v>313</v>
      </c>
      <c r="H155" s="7" t="s">
        <v>63</v>
      </c>
      <c r="I155" s="7" t="s">
        <v>2633</v>
      </c>
      <c r="K155">
        <f>IF($A155="","",IF(ISNUMBER($A155),MONTH($A155),MONTH(DATEVALUE($A155))))</f>
        <v>11</v>
      </c>
    </row>
    <row r="156" spans="1:11" ht="60" customHeight="1" x14ac:dyDescent="0.25">
      <c r="A156" s="8" t="s">
        <v>314</v>
      </c>
      <c r="B156" s="8" t="s">
        <v>0</v>
      </c>
      <c r="C156" s="8" t="s">
        <v>315</v>
      </c>
      <c r="D156" s="8" t="s">
        <v>4</v>
      </c>
      <c r="E156" s="8" t="s">
        <v>18</v>
      </c>
      <c r="F156" s="6">
        <v>43.96</v>
      </c>
      <c r="G156" s="8" t="s">
        <v>316</v>
      </c>
      <c r="H156" s="8" t="s">
        <v>315</v>
      </c>
      <c r="I156" s="8" t="s">
        <v>2627</v>
      </c>
      <c r="K156">
        <f>IF($A156="","",IF(ISNUMBER($A156),MONTH($A156),MONTH(DATEVALUE($A156))))</f>
        <v>11</v>
      </c>
    </row>
    <row r="157" spans="1:11" ht="60" customHeight="1" x14ac:dyDescent="0.25">
      <c r="A157" s="7" t="s">
        <v>314</v>
      </c>
      <c r="B157" s="7" t="s">
        <v>0</v>
      </c>
      <c r="C157" s="7" t="s">
        <v>54</v>
      </c>
      <c r="D157" s="7" t="s">
        <v>4</v>
      </c>
      <c r="E157" s="7" t="s">
        <v>18</v>
      </c>
      <c r="F157" s="5">
        <v>91.61</v>
      </c>
      <c r="G157" s="7" t="s">
        <v>317</v>
      </c>
      <c r="H157" s="7" t="s">
        <v>54</v>
      </c>
      <c r="I157" s="7" t="s">
        <v>2633</v>
      </c>
      <c r="K157">
        <f>IF($A157="","",IF(ISNUMBER($A157),MONTH($A157),MONTH(DATEVALUE($A157))))</f>
        <v>11</v>
      </c>
    </row>
    <row r="158" spans="1:11" ht="60" customHeight="1" x14ac:dyDescent="0.25">
      <c r="A158" s="8" t="s">
        <v>314</v>
      </c>
      <c r="B158" s="8" t="s">
        <v>0</v>
      </c>
      <c r="C158" s="8" t="s">
        <v>318</v>
      </c>
      <c r="D158" s="8" t="s">
        <v>4</v>
      </c>
      <c r="E158" s="8" t="s">
        <v>18</v>
      </c>
      <c r="F158" s="6">
        <v>845.2</v>
      </c>
      <c r="G158" s="8" t="s">
        <v>319</v>
      </c>
      <c r="H158" s="8" t="s">
        <v>318</v>
      </c>
      <c r="I158" s="8" t="s">
        <v>2632</v>
      </c>
      <c r="K158">
        <f>IF($A158="","",IF(ISNUMBER($A158),MONTH($A158),MONTH(DATEVALUE($A158))))</f>
        <v>11</v>
      </c>
    </row>
    <row r="159" spans="1:11" ht="60" customHeight="1" x14ac:dyDescent="0.25">
      <c r="A159" s="7" t="s">
        <v>320</v>
      </c>
      <c r="B159" s="7" t="s">
        <v>0</v>
      </c>
      <c r="C159" s="7" t="s">
        <v>321</v>
      </c>
      <c r="D159" s="7" t="s">
        <v>4</v>
      </c>
      <c r="E159" s="7" t="s">
        <v>18</v>
      </c>
      <c r="F159" s="5">
        <v>1.25</v>
      </c>
      <c r="G159" s="7" t="s">
        <v>322</v>
      </c>
      <c r="H159" s="7" t="s">
        <v>321</v>
      </c>
      <c r="I159" s="7" t="s">
        <v>2634</v>
      </c>
      <c r="K159">
        <f>IF($A159="","",IF(ISNUMBER($A159),MONTH($A159),MONTH(DATEVALUE($A159))))</f>
        <v>11</v>
      </c>
    </row>
    <row r="160" spans="1:11" ht="60" customHeight="1" x14ac:dyDescent="0.25">
      <c r="A160" s="8" t="s">
        <v>320</v>
      </c>
      <c r="B160" s="8" t="s">
        <v>0</v>
      </c>
      <c r="C160" s="8" t="s">
        <v>108</v>
      </c>
      <c r="D160" s="8" t="s">
        <v>4</v>
      </c>
      <c r="E160" s="8" t="s">
        <v>18</v>
      </c>
      <c r="F160" s="6">
        <v>12.98</v>
      </c>
      <c r="G160" s="8" t="s">
        <v>323</v>
      </c>
      <c r="H160" s="8" t="s">
        <v>108</v>
      </c>
      <c r="I160" s="8" t="s">
        <v>2630</v>
      </c>
      <c r="K160">
        <f>IF($A160="","",IF(ISNUMBER($A160),MONTH($A160),MONTH(DATEVALUE($A160))))</f>
        <v>11</v>
      </c>
    </row>
    <row r="161" spans="1:11" ht="60" customHeight="1" x14ac:dyDescent="0.25">
      <c r="A161" s="7" t="s">
        <v>324</v>
      </c>
      <c r="B161" s="7" t="s">
        <v>0</v>
      </c>
      <c r="C161" s="7" t="s">
        <v>325</v>
      </c>
      <c r="D161" s="7" t="s">
        <v>4</v>
      </c>
      <c r="E161" s="7" t="s">
        <v>18</v>
      </c>
      <c r="F161" s="5">
        <v>57.73</v>
      </c>
      <c r="G161" s="7" t="s">
        <v>326</v>
      </c>
      <c r="H161" s="7" t="s">
        <v>325</v>
      </c>
      <c r="I161" s="7" t="s">
        <v>2627</v>
      </c>
      <c r="K161">
        <f>IF($A161="","",IF(ISNUMBER($A161),MONTH($A161),MONTH(DATEVALUE($A161))))</f>
        <v>11</v>
      </c>
    </row>
    <row r="162" spans="1:11" ht="60" customHeight="1" x14ac:dyDescent="0.25">
      <c r="A162" s="8" t="s">
        <v>324</v>
      </c>
      <c r="B162" s="8" t="s">
        <v>0</v>
      </c>
      <c r="C162" s="8" t="s">
        <v>327</v>
      </c>
      <c r="D162" s="8" t="s">
        <v>4</v>
      </c>
      <c r="E162" s="8" t="s">
        <v>18</v>
      </c>
      <c r="F162" s="6">
        <v>27</v>
      </c>
      <c r="G162" s="8" t="s">
        <v>328</v>
      </c>
      <c r="H162" s="8" t="s">
        <v>327</v>
      </c>
      <c r="I162" s="8" t="s">
        <v>2634</v>
      </c>
      <c r="K162">
        <f>IF($A162="","",IF(ISNUMBER($A162),MONTH($A162),MONTH(DATEVALUE($A162))))</f>
        <v>11</v>
      </c>
    </row>
    <row r="163" spans="1:11" ht="60" customHeight="1" x14ac:dyDescent="0.25">
      <c r="A163" s="7" t="s">
        <v>329</v>
      </c>
      <c r="B163" s="7" t="s">
        <v>0</v>
      </c>
      <c r="C163" s="7" t="s">
        <v>330</v>
      </c>
      <c r="D163" s="7" t="s">
        <v>4</v>
      </c>
      <c r="E163" s="7" t="s">
        <v>18</v>
      </c>
      <c r="F163" s="5">
        <v>26.98</v>
      </c>
      <c r="G163" s="7" t="s">
        <v>331</v>
      </c>
      <c r="H163" s="7" t="s">
        <v>330</v>
      </c>
      <c r="I163" s="7" t="s">
        <v>2627</v>
      </c>
      <c r="K163">
        <f>IF($A163="","",IF(ISNUMBER($A163),MONTH($A163),MONTH(DATEVALUE($A163))))</f>
        <v>11</v>
      </c>
    </row>
    <row r="164" spans="1:11" ht="60" customHeight="1" x14ac:dyDescent="0.25">
      <c r="A164" s="8" t="s">
        <v>329</v>
      </c>
      <c r="B164" s="8" t="s">
        <v>0</v>
      </c>
      <c r="C164" s="8" t="s">
        <v>63</v>
      </c>
      <c r="D164" s="8" t="s">
        <v>4</v>
      </c>
      <c r="E164" s="8" t="s">
        <v>18</v>
      </c>
      <c r="F164" s="6">
        <v>74.89</v>
      </c>
      <c r="G164" s="8" t="s">
        <v>332</v>
      </c>
      <c r="H164" s="8" t="s">
        <v>63</v>
      </c>
      <c r="I164" s="8" t="s">
        <v>2633</v>
      </c>
      <c r="K164">
        <f>IF($A164="","",IF(ISNUMBER($A164),MONTH($A164),MONTH(DATEVALUE($A164))))</f>
        <v>11</v>
      </c>
    </row>
    <row r="165" spans="1:11" ht="60" customHeight="1" x14ac:dyDescent="0.25">
      <c r="A165" s="7" t="s">
        <v>329</v>
      </c>
      <c r="B165" s="7" t="s">
        <v>0</v>
      </c>
      <c r="C165" s="7" t="s">
        <v>132</v>
      </c>
      <c r="D165" s="7" t="s">
        <v>4</v>
      </c>
      <c r="E165" s="7" t="s">
        <v>18</v>
      </c>
      <c r="F165" s="5">
        <v>24</v>
      </c>
      <c r="G165" s="7" t="s">
        <v>333</v>
      </c>
      <c r="H165" s="7" t="s">
        <v>132</v>
      </c>
      <c r="I165" s="7" t="s">
        <v>2630</v>
      </c>
      <c r="K165">
        <f>IF($A165="","",IF(ISNUMBER($A165),MONTH($A165),MONTH(DATEVALUE($A165))))</f>
        <v>11</v>
      </c>
    </row>
    <row r="166" spans="1:11" ht="60" customHeight="1" x14ac:dyDescent="0.25">
      <c r="A166" s="8" t="s">
        <v>334</v>
      </c>
      <c r="B166" s="8" t="s">
        <v>0</v>
      </c>
      <c r="C166" s="8" t="s">
        <v>335</v>
      </c>
      <c r="D166" s="8" t="s">
        <v>4</v>
      </c>
      <c r="E166" s="8" t="s">
        <v>18</v>
      </c>
      <c r="F166" s="6">
        <v>62.8</v>
      </c>
      <c r="G166" s="8" t="s">
        <v>336</v>
      </c>
      <c r="H166" s="8" t="s">
        <v>335</v>
      </c>
      <c r="I166" s="8" t="s">
        <v>2633</v>
      </c>
      <c r="K166">
        <f>IF($A166="","",IF(ISNUMBER($A166),MONTH($A166),MONTH(DATEVALUE($A166))))</f>
        <v>11</v>
      </c>
    </row>
    <row r="167" spans="1:11" ht="60" customHeight="1" x14ac:dyDescent="0.25">
      <c r="A167" s="7" t="s">
        <v>334</v>
      </c>
      <c r="B167" s="7" t="s">
        <v>0</v>
      </c>
      <c r="C167" s="7" t="s">
        <v>337</v>
      </c>
      <c r="D167" s="7" t="s">
        <v>4</v>
      </c>
      <c r="E167" s="7" t="s">
        <v>18</v>
      </c>
      <c r="F167" s="5">
        <v>13.79</v>
      </c>
      <c r="G167" s="7" t="s">
        <v>338</v>
      </c>
      <c r="H167" s="7" t="s">
        <v>337</v>
      </c>
      <c r="I167" s="7" t="s">
        <v>2627</v>
      </c>
      <c r="K167">
        <f>IF($A167="","",IF(ISNUMBER($A167),MONTH($A167),MONTH(DATEVALUE($A167))))</f>
        <v>11</v>
      </c>
    </row>
    <row r="168" spans="1:11" ht="60" customHeight="1" x14ac:dyDescent="0.25">
      <c r="A168" s="8" t="s">
        <v>334</v>
      </c>
      <c r="B168" s="8" t="s">
        <v>0</v>
      </c>
      <c r="C168" s="8" t="s">
        <v>92</v>
      </c>
      <c r="D168" s="8" t="s">
        <v>4</v>
      </c>
      <c r="E168" s="8" t="s">
        <v>18</v>
      </c>
      <c r="F168" s="6">
        <v>100.88</v>
      </c>
      <c r="G168" s="8" t="s">
        <v>339</v>
      </c>
      <c r="H168" s="8" t="s">
        <v>92</v>
      </c>
      <c r="I168" s="8" t="s">
        <v>2633</v>
      </c>
      <c r="K168">
        <f>IF($A168="","",IF(ISNUMBER($A168),MONTH($A168),MONTH(DATEVALUE($A168))))</f>
        <v>11</v>
      </c>
    </row>
    <row r="169" spans="1:11" ht="60" customHeight="1" x14ac:dyDescent="0.25">
      <c r="A169" s="7" t="s">
        <v>334</v>
      </c>
      <c r="B169" s="7" t="s">
        <v>0</v>
      </c>
      <c r="C169" s="7" t="s">
        <v>68</v>
      </c>
      <c r="D169" s="7" t="s">
        <v>4</v>
      </c>
      <c r="E169" s="7" t="s">
        <v>18</v>
      </c>
      <c r="F169" s="5">
        <v>160</v>
      </c>
      <c r="G169" s="7" t="s">
        <v>340</v>
      </c>
      <c r="H169" s="7" t="s">
        <v>68</v>
      </c>
      <c r="I169" s="7" t="s">
        <v>2632</v>
      </c>
      <c r="K169">
        <f>IF($A169="","",IF(ISNUMBER($A169),MONTH($A169),MONTH(DATEVALUE($A169))))</f>
        <v>11</v>
      </c>
    </row>
    <row r="170" spans="1:11" ht="60" customHeight="1" x14ac:dyDescent="0.25">
      <c r="A170" s="8" t="s">
        <v>341</v>
      </c>
      <c r="B170" s="8" t="s">
        <v>0</v>
      </c>
      <c r="C170" s="8" t="s">
        <v>342</v>
      </c>
      <c r="D170" s="8" t="s">
        <v>4</v>
      </c>
      <c r="E170" s="8" t="s">
        <v>18</v>
      </c>
      <c r="F170" s="6">
        <v>11.19</v>
      </c>
      <c r="G170" s="8" t="s">
        <v>343</v>
      </c>
      <c r="H170" s="8" t="s">
        <v>342</v>
      </c>
      <c r="I170" s="8" t="s">
        <v>2627</v>
      </c>
      <c r="K170">
        <f>IF($A170="","",IF(ISNUMBER($A170),MONTH($A170),MONTH(DATEVALUE($A170))))</f>
        <v>11</v>
      </c>
    </row>
    <row r="171" spans="1:11" ht="60" customHeight="1" x14ac:dyDescent="0.25">
      <c r="A171" s="7" t="s">
        <v>341</v>
      </c>
      <c r="B171" s="7" t="s">
        <v>0</v>
      </c>
      <c r="C171" s="7" t="s">
        <v>344</v>
      </c>
      <c r="D171" s="7" t="s">
        <v>4</v>
      </c>
      <c r="E171" s="7" t="s">
        <v>18</v>
      </c>
      <c r="F171" s="5">
        <v>30.97</v>
      </c>
      <c r="G171" s="7" t="s">
        <v>345</v>
      </c>
      <c r="H171" s="7" t="s">
        <v>344</v>
      </c>
      <c r="I171" s="7" t="s">
        <v>2627</v>
      </c>
      <c r="K171">
        <f>IF($A171="","",IF(ISNUMBER($A171),MONTH($A171),MONTH(DATEVALUE($A171))))</f>
        <v>11</v>
      </c>
    </row>
    <row r="172" spans="1:11" ht="60" customHeight="1" x14ac:dyDescent="0.25">
      <c r="A172" s="8" t="s">
        <v>341</v>
      </c>
      <c r="B172" s="8" t="s">
        <v>0</v>
      </c>
      <c r="C172" s="8" t="s">
        <v>27</v>
      </c>
      <c r="D172" s="8" t="s">
        <v>4</v>
      </c>
      <c r="E172" s="8" t="s">
        <v>18</v>
      </c>
      <c r="F172" s="6">
        <v>20</v>
      </c>
      <c r="G172" s="8" t="s">
        <v>346</v>
      </c>
      <c r="H172" s="8" t="s">
        <v>27</v>
      </c>
      <c r="I172" s="8" t="s">
        <v>2628</v>
      </c>
      <c r="K172">
        <f>IF($A172="","",IF(ISNUMBER($A172),MONTH($A172),MONTH(DATEVALUE($A172))))</f>
        <v>11</v>
      </c>
    </row>
    <row r="173" spans="1:11" ht="60" customHeight="1" x14ac:dyDescent="0.25">
      <c r="A173" s="7" t="s">
        <v>341</v>
      </c>
      <c r="B173" s="7" t="s">
        <v>0</v>
      </c>
      <c r="C173" s="7" t="s">
        <v>97</v>
      </c>
      <c r="D173" s="7" t="s">
        <v>4</v>
      </c>
      <c r="E173" s="7" t="s">
        <v>18</v>
      </c>
      <c r="F173" s="5">
        <v>31.42</v>
      </c>
      <c r="G173" s="7" t="s">
        <v>347</v>
      </c>
      <c r="H173" s="7" t="s">
        <v>97</v>
      </c>
      <c r="I173" s="7" t="s">
        <v>2633</v>
      </c>
      <c r="K173">
        <f>IF($A173="","",IF(ISNUMBER($A173),MONTH($A173),MONTH(DATEVALUE($A173))))</f>
        <v>11</v>
      </c>
    </row>
    <row r="174" spans="1:11" ht="60" customHeight="1" x14ac:dyDescent="0.25">
      <c r="A174" s="8" t="s">
        <v>348</v>
      </c>
      <c r="B174" s="8" t="s">
        <v>0</v>
      </c>
      <c r="C174" s="8" t="s">
        <v>349</v>
      </c>
      <c r="D174" s="8" t="s">
        <v>4</v>
      </c>
      <c r="E174" s="8" t="s">
        <v>18</v>
      </c>
      <c r="F174" s="6">
        <v>119.88</v>
      </c>
      <c r="G174" s="8" t="s">
        <v>350</v>
      </c>
      <c r="H174" s="8" t="s">
        <v>349</v>
      </c>
      <c r="I174" s="8" t="s">
        <v>2627</v>
      </c>
      <c r="K174">
        <f>IF($A174="","",IF(ISNUMBER($A174),MONTH($A174),MONTH(DATEVALUE($A174))))</f>
        <v>11</v>
      </c>
    </row>
    <row r="175" spans="1:11" ht="60" customHeight="1" x14ac:dyDescent="0.25">
      <c r="A175" s="7" t="s">
        <v>348</v>
      </c>
      <c r="B175" s="7" t="s">
        <v>0</v>
      </c>
      <c r="C175" s="7" t="s">
        <v>351</v>
      </c>
      <c r="D175" s="7" t="s">
        <v>4</v>
      </c>
      <c r="E175" s="7" t="s">
        <v>18</v>
      </c>
      <c r="F175" s="5">
        <v>10.99</v>
      </c>
      <c r="G175" s="7" t="s">
        <v>352</v>
      </c>
      <c r="H175" s="7" t="s">
        <v>351</v>
      </c>
      <c r="I175" s="7" t="s">
        <v>2627</v>
      </c>
      <c r="K175">
        <f>IF($A175="","",IF(ISNUMBER($A175),MONTH($A175),MONTH(DATEVALUE($A175))))</f>
        <v>11</v>
      </c>
    </row>
    <row r="176" spans="1:11" ht="60" customHeight="1" x14ac:dyDescent="0.25">
      <c r="A176" s="8" t="s">
        <v>348</v>
      </c>
      <c r="B176" s="8" t="s">
        <v>0</v>
      </c>
      <c r="C176" s="8" t="s">
        <v>165</v>
      </c>
      <c r="D176" s="8" t="s">
        <v>4</v>
      </c>
      <c r="E176" s="8" t="s">
        <v>18</v>
      </c>
      <c r="F176" s="6">
        <v>195</v>
      </c>
      <c r="G176" s="8" t="s">
        <v>353</v>
      </c>
      <c r="H176" s="8" t="s">
        <v>165</v>
      </c>
      <c r="I176" s="8" t="s">
        <v>2638</v>
      </c>
      <c r="K176">
        <f>IF($A176="","",IF(ISNUMBER($A176),MONTH($A176),MONTH(DATEVALUE($A176))))</f>
        <v>11</v>
      </c>
    </row>
    <row r="177" spans="1:11" ht="60" customHeight="1" x14ac:dyDescent="0.25">
      <c r="A177" s="7" t="s">
        <v>354</v>
      </c>
      <c r="B177" s="7" t="s">
        <v>0</v>
      </c>
      <c r="C177" s="7" t="s">
        <v>176</v>
      </c>
      <c r="D177" s="7" t="s">
        <v>4</v>
      </c>
      <c r="E177" s="7" t="s">
        <v>18</v>
      </c>
      <c r="F177" s="5">
        <v>9.99</v>
      </c>
      <c r="G177" s="7" t="s">
        <v>355</v>
      </c>
      <c r="H177" s="7" t="s">
        <v>176</v>
      </c>
      <c r="I177" s="7" t="s">
        <v>2630</v>
      </c>
      <c r="K177">
        <f>IF($A177="","",IF(ISNUMBER($A177),MONTH($A177),MONTH(DATEVALUE($A177))))</f>
        <v>11</v>
      </c>
    </row>
    <row r="178" spans="1:11" ht="60" customHeight="1" x14ac:dyDescent="0.25">
      <c r="A178" s="8" t="s">
        <v>354</v>
      </c>
      <c r="B178" s="8" t="s">
        <v>0</v>
      </c>
      <c r="C178" s="8" t="s">
        <v>238</v>
      </c>
      <c r="D178" s="8" t="s">
        <v>4</v>
      </c>
      <c r="E178" s="8" t="s">
        <v>18</v>
      </c>
      <c r="F178" s="6">
        <v>156.16</v>
      </c>
      <c r="G178" s="8" t="s">
        <v>356</v>
      </c>
      <c r="H178" s="8" t="s">
        <v>238</v>
      </c>
      <c r="I178" s="8" t="s">
        <v>2633</v>
      </c>
      <c r="K178">
        <f>IF($A178="","",IF(ISNUMBER($A178),MONTH($A178),MONTH(DATEVALUE($A178))))</f>
        <v>11</v>
      </c>
    </row>
    <row r="179" spans="1:11" ht="60" customHeight="1" x14ac:dyDescent="0.25">
      <c r="A179" s="7" t="s">
        <v>354</v>
      </c>
      <c r="B179" s="7" t="s">
        <v>0</v>
      </c>
      <c r="C179" s="7" t="s">
        <v>357</v>
      </c>
      <c r="D179" s="7" t="s">
        <v>4</v>
      </c>
      <c r="E179" s="7" t="s">
        <v>18</v>
      </c>
      <c r="F179" s="5">
        <v>74.56</v>
      </c>
      <c r="G179" s="7" t="s">
        <v>358</v>
      </c>
      <c r="H179" s="7" t="s">
        <v>357</v>
      </c>
      <c r="I179" s="7" t="s">
        <v>2634</v>
      </c>
      <c r="K179">
        <f>IF($A179="","",IF(ISNUMBER($A179),MONTH($A179),MONTH(DATEVALUE($A179))))</f>
        <v>11</v>
      </c>
    </row>
    <row r="180" spans="1:11" ht="60" customHeight="1" x14ac:dyDescent="0.25">
      <c r="A180" s="8" t="s">
        <v>354</v>
      </c>
      <c r="B180" s="8" t="s">
        <v>0</v>
      </c>
      <c r="C180" s="8" t="s">
        <v>178</v>
      </c>
      <c r="D180" s="8" t="s">
        <v>4</v>
      </c>
      <c r="E180" s="8" t="s">
        <v>18</v>
      </c>
      <c r="F180" s="6">
        <v>260</v>
      </c>
      <c r="G180" s="8" t="s">
        <v>359</v>
      </c>
      <c r="H180" s="8" t="s">
        <v>178</v>
      </c>
      <c r="I180" s="8" t="s">
        <v>2638</v>
      </c>
      <c r="K180">
        <f>IF($A180="","",IF(ISNUMBER($A180),MONTH($A180),MONTH(DATEVALUE($A180))))</f>
        <v>11</v>
      </c>
    </row>
    <row r="181" spans="1:11" ht="60" customHeight="1" x14ac:dyDescent="0.25">
      <c r="A181" s="7" t="s">
        <v>354</v>
      </c>
      <c r="B181" s="7" t="s">
        <v>0</v>
      </c>
      <c r="C181" s="7" t="s">
        <v>360</v>
      </c>
      <c r="D181" s="7" t="s">
        <v>4</v>
      </c>
      <c r="E181" s="7" t="s">
        <v>18</v>
      </c>
      <c r="F181" s="5">
        <v>435</v>
      </c>
      <c r="G181" s="7" t="s">
        <v>361</v>
      </c>
      <c r="H181" s="7" t="s">
        <v>360</v>
      </c>
      <c r="I181" s="7" t="s">
        <v>2632</v>
      </c>
      <c r="K181">
        <f>IF($A181="","",IF(ISNUMBER($A181),MONTH($A181),MONTH(DATEVALUE($A181))))</f>
        <v>11</v>
      </c>
    </row>
    <row r="182" spans="1:11" ht="60" customHeight="1" x14ac:dyDescent="0.25">
      <c r="A182" s="8" t="s">
        <v>362</v>
      </c>
      <c r="B182" s="8" t="s">
        <v>0</v>
      </c>
      <c r="C182" s="8" t="s">
        <v>363</v>
      </c>
      <c r="D182" s="8" t="s">
        <v>4</v>
      </c>
      <c r="E182" s="8" t="s">
        <v>18</v>
      </c>
      <c r="F182" s="6">
        <v>17.97</v>
      </c>
      <c r="G182" s="8" t="s">
        <v>364</v>
      </c>
      <c r="H182" s="8" t="s">
        <v>363</v>
      </c>
      <c r="I182" s="8" t="s">
        <v>2627</v>
      </c>
      <c r="K182">
        <f>IF($A182="","",IF(ISNUMBER($A182),MONTH($A182),MONTH(DATEVALUE($A182))))</f>
        <v>11</v>
      </c>
    </row>
    <row r="183" spans="1:11" ht="60" customHeight="1" x14ac:dyDescent="0.25">
      <c r="A183" s="7" t="s">
        <v>365</v>
      </c>
      <c r="B183" s="7" t="s">
        <v>0</v>
      </c>
      <c r="C183" s="7" t="s">
        <v>366</v>
      </c>
      <c r="D183" s="7" t="s">
        <v>4</v>
      </c>
      <c r="E183" s="7" t="s">
        <v>18</v>
      </c>
      <c r="F183" s="5">
        <v>126.4</v>
      </c>
      <c r="G183" s="7" t="s">
        <v>367</v>
      </c>
      <c r="H183" s="7" t="s">
        <v>366</v>
      </c>
      <c r="I183" s="7" t="s">
        <v>2640</v>
      </c>
      <c r="K183">
        <f>IF($A183="","",IF(ISNUMBER($A183),MONTH($A183),MONTH(DATEVALUE($A183))))</f>
        <v>11</v>
      </c>
    </row>
    <row r="184" spans="1:11" ht="60" customHeight="1" x14ac:dyDescent="0.25">
      <c r="A184" s="8" t="s">
        <v>368</v>
      </c>
      <c r="B184" s="8" t="s">
        <v>0</v>
      </c>
      <c r="C184" s="8" t="s">
        <v>104</v>
      </c>
      <c r="D184" s="8" t="s">
        <v>4</v>
      </c>
      <c r="E184" s="8" t="s">
        <v>18</v>
      </c>
      <c r="F184" s="6">
        <v>13.99</v>
      </c>
      <c r="G184" s="8" t="s">
        <v>369</v>
      </c>
      <c r="H184" s="8" t="s">
        <v>104</v>
      </c>
      <c r="I184" s="8" t="s">
        <v>2632</v>
      </c>
      <c r="K184">
        <f>IF($A184="","",IF(ISNUMBER($A184),MONTH($A184),MONTH(DATEVALUE($A184))))</f>
        <v>11</v>
      </c>
    </row>
    <row r="185" spans="1:11" ht="60" customHeight="1" x14ac:dyDescent="0.25">
      <c r="A185" s="7" t="s">
        <v>368</v>
      </c>
      <c r="B185" s="7" t="s">
        <v>0</v>
      </c>
      <c r="C185" s="7" t="s">
        <v>207</v>
      </c>
      <c r="D185" s="7" t="s">
        <v>4</v>
      </c>
      <c r="E185" s="7" t="s">
        <v>18</v>
      </c>
      <c r="F185" s="5">
        <v>308.91000000000003</v>
      </c>
      <c r="G185" s="7" t="s">
        <v>208</v>
      </c>
      <c r="H185" s="7" t="s">
        <v>207</v>
      </c>
      <c r="I185" s="7" t="s">
        <v>207</v>
      </c>
      <c r="K185">
        <f>IF($A185="","",IF(ISNUMBER($A185),MONTH($A185),MONTH(DATEVALUE($A185))))</f>
        <v>11</v>
      </c>
    </row>
    <row r="186" spans="1:11" ht="60" customHeight="1" x14ac:dyDescent="0.25">
      <c r="A186" s="8" t="s">
        <v>368</v>
      </c>
      <c r="B186" s="8" t="s">
        <v>0</v>
      </c>
      <c r="C186" s="8" t="s">
        <v>211</v>
      </c>
      <c r="D186" s="8" t="s">
        <v>4</v>
      </c>
      <c r="E186" s="8" t="s">
        <v>18</v>
      </c>
      <c r="F186" s="6">
        <v>52.14</v>
      </c>
      <c r="G186" s="8" t="s">
        <v>370</v>
      </c>
      <c r="H186" s="8" t="s">
        <v>211</v>
      </c>
      <c r="I186" s="8" t="s">
        <v>2630</v>
      </c>
      <c r="K186">
        <f>IF($A186="","",IF(ISNUMBER($A186),MONTH($A186),MONTH(DATEVALUE($A186))))</f>
        <v>11</v>
      </c>
    </row>
    <row r="187" spans="1:11" ht="60" customHeight="1" x14ac:dyDescent="0.25">
      <c r="A187" s="7" t="s">
        <v>368</v>
      </c>
      <c r="B187" s="7" t="s">
        <v>0</v>
      </c>
      <c r="C187" s="7" t="s">
        <v>371</v>
      </c>
      <c r="D187" s="7" t="s">
        <v>4</v>
      </c>
      <c r="E187" s="7" t="s">
        <v>18</v>
      </c>
      <c r="F187" s="5">
        <v>90</v>
      </c>
      <c r="G187" s="7" t="s">
        <v>372</v>
      </c>
      <c r="H187" s="7" t="s">
        <v>371</v>
      </c>
      <c r="I187" s="7" t="s">
        <v>2632</v>
      </c>
      <c r="K187">
        <f>IF($A187="","",IF(ISNUMBER($A187),MONTH($A187),MONTH(DATEVALUE($A187))))</f>
        <v>11</v>
      </c>
    </row>
    <row r="188" spans="1:11" ht="60" customHeight="1" x14ac:dyDescent="0.25">
      <c r="A188" s="8" t="s">
        <v>373</v>
      </c>
      <c r="B188" s="8" t="s">
        <v>227</v>
      </c>
      <c r="C188" s="8" t="s">
        <v>374</v>
      </c>
      <c r="D188" s="8" t="s">
        <v>4</v>
      </c>
      <c r="E188" s="8" t="s">
        <v>18</v>
      </c>
      <c r="F188" s="6">
        <v>7.8</v>
      </c>
      <c r="G188" s="8" t="s">
        <v>375</v>
      </c>
      <c r="H188" s="8" t="s">
        <v>374</v>
      </c>
      <c r="I188" s="8" t="s">
        <v>2635</v>
      </c>
      <c r="K188">
        <f>IF($A188="","",IF(ISNUMBER($A188),MONTH($A188),MONTH(DATEVALUE($A188))))</f>
        <v>11</v>
      </c>
    </row>
    <row r="189" spans="1:11" ht="60" customHeight="1" x14ac:dyDescent="0.25">
      <c r="A189" s="7" t="s">
        <v>373</v>
      </c>
      <c r="B189" s="7" t="s">
        <v>227</v>
      </c>
      <c r="C189" s="7" t="s">
        <v>374</v>
      </c>
      <c r="D189" s="7" t="s">
        <v>4</v>
      </c>
      <c r="E189" s="7" t="s">
        <v>18</v>
      </c>
      <c r="F189" s="5">
        <v>16.8</v>
      </c>
      <c r="G189" s="7" t="s">
        <v>376</v>
      </c>
      <c r="H189" s="7" t="s">
        <v>374</v>
      </c>
      <c r="I189" s="7" t="s">
        <v>2635</v>
      </c>
      <c r="K189">
        <f>IF($A189="","",IF(ISNUMBER($A189),MONTH($A189),MONTH(DATEVALUE($A189))))</f>
        <v>11</v>
      </c>
    </row>
    <row r="190" spans="1:11" ht="60" customHeight="1" x14ac:dyDescent="0.25">
      <c r="A190" s="8" t="s">
        <v>373</v>
      </c>
      <c r="B190" s="8" t="s">
        <v>0</v>
      </c>
      <c r="C190" s="8" t="s">
        <v>377</v>
      </c>
      <c r="D190" s="8" t="s">
        <v>4</v>
      </c>
      <c r="E190" s="8" t="s">
        <v>18</v>
      </c>
      <c r="F190" s="6">
        <v>19.97</v>
      </c>
      <c r="G190" s="8" t="s">
        <v>378</v>
      </c>
      <c r="H190" s="8" t="s">
        <v>377</v>
      </c>
      <c r="I190" s="8" t="s">
        <v>2627</v>
      </c>
      <c r="K190">
        <f>IF($A190="","",IF(ISNUMBER($A190),MONTH($A190),MONTH(DATEVALUE($A190))))</f>
        <v>11</v>
      </c>
    </row>
    <row r="191" spans="1:11" ht="60" customHeight="1" x14ac:dyDescent="0.25">
      <c r="A191" s="7" t="s">
        <v>373</v>
      </c>
      <c r="B191" s="7" t="s">
        <v>0</v>
      </c>
      <c r="C191" s="7" t="s">
        <v>379</v>
      </c>
      <c r="D191" s="7" t="s">
        <v>4</v>
      </c>
      <c r="E191" s="7" t="s">
        <v>18</v>
      </c>
      <c r="F191" s="5">
        <v>30.31</v>
      </c>
      <c r="G191" s="7" t="s">
        <v>380</v>
      </c>
      <c r="H191" s="7" t="s">
        <v>379</v>
      </c>
      <c r="I191" s="7" t="s">
        <v>2639</v>
      </c>
      <c r="K191">
        <f>IF($A191="","",IF(ISNUMBER($A191),MONTH($A191),MONTH(DATEVALUE($A191))))</f>
        <v>11</v>
      </c>
    </row>
    <row r="192" spans="1:11" ht="60" customHeight="1" x14ac:dyDescent="0.25">
      <c r="A192" s="8" t="s">
        <v>373</v>
      </c>
      <c r="B192" s="8" t="s">
        <v>0</v>
      </c>
      <c r="C192" s="8" t="s">
        <v>379</v>
      </c>
      <c r="D192" s="8" t="s">
        <v>4</v>
      </c>
      <c r="E192" s="8" t="s">
        <v>18</v>
      </c>
      <c r="F192" s="6">
        <v>30.31</v>
      </c>
      <c r="G192" s="8" t="s">
        <v>381</v>
      </c>
      <c r="H192" s="8" t="s">
        <v>379</v>
      </c>
      <c r="I192" s="8" t="s">
        <v>2639</v>
      </c>
      <c r="K192">
        <f>IF($A192="","",IF(ISNUMBER($A192),MONTH($A192),MONTH(DATEVALUE($A192))))</f>
        <v>11</v>
      </c>
    </row>
    <row r="193" spans="1:11" ht="60" customHeight="1" x14ac:dyDescent="0.25">
      <c r="A193" s="7" t="s">
        <v>382</v>
      </c>
      <c r="B193" s="7" t="s">
        <v>0</v>
      </c>
      <c r="C193" s="7" t="s">
        <v>217</v>
      </c>
      <c r="D193" s="7" t="s">
        <v>4</v>
      </c>
      <c r="E193" s="7" t="s">
        <v>18</v>
      </c>
      <c r="F193" s="5">
        <v>119.52</v>
      </c>
      <c r="G193" s="7" t="s">
        <v>383</v>
      </c>
      <c r="H193" s="7" t="s">
        <v>217</v>
      </c>
      <c r="I193" s="7" t="s">
        <v>2632</v>
      </c>
      <c r="K193">
        <f>IF($A193="","",IF(ISNUMBER($A193),MONTH($A193),MONTH(DATEVALUE($A193))))</f>
        <v>11</v>
      </c>
    </row>
    <row r="194" spans="1:11" ht="60" customHeight="1" x14ac:dyDescent="0.25">
      <c r="A194" s="8" t="s">
        <v>382</v>
      </c>
      <c r="B194" s="8" t="s">
        <v>227</v>
      </c>
      <c r="C194" s="8" t="s">
        <v>384</v>
      </c>
      <c r="D194" s="8" t="s">
        <v>4</v>
      </c>
      <c r="E194" s="8" t="s">
        <v>18</v>
      </c>
      <c r="F194" s="6">
        <v>51.64</v>
      </c>
      <c r="G194" s="8" t="s">
        <v>385</v>
      </c>
      <c r="H194" s="8" t="s">
        <v>384</v>
      </c>
      <c r="I194" s="8" t="s">
        <v>2633</v>
      </c>
      <c r="K194">
        <f>IF($A194="","",IF(ISNUMBER($A194),MONTH($A194),MONTH(DATEVALUE($A194))))</f>
        <v>11</v>
      </c>
    </row>
    <row r="195" spans="1:11" ht="60" customHeight="1" x14ac:dyDescent="0.25">
      <c r="A195" s="7" t="s">
        <v>382</v>
      </c>
      <c r="B195" s="7" t="s">
        <v>0</v>
      </c>
      <c r="C195" s="7" t="s">
        <v>386</v>
      </c>
      <c r="D195" s="7" t="s">
        <v>4</v>
      </c>
      <c r="E195" s="7" t="s">
        <v>18</v>
      </c>
      <c r="F195" s="5">
        <v>30.97</v>
      </c>
      <c r="G195" s="7" t="s">
        <v>387</v>
      </c>
      <c r="H195" s="7" t="s">
        <v>386</v>
      </c>
      <c r="I195" s="7" t="s">
        <v>2627</v>
      </c>
      <c r="K195">
        <f>IF($A195="","",IF(ISNUMBER($A195),MONTH($A195),MONTH(DATEVALUE($A195))))</f>
        <v>11</v>
      </c>
    </row>
    <row r="196" spans="1:11" ht="60" customHeight="1" x14ac:dyDescent="0.25">
      <c r="A196" s="8" t="s">
        <v>382</v>
      </c>
      <c r="B196" s="8" t="s">
        <v>0</v>
      </c>
      <c r="C196" s="8" t="s">
        <v>221</v>
      </c>
      <c r="D196" s="8" t="s">
        <v>4</v>
      </c>
      <c r="E196" s="8" t="s">
        <v>18</v>
      </c>
      <c r="F196" s="6">
        <v>20</v>
      </c>
      <c r="G196" s="8" t="s">
        <v>388</v>
      </c>
      <c r="H196" s="8" t="s">
        <v>221</v>
      </c>
      <c r="I196" s="8" t="s">
        <v>2630</v>
      </c>
      <c r="K196">
        <f>IF($A196="","",IF(ISNUMBER($A196),MONTH($A196),MONTH(DATEVALUE($A196))))</f>
        <v>11</v>
      </c>
    </row>
    <row r="197" spans="1:11" ht="60" customHeight="1" x14ac:dyDescent="0.25">
      <c r="A197" s="7" t="s">
        <v>389</v>
      </c>
      <c r="B197" s="7" t="s">
        <v>0</v>
      </c>
      <c r="C197" s="7" t="s">
        <v>390</v>
      </c>
      <c r="D197" s="7" t="s">
        <v>4</v>
      </c>
      <c r="E197" s="7" t="s">
        <v>18</v>
      </c>
      <c r="F197" s="5">
        <v>139</v>
      </c>
      <c r="G197" s="7" t="s">
        <v>391</v>
      </c>
      <c r="H197" s="7" t="s">
        <v>390</v>
      </c>
      <c r="I197" s="7" t="s">
        <v>2641</v>
      </c>
      <c r="K197">
        <f>IF($A197="","",IF(ISNUMBER($A197),MONTH($A197),MONTH(DATEVALUE($A197))))</f>
        <v>10</v>
      </c>
    </row>
    <row r="198" spans="1:11" ht="60" customHeight="1" x14ac:dyDescent="0.25">
      <c r="A198" s="8" t="s">
        <v>389</v>
      </c>
      <c r="B198" s="8" t="s">
        <v>0</v>
      </c>
      <c r="C198" s="8" t="s">
        <v>392</v>
      </c>
      <c r="D198" s="8" t="s">
        <v>4</v>
      </c>
      <c r="E198" s="8" t="s">
        <v>18</v>
      </c>
      <c r="F198" s="6">
        <v>159</v>
      </c>
      <c r="G198" s="8" t="s">
        <v>393</v>
      </c>
      <c r="H198" s="8" t="s">
        <v>392</v>
      </c>
      <c r="I198" s="8" t="s">
        <v>2641</v>
      </c>
      <c r="K198">
        <f>IF($A198="","",IF(ISNUMBER($A198),MONTH($A198),MONTH(DATEVALUE($A198))))</f>
        <v>10</v>
      </c>
    </row>
    <row r="199" spans="1:11" ht="60" customHeight="1" x14ac:dyDescent="0.25">
      <c r="A199" s="7" t="s">
        <v>389</v>
      </c>
      <c r="B199" s="7" t="s">
        <v>0</v>
      </c>
      <c r="C199" s="7" t="s">
        <v>22</v>
      </c>
      <c r="D199" s="7" t="s">
        <v>4</v>
      </c>
      <c r="E199" s="7" t="s">
        <v>18</v>
      </c>
      <c r="F199" s="5">
        <v>179.16</v>
      </c>
      <c r="G199" s="7" t="s">
        <v>394</v>
      </c>
      <c r="H199" s="7" t="s">
        <v>22</v>
      </c>
      <c r="I199" s="7" t="s">
        <v>2626</v>
      </c>
      <c r="K199">
        <f>IF($A199="","",IF(ISNUMBER($A199),MONTH($A199),MONTH(DATEVALUE($A199))))</f>
        <v>10</v>
      </c>
    </row>
    <row r="200" spans="1:11" ht="60" customHeight="1" x14ac:dyDescent="0.25">
      <c r="A200" s="8" t="s">
        <v>389</v>
      </c>
      <c r="B200" s="8" t="s">
        <v>0</v>
      </c>
      <c r="C200" s="8" t="s">
        <v>395</v>
      </c>
      <c r="D200" s="8" t="s">
        <v>4</v>
      </c>
      <c r="E200" s="8" t="s">
        <v>18</v>
      </c>
      <c r="F200" s="6">
        <v>154.49</v>
      </c>
      <c r="G200" s="8" t="s">
        <v>396</v>
      </c>
      <c r="H200" s="8" t="s">
        <v>395</v>
      </c>
      <c r="I200" s="8" t="s">
        <v>2633</v>
      </c>
      <c r="K200">
        <f>IF($A200="","",IF(ISNUMBER($A200),MONTH($A200),MONTH(DATEVALUE($A200))))</f>
        <v>10</v>
      </c>
    </row>
    <row r="201" spans="1:11" ht="60" customHeight="1" x14ac:dyDescent="0.25">
      <c r="A201" s="7" t="s">
        <v>397</v>
      </c>
      <c r="B201" s="7" t="s">
        <v>0</v>
      </c>
      <c r="C201" s="7" t="s">
        <v>398</v>
      </c>
      <c r="D201" s="7" t="s">
        <v>4</v>
      </c>
      <c r="E201" s="7" t="s">
        <v>18</v>
      </c>
      <c r="F201" s="5">
        <v>108.25</v>
      </c>
      <c r="G201" s="7" t="s">
        <v>399</v>
      </c>
      <c r="H201" s="7" t="s">
        <v>398</v>
      </c>
      <c r="I201" s="7" t="s">
        <v>2633</v>
      </c>
      <c r="K201">
        <f>IF($A201="","",IF(ISNUMBER($A201),MONTH($A201),MONTH(DATEVALUE($A201))))</f>
        <v>10</v>
      </c>
    </row>
    <row r="202" spans="1:11" ht="60" customHeight="1" x14ac:dyDescent="0.25">
      <c r="A202" s="8" t="s">
        <v>397</v>
      </c>
      <c r="B202" s="8" t="s">
        <v>0</v>
      </c>
      <c r="C202" s="8" t="s">
        <v>400</v>
      </c>
      <c r="D202" s="8" t="s">
        <v>4</v>
      </c>
      <c r="E202" s="8" t="s">
        <v>18</v>
      </c>
      <c r="F202" s="6">
        <v>7.39</v>
      </c>
      <c r="G202" s="8" t="s">
        <v>401</v>
      </c>
      <c r="H202" s="8" t="s">
        <v>400</v>
      </c>
      <c r="I202" s="8" t="s">
        <v>2633</v>
      </c>
      <c r="K202">
        <f>IF($A202="","",IF(ISNUMBER($A202),MONTH($A202),MONTH(DATEVALUE($A202))))</f>
        <v>10</v>
      </c>
    </row>
    <row r="203" spans="1:11" ht="60" customHeight="1" x14ac:dyDescent="0.25">
      <c r="A203" s="7" t="s">
        <v>402</v>
      </c>
      <c r="B203" s="7" t="s">
        <v>0</v>
      </c>
      <c r="C203" s="7" t="s">
        <v>403</v>
      </c>
      <c r="D203" s="7" t="s">
        <v>4</v>
      </c>
      <c r="E203" s="7" t="s">
        <v>18</v>
      </c>
      <c r="F203" s="5">
        <v>22.98</v>
      </c>
      <c r="G203" s="7" t="s">
        <v>404</v>
      </c>
      <c r="H203" s="7" t="s">
        <v>403</v>
      </c>
      <c r="I203" s="7" t="s">
        <v>2627</v>
      </c>
      <c r="K203">
        <f>IF($A203="","",IF(ISNUMBER($A203),MONTH($A203),MONTH(DATEVALUE($A203))))</f>
        <v>10</v>
      </c>
    </row>
    <row r="204" spans="1:11" ht="60" customHeight="1" x14ac:dyDescent="0.25">
      <c r="A204" s="8" t="s">
        <v>402</v>
      </c>
      <c r="B204" s="8" t="s">
        <v>0</v>
      </c>
      <c r="C204" s="8" t="s">
        <v>405</v>
      </c>
      <c r="D204" s="8" t="s">
        <v>4</v>
      </c>
      <c r="E204" s="8" t="s">
        <v>18</v>
      </c>
      <c r="F204" s="6">
        <v>57.62</v>
      </c>
      <c r="G204" s="8" t="s">
        <v>406</v>
      </c>
      <c r="H204" s="8" t="s">
        <v>405</v>
      </c>
      <c r="I204" s="8" t="s">
        <v>2634</v>
      </c>
      <c r="K204">
        <f>IF($A204="","",IF(ISNUMBER($A204),MONTH($A204),MONTH(DATEVALUE($A204))))</f>
        <v>10</v>
      </c>
    </row>
    <row r="205" spans="1:11" ht="60" customHeight="1" x14ac:dyDescent="0.25">
      <c r="A205" s="7" t="s">
        <v>402</v>
      </c>
      <c r="B205" s="7" t="s">
        <v>0</v>
      </c>
      <c r="C205" s="7" t="s">
        <v>407</v>
      </c>
      <c r="D205" s="7" t="s">
        <v>4</v>
      </c>
      <c r="E205" s="7" t="s">
        <v>18</v>
      </c>
      <c r="F205" s="5">
        <v>180</v>
      </c>
      <c r="G205" s="7" t="s">
        <v>408</v>
      </c>
      <c r="H205" s="7" t="s">
        <v>407</v>
      </c>
      <c r="I205" s="7" t="s">
        <v>2641</v>
      </c>
      <c r="K205">
        <f>IF($A205="","",IF(ISNUMBER($A205),MONTH($A205),MONTH(DATEVALUE($A205))))</f>
        <v>10</v>
      </c>
    </row>
    <row r="206" spans="1:11" ht="60" customHeight="1" x14ac:dyDescent="0.25">
      <c r="A206" s="8" t="s">
        <v>402</v>
      </c>
      <c r="B206" s="8" t="s">
        <v>0</v>
      </c>
      <c r="C206" s="8" t="s">
        <v>30</v>
      </c>
      <c r="D206" s="8" t="s">
        <v>4</v>
      </c>
      <c r="E206" s="8" t="s">
        <v>18</v>
      </c>
      <c r="F206" s="6">
        <v>-380.97</v>
      </c>
      <c r="G206" s="8" t="s">
        <v>31</v>
      </c>
      <c r="H206" s="8" t="s">
        <v>30</v>
      </c>
      <c r="I206" s="8" t="s">
        <v>2629</v>
      </c>
      <c r="K206">
        <f>IF($A206="","",IF(ISNUMBER($A206),MONTH($A206),MONTH(DATEVALUE($A206))))</f>
        <v>10</v>
      </c>
    </row>
    <row r="207" spans="1:11" ht="60" customHeight="1" x14ac:dyDescent="0.25">
      <c r="A207" s="7" t="s">
        <v>402</v>
      </c>
      <c r="B207" s="7" t="s">
        <v>0</v>
      </c>
      <c r="C207" s="7" t="s">
        <v>27</v>
      </c>
      <c r="D207" s="7" t="s">
        <v>4</v>
      </c>
      <c r="E207" s="7" t="s">
        <v>18</v>
      </c>
      <c r="F207" s="5">
        <v>20</v>
      </c>
      <c r="G207" s="7" t="s">
        <v>409</v>
      </c>
      <c r="H207" s="7" t="s">
        <v>27</v>
      </c>
      <c r="I207" s="7" t="s">
        <v>2628</v>
      </c>
      <c r="K207">
        <f>IF($A207="","",IF(ISNUMBER($A207),MONTH($A207),MONTH(DATEVALUE($A207))))</f>
        <v>10</v>
      </c>
    </row>
    <row r="208" spans="1:11" ht="60" customHeight="1" x14ac:dyDescent="0.25">
      <c r="A208" s="8" t="s">
        <v>402</v>
      </c>
      <c r="B208" s="8" t="s">
        <v>0</v>
      </c>
      <c r="C208" s="8" t="s">
        <v>410</v>
      </c>
      <c r="D208" s="8" t="s">
        <v>4</v>
      </c>
      <c r="E208" s="8" t="s">
        <v>18</v>
      </c>
      <c r="F208" s="6">
        <v>21.64</v>
      </c>
      <c r="G208" s="8" t="s">
        <v>411</v>
      </c>
      <c r="H208" s="8" t="s">
        <v>410</v>
      </c>
      <c r="I208" s="8" t="s">
        <v>2635</v>
      </c>
      <c r="K208">
        <f>IF($A208="","",IF(ISNUMBER($A208),MONTH($A208),MONTH(DATEVALUE($A208))))</f>
        <v>10</v>
      </c>
    </row>
    <row r="209" spans="1:11" ht="60" customHeight="1" x14ac:dyDescent="0.25">
      <c r="A209" s="7" t="s">
        <v>412</v>
      </c>
      <c r="B209" s="7" t="s">
        <v>0</v>
      </c>
      <c r="C209" s="7" t="s">
        <v>413</v>
      </c>
      <c r="D209" s="7" t="s">
        <v>4</v>
      </c>
      <c r="E209" s="7" t="s">
        <v>18</v>
      </c>
      <c r="F209" s="5">
        <v>1663.35</v>
      </c>
      <c r="G209" s="7" t="s">
        <v>414</v>
      </c>
      <c r="H209" s="7" t="s">
        <v>413</v>
      </c>
      <c r="I209" s="7" t="s">
        <v>2642</v>
      </c>
      <c r="K209">
        <f>IF($A209="","",IF(ISNUMBER($A209),MONTH($A209),MONTH(DATEVALUE($A209))))</f>
        <v>10</v>
      </c>
    </row>
    <row r="210" spans="1:11" ht="60" customHeight="1" x14ac:dyDescent="0.25">
      <c r="A210" s="8" t="s">
        <v>412</v>
      </c>
      <c r="B210" s="8" t="s">
        <v>0</v>
      </c>
      <c r="C210" s="8" t="s">
        <v>415</v>
      </c>
      <c r="D210" s="8" t="s">
        <v>4</v>
      </c>
      <c r="E210" s="8" t="s">
        <v>18</v>
      </c>
      <c r="F210" s="6">
        <v>287.45999999999998</v>
      </c>
      <c r="G210" s="8" t="s">
        <v>416</v>
      </c>
      <c r="H210" s="8" t="s">
        <v>415</v>
      </c>
      <c r="I210" s="8" t="s">
        <v>2642</v>
      </c>
      <c r="K210">
        <f>IF($A210="","",IF(ISNUMBER($A210),MONTH($A210),MONTH(DATEVALUE($A210))))</f>
        <v>10</v>
      </c>
    </row>
    <row r="211" spans="1:11" ht="60" customHeight="1" x14ac:dyDescent="0.25">
      <c r="A211" s="7" t="s">
        <v>412</v>
      </c>
      <c r="B211" s="7" t="s">
        <v>0</v>
      </c>
      <c r="C211" s="7" t="s">
        <v>417</v>
      </c>
      <c r="D211" s="7" t="s">
        <v>4</v>
      </c>
      <c r="E211" s="7" t="s">
        <v>18</v>
      </c>
      <c r="F211" s="5">
        <v>50</v>
      </c>
      <c r="G211" s="7" t="s">
        <v>418</v>
      </c>
      <c r="H211" s="7" t="s">
        <v>417</v>
      </c>
      <c r="I211" s="7" t="s">
        <v>2642</v>
      </c>
      <c r="K211">
        <f>IF($A211="","",IF(ISNUMBER($A211),MONTH($A211),MONTH(DATEVALUE($A211))))</f>
        <v>10</v>
      </c>
    </row>
    <row r="212" spans="1:11" ht="60" customHeight="1" x14ac:dyDescent="0.25">
      <c r="A212" s="8" t="s">
        <v>412</v>
      </c>
      <c r="B212" s="8" t="s">
        <v>0</v>
      </c>
      <c r="C212" s="8" t="s">
        <v>419</v>
      </c>
      <c r="D212" s="8" t="s">
        <v>4</v>
      </c>
      <c r="E212" s="8" t="s">
        <v>18</v>
      </c>
      <c r="F212" s="6">
        <v>39</v>
      </c>
      <c r="G212" s="8" t="s">
        <v>420</v>
      </c>
      <c r="H212" s="8" t="s">
        <v>419</v>
      </c>
      <c r="I212" s="8" t="s">
        <v>2643</v>
      </c>
      <c r="K212">
        <f>IF($A212="","",IF(ISNUMBER($A212),MONTH($A212),MONTH(DATEVALUE($A212))))</f>
        <v>10</v>
      </c>
    </row>
    <row r="213" spans="1:11" ht="60" customHeight="1" x14ac:dyDescent="0.25">
      <c r="A213" s="7" t="s">
        <v>421</v>
      </c>
      <c r="B213" s="7" t="s">
        <v>0</v>
      </c>
      <c r="C213" s="7" t="s">
        <v>422</v>
      </c>
      <c r="D213" s="7" t="s">
        <v>4</v>
      </c>
      <c r="E213" s="7" t="s">
        <v>18</v>
      </c>
      <c r="F213" s="5">
        <v>18.84</v>
      </c>
      <c r="G213" s="7" t="s">
        <v>423</v>
      </c>
      <c r="H213" s="7" t="s">
        <v>422</v>
      </c>
      <c r="I213" s="7" t="s">
        <v>2633</v>
      </c>
      <c r="K213">
        <f>IF($A213="","",IF(ISNUMBER($A213),MONTH($A213),MONTH(DATEVALUE($A213))))</f>
        <v>10</v>
      </c>
    </row>
    <row r="214" spans="1:11" ht="60" customHeight="1" x14ac:dyDescent="0.25">
      <c r="A214" s="8" t="s">
        <v>421</v>
      </c>
      <c r="B214" s="8" t="s">
        <v>0</v>
      </c>
      <c r="C214" s="8" t="s">
        <v>424</v>
      </c>
      <c r="D214" s="8" t="s">
        <v>4</v>
      </c>
      <c r="E214" s="8" t="s">
        <v>18</v>
      </c>
      <c r="F214" s="6">
        <v>11.99</v>
      </c>
      <c r="G214" s="8" t="s">
        <v>425</v>
      </c>
      <c r="H214" s="8" t="s">
        <v>424</v>
      </c>
      <c r="I214" s="8" t="s">
        <v>2627</v>
      </c>
      <c r="K214">
        <f>IF($A214="","",IF(ISNUMBER($A214),MONTH($A214),MONTH(DATEVALUE($A214))))</f>
        <v>10</v>
      </c>
    </row>
    <row r="215" spans="1:11" ht="60" customHeight="1" x14ac:dyDescent="0.25">
      <c r="A215" s="7" t="s">
        <v>421</v>
      </c>
      <c r="B215" s="7" t="s">
        <v>0</v>
      </c>
      <c r="C215" s="7" t="s">
        <v>35</v>
      </c>
      <c r="D215" s="7" t="s">
        <v>4</v>
      </c>
      <c r="E215" s="7" t="s">
        <v>18</v>
      </c>
      <c r="F215" s="5">
        <v>39.99</v>
      </c>
      <c r="G215" s="7" t="s">
        <v>426</v>
      </c>
      <c r="H215" s="7" t="s">
        <v>35</v>
      </c>
      <c r="I215" s="7" t="s">
        <v>2630</v>
      </c>
      <c r="K215">
        <f>IF($A215="","",IF(ISNUMBER($A215),MONTH($A215),MONTH(DATEVALUE($A215))))</f>
        <v>10</v>
      </c>
    </row>
    <row r="216" spans="1:11" ht="60" customHeight="1" x14ac:dyDescent="0.25">
      <c r="A216" s="8" t="s">
        <v>427</v>
      </c>
      <c r="B216" s="8" t="s">
        <v>0</v>
      </c>
      <c r="C216" s="8" t="s">
        <v>428</v>
      </c>
      <c r="D216" s="8" t="s">
        <v>4</v>
      </c>
      <c r="E216" s="8" t="s">
        <v>18</v>
      </c>
      <c r="F216" s="6">
        <v>85.76</v>
      </c>
      <c r="G216" s="8" t="s">
        <v>429</v>
      </c>
      <c r="H216" s="8" t="s">
        <v>428</v>
      </c>
      <c r="I216" s="8" t="s">
        <v>2645</v>
      </c>
      <c r="K216">
        <f>IF($A216="","",IF(ISNUMBER($A216),MONTH($A216),MONTH(DATEVALUE($A216))))</f>
        <v>10</v>
      </c>
    </row>
    <row r="217" spans="1:11" ht="60" customHeight="1" x14ac:dyDescent="0.25">
      <c r="A217" s="7" t="s">
        <v>430</v>
      </c>
      <c r="B217" s="7" t="s">
        <v>0</v>
      </c>
      <c r="C217" s="7" t="s">
        <v>431</v>
      </c>
      <c r="D217" s="7" t="s">
        <v>4</v>
      </c>
      <c r="E217" s="7" t="s">
        <v>18</v>
      </c>
      <c r="F217" s="5">
        <v>42.31</v>
      </c>
      <c r="G217" s="7" t="s">
        <v>432</v>
      </c>
      <c r="H217" s="7" t="s">
        <v>431</v>
      </c>
      <c r="I217" s="7" t="s">
        <v>2635</v>
      </c>
      <c r="K217">
        <f>IF($A217="","",IF(ISNUMBER($A217),MONTH($A217),MONTH(DATEVALUE($A217))))</f>
        <v>10</v>
      </c>
    </row>
    <row r="218" spans="1:11" ht="60" customHeight="1" x14ac:dyDescent="0.25">
      <c r="A218" s="8" t="s">
        <v>430</v>
      </c>
      <c r="B218" s="8" t="s">
        <v>0</v>
      </c>
      <c r="C218" s="8" t="s">
        <v>433</v>
      </c>
      <c r="D218" s="8" t="s">
        <v>4</v>
      </c>
      <c r="E218" s="8" t="s">
        <v>18</v>
      </c>
      <c r="F218" s="6">
        <v>15.98</v>
      </c>
      <c r="G218" s="8" t="s">
        <v>434</v>
      </c>
      <c r="H218" s="8" t="s">
        <v>433</v>
      </c>
      <c r="I218" s="8" t="s">
        <v>2627</v>
      </c>
      <c r="K218">
        <f>IF($A218="","",IF(ISNUMBER($A218),MONTH($A218),MONTH(DATEVALUE($A218))))</f>
        <v>10</v>
      </c>
    </row>
    <row r="219" spans="1:11" ht="60" customHeight="1" x14ac:dyDescent="0.25">
      <c r="A219" s="7" t="s">
        <v>430</v>
      </c>
      <c r="B219" s="7" t="s">
        <v>0</v>
      </c>
      <c r="C219" s="7" t="s">
        <v>435</v>
      </c>
      <c r="D219" s="7" t="s">
        <v>4</v>
      </c>
      <c r="E219" s="7" t="s">
        <v>18</v>
      </c>
      <c r="F219" s="5">
        <v>883</v>
      </c>
      <c r="G219" s="7" t="s">
        <v>436</v>
      </c>
      <c r="H219" s="7" t="s">
        <v>435</v>
      </c>
      <c r="I219" s="7" t="s">
        <v>2644</v>
      </c>
      <c r="K219">
        <f>IF($A219="","",IF(ISNUMBER($A219),MONTH($A219),MONTH(DATEVALUE($A219))))</f>
        <v>10</v>
      </c>
    </row>
    <row r="220" spans="1:11" ht="60" customHeight="1" x14ac:dyDescent="0.25">
      <c r="A220" s="8" t="s">
        <v>430</v>
      </c>
      <c r="B220" s="8" t="s">
        <v>0</v>
      </c>
      <c r="C220" s="8" t="s">
        <v>437</v>
      </c>
      <c r="D220" s="8" t="s">
        <v>4</v>
      </c>
      <c r="E220" s="8" t="s">
        <v>18</v>
      </c>
      <c r="F220" s="6">
        <v>198</v>
      </c>
      <c r="G220" s="8" t="s">
        <v>438</v>
      </c>
      <c r="H220" s="8" t="s">
        <v>437</v>
      </c>
      <c r="I220" s="8" t="s">
        <v>2635</v>
      </c>
      <c r="K220">
        <f>IF($A220="","",IF(ISNUMBER($A220),MONTH($A220),MONTH(DATEVALUE($A220))))</f>
        <v>10</v>
      </c>
    </row>
    <row r="221" spans="1:11" ht="60" customHeight="1" x14ac:dyDescent="0.25">
      <c r="A221" s="7" t="s">
        <v>430</v>
      </c>
      <c r="B221" s="7" t="s">
        <v>0</v>
      </c>
      <c r="C221" s="7" t="s">
        <v>439</v>
      </c>
      <c r="D221" s="7" t="s">
        <v>4</v>
      </c>
      <c r="E221" s="7" t="s">
        <v>18</v>
      </c>
      <c r="F221" s="5">
        <v>200</v>
      </c>
      <c r="G221" s="7" t="s">
        <v>440</v>
      </c>
      <c r="H221" s="7" t="s">
        <v>439</v>
      </c>
      <c r="I221" s="7" t="s">
        <v>2633</v>
      </c>
      <c r="K221">
        <f>IF($A221="","",IF(ISNUMBER($A221),MONTH($A221),MONTH(DATEVALUE($A221))))</f>
        <v>10</v>
      </c>
    </row>
    <row r="222" spans="1:11" ht="60" customHeight="1" x14ac:dyDescent="0.25">
      <c r="A222" s="8" t="s">
        <v>441</v>
      </c>
      <c r="B222" s="8" t="s">
        <v>0</v>
      </c>
      <c r="C222" s="8" t="s">
        <v>442</v>
      </c>
      <c r="D222" s="8" t="s">
        <v>4</v>
      </c>
      <c r="E222" s="8" t="s">
        <v>18</v>
      </c>
      <c r="F222" s="6">
        <v>25.82</v>
      </c>
      <c r="G222" s="8" t="s">
        <v>443</v>
      </c>
      <c r="H222" s="8" t="s">
        <v>442</v>
      </c>
      <c r="I222" s="8" t="s">
        <v>2635</v>
      </c>
      <c r="K222">
        <f>IF($A222="","",IF(ISNUMBER($A222),MONTH($A222),MONTH(DATEVALUE($A222))))</f>
        <v>10</v>
      </c>
    </row>
    <row r="223" spans="1:11" ht="60" customHeight="1" x14ac:dyDescent="0.25">
      <c r="A223" s="7" t="s">
        <v>441</v>
      </c>
      <c r="B223" s="7" t="s">
        <v>0</v>
      </c>
      <c r="C223" s="7" t="s">
        <v>428</v>
      </c>
      <c r="D223" s="7" t="s">
        <v>4</v>
      </c>
      <c r="E223" s="7" t="s">
        <v>18</v>
      </c>
      <c r="F223" s="5">
        <v>130.96</v>
      </c>
      <c r="G223" s="7" t="s">
        <v>444</v>
      </c>
      <c r="H223" s="7" t="s">
        <v>428</v>
      </c>
      <c r="I223" s="7" t="s">
        <v>2645</v>
      </c>
      <c r="K223">
        <f>IF($A223="","",IF(ISNUMBER($A223),MONTH($A223),MONTH(DATEVALUE($A223))))</f>
        <v>10</v>
      </c>
    </row>
    <row r="224" spans="1:11" ht="60" customHeight="1" x14ac:dyDescent="0.25">
      <c r="A224" s="8" t="s">
        <v>445</v>
      </c>
      <c r="B224" s="8" t="s">
        <v>0</v>
      </c>
      <c r="C224" s="8" t="s">
        <v>446</v>
      </c>
      <c r="D224" s="8" t="s">
        <v>4</v>
      </c>
      <c r="E224" s="8" t="s">
        <v>18</v>
      </c>
      <c r="F224" s="6">
        <v>40.97</v>
      </c>
      <c r="G224" s="8" t="s">
        <v>447</v>
      </c>
      <c r="H224" s="8" t="s">
        <v>446</v>
      </c>
      <c r="I224" s="8" t="s">
        <v>2627</v>
      </c>
      <c r="K224">
        <f>IF($A224="","",IF(ISNUMBER($A224),MONTH($A224),MONTH(DATEVALUE($A224))))</f>
        <v>10</v>
      </c>
    </row>
    <row r="225" spans="1:11" ht="60" customHeight="1" x14ac:dyDescent="0.25">
      <c r="A225" s="7" t="s">
        <v>445</v>
      </c>
      <c r="B225" s="7" t="s">
        <v>0</v>
      </c>
      <c r="C225" s="7" t="s">
        <v>448</v>
      </c>
      <c r="D225" s="7" t="s">
        <v>4</v>
      </c>
      <c r="E225" s="7" t="s">
        <v>18</v>
      </c>
      <c r="F225" s="5">
        <v>255.71</v>
      </c>
      <c r="G225" s="7" t="s">
        <v>449</v>
      </c>
      <c r="H225" s="7" t="s">
        <v>448</v>
      </c>
      <c r="I225" s="7" t="s">
        <v>2646</v>
      </c>
      <c r="K225">
        <f>IF($A225="","",IF(ISNUMBER($A225),MONTH($A225),MONTH(DATEVALUE($A225))))</f>
        <v>10</v>
      </c>
    </row>
    <row r="226" spans="1:11" ht="60" customHeight="1" x14ac:dyDescent="0.25">
      <c r="A226" s="8" t="s">
        <v>450</v>
      </c>
      <c r="B226" s="8" t="s">
        <v>0</v>
      </c>
      <c r="C226" s="8" t="s">
        <v>451</v>
      </c>
      <c r="D226" s="8" t="s">
        <v>4</v>
      </c>
      <c r="E226" s="8" t="s">
        <v>18</v>
      </c>
      <c r="F226" s="6">
        <v>75.09</v>
      </c>
      <c r="G226" s="8" t="s">
        <v>452</v>
      </c>
      <c r="H226" s="8" t="s">
        <v>451</v>
      </c>
      <c r="I226" s="8" t="s">
        <v>2633</v>
      </c>
      <c r="K226">
        <f>IF($A226="","",IF(ISNUMBER($A226),MONTH($A226),MONTH(DATEVALUE($A226))))</f>
        <v>10</v>
      </c>
    </row>
    <row r="227" spans="1:11" ht="60" customHeight="1" x14ac:dyDescent="0.25">
      <c r="A227" s="7" t="s">
        <v>450</v>
      </c>
      <c r="B227" s="7" t="s">
        <v>0</v>
      </c>
      <c r="C227" s="7" t="s">
        <v>395</v>
      </c>
      <c r="D227" s="7" t="s">
        <v>4</v>
      </c>
      <c r="E227" s="7" t="s">
        <v>18</v>
      </c>
      <c r="F227" s="5">
        <v>80</v>
      </c>
      <c r="G227" s="7" t="s">
        <v>453</v>
      </c>
      <c r="H227" s="7" t="s">
        <v>395</v>
      </c>
      <c r="I227" s="7" t="s">
        <v>2633</v>
      </c>
      <c r="K227">
        <f>IF($A227="","",IF(ISNUMBER($A227),MONTH($A227),MONTH(DATEVALUE($A227))))</f>
        <v>10</v>
      </c>
    </row>
    <row r="228" spans="1:11" ht="60" customHeight="1" x14ac:dyDescent="0.25">
      <c r="A228" s="8" t="s">
        <v>454</v>
      </c>
      <c r="B228" s="8" t="s">
        <v>0</v>
      </c>
      <c r="C228" s="8" t="s">
        <v>455</v>
      </c>
      <c r="D228" s="8" t="s">
        <v>4</v>
      </c>
      <c r="E228" s="8" t="s">
        <v>18</v>
      </c>
      <c r="F228" s="6">
        <v>61.8</v>
      </c>
      <c r="G228" s="8" t="s">
        <v>456</v>
      </c>
      <c r="H228" s="8" t="s">
        <v>455</v>
      </c>
      <c r="I228" s="8" t="s">
        <v>2632</v>
      </c>
      <c r="K228">
        <f>IF($A228="","",IF(ISNUMBER($A228),MONTH($A228),MONTH(DATEVALUE($A228))))</f>
        <v>10</v>
      </c>
    </row>
    <row r="229" spans="1:11" ht="60" customHeight="1" x14ac:dyDescent="0.25">
      <c r="A229" s="7" t="s">
        <v>454</v>
      </c>
      <c r="B229" s="7" t="s">
        <v>0</v>
      </c>
      <c r="C229" s="7" t="s">
        <v>360</v>
      </c>
      <c r="D229" s="7" t="s">
        <v>4</v>
      </c>
      <c r="E229" s="7" t="s">
        <v>18</v>
      </c>
      <c r="F229" s="5">
        <v>300</v>
      </c>
      <c r="G229" s="7" t="s">
        <v>457</v>
      </c>
      <c r="H229" s="7" t="s">
        <v>360</v>
      </c>
      <c r="I229" s="7" t="s">
        <v>2632</v>
      </c>
      <c r="K229">
        <f>IF($A229="","",IF(ISNUMBER($A229),MONTH($A229),MONTH(DATEVALUE($A229))))</f>
        <v>10</v>
      </c>
    </row>
    <row r="230" spans="1:11" ht="60" customHeight="1" x14ac:dyDescent="0.25">
      <c r="A230" s="8" t="s">
        <v>454</v>
      </c>
      <c r="B230" s="8" t="s">
        <v>0</v>
      </c>
      <c r="C230" s="8" t="s">
        <v>458</v>
      </c>
      <c r="D230" s="8" t="s">
        <v>4</v>
      </c>
      <c r="E230" s="8" t="s">
        <v>18</v>
      </c>
      <c r="F230" s="6">
        <v>53.15</v>
      </c>
      <c r="G230" s="8" t="s">
        <v>459</v>
      </c>
      <c r="H230" s="8" t="s">
        <v>458</v>
      </c>
      <c r="I230" s="8" t="s">
        <v>2633</v>
      </c>
      <c r="K230">
        <f>IF($A230="","",IF(ISNUMBER($A230),MONTH($A230),MONTH(DATEVALUE($A230))))</f>
        <v>10</v>
      </c>
    </row>
    <row r="231" spans="1:11" ht="60" customHeight="1" x14ac:dyDescent="0.25">
      <c r="A231" s="7" t="s">
        <v>454</v>
      </c>
      <c r="B231" s="7" t="s">
        <v>0</v>
      </c>
      <c r="C231" s="7" t="s">
        <v>460</v>
      </c>
      <c r="D231" s="7" t="s">
        <v>4</v>
      </c>
      <c r="E231" s="7" t="s">
        <v>18</v>
      </c>
      <c r="F231" s="5">
        <v>4.5199999999999996</v>
      </c>
      <c r="G231" s="7" t="s">
        <v>461</v>
      </c>
      <c r="H231" s="7" t="s">
        <v>460</v>
      </c>
      <c r="I231" s="7" t="s">
        <v>2633</v>
      </c>
      <c r="K231">
        <f>IF($A231="","",IF(ISNUMBER($A231),MONTH($A231),MONTH(DATEVALUE($A231))))</f>
        <v>10</v>
      </c>
    </row>
    <row r="232" spans="1:11" ht="60" customHeight="1" x14ac:dyDescent="0.25">
      <c r="A232" s="8" t="s">
        <v>454</v>
      </c>
      <c r="B232" s="8" t="s">
        <v>0</v>
      </c>
      <c r="C232" s="8" t="s">
        <v>462</v>
      </c>
      <c r="D232" s="8" t="s">
        <v>4</v>
      </c>
      <c r="E232" s="8" t="s">
        <v>18</v>
      </c>
      <c r="F232" s="6">
        <v>17.989999999999998</v>
      </c>
      <c r="G232" s="8" t="s">
        <v>463</v>
      </c>
      <c r="H232" s="8" t="s">
        <v>462</v>
      </c>
      <c r="I232" s="8" t="s">
        <v>2632</v>
      </c>
      <c r="K232">
        <f>IF($A232="","",IF(ISNUMBER($A232),MONTH($A232),MONTH(DATEVALUE($A232))))</f>
        <v>10</v>
      </c>
    </row>
    <row r="233" spans="1:11" ht="60" customHeight="1" x14ac:dyDescent="0.25">
      <c r="A233" s="7" t="s">
        <v>464</v>
      </c>
      <c r="B233" s="7" t="s">
        <v>0</v>
      </c>
      <c r="C233" s="7" t="s">
        <v>465</v>
      </c>
      <c r="D233" s="7" t="s">
        <v>4</v>
      </c>
      <c r="E233" s="7" t="s">
        <v>18</v>
      </c>
      <c r="F233" s="5">
        <v>33.56</v>
      </c>
      <c r="G233" s="7" t="s">
        <v>466</v>
      </c>
      <c r="H233" s="7" t="s">
        <v>465</v>
      </c>
      <c r="I233" s="7" t="s">
        <v>2633</v>
      </c>
      <c r="K233">
        <f>IF($A233="","",IF(ISNUMBER($A233),MONTH($A233),MONTH(DATEVALUE($A233))))</f>
        <v>10</v>
      </c>
    </row>
    <row r="234" spans="1:11" ht="60" customHeight="1" x14ac:dyDescent="0.25">
      <c r="A234" s="8" t="s">
        <v>464</v>
      </c>
      <c r="B234" s="8" t="s">
        <v>0</v>
      </c>
      <c r="C234" s="8" t="s">
        <v>44</v>
      </c>
      <c r="D234" s="8" t="s">
        <v>4</v>
      </c>
      <c r="E234" s="8" t="s">
        <v>18</v>
      </c>
      <c r="F234" s="6">
        <v>584</v>
      </c>
      <c r="G234" s="8" t="s">
        <v>467</v>
      </c>
      <c r="H234" s="8" t="s">
        <v>44</v>
      </c>
      <c r="I234" s="8" t="s">
        <v>2630</v>
      </c>
      <c r="K234">
        <f>IF($A234="","",IF(ISNUMBER($A234),MONTH($A234),MONTH(DATEVALUE($A234))))</f>
        <v>10</v>
      </c>
    </row>
    <row r="235" spans="1:11" ht="60" customHeight="1" x14ac:dyDescent="0.25">
      <c r="A235" s="7" t="s">
        <v>464</v>
      </c>
      <c r="B235" s="7" t="s">
        <v>0</v>
      </c>
      <c r="C235" s="7" t="s">
        <v>468</v>
      </c>
      <c r="D235" s="7" t="s">
        <v>4</v>
      </c>
      <c r="E235" s="7" t="s">
        <v>18</v>
      </c>
      <c r="F235" s="5">
        <v>17.97</v>
      </c>
      <c r="G235" s="7" t="s">
        <v>469</v>
      </c>
      <c r="H235" s="7" t="s">
        <v>468</v>
      </c>
      <c r="I235" s="7" t="s">
        <v>2627</v>
      </c>
      <c r="K235">
        <f>IF($A235="","",IF(ISNUMBER($A235),MONTH($A235),MONTH(DATEVALUE($A235))))</f>
        <v>10</v>
      </c>
    </row>
    <row r="236" spans="1:11" ht="60" customHeight="1" x14ac:dyDescent="0.25">
      <c r="A236" s="8" t="s">
        <v>464</v>
      </c>
      <c r="B236" s="8" t="s">
        <v>0</v>
      </c>
      <c r="C236" s="8" t="s">
        <v>470</v>
      </c>
      <c r="D236" s="8" t="s">
        <v>4</v>
      </c>
      <c r="E236" s="8" t="s">
        <v>18</v>
      </c>
      <c r="F236" s="6">
        <v>40.53</v>
      </c>
      <c r="G236" s="8" t="s">
        <v>471</v>
      </c>
      <c r="H236" s="8" t="s">
        <v>470</v>
      </c>
      <c r="I236" s="8" t="s">
        <v>2645</v>
      </c>
      <c r="K236">
        <f>IF($A236="","",IF(ISNUMBER($A236),MONTH($A236),MONTH(DATEVALUE($A236))))</f>
        <v>10</v>
      </c>
    </row>
    <row r="237" spans="1:11" ht="60" customHeight="1" x14ac:dyDescent="0.25">
      <c r="A237" s="7" t="s">
        <v>472</v>
      </c>
      <c r="B237" s="7" t="s">
        <v>0</v>
      </c>
      <c r="C237" s="7" t="s">
        <v>371</v>
      </c>
      <c r="D237" s="7" t="s">
        <v>4</v>
      </c>
      <c r="E237" s="7" t="s">
        <v>18</v>
      </c>
      <c r="F237" s="5">
        <v>180</v>
      </c>
      <c r="G237" s="7" t="s">
        <v>473</v>
      </c>
      <c r="H237" s="7" t="s">
        <v>371</v>
      </c>
      <c r="I237" s="7" t="s">
        <v>2632</v>
      </c>
      <c r="K237">
        <f>IF($A237="","",IF(ISNUMBER($A237),MONTH($A237),MONTH(DATEVALUE($A237))))</f>
        <v>10</v>
      </c>
    </row>
    <row r="238" spans="1:11" ht="60" customHeight="1" x14ac:dyDescent="0.25">
      <c r="A238" s="8" t="s">
        <v>474</v>
      </c>
      <c r="B238" s="8" t="s">
        <v>0</v>
      </c>
      <c r="C238" s="8" t="s">
        <v>475</v>
      </c>
      <c r="D238" s="8" t="s">
        <v>4</v>
      </c>
      <c r="E238" s="8" t="s">
        <v>18</v>
      </c>
      <c r="F238" s="6">
        <v>43.98</v>
      </c>
      <c r="G238" s="8" t="s">
        <v>476</v>
      </c>
      <c r="H238" s="8" t="s">
        <v>475</v>
      </c>
      <c r="I238" s="8" t="s">
        <v>2627</v>
      </c>
      <c r="K238">
        <f>IF($A238="","",IF(ISNUMBER($A238),MONTH($A238),MONTH(DATEVALUE($A238))))</f>
        <v>10</v>
      </c>
    </row>
    <row r="239" spans="1:11" ht="60" customHeight="1" x14ac:dyDescent="0.25">
      <c r="A239" s="7" t="s">
        <v>474</v>
      </c>
      <c r="B239" s="7" t="s">
        <v>0</v>
      </c>
      <c r="C239" s="7" t="s">
        <v>477</v>
      </c>
      <c r="D239" s="7" t="s">
        <v>4</v>
      </c>
      <c r="E239" s="7" t="s">
        <v>18</v>
      </c>
      <c r="F239" s="5">
        <v>15.86</v>
      </c>
      <c r="G239" s="7" t="s">
        <v>478</v>
      </c>
      <c r="H239" s="7" t="s">
        <v>477</v>
      </c>
      <c r="I239" s="7" t="s">
        <v>2635</v>
      </c>
      <c r="K239">
        <f>IF($A239="","",IF(ISNUMBER($A239),MONTH($A239),MONTH(DATEVALUE($A239))))</f>
        <v>10</v>
      </c>
    </row>
    <row r="240" spans="1:11" ht="60" customHeight="1" x14ac:dyDescent="0.25">
      <c r="A240" s="8" t="s">
        <v>474</v>
      </c>
      <c r="B240" s="8" t="s">
        <v>0</v>
      </c>
      <c r="C240" s="8" t="s">
        <v>462</v>
      </c>
      <c r="D240" s="8" t="s">
        <v>4</v>
      </c>
      <c r="E240" s="8" t="s">
        <v>18</v>
      </c>
      <c r="F240" s="6">
        <v>19.48</v>
      </c>
      <c r="G240" s="8" t="s">
        <v>479</v>
      </c>
      <c r="H240" s="8" t="s">
        <v>462</v>
      </c>
      <c r="I240" s="8" t="s">
        <v>2632</v>
      </c>
      <c r="K240">
        <f>IF($A240="","",IF(ISNUMBER($A240),MONTH($A240),MONTH(DATEVALUE($A240))))</f>
        <v>10</v>
      </c>
    </row>
    <row r="241" spans="1:11" ht="60" customHeight="1" x14ac:dyDescent="0.25">
      <c r="A241" s="7" t="s">
        <v>480</v>
      </c>
      <c r="B241" s="7" t="s">
        <v>0</v>
      </c>
      <c r="C241" s="7" t="s">
        <v>481</v>
      </c>
      <c r="D241" s="7" t="s">
        <v>4</v>
      </c>
      <c r="E241" s="7" t="s">
        <v>18</v>
      </c>
      <c r="F241" s="5">
        <v>88.31</v>
      </c>
      <c r="G241" s="7" t="s">
        <v>482</v>
      </c>
      <c r="H241" s="7" t="s">
        <v>481</v>
      </c>
      <c r="I241" s="7" t="s">
        <v>2645</v>
      </c>
      <c r="K241">
        <f>IF($A241="","",IF(ISNUMBER($A241),MONTH($A241),MONTH(DATEVALUE($A241))))</f>
        <v>10</v>
      </c>
    </row>
    <row r="242" spans="1:11" ht="60" customHeight="1" x14ac:dyDescent="0.25">
      <c r="A242" s="8" t="s">
        <v>480</v>
      </c>
      <c r="B242" s="8" t="s">
        <v>0</v>
      </c>
      <c r="C242" s="8" t="s">
        <v>483</v>
      </c>
      <c r="D242" s="8" t="s">
        <v>4</v>
      </c>
      <c r="E242" s="8" t="s">
        <v>18</v>
      </c>
      <c r="F242" s="6">
        <v>4.1900000000000004</v>
      </c>
      <c r="G242" s="8" t="s">
        <v>484</v>
      </c>
      <c r="H242" s="8" t="s">
        <v>483</v>
      </c>
      <c r="I242" s="8" t="s">
        <v>2633</v>
      </c>
      <c r="K242">
        <f>IF($A242="","",IF(ISNUMBER($A242),MONTH($A242),MONTH(DATEVALUE($A242))))</f>
        <v>10</v>
      </c>
    </row>
    <row r="243" spans="1:11" ht="60" customHeight="1" x14ac:dyDescent="0.25">
      <c r="A243" s="7" t="s">
        <v>480</v>
      </c>
      <c r="B243" s="7" t="s">
        <v>0</v>
      </c>
      <c r="C243" s="7" t="s">
        <v>483</v>
      </c>
      <c r="D243" s="7" t="s">
        <v>4</v>
      </c>
      <c r="E243" s="7" t="s">
        <v>18</v>
      </c>
      <c r="F243" s="5">
        <v>13.37</v>
      </c>
      <c r="G243" s="7" t="s">
        <v>485</v>
      </c>
      <c r="H243" s="7" t="s">
        <v>483</v>
      </c>
      <c r="I243" s="7" t="s">
        <v>2633</v>
      </c>
      <c r="K243">
        <f>IF($A243="","",IF(ISNUMBER($A243),MONTH($A243),MONTH(DATEVALUE($A243))))</f>
        <v>10</v>
      </c>
    </row>
    <row r="244" spans="1:11" ht="60" customHeight="1" x14ac:dyDescent="0.25">
      <c r="A244" s="8" t="s">
        <v>486</v>
      </c>
      <c r="B244" s="8" t="s">
        <v>0</v>
      </c>
      <c r="C244" s="8" t="s">
        <v>487</v>
      </c>
      <c r="D244" s="8" t="s">
        <v>4</v>
      </c>
      <c r="E244" s="8" t="s">
        <v>18</v>
      </c>
      <c r="F244" s="6">
        <v>44.37</v>
      </c>
      <c r="G244" s="8" t="s">
        <v>488</v>
      </c>
      <c r="H244" s="8" t="s">
        <v>487</v>
      </c>
      <c r="I244" s="8" t="s">
        <v>2627</v>
      </c>
      <c r="K244">
        <f>IF($A244="","",IF(ISNUMBER($A244),MONTH($A244),MONTH(DATEVALUE($A244))))</f>
        <v>10</v>
      </c>
    </row>
    <row r="245" spans="1:11" ht="60" customHeight="1" x14ac:dyDescent="0.25">
      <c r="A245" s="7" t="s">
        <v>486</v>
      </c>
      <c r="B245" s="7" t="s">
        <v>0</v>
      </c>
      <c r="C245" s="7" t="s">
        <v>489</v>
      </c>
      <c r="D245" s="7" t="s">
        <v>4</v>
      </c>
      <c r="E245" s="7" t="s">
        <v>18</v>
      </c>
      <c r="F245" s="5">
        <v>240</v>
      </c>
      <c r="G245" s="7" t="s">
        <v>490</v>
      </c>
      <c r="H245" s="7" t="s">
        <v>489</v>
      </c>
      <c r="I245" s="7" t="s">
        <v>2630</v>
      </c>
      <c r="K245">
        <f>IF($A245="","",IF(ISNUMBER($A245),MONTH($A245),MONTH(DATEVALUE($A245))))</f>
        <v>10</v>
      </c>
    </row>
    <row r="246" spans="1:11" ht="60" customHeight="1" x14ac:dyDescent="0.25">
      <c r="A246" s="8" t="s">
        <v>486</v>
      </c>
      <c r="B246" s="8" t="s">
        <v>0</v>
      </c>
      <c r="C246" s="8" t="s">
        <v>477</v>
      </c>
      <c r="D246" s="8" t="s">
        <v>4</v>
      </c>
      <c r="E246" s="8" t="s">
        <v>18</v>
      </c>
      <c r="F246" s="6">
        <v>53.79</v>
      </c>
      <c r="G246" s="8" t="s">
        <v>491</v>
      </c>
      <c r="H246" s="8" t="s">
        <v>477</v>
      </c>
      <c r="I246" s="8" t="s">
        <v>2635</v>
      </c>
      <c r="K246">
        <f>IF($A246="","",IF(ISNUMBER($A246),MONTH($A246),MONTH(DATEVALUE($A246))))</f>
        <v>10</v>
      </c>
    </row>
    <row r="247" spans="1:11" ht="60" customHeight="1" x14ac:dyDescent="0.25">
      <c r="A247" s="7" t="s">
        <v>486</v>
      </c>
      <c r="B247" s="7" t="s">
        <v>0</v>
      </c>
      <c r="C247" s="7" t="s">
        <v>492</v>
      </c>
      <c r="D247" s="7" t="s">
        <v>4</v>
      </c>
      <c r="E247" s="7" t="s">
        <v>18</v>
      </c>
      <c r="F247" s="5">
        <v>2000</v>
      </c>
      <c r="G247" s="7" t="s">
        <v>493</v>
      </c>
      <c r="H247" s="7" t="s">
        <v>492</v>
      </c>
      <c r="I247" s="7" t="s">
        <v>2638</v>
      </c>
      <c r="K247">
        <f>IF($A247="","",IF(ISNUMBER($A247),MONTH($A247),MONTH(DATEVALUE($A247))))</f>
        <v>10</v>
      </c>
    </row>
    <row r="248" spans="1:11" ht="60" customHeight="1" x14ac:dyDescent="0.25">
      <c r="A248" s="8" t="s">
        <v>486</v>
      </c>
      <c r="B248" s="8" t="s">
        <v>0</v>
      </c>
      <c r="C248" s="8" t="s">
        <v>77</v>
      </c>
      <c r="D248" s="8" t="s">
        <v>4</v>
      </c>
      <c r="E248" s="8" t="s">
        <v>18</v>
      </c>
      <c r="F248" s="6">
        <v>581.76</v>
      </c>
      <c r="G248" s="8" t="s">
        <v>494</v>
      </c>
      <c r="H248" s="8" t="s">
        <v>77</v>
      </c>
      <c r="I248" s="8" t="s">
        <v>2640</v>
      </c>
      <c r="K248">
        <f>IF($A248="","",IF(ISNUMBER($A248),MONTH($A248),MONTH(DATEVALUE($A248))))</f>
        <v>10</v>
      </c>
    </row>
    <row r="249" spans="1:11" ht="60" customHeight="1" x14ac:dyDescent="0.25">
      <c r="A249" s="7" t="s">
        <v>486</v>
      </c>
      <c r="B249" s="7" t="s">
        <v>0</v>
      </c>
      <c r="C249" s="7" t="s">
        <v>61</v>
      </c>
      <c r="D249" s="7" t="s">
        <v>4</v>
      </c>
      <c r="E249" s="7" t="s">
        <v>18</v>
      </c>
      <c r="F249" s="5">
        <v>50</v>
      </c>
      <c r="G249" s="7" t="s">
        <v>495</v>
      </c>
      <c r="H249" s="7" t="s">
        <v>61</v>
      </c>
      <c r="I249" s="7" t="s">
        <v>2630</v>
      </c>
      <c r="K249">
        <f>IF($A249="","",IF(ISNUMBER($A249),MONTH($A249),MONTH(DATEVALUE($A249))))</f>
        <v>10</v>
      </c>
    </row>
    <row r="250" spans="1:11" ht="60" customHeight="1" x14ac:dyDescent="0.25">
      <c r="A250" s="8" t="s">
        <v>496</v>
      </c>
      <c r="B250" s="8" t="s">
        <v>0</v>
      </c>
      <c r="C250" s="8" t="s">
        <v>66</v>
      </c>
      <c r="D250" s="8" t="s">
        <v>4</v>
      </c>
      <c r="E250" s="8" t="s">
        <v>18</v>
      </c>
      <c r="F250" s="6">
        <v>69.62</v>
      </c>
      <c r="G250" s="8" t="s">
        <v>497</v>
      </c>
      <c r="H250" s="8" t="s">
        <v>66</v>
      </c>
      <c r="I250" s="8" t="s">
        <v>2630</v>
      </c>
      <c r="K250">
        <f>IF($A250="","",IF(ISNUMBER($A250),MONTH($A250),MONTH(DATEVALUE($A250))))</f>
        <v>10</v>
      </c>
    </row>
    <row r="251" spans="1:11" ht="60" customHeight="1" x14ac:dyDescent="0.25">
      <c r="A251" s="7" t="s">
        <v>496</v>
      </c>
      <c r="B251" s="7" t="s">
        <v>0</v>
      </c>
      <c r="C251" s="7" t="s">
        <v>498</v>
      </c>
      <c r="D251" s="7" t="s">
        <v>4</v>
      </c>
      <c r="E251" s="7" t="s">
        <v>18</v>
      </c>
      <c r="F251" s="5">
        <v>2</v>
      </c>
      <c r="G251" s="7" t="s">
        <v>499</v>
      </c>
      <c r="H251" s="7" t="s">
        <v>498</v>
      </c>
      <c r="I251" s="7" t="s">
        <v>2634</v>
      </c>
      <c r="K251">
        <f>IF($A251="","",IF(ISNUMBER($A251),MONTH($A251),MONTH(DATEVALUE($A251))))</f>
        <v>10</v>
      </c>
    </row>
    <row r="252" spans="1:11" ht="60" customHeight="1" x14ac:dyDescent="0.25">
      <c r="A252" s="8" t="s">
        <v>496</v>
      </c>
      <c r="B252" s="8" t="s">
        <v>0</v>
      </c>
      <c r="C252" s="8" t="s">
        <v>500</v>
      </c>
      <c r="D252" s="8" t="s">
        <v>4</v>
      </c>
      <c r="E252" s="8" t="s">
        <v>18</v>
      </c>
      <c r="F252" s="6">
        <v>11.32</v>
      </c>
      <c r="G252" s="8" t="s">
        <v>501</v>
      </c>
      <c r="H252" s="8" t="s">
        <v>500</v>
      </c>
      <c r="I252" s="8" t="s">
        <v>2633</v>
      </c>
      <c r="K252">
        <f>IF($A252="","",IF(ISNUMBER($A252),MONTH($A252),MONTH(DATEVALUE($A252))))</f>
        <v>10</v>
      </c>
    </row>
    <row r="253" spans="1:11" ht="60" customHeight="1" x14ac:dyDescent="0.25">
      <c r="A253" s="7" t="s">
        <v>496</v>
      </c>
      <c r="B253" s="7" t="s">
        <v>0</v>
      </c>
      <c r="C253" s="7" t="s">
        <v>70</v>
      </c>
      <c r="D253" s="7" t="s">
        <v>4</v>
      </c>
      <c r="E253" s="7" t="s">
        <v>18</v>
      </c>
      <c r="F253" s="5">
        <v>199</v>
      </c>
      <c r="G253" s="7" t="s">
        <v>502</v>
      </c>
      <c r="H253" s="7" t="s">
        <v>70</v>
      </c>
      <c r="I253" s="7" t="s">
        <v>2632</v>
      </c>
      <c r="K253">
        <f>IF($A253="","",IF(ISNUMBER($A253),MONTH($A253),MONTH(DATEVALUE($A253))))</f>
        <v>10</v>
      </c>
    </row>
    <row r="254" spans="1:11" ht="60" customHeight="1" x14ac:dyDescent="0.25">
      <c r="A254" s="8" t="s">
        <v>496</v>
      </c>
      <c r="B254" s="8" t="s">
        <v>0</v>
      </c>
      <c r="C254" s="8" t="s">
        <v>503</v>
      </c>
      <c r="D254" s="8" t="s">
        <v>4</v>
      </c>
      <c r="E254" s="8" t="s">
        <v>18</v>
      </c>
      <c r="F254" s="6">
        <v>20.92</v>
      </c>
      <c r="G254" s="8" t="s">
        <v>504</v>
      </c>
      <c r="H254" s="8" t="s">
        <v>503</v>
      </c>
      <c r="I254" s="8" t="s">
        <v>2633</v>
      </c>
      <c r="K254">
        <f>IF($A254="","",IF(ISNUMBER($A254),MONTH($A254),MONTH(DATEVALUE($A254))))</f>
        <v>10</v>
      </c>
    </row>
    <row r="255" spans="1:11" ht="60" customHeight="1" x14ac:dyDescent="0.25">
      <c r="A255" s="7" t="s">
        <v>505</v>
      </c>
      <c r="B255" s="7" t="s">
        <v>0</v>
      </c>
      <c r="C255" s="7" t="s">
        <v>214</v>
      </c>
      <c r="D255" s="7" t="s">
        <v>4</v>
      </c>
      <c r="E255" s="7" t="s">
        <v>18</v>
      </c>
      <c r="F255" s="5">
        <v>9.25</v>
      </c>
      <c r="G255" s="7" t="s">
        <v>506</v>
      </c>
      <c r="H255" s="7" t="s">
        <v>214</v>
      </c>
      <c r="I255" s="7" t="s">
        <v>2633</v>
      </c>
      <c r="K255">
        <f>IF($A255="","",IF(ISNUMBER($A255),MONTH($A255),MONTH(DATEVALUE($A255))))</f>
        <v>10</v>
      </c>
    </row>
    <row r="256" spans="1:11" ht="60" customHeight="1" x14ac:dyDescent="0.25">
      <c r="A256" s="8" t="s">
        <v>505</v>
      </c>
      <c r="B256" s="8" t="s">
        <v>0</v>
      </c>
      <c r="C256" s="8" t="s">
        <v>507</v>
      </c>
      <c r="D256" s="8" t="s">
        <v>4</v>
      </c>
      <c r="E256" s="8" t="s">
        <v>18</v>
      </c>
      <c r="F256" s="6">
        <v>43.96</v>
      </c>
      <c r="G256" s="8" t="s">
        <v>508</v>
      </c>
      <c r="H256" s="8" t="s">
        <v>507</v>
      </c>
      <c r="I256" s="8" t="s">
        <v>2627</v>
      </c>
      <c r="K256">
        <f>IF($A256="","",IF(ISNUMBER($A256),MONTH($A256),MONTH(DATEVALUE($A256))))</f>
        <v>10</v>
      </c>
    </row>
    <row r="257" spans="1:11" ht="60" customHeight="1" x14ac:dyDescent="0.25">
      <c r="A257" s="7" t="s">
        <v>505</v>
      </c>
      <c r="B257" s="7" t="s">
        <v>0</v>
      </c>
      <c r="C257" s="7" t="s">
        <v>63</v>
      </c>
      <c r="D257" s="7" t="s">
        <v>4</v>
      </c>
      <c r="E257" s="7" t="s">
        <v>18</v>
      </c>
      <c r="F257" s="5">
        <v>148.6</v>
      </c>
      <c r="G257" s="7" t="s">
        <v>509</v>
      </c>
      <c r="H257" s="7" t="s">
        <v>63</v>
      </c>
      <c r="I257" s="7" t="s">
        <v>2633</v>
      </c>
      <c r="K257">
        <f>IF($A257="","",IF(ISNUMBER($A257),MONTH($A257),MONTH(DATEVALUE($A257))))</f>
        <v>10</v>
      </c>
    </row>
    <row r="258" spans="1:11" ht="60" customHeight="1" x14ac:dyDescent="0.25">
      <c r="A258" s="8" t="s">
        <v>510</v>
      </c>
      <c r="B258" s="8" t="s">
        <v>0</v>
      </c>
      <c r="C258" s="8" t="s">
        <v>511</v>
      </c>
      <c r="D258" s="8" t="s">
        <v>4</v>
      </c>
      <c r="E258" s="8" t="s">
        <v>18</v>
      </c>
      <c r="F258" s="6">
        <v>55.83</v>
      </c>
      <c r="G258" s="8" t="s">
        <v>512</v>
      </c>
      <c r="H258" s="8" t="s">
        <v>511</v>
      </c>
      <c r="I258" s="8" t="s">
        <v>2634</v>
      </c>
      <c r="K258">
        <f>IF($A258="","",IF(ISNUMBER($A258),MONTH($A258),MONTH(DATEVALUE($A258))))</f>
        <v>10</v>
      </c>
    </row>
    <row r="259" spans="1:11" ht="60" customHeight="1" x14ac:dyDescent="0.25">
      <c r="A259" s="7" t="s">
        <v>510</v>
      </c>
      <c r="B259" s="7" t="s">
        <v>0</v>
      </c>
      <c r="C259" s="7" t="s">
        <v>108</v>
      </c>
      <c r="D259" s="7" t="s">
        <v>4</v>
      </c>
      <c r="E259" s="7" t="s">
        <v>18</v>
      </c>
      <c r="F259" s="5">
        <v>12.98</v>
      </c>
      <c r="G259" s="7" t="s">
        <v>513</v>
      </c>
      <c r="H259" s="7" t="s">
        <v>108</v>
      </c>
      <c r="I259" s="7" t="s">
        <v>2630</v>
      </c>
      <c r="K259">
        <f>IF($A259="","",IF(ISNUMBER($A259),MONTH($A259),MONTH(DATEVALUE($A259))))</f>
        <v>10</v>
      </c>
    </row>
    <row r="260" spans="1:11" ht="60" customHeight="1" x14ac:dyDescent="0.25">
      <c r="A260" s="8" t="s">
        <v>510</v>
      </c>
      <c r="B260" s="8" t="s">
        <v>227</v>
      </c>
      <c r="C260" s="8" t="s">
        <v>514</v>
      </c>
      <c r="D260" s="8" t="s">
        <v>4</v>
      </c>
      <c r="E260" s="8" t="s">
        <v>18</v>
      </c>
      <c r="F260" s="6">
        <v>144.54</v>
      </c>
      <c r="G260" s="8" t="s">
        <v>515</v>
      </c>
      <c r="H260" s="8" t="s">
        <v>514</v>
      </c>
      <c r="I260" s="8" t="s">
        <v>2633</v>
      </c>
      <c r="K260">
        <f>IF($A260="","",IF(ISNUMBER($A260),MONTH($A260),MONTH(DATEVALUE($A260))))</f>
        <v>10</v>
      </c>
    </row>
    <row r="261" spans="1:11" ht="60" customHeight="1" x14ac:dyDescent="0.25">
      <c r="A261" s="7" t="s">
        <v>516</v>
      </c>
      <c r="B261" s="7" t="s">
        <v>0</v>
      </c>
      <c r="C261" s="7" t="s">
        <v>517</v>
      </c>
      <c r="D261" s="7" t="s">
        <v>4</v>
      </c>
      <c r="E261" s="7" t="s">
        <v>18</v>
      </c>
      <c r="F261" s="5">
        <v>81.91</v>
      </c>
      <c r="G261" s="7" t="s">
        <v>518</v>
      </c>
      <c r="H261" s="7" t="s">
        <v>517</v>
      </c>
      <c r="I261" s="7" t="s">
        <v>2627</v>
      </c>
      <c r="K261">
        <f>IF($A261="","",IF(ISNUMBER($A261),MONTH($A261),MONTH(DATEVALUE($A261))))</f>
        <v>10</v>
      </c>
    </row>
    <row r="262" spans="1:11" ht="60" customHeight="1" x14ac:dyDescent="0.25">
      <c r="A262" s="8" t="s">
        <v>516</v>
      </c>
      <c r="B262" s="8" t="s">
        <v>0</v>
      </c>
      <c r="C262" s="8" t="s">
        <v>519</v>
      </c>
      <c r="D262" s="8" t="s">
        <v>4</v>
      </c>
      <c r="E262" s="8" t="s">
        <v>18</v>
      </c>
      <c r="F262" s="6">
        <v>300</v>
      </c>
      <c r="G262" s="8" t="s">
        <v>520</v>
      </c>
      <c r="H262" s="8" t="s">
        <v>519</v>
      </c>
      <c r="I262" s="8" t="s">
        <v>2633</v>
      </c>
      <c r="K262">
        <f>IF($A262="","",IF(ISNUMBER($A262),MONTH($A262),MONTH(DATEVALUE($A262))))</f>
        <v>10</v>
      </c>
    </row>
    <row r="263" spans="1:11" ht="60" customHeight="1" x14ac:dyDescent="0.25">
      <c r="A263" s="7" t="s">
        <v>521</v>
      </c>
      <c r="B263" s="7" t="s">
        <v>0</v>
      </c>
      <c r="C263" s="7" t="s">
        <v>522</v>
      </c>
      <c r="D263" s="7" t="s">
        <v>4</v>
      </c>
      <c r="E263" s="7" t="s">
        <v>18</v>
      </c>
      <c r="F263" s="5">
        <v>205.66</v>
      </c>
      <c r="G263" s="7" t="s">
        <v>523</v>
      </c>
      <c r="H263" s="7" t="s">
        <v>522</v>
      </c>
      <c r="I263" s="7" t="s">
        <v>2647</v>
      </c>
      <c r="K263">
        <f>IF($A263="","",IF(ISNUMBER($A263),MONTH($A263),MONTH(DATEVALUE($A263))))</f>
        <v>10</v>
      </c>
    </row>
    <row r="264" spans="1:11" ht="60" customHeight="1" x14ac:dyDescent="0.25">
      <c r="A264" s="8" t="s">
        <v>521</v>
      </c>
      <c r="B264" s="8" t="s">
        <v>0</v>
      </c>
      <c r="C264" s="8" t="s">
        <v>524</v>
      </c>
      <c r="D264" s="8" t="s">
        <v>4</v>
      </c>
      <c r="E264" s="8" t="s">
        <v>18</v>
      </c>
      <c r="F264" s="6">
        <v>174.76</v>
      </c>
      <c r="G264" s="8" t="s">
        <v>525</v>
      </c>
      <c r="H264" s="8" t="s">
        <v>524</v>
      </c>
      <c r="I264" s="8" t="s">
        <v>2627</v>
      </c>
      <c r="K264">
        <f>IF($A264="","",IF(ISNUMBER($A264),MONTH($A264),MONTH(DATEVALUE($A264))))</f>
        <v>10</v>
      </c>
    </row>
    <row r="265" spans="1:11" ht="60" customHeight="1" x14ac:dyDescent="0.25">
      <c r="A265" s="7" t="s">
        <v>521</v>
      </c>
      <c r="B265" s="7" t="s">
        <v>0</v>
      </c>
      <c r="C265" s="7" t="s">
        <v>526</v>
      </c>
      <c r="D265" s="7" t="s">
        <v>4</v>
      </c>
      <c r="E265" s="7" t="s">
        <v>18</v>
      </c>
      <c r="F265" s="5">
        <v>101.78</v>
      </c>
      <c r="G265" s="7" t="s">
        <v>527</v>
      </c>
      <c r="H265" s="7" t="s">
        <v>526</v>
      </c>
      <c r="I265" s="7" t="s">
        <v>2648</v>
      </c>
      <c r="K265">
        <f>IF($A265="","",IF(ISNUMBER($A265),MONTH($A265),MONTH(DATEVALUE($A265))))</f>
        <v>10</v>
      </c>
    </row>
    <row r="266" spans="1:11" ht="60" customHeight="1" x14ac:dyDescent="0.25">
      <c r="A266" s="8" t="s">
        <v>521</v>
      </c>
      <c r="B266" s="8" t="s">
        <v>0</v>
      </c>
      <c r="C266" s="8" t="s">
        <v>132</v>
      </c>
      <c r="D266" s="8" t="s">
        <v>4</v>
      </c>
      <c r="E266" s="8" t="s">
        <v>18</v>
      </c>
      <c r="F266" s="6">
        <v>24</v>
      </c>
      <c r="G266" s="8" t="s">
        <v>528</v>
      </c>
      <c r="H266" s="8" t="s">
        <v>132</v>
      </c>
      <c r="I266" s="8" t="s">
        <v>2630</v>
      </c>
      <c r="K266">
        <f>IF($A266="","",IF(ISNUMBER($A266),MONTH($A266),MONTH(DATEVALUE($A266))))</f>
        <v>10</v>
      </c>
    </row>
    <row r="267" spans="1:11" ht="60" customHeight="1" x14ac:dyDescent="0.25">
      <c r="A267" s="7" t="s">
        <v>529</v>
      </c>
      <c r="B267" s="7" t="s">
        <v>0</v>
      </c>
      <c r="C267" s="7" t="s">
        <v>530</v>
      </c>
      <c r="D267" s="7" t="s">
        <v>4</v>
      </c>
      <c r="E267" s="7" t="s">
        <v>18</v>
      </c>
      <c r="F267" s="5">
        <v>26.2</v>
      </c>
      <c r="G267" s="7" t="s">
        <v>531</v>
      </c>
      <c r="H267" s="7" t="s">
        <v>530</v>
      </c>
      <c r="I267" s="7" t="s">
        <v>2648</v>
      </c>
      <c r="K267">
        <f>IF($A267="","",IF(ISNUMBER($A267),MONTH($A267),MONTH(DATEVALUE($A267))))</f>
        <v>10</v>
      </c>
    </row>
    <row r="268" spans="1:11" ht="60" customHeight="1" x14ac:dyDescent="0.25">
      <c r="A268" s="8" t="s">
        <v>529</v>
      </c>
      <c r="B268" s="8" t="s">
        <v>0</v>
      </c>
      <c r="C268" s="8" t="s">
        <v>532</v>
      </c>
      <c r="D268" s="8" t="s">
        <v>4</v>
      </c>
      <c r="E268" s="8" t="s">
        <v>18</v>
      </c>
      <c r="F268" s="6">
        <v>14.75</v>
      </c>
      <c r="G268" s="8" t="s">
        <v>533</v>
      </c>
      <c r="H268" s="8" t="s">
        <v>532</v>
      </c>
      <c r="I268" s="8" t="s">
        <v>2648</v>
      </c>
      <c r="K268">
        <f>IF($A268="","",IF(ISNUMBER($A268),MONTH($A268),MONTH(DATEVALUE($A268))))</f>
        <v>10</v>
      </c>
    </row>
    <row r="269" spans="1:11" ht="60" customHeight="1" x14ac:dyDescent="0.25">
      <c r="A269" s="7" t="s">
        <v>529</v>
      </c>
      <c r="B269" s="7" t="s">
        <v>0</v>
      </c>
      <c r="C269" s="7" t="s">
        <v>534</v>
      </c>
      <c r="D269" s="7" t="s">
        <v>4</v>
      </c>
      <c r="E269" s="7" t="s">
        <v>18</v>
      </c>
      <c r="F269" s="5">
        <v>13.79</v>
      </c>
      <c r="G269" s="7" t="s">
        <v>535</v>
      </c>
      <c r="H269" s="7" t="s">
        <v>534</v>
      </c>
      <c r="I269" s="7" t="s">
        <v>2627</v>
      </c>
      <c r="K269">
        <f>IF($A269="","",IF(ISNUMBER($A269),MONTH($A269),MONTH(DATEVALUE($A269))))</f>
        <v>10</v>
      </c>
    </row>
    <row r="270" spans="1:11" ht="60" customHeight="1" x14ac:dyDescent="0.25">
      <c r="A270" s="8" t="s">
        <v>529</v>
      </c>
      <c r="B270" s="8" t="s">
        <v>0</v>
      </c>
      <c r="C270" s="8" t="s">
        <v>536</v>
      </c>
      <c r="D270" s="8" t="s">
        <v>4</v>
      </c>
      <c r="E270" s="8" t="s">
        <v>18</v>
      </c>
      <c r="F270" s="6">
        <v>180</v>
      </c>
      <c r="G270" s="8" t="s">
        <v>537</v>
      </c>
      <c r="H270" s="8" t="s">
        <v>536</v>
      </c>
      <c r="I270" s="8" t="s">
        <v>2648</v>
      </c>
      <c r="K270">
        <f>IF($A270="","",IF(ISNUMBER($A270),MONTH($A270),MONTH(DATEVALUE($A270))))</f>
        <v>10</v>
      </c>
    </row>
    <row r="271" spans="1:11" ht="60" customHeight="1" x14ac:dyDescent="0.25">
      <c r="A271" s="7" t="s">
        <v>529</v>
      </c>
      <c r="B271" s="7" t="s">
        <v>227</v>
      </c>
      <c r="C271" s="7" t="s">
        <v>514</v>
      </c>
      <c r="D271" s="7" t="s">
        <v>4</v>
      </c>
      <c r="E271" s="7" t="s">
        <v>18</v>
      </c>
      <c r="F271" s="5">
        <v>133.88999999999999</v>
      </c>
      <c r="G271" s="7" t="s">
        <v>538</v>
      </c>
      <c r="H271" s="7" t="s">
        <v>514</v>
      </c>
      <c r="I271" s="7" t="s">
        <v>2648</v>
      </c>
      <c r="K271">
        <f>IF($A271="","",IF(ISNUMBER($A271),MONTH($A271),MONTH(DATEVALUE($A271))))</f>
        <v>10</v>
      </c>
    </row>
    <row r="272" spans="1:11" ht="60" customHeight="1" x14ac:dyDescent="0.25">
      <c r="A272" s="8" t="s">
        <v>539</v>
      </c>
      <c r="B272" s="8" t="s">
        <v>0</v>
      </c>
      <c r="C272" s="8" t="s">
        <v>540</v>
      </c>
      <c r="D272" s="8" t="s">
        <v>4</v>
      </c>
      <c r="E272" s="8" t="s">
        <v>18</v>
      </c>
      <c r="F272" s="6">
        <v>30.97</v>
      </c>
      <c r="G272" s="8" t="s">
        <v>541</v>
      </c>
      <c r="H272" s="8" t="s">
        <v>540</v>
      </c>
      <c r="I272" s="8" t="s">
        <v>2627</v>
      </c>
      <c r="K272">
        <f>IF($A272="","",IF(ISNUMBER($A272),MONTH($A272),MONTH(DATEVALUE($A272))))</f>
        <v>10</v>
      </c>
    </row>
    <row r="273" spans="1:11" ht="60" customHeight="1" x14ac:dyDescent="0.25">
      <c r="A273" s="7" t="s">
        <v>539</v>
      </c>
      <c r="B273" s="7" t="s">
        <v>0</v>
      </c>
      <c r="C273" s="7" t="s">
        <v>542</v>
      </c>
      <c r="D273" s="7" t="s">
        <v>4</v>
      </c>
      <c r="E273" s="7" t="s">
        <v>18</v>
      </c>
      <c r="F273" s="5">
        <v>130.55000000000001</v>
      </c>
      <c r="G273" s="7" t="s">
        <v>543</v>
      </c>
      <c r="H273" s="7" t="s">
        <v>542</v>
      </c>
      <c r="I273" s="7" t="s">
        <v>2648</v>
      </c>
      <c r="K273">
        <f>IF($A273="","",IF(ISNUMBER($A273),MONTH($A273),MONTH(DATEVALUE($A273))))</f>
        <v>10</v>
      </c>
    </row>
    <row r="274" spans="1:11" ht="60" customHeight="1" x14ac:dyDescent="0.25">
      <c r="A274" s="8" t="s">
        <v>539</v>
      </c>
      <c r="B274" s="8" t="s">
        <v>0</v>
      </c>
      <c r="C274" s="8" t="s">
        <v>27</v>
      </c>
      <c r="D274" s="8" t="s">
        <v>4</v>
      </c>
      <c r="E274" s="8" t="s">
        <v>18</v>
      </c>
      <c r="F274" s="6">
        <v>20</v>
      </c>
      <c r="G274" s="8" t="s">
        <v>544</v>
      </c>
      <c r="H274" s="8" t="s">
        <v>27</v>
      </c>
      <c r="I274" s="8" t="s">
        <v>2628</v>
      </c>
      <c r="K274">
        <f>IF($A274="","",IF(ISNUMBER($A274),MONTH($A274),MONTH(DATEVALUE($A274))))</f>
        <v>10</v>
      </c>
    </row>
    <row r="275" spans="1:11" ht="60" customHeight="1" x14ac:dyDescent="0.25">
      <c r="A275" s="7" t="s">
        <v>539</v>
      </c>
      <c r="B275" s="7" t="s">
        <v>0</v>
      </c>
      <c r="C275" s="7" t="s">
        <v>545</v>
      </c>
      <c r="D275" s="7" t="s">
        <v>4</v>
      </c>
      <c r="E275" s="7" t="s">
        <v>18</v>
      </c>
      <c r="F275" s="5">
        <v>410.2</v>
      </c>
      <c r="G275" s="7" t="s">
        <v>546</v>
      </c>
      <c r="H275" s="7" t="s">
        <v>545</v>
      </c>
      <c r="I275" s="7" t="s">
        <v>2645</v>
      </c>
      <c r="K275">
        <f>IF($A275="","",IF(ISNUMBER($A275),MONTH($A275),MONTH(DATEVALUE($A275))))</f>
        <v>10</v>
      </c>
    </row>
    <row r="276" spans="1:11" ht="60" customHeight="1" x14ac:dyDescent="0.25">
      <c r="A276" s="8" t="s">
        <v>547</v>
      </c>
      <c r="B276" s="8" t="s">
        <v>0</v>
      </c>
      <c r="C276" s="8" t="s">
        <v>321</v>
      </c>
      <c r="D276" s="8" t="s">
        <v>4</v>
      </c>
      <c r="E276" s="8" t="s">
        <v>18</v>
      </c>
      <c r="F276" s="6">
        <v>1.25</v>
      </c>
      <c r="G276" s="8" t="s">
        <v>548</v>
      </c>
      <c r="H276" s="8" t="s">
        <v>321</v>
      </c>
      <c r="I276" s="8" t="s">
        <v>2634</v>
      </c>
      <c r="K276">
        <f>IF($A276="","",IF(ISNUMBER($A276),MONTH($A276),MONTH(DATEVALUE($A276))))</f>
        <v>10</v>
      </c>
    </row>
    <row r="277" spans="1:11" ht="60" customHeight="1" x14ac:dyDescent="0.25">
      <c r="A277" s="7" t="s">
        <v>547</v>
      </c>
      <c r="B277" s="7" t="s">
        <v>0</v>
      </c>
      <c r="C277" s="7" t="s">
        <v>549</v>
      </c>
      <c r="D277" s="7" t="s">
        <v>4</v>
      </c>
      <c r="E277" s="7" t="s">
        <v>18</v>
      </c>
      <c r="F277" s="5">
        <v>10.99</v>
      </c>
      <c r="G277" s="7" t="s">
        <v>550</v>
      </c>
      <c r="H277" s="7" t="s">
        <v>549</v>
      </c>
      <c r="I277" s="7" t="s">
        <v>2627</v>
      </c>
      <c r="K277">
        <f>IF($A277="","",IF(ISNUMBER($A277),MONTH($A277),MONTH(DATEVALUE($A277))))</f>
        <v>10</v>
      </c>
    </row>
    <row r="278" spans="1:11" ht="60" customHeight="1" x14ac:dyDescent="0.25">
      <c r="A278" s="8" t="s">
        <v>547</v>
      </c>
      <c r="B278" s="8" t="s">
        <v>0</v>
      </c>
      <c r="C278" s="8" t="s">
        <v>551</v>
      </c>
      <c r="D278" s="8" t="s">
        <v>4</v>
      </c>
      <c r="E278" s="8" t="s">
        <v>18</v>
      </c>
      <c r="F278" s="6">
        <v>-290</v>
      </c>
      <c r="G278" s="8" t="s">
        <v>552</v>
      </c>
      <c r="H278" s="8" t="s">
        <v>551</v>
      </c>
      <c r="I278" s="8" t="s">
        <v>551</v>
      </c>
      <c r="K278">
        <f>IF($A278="","",IF(ISNUMBER($A278),MONTH($A278),MONTH(DATEVALUE($A278))))</f>
        <v>10</v>
      </c>
    </row>
    <row r="279" spans="1:11" ht="60" customHeight="1" x14ac:dyDescent="0.25">
      <c r="A279" s="7" t="s">
        <v>547</v>
      </c>
      <c r="B279" s="7" t="s">
        <v>0</v>
      </c>
      <c r="C279" s="7" t="s">
        <v>553</v>
      </c>
      <c r="D279" s="7" t="s">
        <v>4</v>
      </c>
      <c r="E279" s="7" t="s">
        <v>18</v>
      </c>
      <c r="F279" s="5">
        <v>312.48</v>
      </c>
      <c r="G279" s="7" t="s">
        <v>554</v>
      </c>
      <c r="H279" s="7" t="s">
        <v>553</v>
      </c>
      <c r="I279" s="7" t="s">
        <v>2636</v>
      </c>
      <c r="K279">
        <f>IF($A279="","",IF(ISNUMBER($A279),MONTH($A279),MONTH(DATEVALUE($A279))))</f>
        <v>10</v>
      </c>
    </row>
    <row r="280" spans="1:11" ht="60" customHeight="1" x14ac:dyDescent="0.25">
      <c r="A280" s="8" t="s">
        <v>547</v>
      </c>
      <c r="B280" s="8" t="s">
        <v>0</v>
      </c>
      <c r="C280" s="8" t="s">
        <v>555</v>
      </c>
      <c r="D280" s="8" t="s">
        <v>4</v>
      </c>
      <c r="E280" s="8" t="s">
        <v>18</v>
      </c>
      <c r="F280" s="6">
        <v>82.26</v>
      </c>
      <c r="G280" s="8" t="s">
        <v>556</v>
      </c>
      <c r="H280" s="8" t="s">
        <v>555</v>
      </c>
      <c r="I280" s="8" t="s">
        <v>2639</v>
      </c>
      <c r="K280">
        <f>IF($A280="","",IF(ISNUMBER($A280),MONTH($A280),MONTH(DATEVALUE($A280))))</f>
        <v>10</v>
      </c>
    </row>
    <row r="281" spans="1:11" ht="60" customHeight="1" x14ac:dyDescent="0.25">
      <c r="A281" s="7" t="s">
        <v>547</v>
      </c>
      <c r="B281" s="7" t="s">
        <v>0</v>
      </c>
      <c r="C281" s="7" t="s">
        <v>557</v>
      </c>
      <c r="D281" s="7" t="s">
        <v>4</v>
      </c>
      <c r="E281" s="7" t="s">
        <v>18</v>
      </c>
      <c r="F281" s="5">
        <v>1350</v>
      </c>
      <c r="G281" s="7" t="s">
        <v>558</v>
      </c>
      <c r="H281" s="7" t="s">
        <v>557</v>
      </c>
      <c r="I281" s="7" t="s">
        <v>2649</v>
      </c>
      <c r="K281">
        <f>IF($A281="","",IF(ISNUMBER($A281),MONTH($A281),MONTH(DATEVALUE($A281))))</f>
        <v>10</v>
      </c>
    </row>
    <row r="282" spans="1:11" ht="60" customHeight="1" x14ac:dyDescent="0.25">
      <c r="A282" s="8" t="s">
        <v>547</v>
      </c>
      <c r="B282" s="8" t="s">
        <v>0</v>
      </c>
      <c r="C282" s="8" t="s">
        <v>70</v>
      </c>
      <c r="D282" s="8" t="s">
        <v>4</v>
      </c>
      <c r="E282" s="8" t="s">
        <v>18</v>
      </c>
      <c r="F282" s="6">
        <v>120</v>
      </c>
      <c r="G282" s="8" t="s">
        <v>559</v>
      </c>
      <c r="H282" s="8" t="s">
        <v>70</v>
      </c>
      <c r="I282" s="8" t="s">
        <v>2632</v>
      </c>
      <c r="K282">
        <f>IF($A282="","",IF(ISNUMBER($A282),MONTH($A282),MONTH(DATEVALUE($A282))))</f>
        <v>10</v>
      </c>
    </row>
    <row r="283" spans="1:11" ht="60" customHeight="1" x14ac:dyDescent="0.25">
      <c r="A283" s="7" t="s">
        <v>547</v>
      </c>
      <c r="B283" s="7" t="s">
        <v>0</v>
      </c>
      <c r="C283" s="7" t="s">
        <v>560</v>
      </c>
      <c r="D283" s="7" t="s">
        <v>4</v>
      </c>
      <c r="E283" s="7" t="s">
        <v>18</v>
      </c>
      <c r="F283" s="5">
        <v>244.48</v>
      </c>
      <c r="G283" s="7" t="s">
        <v>561</v>
      </c>
      <c r="H283" s="7" t="s">
        <v>560</v>
      </c>
      <c r="I283" s="7" t="s">
        <v>2636</v>
      </c>
      <c r="K283">
        <f>IF($A283="","",IF(ISNUMBER($A283),MONTH($A283),MONTH(DATEVALUE($A283))))</f>
        <v>10</v>
      </c>
    </row>
    <row r="284" spans="1:11" ht="60" customHeight="1" x14ac:dyDescent="0.25">
      <c r="A284" s="8" t="s">
        <v>547</v>
      </c>
      <c r="B284" s="8" t="s">
        <v>0</v>
      </c>
      <c r="C284" s="8" t="s">
        <v>562</v>
      </c>
      <c r="D284" s="8" t="s">
        <v>4</v>
      </c>
      <c r="E284" s="8" t="s">
        <v>18</v>
      </c>
      <c r="F284" s="6">
        <v>51.03</v>
      </c>
      <c r="G284" s="8" t="s">
        <v>563</v>
      </c>
      <c r="H284" s="8" t="s">
        <v>562</v>
      </c>
      <c r="I284" s="8" t="s">
        <v>2633</v>
      </c>
      <c r="K284">
        <f>IF($A284="","",IF(ISNUMBER($A284),MONTH($A284),MONTH(DATEVALUE($A284))))</f>
        <v>10</v>
      </c>
    </row>
    <row r="285" spans="1:11" ht="60" customHeight="1" x14ac:dyDescent="0.25">
      <c r="A285" s="7" t="s">
        <v>564</v>
      </c>
      <c r="B285" s="7" t="s">
        <v>0</v>
      </c>
      <c r="C285" s="7" t="s">
        <v>565</v>
      </c>
      <c r="D285" s="7" t="s">
        <v>4</v>
      </c>
      <c r="E285" s="7" t="s">
        <v>18</v>
      </c>
      <c r="F285" s="5">
        <v>3.24</v>
      </c>
      <c r="G285" s="7" t="s">
        <v>566</v>
      </c>
      <c r="H285" s="7" t="s">
        <v>565</v>
      </c>
      <c r="I285" s="7" t="s">
        <v>2647</v>
      </c>
      <c r="K285">
        <f>IF($A285="","",IF(ISNUMBER($A285),MONTH($A285),MONTH(DATEVALUE($A285))))</f>
        <v>10</v>
      </c>
    </row>
    <row r="286" spans="1:11" ht="60" customHeight="1" x14ac:dyDescent="0.25">
      <c r="A286" s="8" t="s">
        <v>564</v>
      </c>
      <c r="B286" s="8" t="s">
        <v>0</v>
      </c>
      <c r="C286" s="8" t="s">
        <v>567</v>
      </c>
      <c r="D286" s="8" t="s">
        <v>4</v>
      </c>
      <c r="E286" s="8" t="s">
        <v>18</v>
      </c>
      <c r="F286" s="6">
        <v>16.23</v>
      </c>
      <c r="G286" s="8" t="s">
        <v>568</v>
      </c>
      <c r="H286" s="8" t="s">
        <v>567</v>
      </c>
      <c r="I286" s="8" t="s">
        <v>2647</v>
      </c>
      <c r="K286">
        <f>IF($A286="","",IF(ISNUMBER($A286),MONTH($A286),MONTH(DATEVALUE($A286))))</f>
        <v>10</v>
      </c>
    </row>
    <row r="287" spans="1:11" ht="60" customHeight="1" x14ac:dyDescent="0.25">
      <c r="A287" s="7" t="s">
        <v>564</v>
      </c>
      <c r="B287" s="7" t="s">
        <v>0</v>
      </c>
      <c r="C287" s="7" t="s">
        <v>176</v>
      </c>
      <c r="D287" s="7" t="s">
        <v>4</v>
      </c>
      <c r="E287" s="7" t="s">
        <v>18</v>
      </c>
      <c r="F287" s="5">
        <v>9.99</v>
      </c>
      <c r="G287" s="7" t="s">
        <v>569</v>
      </c>
      <c r="H287" s="7" t="s">
        <v>176</v>
      </c>
      <c r="I287" s="7" t="s">
        <v>2630</v>
      </c>
      <c r="K287">
        <f>IF($A287="","",IF(ISNUMBER($A287),MONTH($A287),MONTH(DATEVALUE($A287))))</f>
        <v>10</v>
      </c>
    </row>
    <row r="288" spans="1:11" ht="60" customHeight="1" x14ac:dyDescent="0.25">
      <c r="A288" s="8" t="s">
        <v>564</v>
      </c>
      <c r="B288" s="8" t="s">
        <v>0</v>
      </c>
      <c r="C288" s="8" t="s">
        <v>178</v>
      </c>
      <c r="D288" s="8" t="s">
        <v>4</v>
      </c>
      <c r="E288" s="8" t="s">
        <v>18</v>
      </c>
      <c r="F288" s="6">
        <v>260</v>
      </c>
      <c r="G288" s="8" t="s">
        <v>570</v>
      </c>
      <c r="H288" s="8" t="s">
        <v>178</v>
      </c>
      <c r="I288" s="8" t="s">
        <v>2638</v>
      </c>
      <c r="K288">
        <f>IF($A288="","",IF(ISNUMBER($A288),MONTH($A288),MONTH(DATEVALUE($A288))))</f>
        <v>10</v>
      </c>
    </row>
    <row r="289" spans="1:11" ht="60" customHeight="1" x14ac:dyDescent="0.25">
      <c r="A289" s="7" t="s">
        <v>564</v>
      </c>
      <c r="B289" s="7" t="s">
        <v>0</v>
      </c>
      <c r="C289" s="7" t="s">
        <v>63</v>
      </c>
      <c r="D289" s="7" t="s">
        <v>4</v>
      </c>
      <c r="E289" s="7" t="s">
        <v>18</v>
      </c>
      <c r="F289" s="5">
        <v>74.47</v>
      </c>
      <c r="G289" s="7" t="s">
        <v>571</v>
      </c>
      <c r="H289" s="7" t="s">
        <v>63</v>
      </c>
      <c r="I289" s="7" t="s">
        <v>2633</v>
      </c>
      <c r="K289">
        <f>IF($A289="","",IF(ISNUMBER($A289),MONTH($A289),MONTH(DATEVALUE($A289))))</f>
        <v>10</v>
      </c>
    </row>
    <row r="290" spans="1:11" ht="60" customHeight="1" x14ac:dyDescent="0.25">
      <c r="A290" s="8" t="s">
        <v>572</v>
      </c>
      <c r="B290" s="8" t="s">
        <v>0</v>
      </c>
      <c r="C290" s="8" t="s">
        <v>573</v>
      </c>
      <c r="D290" s="8" t="s">
        <v>4</v>
      </c>
      <c r="E290" s="8" t="s">
        <v>18</v>
      </c>
      <c r="F290" s="6">
        <v>27.89</v>
      </c>
      <c r="G290" s="8" t="s">
        <v>574</v>
      </c>
      <c r="H290" s="8" t="s">
        <v>573</v>
      </c>
      <c r="I290" s="8" t="s">
        <v>2635</v>
      </c>
      <c r="K290">
        <f>IF($A290="","",IF(ISNUMBER($A290),MONTH($A290),MONTH(DATEVALUE($A290))))</f>
        <v>10</v>
      </c>
    </row>
    <row r="291" spans="1:11" ht="60" customHeight="1" x14ac:dyDescent="0.25">
      <c r="A291" s="7" t="s">
        <v>572</v>
      </c>
      <c r="B291" s="7" t="s">
        <v>0</v>
      </c>
      <c r="C291" s="7" t="s">
        <v>575</v>
      </c>
      <c r="D291" s="7" t="s">
        <v>4</v>
      </c>
      <c r="E291" s="7" t="s">
        <v>18</v>
      </c>
      <c r="F291" s="5">
        <v>4.55</v>
      </c>
      <c r="G291" s="7" t="s">
        <v>576</v>
      </c>
      <c r="H291" s="7" t="s">
        <v>575</v>
      </c>
      <c r="I291" s="7" t="s">
        <v>2633</v>
      </c>
      <c r="K291">
        <f>IF($A291="","",IF(ISNUMBER($A291),MONTH($A291),MONTH(DATEVALUE($A291))))</f>
        <v>10</v>
      </c>
    </row>
    <row r="292" spans="1:11" ht="60" customHeight="1" x14ac:dyDescent="0.25">
      <c r="A292" s="8" t="s">
        <v>572</v>
      </c>
      <c r="B292" s="8" t="s">
        <v>0</v>
      </c>
      <c r="C292" s="8" t="s">
        <v>577</v>
      </c>
      <c r="D292" s="8" t="s">
        <v>4</v>
      </c>
      <c r="E292" s="8" t="s">
        <v>18</v>
      </c>
      <c r="F292" s="6">
        <v>17.97</v>
      </c>
      <c r="G292" s="8" t="s">
        <v>578</v>
      </c>
      <c r="H292" s="8" t="s">
        <v>577</v>
      </c>
      <c r="I292" s="8" t="s">
        <v>2627</v>
      </c>
      <c r="K292">
        <f>IF($A292="","",IF(ISNUMBER($A292),MONTH($A292),MONTH(DATEVALUE($A292))))</f>
        <v>10</v>
      </c>
    </row>
    <row r="293" spans="1:11" ht="60" customHeight="1" x14ac:dyDescent="0.25">
      <c r="A293" s="7" t="s">
        <v>572</v>
      </c>
      <c r="B293" s="7" t="s">
        <v>0</v>
      </c>
      <c r="C293" s="7" t="s">
        <v>68</v>
      </c>
      <c r="D293" s="7" t="s">
        <v>4</v>
      </c>
      <c r="E293" s="7" t="s">
        <v>18</v>
      </c>
      <c r="F293" s="5">
        <v>210</v>
      </c>
      <c r="G293" s="7" t="s">
        <v>579</v>
      </c>
      <c r="H293" s="7" t="s">
        <v>68</v>
      </c>
      <c r="I293" s="7" t="s">
        <v>2632</v>
      </c>
      <c r="K293">
        <f>IF($A293="","",IF(ISNUMBER($A293),MONTH($A293),MONTH(DATEVALUE($A293))))</f>
        <v>10</v>
      </c>
    </row>
    <row r="294" spans="1:11" ht="60" customHeight="1" x14ac:dyDescent="0.25">
      <c r="A294" s="8" t="s">
        <v>572</v>
      </c>
      <c r="B294" s="8" t="s">
        <v>0</v>
      </c>
      <c r="C294" s="8" t="s">
        <v>580</v>
      </c>
      <c r="D294" s="8" t="s">
        <v>4</v>
      </c>
      <c r="E294" s="8" t="s">
        <v>18</v>
      </c>
      <c r="F294" s="6">
        <v>43.37</v>
      </c>
      <c r="G294" s="8" t="s">
        <v>581</v>
      </c>
      <c r="H294" s="8" t="s">
        <v>580</v>
      </c>
      <c r="I294" s="8" t="s">
        <v>2645</v>
      </c>
      <c r="K294">
        <f>IF($A294="","",IF(ISNUMBER($A294),MONTH($A294),MONTH(DATEVALUE($A294))))</f>
        <v>10</v>
      </c>
    </row>
    <row r="295" spans="1:11" ht="60" customHeight="1" x14ac:dyDescent="0.25">
      <c r="A295" s="7" t="s">
        <v>582</v>
      </c>
      <c r="B295" s="7" t="s">
        <v>0</v>
      </c>
      <c r="C295" s="7" t="s">
        <v>321</v>
      </c>
      <c r="D295" s="7" t="s">
        <v>4</v>
      </c>
      <c r="E295" s="7" t="s">
        <v>18</v>
      </c>
      <c r="F295" s="5">
        <v>4</v>
      </c>
      <c r="G295" s="7" t="s">
        <v>583</v>
      </c>
      <c r="H295" s="7" t="s">
        <v>321</v>
      </c>
      <c r="I295" s="7" t="s">
        <v>2634</v>
      </c>
      <c r="K295">
        <f>IF($A295="","",IF(ISNUMBER($A295),MONTH($A295),MONTH(DATEVALUE($A295))))</f>
        <v>10</v>
      </c>
    </row>
    <row r="296" spans="1:11" ht="60" customHeight="1" x14ac:dyDescent="0.25">
      <c r="A296" s="8" t="s">
        <v>582</v>
      </c>
      <c r="B296" s="8" t="s">
        <v>0</v>
      </c>
      <c r="C296" s="8" t="s">
        <v>584</v>
      </c>
      <c r="D296" s="8" t="s">
        <v>4</v>
      </c>
      <c r="E296" s="8" t="s">
        <v>18</v>
      </c>
      <c r="F296" s="6">
        <v>31.38</v>
      </c>
      <c r="G296" s="8" t="s">
        <v>585</v>
      </c>
      <c r="H296" s="8" t="s">
        <v>584</v>
      </c>
      <c r="I296" s="8" t="s">
        <v>2633</v>
      </c>
      <c r="K296">
        <f>IF($A296="","",IF(ISNUMBER($A296),MONTH($A296),MONTH(DATEVALUE($A296))))</f>
        <v>10</v>
      </c>
    </row>
    <row r="297" spans="1:11" ht="60" customHeight="1" x14ac:dyDescent="0.25">
      <c r="A297" s="7" t="s">
        <v>582</v>
      </c>
      <c r="B297" s="7" t="s">
        <v>0</v>
      </c>
      <c r="C297" s="7" t="s">
        <v>586</v>
      </c>
      <c r="D297" s="7" t="s">
        <v>4</v>
      </c>
      <c r="E297" s="7" t="s">
        <v>18</v>
      </c>
      <c r="F297" s="5">
        <v>31.63</v>
      </c>
      <c r="G297" s="7" t="s">
        <v>587</v>
      </c>
      <c r="H297" s="7" t="s">
        <v>586</v>
      </c>
      <c r="I297" s="7" t="s">
        <v>2645</v>
      </c>
      <c r="K297">
        <f>IF($A297="","",IF(ISNUMBER($A297),MONTH($A297),MONTH(DATEVALUE($A297))))</f>
        <v>10</v>
      </c>
    </row>
    <row r="298" spans="1:11" ht="60" customHeight="1" x14ac:dyDescent="0.25">
      <c r="A298" s="8" t="s">
        <v>588</v>
      </c>
      <c r="B298" s="8" t="s">
        <v>0</v>
      </c>
      <c r="C298" s="8" t="s">
        <v>589</v>
      </c>
      <c r="D298" s="8" t="s">
        <v>4</v>
      </c>
      <c r="E298" s="8" t="s">
        <v>18</v>
      </c>
      <c r="F298" s="6">
        <v>21.15</v>
      </c>
      <c r="G298" s="8" t="s">
        <v>590</v>
      </c>
      <c r="H298" s="8" t="s">
        <v>589</v>
      </c>
      <c r="I298" s="8" t="s">
        <v>2635</v>
      </c>
      <c r="K298">
        <f>IF($A298="","",IF(ISNUMBER($A298),MONTH($A298),MONTH(DATEVALUE($A298))))</f>
        <v>10</v>
      </c>
    </row>
    <row r="299" spans="1:11" ht="60" customHeight="1" x14ac:dyDescent="0.25">
      <c r="A299" s="7" t="s">
        <v>588</v>
      </c>
      <c r="B299" s="7" t="s">
        <v>0</v>
      </c>
      <c r="C299" s="7" t="s">
        <v>591</v>
      </c>
      <c r="D299" s="7" t="s">
        <v>4</v>
      </c>
      <c r="E299" s="7" t="s">
        <v>18</v>
      </c>
      <c r="F299" s="5">
        <v>-151.35</v>
      </c>
      <c r="G299" s="7" t="s">
        <v>592</v>
      </c>
      <c r="H299" s="7" t="s">
        <v>591</v>
      </c>
      <c r="I299" s="7" t="s">
        <v>591</v>
      </c>
      <c r="K299">
        <f>IF($A299="","",IF(ISNUMBER($A299),MONTH($A299),MONTH(DATEVALUE($A299))))</f>
        <v>10</v>
      </c>
    </row>
    <row r="300" spans="1:11" ht="60" customHeight="1" x14ac:dyDescent="0.25">
      <c r="A300" s="8" t="s">
        <v>588</v>
      </c>
      <c r="B300" s="8" t="s">
        <v>0</v>
      </c>
      <c r="C300" s="8" t="s">
        <v>104</v>
      </c>
      <c r="D300" s="8" t="s">
        <v>4</v>
      </c>
      <c r="E300" s="8" t="s">
        <v>18</v>
      </c>
      <c r="F300" s="6">
        <v>13.99</v>
      </c>
      <c r="G300" s="8" t="s">
        <v>593</v>
      </c>
      <c r="H300" s="8" t="s">
        <v>104</v>
      </c>
      <c r="I300" s="8" t="s">
        <v>2632</v>
      </c>
      <c r="K300">
        <f>IF($A300="","",IF(ISNUMBER($A300),MONTH($A300),MONTH(DATEVALUE($A300))))</f>
        <v>10</v>
      </c>
    </row>
    <row r="301" spans="1:11" ht="60" customHeight="1" x14ac:dyDescent="0.25">
      <c r="A301" s="7" t="s">
        <v>588</v>
      </c>
      <c r="B301" s="7" t="s">
        <v>0</v>
      </c>
      <c r="C301" s="7" t="s">
        <v>594</v>
      </c>
      <c r="D301" s="7" t="s">
        <v>4</v>
      </c>
      <c r="E301" s="7" t="s">
        <v>18</v>
      </c>
      <c r="F301" s="5">
        <v>151.35</v>
      </c>
      <c r="G301" s="7" t="s">
        <v>595</v>
      </c>
      <c r="H301" s="7" t="s">
        <v>594</v>
      </c>
      <c r="I301" s="7" t="s">
        <v>594</v>
      </c>
      <c r="K301">
        <f>IF($A301="","",IF(ISNUMBER($A301),MONTH($A301),MONTH(DATEVALUE($A301))))</f>
        <v>10</v>
      </c>
    </row>
    <row r="302" spans="1:11" ht="60" customHeight="1" x14ac:dyDescent="0.25">
      <c r="A302" s="8" t="s">
        <v>588</v>
      </c>
      <c r="B302" s="8" t="s">
        <v>0</v>
      </c>
      <c r="C302" s="8" t="s">
        <v>211</v>
      </c>
      <c r="D302" s="8" t="s">
        <v>4</v>
      </c>
      <c r="E302" s="8" t="s">
        <v>18</v>
      </c>
      <c r="F302" s="6">
        <v>52.14</v>
      </c>
      <c r="G302" s="8" t="s">
        <v>596</v>
      </c>
      <c r="H302" s="8" t="s">
        <v>211</v>
      </c>
      <c r="I302" s="8" t="s">
        <v>2630</v>
      </c>
      <c r="K302">
        <f>IF($A302="","",IF(ISNUMBER($A302),MONTH($A302),MONTH(DATEVALUE($A302))))</f>
        <v>10</v>
      </c>
    </row>
    <row r="303" spans="1:11" ht="60" customHeight="1" x14ac:dyDescent="0.25">
      <c r="A303" s="7" t="s">
        <v>588</v>
      </c>
      <c r="B303" s="7" t="s">
        <v>227</v>
      </c>
      <c r="C303" s="7" t="s">
        <v>597</v>
      </c>
      <c r="D303" s="7" t="s">
        <v>4</v>
      </c>
      <c r="E303" s="7" t="s">
        <v>18</v>
      </c>
      <c r="F303" s="5">
        <v>1529.73</v>
      </c>
      <c r="G303" s="7" t="s">
        <v>598</v>
      </c>
      <c r="H303" s="7" t="s">
        <v>597</v>
      </c>
      <c r="I303" s="7" t="s">
        <v>2645</v>
      </c>
      <c r="K303">
        <f>IF($A303="","",IF(ISNUMBER($A303),MONTH($A303),MONTH(DATEVALUE($A303))))</f>
        <v>10</v>
      </c>
    </row>
    <row r="304" spans="1:11" ht="60" customHeight="1" x14ac:dyDescent="0.25">
      <c r="A304" s="8" t="s">
        <v>588</v>
      </c>
      <c r="B304" s="8" t="s">
        <v>0</v>
      </c>
      <c r="C304" s="8" t="s">
        <v>63</v>
      </c>
      <c r="D304" s="8" t="s">
        <v>4</v>
      </c>
      <c r="E304" s="8" t="s">
        <v>18</v>
      </c>
      <c r="F304" s="6">
        <v>121.01</v>
      </c>
      <c r="G304" s="8" t="s">
        <v>599</v>
      </c>
      <c r="H304" s="8" t="s">
        <v>63</v>
      </c>
      <c r="I304" s="8" t="s">
        <v>2633</v>
      </c>
      <c r="K304">
        <f>IF($A304="","",IF(ISNUMBER($A304),MONTH($A304),MONTH(DATEVALUE($A304))))</f>
        <v>10</v>
      </c>
    </row>
    <row r="305" spans="1:11" ht="60" customHeight="1" x14ac:dyDescent="0.25">
      <c r="A305" s="7" t="s">
        <v>600</v>
      </c>
      <c r="B305" s="7" t="s">
        <v>0</v>
      </c>
      <c r="C305" s="7" t="s">
        <v>601</v>
      </c>
      <c r="D305" s="7" t="s">
        <v>4</v>
      </c>
      <c r="E305" s="7" t="s">
        <v>18</v>
      </c>
      <c r="F305" s="5">
        <v>80.099999999999994</v>
      </c>
      <c r="G305" s="7" t="s">
        <v>602</v>
      </c>
      <c r="H305" s="7" t="s">
        <v>601</v>
      </c>
      <c r="I305" s="7" t="s">
        <v>2633</v>
      </c>
      <c r="K305">
        <f>IF($A305="","",IF(ISNUMBER($A305),MONTH($A305),MONTH(DATEVALUE($A305))))</f>
        <v>10</v>
      </c>
    </row>
    <row r="306" spans="1:11" ht="60" customHeight="1" x14ac:dyDescent="0.25">
      <c r="A306" s="8" t="s">
        <v>600</v>
      </c>
      <c r="B306" s="8" t="s">
        <v>0</v>
      </c>
      <c r="C306" s="8" t="s">
        <v>603</v>
      </c>
      <c r="D306" s="8" t="s">
        <v>4</v>
      </c>
      <c r="E306" s="8" t="s">
        <v>18</v>
      </c>
      <c r="F306" s="6">
        <v>19.97</v>
      </c>
      <c r="G306" s="8" t="s">
        <v>604</v>
      </c>
      <c r="H306" s="8" t="s">
        <v>603</v>
      </c>
      <c r="I306" s="8" t="s">
        <v>2627</v>
      </c>
      <c r="K306">
        <f>IF($A306="","",IF(ISNUMBER($A306),MONTH($A306),MONTH(DATEVALUE($A306))))</f>
        <v>10</v>
      </c>
    </row>
    <row r="307" spans="1:11" ht="60" customHeight="1" x14ac:dyDescent="0.25">
      <c r="A307" s="7" t="s">
        <v>605</v>
      </c>
      <c r="B307" s="7" t="s">
        <v>0</v>
      </c>
      <c r="C307" s="7" t="s">
        <v>217</v>
      </c>
      <c r="D307" s="7" t="s">
        <v>4</v>
      </c>
      <c r="E307" s="7" t="s">
        <v>18</v>
      </c>
      <c r="F307" s="5">
        <v>119.52</v>
      </c>
      <c r="G307" s="7" t="s">
        <v>606</v>
      </c>
      <c r="H307" s="7" t="s">
        <v>217</v>
      </c>
      <c r="I307" s="7" t="s">
        <v>2632</v>
      </c>
      <c r="K307">
        <f>IF($A307="","",IF(ISNUMBER($A307),MONTH($A307),MONTH(DATEVALUE($A307))))</f>
        <v>10</v>
      </c>
    </row>
    <row r="308" spans="1:11" ht="60" customHeight="1" x14ac:dyDescent="0.25">
      <c r="A308" s="8" t="s">
        <v>605</v>
      </c>
      <c r="B308" s="8" t="s">
        <v>0</v>
      </c>
      <c r="C308" s="8" t="s">
        <v>607</v>
      </c>
      <c r="D308" s="8" t="s">
        <v>4</v>
      </c>
      <c r="E308" s="8" t="s">
        <v>18</v>
      </c>
      <c r="F308" s="6">
        <v>30.97</v>
      </c>
      <c r="G308" s="8" t="s">
        <v>608</v>
      </c>
      <c r="H308" s="8" t="s">
        <v>607</v>
      </c>
      <c r="I308" s="8" t="s">
        <v>2627</v>
      </c>
      <c r="K308">
        <f>IF($A308="","",IF(ISNUMBER($A308),MONTH($A308),MONTH(DATEVALUE($A308))))</f>
        <v>10</v>
      </c>
    </row>
    <row r="309" spans="1:11" ht="60" customHeight="1" x14ac:dyDescent="0.25">
      <c r="A309" s="7" t="s">
        <v>605</v>
      </c>
      <c r="B309" s="7" t="s">
        <v>0</v>
      </c>
      <c r="C309" s="7" t="s">
        <v>609</v>
      </c>
      <c r="D309" s="7" t="s">
        <v>4</v>
      </c>
      <c r="E309" s="7" t="s">
        <v>18</v>
      </c>
      <c r="F309" s="5">
        <v>2484</v>
      </c>
      <c r="G309" s="7" t="s">
        <v>610</v>
      </c>
      <c r="H309" s="7" t="s">
        <v>609</v>
      </c>
      <c r="I309" s="7" t="s">
        <v>2650</v>
      </c>
      <c r="K309">
        <f>IF($A309="","",IF(ISNUMBER($A309),MONTH($A309),MONTH(DATEVALUE($A309))))</f>
        <v>10</v>
      </c>
    </row>
    <row r="310" spans="1:11" ht="60" customHeight="1" x14ac:dyDescent="0.25">
      <c r="A310" s="8" t="s">
        <v>605</v>
      </c>
      <c r="B310" s="8" t="s">
        <v>0</v>
      </c>
      <c r="C310" s="8" t="s">
        <v>221</v>
      </c>
      <c r="D310" s="8" t="s">
        <v>4</v>
      </c>
      <c r="E310" s="8" t="s">
        <v>18</v>
      </c>
      <c r="F310" s="6">
        <v>20</v>
      </c>
      <c r="G310" s="8" t="s">
        <v>611</v>
      </c>
      <c r="H310" s="8" t="s">
        <v>221</v>
      </c>
      <c r="I310" s="8" t="s">
        <v>2630</v>
      </c>
      <c r="K310">
        <f>IF($A310="","",IF(ISNUMBER($A310),MONTH($A310),MONTH(DATEVALUE($A310))))</f>
        <v>10</v>
      </c>
    </row>
    <row r="311" spans="1:11" ht="60" customHeight="1" x14ac:dyDescent="0.25">
      <c r="A311" s="7" t="s">
        <v>605</v>
      </c>
      <c r="B311" s="7" t="s">
        <v>0</v>
      </c>
      <c r="C311" s="7" t="s">
        <v>63</v>
      </c>
      <c r="D311" s="7" t="s">
        <v>4</v>
      </c>
      <c r="E311" s="7" t="s">
        <v>18</v>
      </c>
      <c r="F311" s="5">
        <v>17.61</v>
      </c>
      <c r="G311" s="7" t="s">
        <v>612</v>
      </c>
      <c r="H311" s="7" t="s">
        <v>63</v>
      </c>
      <c r="I311" s="7" t="s">
        <v>2633</v>
      </c>
      <c r="K311">
        <f>IF($A311="","",IF(ISNUMBER($A311),MONTH($A311),MONTH(DATEVALUE($A311))))</f>
        <v>10</v>
      </c>
    </row>
    <row r="312" spans="1:11" ht="60" customHeight="1" x14ac:dyDescent="0.25">
      <c r="A312" s="8" t="s">
        <v>613</v>
      </c>
      <c r="B312" s="8" t="s">
        <v>0</v>
      </c>
      <c r="C312" s="8" t="s">
        <v>614</v>
      </c>
      <c r="D312" s="8" t="s">
        <v>4</v>
      </c>
      <c r="E312" s="8" t="s">
        <v>18</v>
      </c>
      <c r="F312" s="6">
        <v>44.95</v>
      </c>
      <c r="G312" s="8" t="s">
        <v>615</v>
      </c>
      <c r="H312" s="8" t="s">
        <v>614</v>
      </c>
      <c r="I312" s="8" t="s">
        <v>2639</v>
      </c>
      <c r="K312">
        <f>IF($A312="","",IF(ISNUMBER($A312),MONTH($A312),MONTH(DATEVALUE($A312))))</f>
        <v>9</v>
      </c>
    </row>
    <row r="313" spans="1:11" ht="60" customHeight="1" x14ac:dyDescent="0.25">
      <c r="A313" s="7" t="s">
        <v>613</v>
      </c>
      <c r="B313" s="7" t="s">
        <v>0</v>
      </c>
      <c r="C313" s="7" t="s">
        <v>616</v>
      </c>
      <c r="D313" s="7" t="s">
        <v>4</v>
      </c>
      <c r="E313" s="7" t="s">
        <v>18</v>
      </c>
      <c r="F313" s="5">
        <v>-8.86</v>
      </c>
      <c r="G313" s="7" t="s">
        <v>617</v>
      </c>
      <c r="H313" s="7" t="s">
        <v>616</v>
      </c>
      <c r="I313" s="7" t="s">
        <v>2640</v>
      </c>
      <c r="K313">
        <f>IF($A313="","",IF(ISNUMBER($A313),MONTH($A313),MONTH(DATEVALUE($A313))))</f>
        <v>9</v>
      </c>
    </row>
    <row r="314" spans="1:11" ht="60" customHeight="1" x14ac:dyDescent="0.25">
      <c r="A314" s="8" t="s">
        <v>613</v>
      </c>
      <c r="B314" s="8" t="s">
        <v>0</v>
      </c>
      <c r="C314" s="8" t="s">
        <v>616</v>
      </c>
      <c r="D314" s="8" t="s">
        <v>4</v>
      </c>
      <c r="E314" s="8" t="s">
        <v>18</v>
      </c>
      <c r="F314" s="6">
        <v>-7.11</v>
      </c>
      <c r="G314" s="8" t="s">
        <v>617</v>
      </c>
      <c r="H314" s="8" t="s">
        <v>616</v>
      </c>
      <c r="I314" s="8" t="s">
        <v>2640</v>
      </c>
      <c r="K314">
        <f>IF($A314="","",IF(ISNUMBER($A314),MONTH($A314),MONTH(DATEVALUE($A314))))</f>
        <v>9</v>
      </c>
    </row>
    <row r="315" spans="1:11" ht="60" customHeight="1" x14ac:dyDescent="0.25">
      <c r="A315" s="7" t="s">
        <v>613</v>
      </c>
      <c r="B315" s="7" t="s">
        <v>0</v>
      </c>
      <c r="C315" s="7" t="s">
        <v>616</v>
      </c>
      <c r="D315" s="7" t="s">
        <v>4</v>
      </c>
      <c r="E315" s="7" t="s">
        <v>18</v>
      </c>
      <c r="F315" s="5">
        <v>-6.88</v>
      </c>
      <c r="G315" s="7" t="s">
        <v>617</v>
      </c>
      <c r="H315" s="7" t="s">
        <v>616</v>
      </c>
      <c r="I315" s="7" t="s">
        <v>2640</v>
      </c>
      <c r="K315">
        <f>IF($A315="","",IF(ISNUMBER($A315),MONTH($A315),MONTH(DATEVALUE($A315))))</f>
        <v>9</v>
      </c>
    </row>
    <row r="316" spans="1:11" ht="60" customHeight="1" x14ac:dyDescent="0.25">
      <c r="A316" s="8" t="s">
        <v>613</v>
      </c>
      <c r="B316" s="8" t="s">
        <v>0</v>
      </c>
      <c r="C316" s="8" t="s">
        <v>616</v>
      </c>
      <c r="D316" s="8" t="s">
        <v>4</v>
      </c>
      <c r="E316" s="8" t="s">
        <v>18</v>
      </c>
      <c r="F316" s="6">
        <v>-6.76</v>
      </c>
      <c r="G316" s="8" t="s">
        <v>617</v>
      </c>
      <c r="H316" s="8" t="s">
        <v>616</v>
      </c>
      <c r="I316" s="8" t="s">
        <v>2640</v>
      </c>
      <c r="K316">
        <f>IF($A316="","",IF(ISNUMBER($A316),MONTH($A316),MONTH(DATEVALUE($A316))))</f>
        <v>9</v>
      </c>
    </row>
    <row r="317" spans="1:11" ht="60" customHeight="1" x14ac:dyDescent="0.25">
      <c r="A317" s="7" t="s">
        <v>613</v>
      </c>
      <c r="B317" s="7" t="s">
        <v>0</v>
      </c>
      <c r="C317" s="7" t="s">
        <v>616</v>
      </c>
      <c r="D317" s="7" t="s">
        <v>4</v>
      </c>
      <c r="E317" s="7" t="s">
        <v>18</v>
      </c>
      <c r="F317" s="5">
        <v>-6.66</v>
      </c>
      <c r="G317" s="7" t="s">
        <v>617</v>
      </c>
      <c r="H317" s="7" t="s">
        <v>616</v>
      </c>
      <c r="I317" s="7" t="s">
        <v>2640</v>
      </c>
      <c r="K317">
        <f>IF($A317="","",IF(ISNUMBER($A317),MONTH($A317),MONTH(DATEVALUE($A317))))</f>
        <v>9</v>
      </c>
    </row>
    <row r="318" spans="1:11" ht="60" customHeight="1" x14ac:dyDescent="0.25">
      <c r="A318" s="8" t="s">
        <v>613</v>
      </c>
      <c r="B318" s="8" t="s">
        <v>0</v>
      </c>
      <c r="C318" s="8" t="s">
        <v>616</v>
      </c>
      <c r="D318" s="8" t="s">
        <v>4</v>
      </c>
      <c r="E318" s="8" t="s">
        <v>18</v>
      </c>
      <c r="F318" s="6">
        <v>-5.84</v>
      </c>
      <c r="G318" s="8" t="s">
        <v>617</v>
      </c>
      <c r="H318" s="8" t="s">
        <v>616</v>
      </c>
      <c r="I318" s="8" t="s">
        <v>2640</v>
      </c>
      <c r="K318">
        <f>IF($A318="","",IF(ISNUMBER($A318),MONTH($A318),MONTH(DATEVALUE($A318))))</f>
        <v>9</v>
      </c>
    </row>
    <row r="319" spans="1:11" ht="60" customHeight="1" x14ac:dyDescent="0.25">
      <c r="A319" s="7" t="s">
        <v>613</v>
      </c>
      <c r="B319" s="7" t="s">
        <v>0</v>
      </c>
      <c r="C319" s="7" t="s">
        <v>616</v>
      </c>
      <c r="D319" s="7" t="s">
        <v>4</v>
      </c>
      <c r="E319" s="7" t="s">
        <v>18</v>
      </c>
      <c r="F319" s="5">
        <v>-5.05</v>
      </c>
      <c r="G319" s="7" t="s">
        <v>617</v>
      </c>
      <c r="H319" s="7" t="s">
        <v>616</v>
      </c>
      <c r="I319" s="7" t="s">
        <v>2640</v>
      </c>
      <c r="K319">
        <f>IF($A319="","",IF(ISNUMBER($A319),MONTH($A319),MONTH(DATEVALUE($A319))))</f>
        <v>9</v>
      </c>
    </row>
    <row r="320" spans="1:11" ht="60" customHeight="1" x14ac:dyDescent="0.25">
      <c r="A320" s="8" t="s">
        <v>613</v>
      </c>
      <c r="B320" s="8" t="s">
        <v>0</v>
      </c>
      <c r="C320" s="8" t="s">
        <v>616</v>
      </c>
      <c r="D320" s="8" t="s">
        <v>4</v>
      </c>
      <c r="E320" s="8" t="s">
        <v>18</v>
      </c>
      <c r="F320" s="6">
        <v>-4.83</v>
      </c>
      <c r="G320" s="8" t="s">
        <v>617</v>
      </c>
      <c r="H320" s="8" t="s">
        <v>616</v>
      </c>
      <c r="I320" s="8" t="s">
        <v>2640</v>
      </c>
      <c r="K320">
        <f>IF($A320="","",IF(ISNUMBER($A320),MONTH($A320),MONTH(DATEVALUE($A320))))</f>
        <v>9</v>
      </c>
    </row>
    <row r="321" spans="1:11" ht="60" customHeight="1" x14ac:dyDescent="0.25">
      <c r="A321" s="7" t="s">
        <v>613</v>
      </c>
      <c r="B321" s="7" t="s">
        <v>0</v>
      </c>
      <c r="C321" s="7" t="s">
        <v>616</v>
      </c>
      <c r="D321" s="7" t="s">
        <v>4</v>
      </c>
      <c r="E321" s="7" t="s">
        <v>18</v>
      </c>
      <c r="F321" s="5">
        <v>-4.5599999999999996</v>
      </c>
      <c r="G321" s="7" t="s">
        <v>617</v>
      </c>
      <c r="H321" s="7" t="s">
        <v>616</v>
      </c>
      <c r="I321" s="7" t="s">
        <v>2640</v>
      </c>
      <c r="K321">
        <f>IF($A321="","",IF(ISNUMBER($A321),MONTH($A321),MONTH(DATEVALUE($A321))))</f>
        <v>9</v>
      </c>
    </row>
    <row r="322" spans="1:11" ht="60" customHeight="1" x14ac:dyDescent="0.25">
      <c r="A322" s="8" t="s">
        <v>613</v>
      </c>
      <c r="B322" s="8" t="s">
        <v>0</v>
      </c>
      <c r="C322" s="8" t="s">
        <v>616</v>
      </c>
      <c r="D322" s="8" t="s">
        <v>4</v>
      </c>
      <c r="E322" s="8" t="s">
        <v>18</v>
      </c>
      <c r="F322" s="6">
        <v>-4.5199999999999996</v>
      </c>
      <c r="G322" s="8" t="s">
        <v>617</v>
      </c>
      <c r="H322" s="8" t="s">
        <v>616</v>
      </c>
      <c r="I322" s="8" t="s">
        <v>2640</v>
      </c>
      <c r="K322">
        <f>IF($A322="","",IF(ISNUMBER($A322),MONTH($A322),MONTH(DATEVALUE($A322))))</f>
        <v>9</v>
      </c>
    </row>
    <row r="323" spans="1:11" ht="60" customHeight="1" x14ac:dyDescent="0.25">
      <c r="A323" s="7" t="s">
        <v>613</v>
      </c>
      <c r="B323" s="7" t="s">
        <v>0</v>
      </c>
      <c r="C323" s="7" t="s">
        <v>616</v>
      </c>
      <c r="D323" s="7" t="s">
        <v>4</v>
      </c>
      <c r="E323" s="7" t="s">
        <v>18</v>
      </c>
      <c r="F323" s="5">
        <v>-4.5</v>
      </c>
      <c r="G323" s="7" t="s">
        <v>617</v>
      </c>
      <c r="H323" s="7" t="s">
        <v>616</v>
      </c>
      <c r="I323" s="7" t="s">
        <v>2640</v>
      </c>
      <c r="K323">
        <f>IF($A323="","",IF(ISNUMBER($A323),MONTH($A323),MONTH(DATEVALUE($A323))))</f>
        <v>9</v>
      </c>
    </row>
    <row r="324" spans="1:11" ht="60" customHeight="1" x14ac:dyDescent="0.25">
      <c r="A324" s="8" t="s">
        <v>613</v>
      </c>
      <c r="B324" s="8" t="s">
        <v>0</v>
      </c>
      <c r="C324" s="8" t="s">
        <v>616</v>
      </c>
      <c r="D324" s="8" t="s">
        <v>4</v>
      </c>
      <c r="E324" s="8" t="s">
        <v>18</v>
      </c>
      <c r="F324" s="6">
        <v>-4.38</v>
      </c>
      <c r="G324" s="8" t="s">
        <v>617</v>
      </c>
      <c r="H324" s="8" t="s">
        <v>616</v>
      </c>
      <c r="I324" s="8" t="s">
        <v>2640</v>
      </c>
      <c r="K324">
        <f>IF($A324="","",IF(ISNUMBER($A324),MONTH($A324),MONTH(DATEVALUE($A324))))</f>
        <v>9</v>
      </c>
    </row>
    <row r="325" spans="1:11" ht="60" customHeight="1" x14ac:dyDescent="0.25">
      <c r="A325" s="7" t="s">
        <v>613</v>
      </c>
      <c r="B325" s="7" t="s">
        <v>0</v>
      </c>
      <c r="C325" s="7" t="s">
        <v>616</v>
      </c>
      <c r="D325" s="7" t="s">
        <v>4</v>
      </c>
      <c r="E325" s="7" t="s">
        <v>18</v>
      </c>
      <c r="F325" s="5">
        <v>-4.3</v>
      </c>
      <c r="G325" s="7" t="s">
        <v>617</v>
      </c>
      <c r="H325" s="7" t="s">
        <v>616</v>
      </c>
      <c r="I325" s="7" t="s">
        <v>2640</v>
      </c>
      <c r="K325">
        <f>IF($A325="","",IF(ISNUMBER($A325),MONTH($A325),MONTH(DATEVALUE($A325))))</f>
        <v>9</v>
      </c>
    </row>
    <row r="326" spans="1:11" ht="60" customHeight="1" x14ac:dyDescent="0.25">
      <c r="A326" s="8" t="s">
        <v>613</v>
      </c>
      <c r="B326" s="8" t="s">
        <v>0</v>
      </c>
      <c r="C326" s="8" t="s">
        <v>616</v>
      </c>
      <c r="D326" s="8" t="s">
        <v>4</v>
      </c>
      <c r="E326" s="8" t="s">
        <v>18</v>
      </c>
      <c r="F326" s="6">
        <v>-4.28</v>
      </c>
      <c r="G326" s="8" t="s">
        <v>617</v>
      </c>
      <c r="H326" s="8" t="s">
        <v>616</v>
      </c>
      <c r="I326" s="8" t="s">
        <v>2640</v>
      </c>
      <c r="K326">
        <f>IF($A326="","",IF(ISNUMBER($A326),MONTH($A326),MONTH(DATEVALUE($A326))))</f>
        <v>9</v>
      </c>
    </row>
    <row r="327" spans="1:11" ht="60" customHeight="1" x14ac:dyDescent="0.25">
      <c r="A327" s="7" t="s">
        <v>613</v>
      </c>
      <c r="B327" s="7" t="s">
        <v>0</v>
      </c>
      <c r="C327" s="7" t="s">
        <v>616</v>
      </c>
      <c r="D327" s="7" t="s">
        <v>4</v>
      </c>
      <c r="E327" s="7" t="s">
        <v>18</v>
      </c>
      <c r="F327" s="5">
        <v>-3.58</v>
      </c>
      <c r="G327" s="7" t="s">
        <v>617</v>
      </c>
      <c r="H327" s="7" t="s">
        <v>616</v>
      </c>
      <c r="I327" s="7" t="s">
        <v>2640</v>
      </c>
      <c r="K327">
        <f>IF($A327="","",IF(ISNUMBER($A327),MONTH($A327),MONTH(DATEVALUE($A327))))</f>
        <v>9</v>
      </c>
    </row>
    <row r="328" spans="1:11" ht="60" customHeight="1" x14ac:dyDescent="0.25">
      <c r="A328" s="8" t="s">
        <v>613</v>
      </c>
      <c r="B328" s="8" t="s">
        <v>0</v>
      </c>
      <c r="C328" s="8" t="s">
        <v>616</v>
      </c>
      <c r="D328" s="8" t="s">
        <v>4</v>
      </c>
      <c r="E328" s="8" t="s">
        <v>18</v>
      </c>
      <c r="F328" s="6">
        <v>-2.98</v>
      </c>
      <c r="G328" s="8" t="s">
        <v>617</v>
      </c>
      <c r="H328" s="8" t="s">
        <v>616</v>
      </c>
      <c r="I328" s="8" t="s">
        <v>2640</v>
      </c>
      <c r="K328">
        <f>IF($A328="","",IF(ISNUMBER($A328),MONTH($A328),MONTH(DATEVALUE($A328))))</f>
        <v>9</v>
      </c>
    </row>
    <row r="329" spans="1:11" ht="60" customHeight="1" x14ac:dyDescent="0.25">
      <c r="A329" s="7" t="s">
        <v>613</v>
      </c>
      <c r="B329" s="7" t="s">
        <v>0</v>
      </c>
      <c r="C329" s="7" t="s">
        <v>616</v>
      </c>
      <c r="D329" s="7" t="s">
        <v>4</v>
      </c>
      <c r="E329" s="7" t="s">
        <v>18</v>
      </c>
      <c r="F329" s="5">
        <v>-2.88</v>
      </c>
      <c r="G329" s="7" t="s">
        <v>617</v>
      </c>
      <c r="H329" s="7" t="s">
        <v>616</v>
      </c>
      <c r="I329" s="7" t="s">
        <v>2640</v>
      </c>
      <c r="K329">
        <f>IF($A329="","",IF(ISNUMBER($A329),MONTH($A329),MONTH(DATEVALUE($A329))))</f>
        <v>9</v>
      </c>
    </row>
    <row r="330" spans="1:11" ht="60" customHeight="1" x14ac:dyDescent="0.25">
      <c r="A330" s="8" t="s">
        <v>613</v>
      </c>
      <c r="B330" s="8" t="s">
        <v>0</v>
      </c>
      <c r="C330" s="8" t="s">
        <v>616</v>
      </c>
      <c r="D330" s="8" t="s">
        <v>4</v>
      </c>
      <c r="E330" s="8" t="s">
        <v>18</v>
      </c>
      <c r="F330" s="6">
        <v>-2.87</v>
      </c>
      <c r="G330" s="8" t="s">
        <v>617</v>
      </c>
      <c r="H330" s="8" t="s">
        <v>616</v>
      </c>
      <c r="I330" s="8" t="s">
        <v>2640</v>
      </c>
      <c r="K330">
        <f>IF($A330="","",IF(ISNUMBER($A330),MONTH($A330),MONTH(DATEVALUE($A330))))</f>
        <v>9</v>
      </c>
    </row>
    <row r="331" spans="1:11" ht="60" customHeight="1" x14ac:dyDescent="0.25">
      <c r="A331" s="7" t="s">
        <v>613</v>
      </c>
      <c r="B331" s="7" t="s">
        <v>0</v>
      </c>
      <c r="C331" s="7" t="s">
        <v>616</v>
      </c>
      <c r="D331" s="7" t="s">
        <v>4</v>
      </c>
      <c r="E331" s="7" t="s">
        <v>18</v>
      </c>
      <c r="F331" s="5">
        <v>-2.87</v>
      </c>
      <c r="G331" s="7" t="s">
        <v>617</v>
      </c>
      <c r="H331" s="7" t="s">
        <v>616</v>
      </c>
      <c r="I331" s="7" t="s">
        <v>2640</v>
      </c>
      <c r="K331">
        <f>IF($A331="","",IF(ISNUMBER($A331),MONTH($A331),MONTH(DATEVALUE($A331))))</f>
        <v>9</v>
      </c>
    </row>
    <row r="332" spans="1:11" ht="60" customHeight="1" x14ac:dyDescent="0.25">
      <c r="A332" s="8" t="s">
        <v>613</v>
      </c>
      <c r="B332" s="8" t="s">
        <v>0</v>
      </c>
      <c r="C332" s="8" t="s">
        <v>616</v>
      </c>
      <c r="D332" s="8" t="s">
        <v>4</v>
      </c>
      <c r="E332" s="8" t="s">
        <v>18</v>
      </c>
      <c r="F332" s="6">
        <v>-2.71</v>
      </c>
      <c r="G332" s="8" t="s">
        <v>617</v>
      </c>
      <c r="H332" s="8" t="s">
        <v>616</v>
      </c>
      <c r="I332" s="8" t="s">
        <v>2640</v>
      </c>
      <c r="K332">
        <f>IF($A332="","",IF(ISNUMBER($A332),MONTH($A332),MONTH(DATEVALUE($A332))))</f>
        <v>9</v>
      </c>
    </row>
    <row r="333" spans="1:11" ht="60" customHeight="1" x14ac:dyDescent="0.25">
      <c r="A333" s="7" t="s">
        <v>613</v>
      </c>
      <c r="B333" s="7" t="s">
        <v>0</v>
      </c>
      <c r="C333" s="7" t="s">
        <v>616</v>
      </c>
      <c r="D333" s="7" t="s">
        <v>4</v>
      </c>
      <c r="E333" s="7" t="s">
        <v>18</v>
      </c>
      <c r="F333" s="5">
        <v>-2.67</v>
      </c>
      <c r="G333" s="7" t="s">
        <v>617</v>
      </c>
      <c r="H333" s="7" t="s">
        <v>616</v>
      </c>
      <c r="I333" s="7" t="s">
        <v>2640</v>
      </c>
      <c r="K333">
        <f>IF($A333="","",IF(ISNUMBER($A333),MONTH($A333),MONTH(DATEVALUE($A333))))</f>
        <v>9</v>
      </c>
    </row>
    <row r="334" spans="1:11" ht="60" customHeight="1" x14ac:dyDescent="0.25">
      <c r="A334" s="8" t="s">
        <v>613</v>
      </c>
      <c r="B334" s="8" t="s">
        <v>0</v>
      </c>
      <c r="C334" s="8" t="s">
        <v>616</v>
      </c>
      <c r="D334" s="8" t="s">
        <v>4</v>
      </c>
      <c r="E334" s="8" t="s">
        <v>18</v>
      </c>
      <c r="F334" s="6">
        <v>-2.35</v>
      </c>
      <c r="G334" s="8" t="s">
        <v>617</v>
      </c>
      <c r="H334" s="8" t="s">
        <v>616</v>
      </c>
      <c r="I334" s="8" t="s">
        <v>2640</v>
      </c>
      <c r="K334">
        <f>IF($A334="","",IF(ISNUMBER($A334),MONTH($A334),MONTH(DATEVALUE($A334))))</f>
        <v>9</v>
      </c>
    </row>
    <row r="335" spans="1:11" ht="60" customHeight="1" x14ac:dyDescent="0.25">
      <c r="A335" s="7" t="s">
        <v>613</v>
      </c>
      <c r="B335" s="7" t="s">
        <v>0</v>
      </c>
      <c r="C335" s="7" t="s">
        <v>616</v>
      </c>
      <c r="D335" s="7" t="s">
        <v>4</v>
      </c>
      <c r="E335" s="7" t="s">
        <v>18</v>
      </c>
      <c r="F335" s="5">
        <v>-2.2999999999999998</v>
      </c>
      <c r="G335" s="7" t="s">
        <v>617</v>
      </c>
      <c r="H335" s="7" t="s">
        <v>616</v>
      </c>
      <c r="I335" s="7" t="s">
        <v>2640</v>
      </c>
      <c r="K335">
        <f>IF($A335="","",IF(ISNUMBER($A335),MONTH($A335),MONTH(DATEVALUE($A335))))</f>
        <v>9</v>
      </c>
    </row>
    <row r="336" spans="1:11" ht="60" customHeight="1" x14ac:dyDescent="0.25">
      <c r="A336" s="8" t="s">
        <v>613</v>
      </c>
      <c r="B336" s="8" t="s">
        <v>0</v>
      </c>
      <c r="C336" s="8" t="s">
        <v>616</v>
      </c>
      <c r="D336" s="8" t="s">
        <v>4</v>
      </c>
      <c r="E336" s="8" t="s">
        <v>18</v>
      </c>
      <c r="F336" s="6">
        <v>-2.0299999999999998</v>
      </c>
      <c r="G336" s="8" t="s">
        <v>617</v>
      </c>
      <c r="H336" s="8" t="s">
        <v>616</v>
      </c>
      <c r="I336" s="8" t="s">
        <v>2640</v>
      </c>
      <c r="K336">
        <f>IF($A336="","",IF(ISNUMBER($A336),MONTH($A336),MONTH(DATEVALUE($A336))))</f>
        <v>9</v>
      </c>
    </row>
    <row r="337" spans="1:11" ht="60" customHeight="1" x14ac:dyDescent="0.25">
      <c r="A337" s="7" t="s">
        <v>613</v>
      </c>
      <c r="B337" s="7" t="s">
        <v>0</v>
      </c>
      <c r="C337" s="7" t="s">
        <v>616</v>
      </c>
      <c r="D337" s="7" t="s">
        <v>4</v>
      </c>
      <c r="E337" s="7" t="s">
        <v>18</v>
      </c>
      <c r="F337" s="5">
        <v>-1.87</v>
      </c>
      <c r="G337" s="7" t="s">
        <v>617</v>
      </c>
      <c r="H337" s="7" t="s">
        <v>616</v>
      </c>
      <c r="I337" s="7" t="s">
        <v>2640</v>
      </c>
      <c r="K337">
        <f>IF($A337="","",IF(ISNUMBER($A337),MONTH($A337),MONTH(DATEVALUE($A337))))</f>
        <v>9</v>
      </c>
    </row>
    <row r="338" spans="1:11" ht="60" customHeight="1" x14ac:dyDescent="0.25">
      <c r="A338" s="8" t="s">
        <v>613</v>
      </c>
      <c r="B338" s="8" t="s">
        <v>0</v>
      </c>
      <c r="C338" s="8" t="s">
        <v>616</v>
      </c>
      <c r="D338" s="8" t="s">
        <v>4</v>
      </c>
      <c r="E338" s="8" t="s">
        <v>18</v>
      </c>
      <c r="F338" s="6">
        <v>-1.72</v>
      </c>
      <c r="G338" s="8" t="s">
        <v>617</v>
      </c>
      <c r="H338" s="8" t="s">
        <v>616</v>
      </c>
      <c r="I338" s="8" t="s">
        <v>2640</v>
      </c>
      <c r="K338">
        <f>IF($A338="","",IF(ISNUMBER($A338),MONTH($A338),MONTH(DATEVALUE($A338))))</f>
        <v>9</v>
      </c>
    </row>
    <row r="339" spans="1:11" ht="60" customHeight="1" x14ac:dyDescent="0.25">
      <c r="A339" s="7" t="s">
        <v>613</v>
      </c>
      <c r="B339" s="7" t="s">
        <v>0</v>
      </c>
      <c r="C339" s="7" t="s">
        <v>616</v>
      </c>
      <c r="D339" s="7" t="s">
        <v>4</v>
      </c>
      <c r="E339" s="7" t="s">
        <v>18</v>
      </c>
      <c r="F339" s="5">
        <v>-1.67</v>
      </c>
      <c r="G339" s="7" t="s">
        <v>617</v>
      </c>
      <c r="H339" s="7" t="s">
        <v>616</v>
      </c>
      <c r="I339" s="7" t="s">
        <v>2640</v>
      </c>
      <c r="K339">
        <f>IF($A339="","",IF(ISNUMBER($A339),MONTH($A339),MONTH(DATEVALUE($A339))))</f>
        <v>9</v>
      </c>
    </row>
    <row r="340" spans="1:11" ht="60" customHeight="1" x14ac:dyDescent="0.25">
      <c r="A340" s="8" t="s">
        <v>613</v>
      </c>
      <c r="B340" s="8" t="s">
        <v>0</v>
      </c>
      <c r="C340" s="8" t="s">
        <v>616</v>
      </c>
      <c r="D340" s="8" t="s">
        <v>4</v>
      </c>
      <c r="E340" s="8" t="s">
        <v>18</v>
      </c>
      <c r="F340" s="6">
        <v>-1.65</v>
      </c>
      <c r="G340" s="8" t="s">
        <v>617</v>
      </c>
      <c r="H340" s="8" t="s">
        <v>616</v>
      </c>
      <c r="I340" s="8" t="s">
        <v>2640</v>
      </c>
      <c r="K340">
        <f>IF($A340="","",IF(ISNUMBER($A340),MONTH($A340),MONTH(DATEVALUE($A340))))</f>
        <v>9</v>
      </c>
    </row>
    <row r="341" spans="1:11" ht="60" customHeight="1" x14ac:dyDescent="0.25">
      <c r="A341" s="7" t="s">
        <v>613</v>
      </c>
      <c r="B341" s="7" t="s">
        <v>0</v>
      </c>
      <c r="C341" s="7" t="s">
        <v>616</v>
      </c>
      <c r="D341" s="7" t="s">
        <v>4</v>
      </c>
      <c r="E341" s="7" t="s">
        <v>18</v>
      </c>
      <c r="F341" s="5">
        <v>-1.62</v>
      </c>
      <c r="G341" s="7" t="s">
        <v>617</v>
      </c>
      <c r="H341" s="7" t="s">
        <v>616</v>
      </c>
      <c r="I341" s="7" t="s">
        <v>2640</v>
      </c>
      <c r="K341">
        <f>IF($A341="","",IF(ISNUMBER($A341),MONTH($A341),MONTH(DATEVALUE($A341))))</f>
        <v>9</v>
      </c>
    </row>
    <row r="342" spans="1:11" ht="60" customHeight="1" x14ac:dyDescent="0.25">
      <c r="A342" s="8" t="s">
        <v>613</v>
      </c>
      <c r="B342" s="8" t="s">
        <v>0</v>
      </c>
      <c r="C342" s="8" t="s">
        <v>616</v>
      </c>
      <c r="D342" s="8" t="s">
        <v>4</v>
      </c>
      <c r="E342" s="8" t="s">
        <v>18</v>
      </c>
      <c r="F342" s="6">
        <v>-1.59</v>
      </c>
      <c r="G342" s="8" t="s">
        <v>617</v>
      </c>
      <c r="H342" s="8" t="s">
        <v>616</v>
      </c>
      <c r="I342" s="8" t="s">
        <v>2640</v>
      </c>
      <c r="K342">
        <f>IF($A342="","",IF(ISNUMBER($A342),MONTH($A342),MONTH(DATEVALUE($A342))))</f>
        <v>9</v>
      </c>
    </row>
    <row r="343" spans="1:11" ht="60" customHeight="1" x14ac:dyDescent="0.25">
      <c r="A343" s="7" t="s">
        <v>613</v>
      </c>
      <c r="B343" s="7" t="s">
        <v>0</v>
      </c>
      <c r="C343" s="7" t="s">
        <v>616</v>
      </c>
      <c r="D343" s="7" t="s">
        <v>4</v>
      </c>
      <c r="E343" s="7" t="s">
        <v>18</v>
      </c>
      <c r="F343" s="5">
        <v>-1.57</v>
      </c>
      <c r="G343" s="7" t="s">
        <v>617</v>
      </c>
      <c r="H343" s="7" t="s">
        <v>616</v>
      </c>
      <c r="I343" s="7" t="s">
        <v>2640</v>
      </c>
      <c r="K343">
        <f>IF($A343="","",IF(ISNUMBER($A343),MONTH($A343),MONTH(DATEVALUE($A343))))</f>
        <v>9</v>
      </c>
    </row>
    <row r="344" spans="1:11" ht="60" customHeight="1" x14ac:dyDescent="0.25">
      <c r="A344" s="8" t="s">
        <v>613</v>
      </c>
      <c r="B344" s="8" t="s">
        <v>0</v>
      </c>
      <c r="C344" s="8" t="s">
        <v>616</v>
      </c>
      <c r="D344" s="8" t="s">
        <v>4</v>
      </c>
      <c r="E344" s="8" t="s">
        <v>18</v>
      </c>
      <c r="F344" s="6">
        <v>-1.56</v>
      </c>
      <c r="G344" s="8" t="s">
        <v>617</v>
      </c>
      <c r="H344" s="8" t="s">
        <v>616</v>
      </c>
      <c r="I344" s="8" t="s">
        <v>2640</v>
      </c>
      <c r="K344">
        <f>IF($A344="","",IF(ISNUMBER($A344),MONTH($A344),MONTH(DATEVALUE($A344))))</f>
        <v>9</v>
      </c>
    </row>
    <row r="345" spans="1:11" ht="60" customHeight="1" x14ac:dyDescent="0.25">
      <c r="A345" s="7" t="s">
        <v>613</v>
      </c>
      <c r="B345" s="7" t="s">
        <v>0</v>
      </c>
      <c r="C345" s="7" t="s">
        <v>616</v>
      </c>
      <c r="D345" s="7" t="s">
        <v>4</v>
      </c>
      <c r="E345" s="7" t="s">
        <v>18</v>
      </c>
      <c r="F345" s="5">
        <v>-1.48</v>
      </c>
      <c r="G345" s="7" t="s">
        <v>617</v>
      </c>
      <c r="H345" s="7" t="s">
        <v>616</v>
      </c>
      <c r="I345" s="7" t="s">
        <v>2640</v>
      </c>
      <c r="K345">
        <f>IF($A345="","",IF(ISNUMBER($A345),MONTH($A345),MONTH(DATEVALUE($A345))))</f>
        <v>9</v>
      </c>
    </row>
    <row r="346" spans="1:11" ht="60" customHeight="1" x14ac:dyDescent="0.25">
      <c r="A346" s="8" t="s">
        <v>613</v>
      </c>
      <c r="B346" s="8" t="s">
        <v>0</v>
      </c>
      <c r="C346" s="8" t="s">
        <v>616</v>
      </c>
      <c r="D346" s="8" t="s">
        <v>4</v>
      </c>
      <c r="E346" s="8" t="s">
        <v>18</v>
      </c>
      <c r="F346" s="6">
        <v>-1.44</v>
      </c>
      <c r="G346" s="8" t="s">
        <v>617</v>
      </c>
      <c r="H346" s="8" t="s">
        <v>616</v>
      </c>
      <c r="I346" s="8" t="s">
        <v>2640</v>
      </c>
      <c r="K346">
        <f>IF($A346="","",IF(ISNUMBER($A346),MONTH($A346),MONTH(DATEVALUE($A346))))</f>
        <v>9</v>
      </c>
    </row>
    <row r="347" spans="1:11" ht="60" customHeight="1" x14ac:dyDescent="0.25">
      <c r="A347" s="7" t="s">
        <v>613</v>
      </c>
      <c r="B347" s="7" t="s">
        <v>0</v>
      </c>
      <c r="C347" s="7" t="s">
        <v>616</v>
      </c>
      <c r="D347" s="7" t="s">
        <v>4</v>
      </c>
      <c r="E347" s="7" t="s">
        <v>18</v>
      </c>
      <c r="F347" s="5">
        <v>-1.42</v>
      </c>
      <c r="G347" s="7" t="s">
        <v>617</v>
      </c>
      <c r="H347" s="7" t="s">
        <v>616</v>
      </c>
      <c r="I347" s="7" t="s">
        <v>2640</v>
      </c>
      <c r="K347">
        <f>IF($A347="","",IF(ISNUMBER($A347),MONTH($A347),MONTH(DATEVALUE($A347))))</f>
        <v>9</v>
      </c>
    </row>
    <row r="348" spans="1:11" ht="60" customHeight="1" x14ac:dyDescent="0.25">
      <c r="A348" s="8" t="s">
        <v>613</v>
      </c>
      <c r="B348" s="8" t="s">
        <v>0</v>
      </c>
      <c r="C348" s="8" t="s">
        <v>616</v>
      </c>
      <c r="D348" s="8" t="s">
        <v>4</v>
      </c>
      <c r="E348" s="8" t="s">
        <v>18</v>
      </c>
      <c r="F348" s="6">
        <v>-1.42</v>
      </c>
      <c r="G348" s="8" t="s">
        <v>617</v>
      </c>
      <c r="H348" s="8" t="s">
        <v>616</v>
      </c>
      <c r="I348" s="8" t="s">
        <v>2640</v>
      </c>
      <c r="K348">
        <f>IF($A348="","",IF(ISNUMBER($A348),MONTH($A348),MONTH(DATEVALUE($A348))))</f>
        <v>9</v>
      </c>
    </row>
    <row r="349" spans="1:11" ht="60" customHeight="1" x14ac:dyDescent="0.25">
      <c r="A349" s="7" t="s">
        <v>613</v>
      </c>
      <c r="B349" s="7" t="s">
        <v>0</v>
      </c>
      <c r="C349" s="7" t="s">
        <v>616</v>
      </c>
      <c r="D349" s="7" t="s">
        <v>4</v>
      </c>
      <c r="E349" s="7" t="s">
        <v>18</v>
      </c>
      <c r="F349" s="5">
        <v>-1.38</v>
      </c>
      <c r="G349" s="7" t="s">
        <v>617</v>
      </c>
      <c r="H349" s="7" t="s">
        <v>616</v>
      </c>
      <c r="I349" s="7" t="s">
        <v>2640</v>
      </c>
      <c r="K349">
        <f>IF($A349="","",IF(ISNUMBER($A349),MONTH($A349),MONTH(DATEVALUE($A349))))</f>
        <v>9</v>
      </c>
    </row>
    <row r="350" spans="1:11" ht="60" customHeight="1" x14ac:dyDescent="0.25">
      <c r="A350" s="8" t="s">
        <v>613</v>
      </c>
      <c r="B350" s="8" t="s">
        <v>0</v>
      </c>
      <c r="C350" s="8" t="s">
        <v>616</v>
      </c>
      <c r="D350" s="8" t="s">
        <v>4</v>
      </c>
      <c r="E350" s="8" t="s">
        <v>18</v>
      </c>
      <c r="F350" s="6">
        <v>-1.35</v>
      </c>
      <c r="G350" s="8" t="s">
        <v>617</v>
      </c>
      <c r="H350" s="8" t="s">
        <v>616</v>
      </c>
      <c r="I350" s="8" t="s">
        <v>2640</v>
      </c>
      <c r="K350">
        <f>IF($A350="","",IF(ISNUMBER($A350),MONTH($A350),MONTH(DATEVALUE($A350))))</f>
        <v>9</v>
      </c>
    </row>
    <row r="351" spans="1:11" ht="60" customHeight="1" x14ac:dyDescent="0.25">
      <c r="A351" s="7" t="s">
        <v>613</v>
      </c>
      <c r="B351" s="7" t="s">
        <v>0</v>
      </c>
      <c r="C351" s="7" t="s">
        <v>616</v>
      </c>
      <c r="D351" s="7" t="s">
        <v>4</v>
      </c>
      <c r="E351" s="7" t="s">
        <v>18</v>
      </c>
      <c r="F351" s="5">
        <v>-1.33</v>
      </c>
      <c r="G351" s="7" t="s">
        <v>617</v>
      </c>
      <c r="H351" s="7" t="s">
        <v>616</v>
      </c>
      <c r="I351" s="7" t="s">
        <v>2640</v>
      </c>
      <c r="K351">
        <f>IF($A351="","",IF(ISNUMBER($A351),MONTH($A351),MONTH(DATEVALUE($A351))))</f>
        <v>9</v>
      </c>
    </row>
    <row r="352" spans="1:11" ht="60" customHeight="1" x14ac:dyDescent="0.25">
      <c r="A352" s="8" t="s">
        <v>613</v>
      </c>
      <c r="B352" s="8" t="s">
        <v>0</v>
      </c>
      <c r="C352" s="8" t="s">
        <v>616</v>
      </c>
      <c r="D352" s="8" t="s">
        <v>4</v>
      </c>
      <c r="E352" s="8" t="s">
        <v>18</v>
      </c>
      <c r="F352" s="6">
        <v>-1.3</v>
      </c>
      <c r="G352" s="8" t="s">
        <v>617</v>
      </c>
      <c r="H352" s="8" t="s">
        <v>616</v>
      </c>
      <c r="I352" s="8" t="s">
        <v>2640</v>
      </c>
      <c r="K352">
        <f>IF($A352="","",IF(ISNUMBER($A352),MONTH($A352),MONTH(DATEVALUE($A352))))</f>
        <v>9</v>
      </c>
    </row>
    <row r="353" spans="1:11" ht="60" customHeight="1" x14ac:dyDescent="0.25">
      <c r="A353" s="7" t="s">
        <v>613</v>
      </c>
      <c r="B353" s="7" t="s">
        <v>0</v>
      </c>
      <c r="C353" s="7" t="s">
        <v>616</v>
      </c>
      <c r="D353" s="7" t="s">
        <v>4</v>
      </c>
      <c r="E353" s="7" t="s">
        <v>18</v>
      </c>
      <c r="F353" s="5">
        <v>-1.05</v>
      </c>
      <c r="G353" s="7" t="s">
        <v>617</v>
      </c>
      <c r="H353" s="7" t="s">
        <v>616</v>
      </c>
      <c r="I353" s="7" t="s">
        <v>2640</v>
      </c>
      <c r="K353">
        <f>IF($A353="","",IF(ISNUMBER($A353),MONTH($A353),MONTH(DATEVALUE($A353))))</f>
        <v>9</v>
      </c>
    </row>
    <row r="354" spans="1:11" ht="60" customHeight="1" x14ac:dyDescent="0.25">
      <c r="A354" s="8" t="s">
        <v>613</v>
      </c>
      <c r="B354" s="8" t="s">
        <v>0</v>
      </c>
      <c r="C354" s="8" t="s">
        <v>616</v>
      </c>
      <c r="D354" s="8" t="s">
        <v>4</v>
      </c>
      <c r="E354" s="8" t="s">
        <v>18</v>
      </c>
      <c r="F354" s="6">
        <v>-1.01</v>
      </c>
      <c r="G354" s="8" t="s">
        <v>617</v>
      </c>
      <c r="H354" s="8" t="s">
        <v>616</v>
      </c>
      <c r="I354" s="8" t="s">
        <v>2640</v>
      </c>
      <c r="K354">
        <f>IF($A354="","",IF(ISNUMBER($A354),MONTH($A354),MONTH(DATEVALUE($A354))))</f>
        <v>9</v>
      </c>
    </row>
    <row r="355" spans="1:11" ht="60" customHeight="1" x14ac:dyDescent="0.25">
      <c r="A355" s="7" t="s">
        <v>613</v>
      </c>
      <c r="B355" s="7" t="s">
        <v>0</v>
      </c>
      <c r="C355" s="7" t="s">
        <v>616</v>
      </c>
      <c r="D355" s="7" t="s">
        <v>4</v>
      </c>
      <c r="E355" s="7" t="s">
        <v>18</v>
      </c>
      <c r="F355" s="5">
        <v>-0.88</v>
      </c>
      <c r="G355" s="7" t="s">
        <v>617</v>
      </c>
      <c r="H355" s="7" t="s">
        <v>616</v>
      </c>
      <c r="I355" s="7" t="s">
        <v>2640</v>
      </c>
      <c r="K355">
        <f>IF($A355="","",IF(ISNUMBER($A355),MONTH($A355),MONTH(DATEVALUE($A355))))</f>
        <v>9</v>
      </c>
    </row>
    <row r="356" spans="1:11" ht="60" customHeight="1" x14ac:dyDescent="0.25">
      <c r="A356" s="8" t="s">
        <v>613</v>
      </c>
      <c r="B356" s="8" t="s">
        <v>0</v>
      </c>
      <c r="C356" s="8" t="s">
        <v>616</v>
      </c>
      <c r="D356" s="8" t="s">
        <v>4</v>
      </c>
      <c r="E356" s="8" t="s">
        <v>18</v>
      </c>
      <c r="F356" s="6">
        <v>-0.87</v>
      </c>
      <c r="G356" s="8" t="s">
        <v>617</v>
      </c>
      <c r="H356" s="8" t="s">
        <v>616</v>
      </c>
      <c r="I356" s="8" t="s">
        <v>2640</v>
      </c>
      <c r="K356">
        <f>IF($A356="","",IF(ISNUMBER($A356),MONTH($A356),MONTH(DATEVALUE($A356))))</f>
        <v>9</v>
      </c>
    </row>
    <row r="357" spans="1:11" ht="60" customHeight="1" x14ac:dyDescent="0.25">
      <c r="A357" s="7" t="s">
        <v>613</v>
      </c>
      <c r="B357" s="7" t="s">
        <v>0</v>
      </c>
      <c r="C357" s="7" t="s">
        <v>616</v>
      </c>
      <c r="D357" s="7" t="s">
        <v>4</v>
      </c>
      <c r="E357" s="7" t="s">
        <v>18</v>
      </c>
      <c r="F357" s="5">
        <v>-0.84</v>
      </c>
      <c r="G357" s="7" t="s">
        <v>617</v>
      </c>
      <c r="H357" s="7" t="s">
        <v>616</v>
      </c>
      <c r="I357" s="7" t="s">
        <v>2640</v>
      </c>
      <c r="K357">
        <f>IF($A357="","",IF(ISNUMBER($A357),MONTH($A357),MONTH(DATEVALUE($A357))))</f>
        <v>9</v>
      </c>
    </row>
    <row r="358" spans="1:11" ht="60" customHeight="1" x14ac:dyDescent="0.25">
      <c r="A358" s="8" t="s">
        <v>613</v>
      </c>
      <c r="B358" s="8" t="s">
        <v>0</v>
      </c>
      <c r="C358" s="8" t="s">
        <v>616</v>
      </c>
      <c r="D358" s="8" t="s">
        <v>4</v>
      </c>
      <c r="E358" s="8" t="s">
        <v>18</v>
      </c>
      <c r="F358" s="6">
        <v>-0.84</v>
      </c>
      <c r="G358" s="8" t="s">
        <v>617</v>
      </c>
      <c r="H358" s="8" t="s">
        <v>616</v>
      </c>
      <c r="I358" s="8" t="s">
        <v>2640</v>
      </c>
      <c r="K358">
        <f>IF($A358="","",IF(ISNUMBER($A358),MONTH($A358),MONTH(DATEVALUE($A358))))</f>
        <v>9</v>
      </c>
    </row>
    <row r="359" spans="1:11" ht="60" customHeight="1" x14ac:dyDescent="0.25">
      <c r="A359" s="7" t="s">
        <v>613</v>
      </c>
      <c r="B359" s="7" t="s">
        <v>0</v>
      </c>
      <c r="C359" s="7" t="s">
        <v>616</v>
      </c>
      <c r="D359" s="7" t="s">
        <v>4</v>
      </c>
      <c r="E359" s="7" t="s">
        <v>18</v>
      </c>
      <c r="F359" s="5">
        <v>-0.83</v>
      </c>
      <c r="G359" s="7" t="s">
        <v>617</v>
      </c>
      <c r="H359" s="7" t="s">
        <v>616</v>
      </c>
      <c r="I359" s="7" t="s">
        <v>2640</v>
      </c>
      <c r="K359">
        <f>IF($A359="","",IF(ISNUMBER($A359),MONTH($A359),MONTH(DATEVALUE($A359))))</f>
        <v>9</v>
      </c>
    </row>
    <row r="360" spans="1:11" ht="60" customHeight="1" x14ac:dyDescent="0.25">
      <c r="A360" s="8" t="s">
        <v>613</v>
      </c>
      <c r="B360" s="8" t="s">
        <v>0</v>
      </c>
      <c r="C360" s="8" t="s">
        <v>616</v>
      </c>
      <c r="D360" s="8" t="s">
        <v>4</v>
      </c>
      <c r="E360" s="8" t="s">
        <v>18</v>
      </c>
      <c r="F360" s="6">
        <v>-0.83</v>
      </c>
      <c r="G360" s="8" t="s">
        <v>617</v>
      </c>
      <c r="H360" s="8" t="s">
        <v>616</v>
      </c>
      <c r="I360" s="8" t="s">
        <v>2640</v>
      </c>
      <c r="K360">
        <f>IF($A360="","",IF(ISNUMBER($A360),MONTH($A360),MONTH(DATEVALUE($A360))))</f>
        <v>9</v>
      </c>
    </row>
    <row r="361" spans="1:11" ht="60" customHeight="1" x14ac:dyDescent="0.25">
      <c r="A361" s="7" t="s">
        <v>613</v>
      </c>
      <c r="B361" s="7" t="s">
        <v>0</v>
      </c>
      <c r="C361" s="7" t="s">
        <v>616</v>
      </c>
      <c r="D361" s="7" t="s">
        <v>4</v>
      </c>
      <c r="E361" s="7" t="s">
        <v>18</v>
      </c>
      <c r="F361" s="5">
        <v>-0.8</v>
      </c>
      <c r="G361" s="7" t="s">
        <v>617</v>
      </c>
      <c r="H361" s="7" t="s">
        <v>616</v>
      </c>
      <c r="I361" s="7" t="s">
        <v>2640</v>
      </c>
      <c r="K361">
        <f>IF($A361="","",IF(ISNUMBER($A361),MONTH($A361),MONTH(DATEVALUE($A361))))</f>
        <v>9</v>
      </c>
    </row>
    <row r="362" spans="1:11" ht="60" customHeight="1" x14ac:dyDescent="0.25">
      <c r="A362" s="8" t="s">
        <v>613</v>
      </c>
      <c r="B362" s="8" t="s">
        <v>0</v>
      </c>
      <c r="C362" s="8" t="s">
        <v>616</v>
      </c>
      <c r="D362" s="8" t="s">
        <v>4</v>
      </c>
      <c r="E362" s="8" t="s">
        <v>18</v>
      </c>
      <c r="F362" s="6">
        <v>-0.74</v>
      </c>
      <c r="G362" s="8" t="s">
        <v>617</v>
      </c>
      <c r="H362" s="8" t="s">
        <v>616</v>
      </c>
      <c r="I362" s="8" t="s">
        <v>2640</v>
      </c>
      <c r="K362">
        <f>IF($A362="","",IF(ISNUMBER($A362),MONTH($A362),MONTH(DATEVALUE($A362))))</f>
        <v>9</v>
      </c>
    </row>
    <row r="363" spans="1:11" ht="60" customHeight="1" x14ac:dyDescent="0.25">
      <c r="A363" s="7" t="s">
        <v>613</v>
      </c>
      <c r="B363" s="7" t="s">
        <v>0</v>
      </c>
      <c r="C363" s="7" t="s">
        <v>616</v>
      </c>
      <c r="D363" s="7" t="s">
        <v>4</v>
      </c>
      <c r="E363" s="7" t="s">
        <v>18</v>
      </c>
      <c r="F363" s="5">
        <v>-0.72</v>
      </c>
      <c r="G363" s="7" t="s">
        <v>617</v>
      </c>
      <c r="H363" s="7" t="s">
        <v>616</v>
      </c>
      <c r="I363" s="7" t="s">
        <v>2640</v>
      </c>
      <c r="K363">
        <f>IF($A363="","",IF(ISNUMBER($A363),MONTH($A363),MONTH(DATEVALUE($A363))))</f>
        <v>9</v>
      </c>
    </row>
    <row r="364" spans="1:11" ht="60" customHeight="1" x14ac:dyDescent="0.25">
      <c r="A364" s="8" t="s">
        <v>613</v>
      </c>
      <c r="B364" s="8" t="s">
        <v>0</v>
      </c>
      <c r="C364" s="8" t="s">
        <v>616</v>
      </c>
      <c r="D364" s="8" t="s">
        <v>4</v>
      </c>
      <c r="E364" s="8" t="s">
        <v>18</v>
      </c>
      <c r="F364" s="6">
        <v>-0.65</v>
      </c>
      <c r="G364" s="8" t="s">
        <v>617</v>
      </c>
      <c r="H364" s="8" t="s">
        <v>616</v>
      </c>
      <c r="I364" s="8" t="s">
        <v>2640</v>
      </c>
      <c r="K364">
        <f>IF($A364="","",IF(ISNUMBER($A364),MONTH($A364),MONTH(DATEVALUE($A364))))</f>
        <v>9</v>
      </c>
    </row>
    <row r="365" spans="1:11" ht="60" customHeight="1" x14ac:dyDescent="0.25">
      <c r="A365" s="7" t="s">
        <v>613</v>
      </c>
      <c r="B365" s="7" t="s">
        <v>0</v>
      </c>
      <c r="C365" s="7" t="s">
        <v>616</v>
      </c>
      <c r="D365" s="7" t="s">
        <v>4</v>
      </c>
      <c r="E365" s="7" t="s">
        <v>18</v>
      </c>
      <c r="F365" s="5">
        <v>-0.63</v>
      </c>
      <c r="G365" s="7" t="s">
        <v>617</v>
      </c>
      <c r="H365" s="7" t="s">
        <v>616</v>
      </c>
      <c r="I365" s="7" t="s">
        <v>2640</v>
      </c>
      <c r="K365">
        <f>IF($A365="","",IF(ISNUMBER($A365),MONTH($A365),MONTH(DATEVALUE($A365))))</f>
        <v>9</v>
      </c>
    </row>
    <row r="366" spans="1:11" ht="60" customHeight="1" x14ac:dyDescent="0.25">
      <c r="A366" s="8" t="s">
        <v>613</v>
      </c>
      <c r="B366" s="8" t="s">
        <v>0</v>
      </c>
      <c r="C366" s="8" t="s">
        <v>616</v>
      </c>
      <c r="D366" s="8" t="s">
        <v>4</v>
      </c>
      <c r="E366" s="8" t="s">
        <v>18</v>
      </c>
      <c r="F366" s="6">
        <v>-0.63</v>
      </c>
      <c r="G366" s="8" t="s">
        <v>617</v>
      </c>
      <c r="H366" s="8" t="s">
        <v>616</v>
      </c>
      <c r="I366" s="8" t="s">
        <v>2640</v>
      </c>
      <c r="K366">
        <f>IF($A366="","",IF(ISNUMBER($A366),MONTH($A366),MONTH(DATEVALUE($A366))))</f>
        <v>9</v>
      </c>
    </row>
    <row r="367" spans="1:11" ht="60" customHeight="1" x14ac:dyDescent="0.25">
      <c r="A367" s="7" t="s">
        <v>613</v>
      </c>
      <c r="B367" s="7" t="s">
        <v>0</v>
      </c>
      <c r="C367" s="7" t="s">
        <v>616</v>
      </c>
      <c r="D367" s="7" t="s">
        <v>4</v>
      </c>
      <c r="E367" s="7" t="s">
        <v>18</v>
      </c>
      <c r="F367" s="5">
        <v>-0.63</v>
      </c>
      <c r="G367" s="7" t="s">
        <v>617</v>
      </c>
      <c r="H367" s="7" t="s">
        <v>616</v>
      </c>
      <c r="I367" s="7" t="s">
        <v>2640</v>
      </c>
      <c r="K367">
        <f>IF($A367="","",IF(ISNUMBER($A367),MONTH($A367),MONTH(DATEVALUE($A367))))</f>
        <v>9</v>
      </c>
    </row>
    <row r="368" spans="1:11" ht="60" customHeight="1" x14ac:dyDescent="0.25">
      <c r="A368" s="8" t="s">
        <v>613</v>
      </c>
      <c r="B368" s="8" t="s">
        <v>0</v>
      </c>
      <c r="C368" s="8" t="s">
        <v>616</v>
      </c>
      <c r="D368" s="8" t="s">
        <v>4</v>
      </c>
      <c r="E368" s="8" t="s">
        <v>18</v>
      </c>
      <c r="F368" s="6">
        <v>-0.56000000000000005</v>
      </c>
      <c r="G368" s="8" t="s">
        <v>617</v>
      </c>
      <c r="H368" s="8" t="s">
        <v>616</v>
      </c>
      <c r="I368" s="8" t="s">
        <v>2640</v>
      </c>
      <c r="K368">
        <f>IF($A368="","",IF(ISNUMBER($A368),MONTH($A368),MONTH(DATEVALUE($A368))))</f>
        <v>9</v>
      </c>
    </row>
    <row r="369" spans="1:11" ht="60" customHeight="1" x14ac:dyDescent="0.25">
      <c r="A369" s="7" t="s">
        <v>613</v>
      </c>
      <c r="B369" s="7" t="s">
        <v>0</v>
      </c>
      <c r="C369" s="7" t="s">
        <v>616</v>
      </c>
      <c r="D369" s="7" t="s">
        <v>4</v>
      </c>
      <c r="E369" s="7" t="s">
        <v>18</v>
      </c>
      <c r="F369" s="5">
        <v>-0.54</v>
      </c>
      <c r="G369" s="7" t="s">
        <v>617</v>
      </c>
      <c r="H369" s="7" t="s">
        <v>616</v>
      </c>
      <c r="I369" s="7" t="s">
        <v>2640</v>
      </c>
      <c r="K369">
        <f>IF($A369="","",IF(ISNUMBER($A369),MONTH($A369),MONTH(DATEVALUE($A369))))</f>
        <v>9</v>
      </c>
    </row>
    <row r="370" spans="1:11" ht="60" customHeight="1" x14ac:dyDescent="0.25">
      <c r="A370" s="8" t="s">
        <v>613</v>
      </c>
      <c r="B370" s="8" t="s">
        <v>0</v>
      </c>
      <c r="C370" s="8" t="s">
        <v>616</v>
      </c>
      <c r="D370" s="8" t="s">
        <v>4</v>
      </c>
      <c r="E370" s="8" t="s">
        <v>18</v>
      </c>
      <c r="F370" s="6">
        <v>-0.53</v>
      </c>
      <c r="G370" s="8" t="s">
        <v>617</v>
      </c>
      <c r="H370" s="8" t="s">
        <v>616</v>
      </c>
      <c r="I370" s="8" t="s">
        <v>2640</v>
      </c>
      <c r="K370">
        <f>IF($A370="","",IF(ISNUMBER($A370),MONTH($A370),MONTH(DATEVALUE($A370))))</f>
        <v>9</v>
      </c>
    </row>
    <row r="371" spans="1:11" ht="60" customHeight="1" x14ac:dyDescent="0.25">
      <c r="A371" s="7" t="s">
        <v>613</v>
      </c>
      <c r="B371" s="7" t="s">
        <v>0</v>
      </c>
      <c r="C371" s="7" t="s">
        <v>616</v>
      </c>
      <c r="D371" s="7" t="s">
        <v>4</v>
      </c>
      <c r="E371" s="7" t="s">
        <v>18</v>
      </c>
      <c r="F371" s="5">
        <v>-0.53</v>
      </c>
      <c r="G371" s="7" t="s">
        <v>617</v>
      </c>
      <c r="H371" s="7" t="s">
        <v>616</v>
      </c>
      <c r="I371" s="7" t="s">
        <v>2640</v>
      </c>
      <c r="K371">
        <f>IF($A371="","",IF(ISNUMBER($A371),MONTH($A371),MONTH(DATEVALUE($A371))))</f>
        <v>9</v>
      </c>
    </row>
    <row r="372" spans="1:11" ht="60" customHeight="1" x14ac:dyDescent="0.25">
      <c r="A372" s="8" t="s">
        <v>613</v>
      </c>
      <c r="B372" s="8" t="s">
        <v>0</v>
      </c>
      <c r="C372" s="8" t="s">
        <v>616</v>
      </c>
      <c r="D372" s="8" t="s">
        <v>4</v>
      </c>
      <c r="E372" s="8" t="s">
        <v>18</v>
      </c>
      <c r="F372" s="6">
        <v>-0.5</v>
      </c>
      <c r="G372" s="8" t="s">
        <v>617</v>
      </c>
      <c r="H372" s="8" t="s">
        <v>616</v>
      </c>
      <c r="I372" s="8" t="s">
        <v>2640</v>
      </c>
      <c r="K372">
        <f>IF($A372="","",IF(ISNUMBER($A372),MONTH($A372),MONTH(DATEVALUE($A372))))</f>
        <v>9</v>
      </c>
    </row>
    <row r="373" spans="1:11" ht="60" customHeight="1" x14ac:dyDescent="0.25">
      <c r="A373" s="7" t="s">
        <v>613</v>
      </c>
      <c r="B373" s="7" t="s">
        <v>0</v>
      </c>
      <c r="C373" s="7" t="s">
        <v>616</v>
      </c>
      <c r="D373" s="7" t="s">
        <v>4</v>
      </c>
      <c r="E373" s="7" t="s">
        <v>18</v>
      </c>
      <c r="F373" s="5">
        <v>-0.5</v>
      </c>
      <c r="G373" s="7" t="s">
        <v>617</v>
      </c>
      <c r="H373" s="7" t="s">
        <v>616</v>
      </c>
      <c r="I373" s="7" t="s">
        <v>2640</v>
      </c>
      <c r="K373">
        <f>IF($A373="","",IF(ISNUMBER($A373),MONTH($A373),MONTH(DATEVALUE($A373))))</f>
        <v>9</v>
      </c>
    </row>
    <row r="374" spans="1:11" ht="60" customHeight="1" x14ac:dyDescent="0.25">
      <c r="A374" s="8" t="s">
        <v>613</v>
      </c>
      <c r="B374" s="8" t="s">
        <v>0</v>
      </c>
      <c r="C374" s="8" t="s">
        <v>616</v>
      </c>
      <c r="D374" s="8" t="s">
        <v>4</v>
      </c>
      <c r="E374" s="8" t="s">
        <v>18</v>
      </c>
      <c r="F374" s="6">
        <v>-0.49</v>
      </c>
      <c r="G374" s="8" t="s">
        <v>617</v>
      </c>
      <c r="H374" s="8" t="s">
        <v>616</v>
      </c>
      <c r="I374" s="8" t="s">
        <v>2640</v>
      </c>
      <c r="K374">
        <f>IF($A374="","",IF(ISNUMBER($A374),MONTH($A374),MONTH(DATEVALUE($A374))))</f>
        <v>9</v>
      </c>
    </row>
    <row r="375" spans="1:11" ht="60" customHeight="1" x14ac:dyDescent="0.25">
      <c r="A375" s="7" t="s">
        <v>613</v>
      </c>
      <c r="B375" s="7" t="s">
        <v>0</v>
      </c>
      <c r="C375" s="7" t="s">
        <v>616</v>
      </c>
      <c r="D375" s="7" t="s">
        <v>4</v>
      </c>
      <c r="E375" s="7" t="s">
        <v>18</v>
      </c>
      <c r="F375" s="5">
        <v>-0.48</v>
      </c>
      <c r="G375" s="7" t="s">
        <v>617</v>
      </c>
      <c r="H375" s="7" t="s">
        <v>616</v>
      </c>
      <c r="I375" s="7" t="s">
        <v>2640</v>
      </c>
      <c r="K375">
        <f>IF($A375="","",IF(ISNUMBER($A375),MONTH($A375),MONTH(DATEVALUE($A375))))</f>
        <v>9</v>
      </c>
    </row>
    <row r="376" spans="1:11" ht="60" customHeight="1" x14ac:dyDescent="0.25">
      <c r="A376" s="8" t="s">
        <v>613</v>
      </c>
      <c r="B376" s="8" t="s">
        <v>0</v>
      </c>
      <c r="C376" s="8" t="s">
        <v>616</v>
      </c>
      <c r="D376" s="8" t="s">
        <v>4</v>
      </c>
      <c r="E376" s="8" t="s">
        <v>18</v>
      </c>
      <c r="F376" s="6">
        <v>-0.48</v>
      </c>
      <c r="G376" s="8" t="s">
        <v>617</v>
      </c>
      <c r="H376" s="8" t="s">
        <v>616</v>
      </c>
      <c r="I376" s="8" t="s">
        <v>2640</v>
      </c>
      <c r="K376">
        <f>IF($A376="","",IF(ISNUMBER($A376),MONTH($A376),MONTH(DATEVALUE($A376))))</f>
        <v>9</v>
      </c>
    </row>
    <row r="377" spans="1:11" ht="60" customHeight="1" x14ac:dyDescent="0.25">
      <c r="A377" s="7" t="s">
        <v>613</v>
      </c>
      <c r="B377" s="7" t="s">
        <v>0</v>
      </c>
      <c r="C377" s="7" t="s">
        <v>616</v>
      </c>
      <c r="D377" s="7" t="s">
        <v>4</v>
      </c>
      <c r="E377" s="7" t="s">
        <v>18</v>
      </c>
      <c r="F377" s="5">
        <v>-0.47</v>
      </c>
      <c r="G377" s="7" t="s">
        <v>617</v>
      </c>
      <c r="H377" s="7" t="s">
        <v>616</v>
      </c>
      <c r="I377" s="7" t="s">
        <v>2640</v>
      </c>
      <c r="K377">
        <f>IF($A377="","",IF(ISNUMBER($A377),MONTH($A377),MONTH(DATEVALUE($A377))))</f>
        <v>9</v>
      </c>
    </row>
    <row r="378" spans="1:11" ht="60" customHeight="1" x14ac:dyDescent="0.25">
      <c r="A378" s="8" t="s">
        <v>613</v>
      </c>
      <c r="B378" s="8" t="s">
        <v>0</v>
      </c>
      <c r="C378" s="8" t="s">
        <v>616</v>
      </c>
      <c r="D378" s="8" t="s">
        <v>4</v>
      </c>
      <c r="E378" s="8" t="s">
        <v>18</v>
      </c>
      <c r="F378" s="6">
        <v>-0.46</v>
      </c>
      <c r="G378" s="8" t="s">
        <v>617</v>
      </c>
      <c r="H378" s="8" t="s">
        <v>616</v>
      </c>
      <c r="I378" s="8" t="s">
        <v>2640</v>
      </c>
      <c r="K378">
        <f>IF($A378="","",IF(ISNUMBER($A378),MONTH($A378),MONTH(DATEVALUE($A378))))</f>
        <v>9</v>
      </c>
    </row>
    <row r="379" spans="1:11" ht="60" customHeight="1" x14ac:dyDescent="0.25">
      <c r="A379" s="7" t="s">
        <v>613</v>
      </c>
      <c r="B379" s="7" t="s">
        <v>0</v>
      </c>
      <c r="C379" s="7" t="s">
        <v>616</v>
      </c>
      <c r="D379" s="7" t="s">
        <v>4</v>
      </c>
      <c r="E379" s="7" t="s">
        <v>18</v>
      </c>
      <c r="F379" s="5">
        <v>-0.43</v>
      </c>
      <c r="G379" s="7" t="s">
        <v>617</v>
      </c>
      <c r="H379" s="7" t="s">
        <v>616</v>
      </c>
      <c r="I379" s="7" t="s">
        <v>2640</v>
      </c>
      <c r="K379">
        <f>IF($A379="","",IF(ISNUMBER($A379),MONTH($A379),MONTH(DATEVALUE($A379))))</f>
        <v>9</v>
      </c>
    </row>
    <row r="380" spans="1:11" ht="60" customHeight="1" x14ac:dyDescent="0.25">
      <c r="A380" s="8" t="s">
        <v>613</v>
      </c>
      <c r="B380" s="8" t="s">
        <v>0</v>
      </c>
      <c r="C380" s="8" t="s">
        <v>616</v>
      </c>
      <c r="D380" s="8" t="s">
        <v>4</v>
      </c>
      <c r="E380" s="8" t="s">
        <v>18</v>
      </c>
      <c r="F380" s="6">
        <v>-0.43</v>
      </c>
      <c r="G380" s="8" t="s">
        <v>617</v>
      </c>
      <c r="H380" s="8" t="s">
        <v>616</v>
      </c>
      <c r="I380" s="8" t="s">
        <v>2640</v>
      </c>
      <c r="K380">
        <f>IF($A380="","",IF(ISNUMBER($A380),MONTH($A380),MONTH(DATEVALUE($A380))))</f>
        <v>9</v>
      </c>
    </row>
    <row r="381" spans="1:11" ht="60" customHeight="1" x14ac:dyDescent="0.25">
      <c r="A381" s="7" t="s">
        <v>613</v>
      </c>
      <c r="B381" s="7" t="s">
        <v>0</v>
      </c>
      <c r="C381" s="7" t="s">
        <v>616</v>
      </c>
      <c r="D381" s="7" t="s">
        <v>4</v>
      </c>
      <c r="E381" s="7" t="s">
        <v>18</v>
      </c>
      <c r="F381" s="5">
        <v>-0.41</v>
      </c>
      <c r="G381" s="7" t="s">
        <v>617</v>
      </c>
      <c r="H381" s="7" t="s">
        <v>616</v>
      </c>
      <c r="I381" s="7" t="s">
        <v>2640</v>
      </c>
      <c r="K381">
        <f>IF($A381="","",IF(ISNUMBER($A381),MONTH($A381),MONTH(DATEVALUE($A381))))</f>
        <v>9</v>
      </c>
    </row>
    <row r="382" spans="1:11" ht="60" customHeight="1" x14ac:dyDescent="0.25">
      <c r="A382" s="8" t="s">
        <v>613</v>
      </c>
      <c r="B382" s="8" t="s">
        <v>0</v>
      </c>
      <c r="C382" s="8" t="s">
        <v>616</v>
      </c>
      <c r="D382" s="8" t="s">
        <v>4</v>
      </c>
      <c r="E382" s="8" t="s">
        <v>18</v>
      </c>
      <c r="F382" s="6">
        <v>-0.41</v>
      </c>
      <c r="G382" s="8" t="s">
        <v>617</v>
      </c>
      <c r="H382" s="8" t="s">
        <v>616</v>
      </c>
      <c r="I382" s="8" t="s">
        <v>2640</v>
      </c>
      <c r="K382">
        <f>IF($A382="","",IF(ISNUMBER($A382),MONTH($A382),MONTH(DATEVALUE($A382))))</f>
        <v>9</v>
      </c>
    </row>
    <row r="383" spans="1:11" ht="60" customHeight="1" x14ac:dyDescent="0.25">
      <c r="A383" s="7" t="s">
        <v>613</v>
      </c>
      <c r="B383" s="7" t="s">
        <v>0</v>
      </c>
      <c r="C383" s="7" t="s">
        <v>616</v>
      </c>
      <c r="D383" s="7" t="s">
        <v>4</v>
      </c>
      <c r="E383" s="7" t="s">
        <v>18</v>
      </c>
      <c r="F383" s="5">
        <v>-0.39</v>
      </c>
      <c r="G383" s="7" t="s">
        <v>617</v>
      </c>
      <c r="H383" s="7" t="s">
        <v>616</v>
      </c>
      <c r="I383" s="7" t="s">
        <v>2640</v>
      </c>
      <c r="K383">
        <f>IF($A383="","",IF(ISNUMBER($A383),MONTH($A383),MONTH(DATEVALUE($A383))))</f>
        <v>9</v>
      </c>
    </row>
    <row r="384" spans="1:11" ht="60" customHeight="1" x14ac:dyDescent="0.25">
      <c r="A384" s="8" t="s">
        <v>613</v>
      </c>
      <c r="B384" s="8" t="s">
        <v>0</v>
      </c>
      <c r="C384" s="8" t="s">
        <v>616</v>
      </c>
      <c r="D384" s="8" t="s">
        <v>4</v>
      </c>
      <c r="E384" s="8" t="s">
        <v>18</v>
      </c>
      <c r="F384" s="6">
        <v>-0.39</v>
      </c>
      <c r="G384" s="8" t="s">
        <v>617</v>
      </c>
      <c r="H384" s="8" t="s">
        <v>616</v>
      </c>
      <c r="I384" s="8" t="s">
        <v>2640</v>
      </c>
      <c r="K384">
        <f>IF($A384="","",IF(ISNUMBER($A384),MONTH($A384),MONTH(DATEVALUE($A384))))</f>
        <v>9</v>
      </c>
    </row>
    <row r="385" spans="1:11" ht="60" customHeight="1" x14ac:dyDescent="0.25">
      <c r="A385" s="7" t="s">
        <v>613</v>
      </c>
      <c r="B385" s="7" t="s">
        <v>0</v>
      </c>
      <c r="C385" s="7" t="s">
        <v>616</v>
      </c>
      <c r="D385" s="7" t="s">
        <v>4</v>
      </c>
      <c r="E385" s="7" t="s">
        <v>18</v>
      </c>
      <c r="F385" s="5">
        <v>-0.27</v>
      </c>
      <c r="G385" s="7" t="s">
        <v>617</v>
      </c>
      <c r="H385" s="7" t="s">
        <v>616</v>
      </c>
      <c r="I385" s="7" t="s">
        <v>2640</v>
      </c>
      <c r="K385">
        <f>IF($A385="","",IF(ISNUMBER($A385),MONTH($A385),MONTH(DATEVALUE($A385))))</f>
        <v>9</v>
      </c>
    </row>
    <row r="386" spans="1:11" ht="60" customHeight="1" x14ac:dyDescent="0.25">
      <c r="A386" s="8" t="s">
        <v>613</v>
      </c>
      <c r="B386" s="8" t="s">
        <v>0</v>
      </c>
      <c r="C386" s="8" t="s">
        <v>616</v>
      </c>
      <c r="D386" s="8" t="s">
        <v>4</v>
      </c>
      <c r="E386" s="8" t="s">
        <v>18</v>
      </c>
      <c r="F386" s="6">
        <v>-0.2</v>
      </c>
      <c r="G386" s="8" t="s">
        <v>617</v>
      </c>
      <c r="H386" s="8" t="s">
        <v>616</v>
      </c>
      <c r="I386" s="8" t="s">
        <v>2640</v>
      </c>
      <c r="K386">
        <f>IF($A386="","",IF(ISNUMBER($A386),MONTH($A386),MONTH(DATEVALUE($A386))))</f>
        <v>9</v>
      </c>
    </row>
    <row r="387" spans="1:11" ht="60" customHeight="1" x14ac:dyDescent="0.25">
      <c r="A387" s="7" t="s">
        <v>613</v>
      </c>
      <c r="B387" s="7" t="s">
        <v>0</v>
      </c>
      <c r="C387" s="7" t="s">
        <v>616</v>
      </c>
      <c r="D387" s="7" t="s">
        <v>4</v>
      </c>
      <c r="E387" s="7" t="s">
        <v>18</v>
      </c>
      <c r="F387" s="5">
        <v>-0.2</v>
      </c>
      <c r="G387" s="7" t="s">
        <v>617</v>
      </c>
      <c r="H387" s="7" t="s">
        <v>616</v>
      </c>
      <c r="I387" s="7" t="s">
        <v>2640</v>
      </c>
      <c r="K387">
        <f>IF($A387="","",IF(ISNUMBER($A387),MONTH($A387),MONTH(DATEVALUE($A387))))</f>
        <v>9</v>
      </c>
    </row>
    <row r="388" spans="1:11" ht="60" customHeight="1" x14ac:dyDescent="0.25">
      <c r="A388" s="8" t="s">
        <v>613</v>
      </c>
      <c r="B388" s="8" t="s">
        <v>0</v>
      </c>
      <c r="C388" s="8" t="s">
        <v>616</v>
      </c>
      <c r="D388" s="8" t="s">
        <v>4</v>
      </c>
      <c r="E388" s="8" t="s">
        <v>18</v>
      </c>
      <c r="F388" s="6">
        <v>-0.2</v>
      </c>
      <c r="G388" s="8" t="s">
        <v>617</v>
      </c>
      <c r="H388" s="8" t="s">
        <v>616</v>
      </c>
      <c r="I388" s="8" t="s">
        <v>2640</v>
      </c>
      <c r="K388">
        <f>IF($A388="","",IF(ISNUMBER($A388),MONTH($A388),MONTH(DATEVALUE($A388))))</f>
        <v>9</v>
      </c>
    </row>
    <row r="389" spans="1:11" ht="60" customHeight="1" x14ac:dyDescent="0.25">
      <c r="A389" s="7" t="s">
        <v>613</v>
      </c>
      <c r="B389" s="7" t="s">
        <v>0</v>
      </c>
      <c r="C389" s="7" t="s">
        <v>616</v>
      </c>
      <c r="D389" s="7" t="s">
        <v>4</v>
      </c>
      <c r="E389" s="7" t="s">
        <v>18</v>
      </c>
      <c r="F389" s="5">
        <v>-0.17</v>
      </c>
      <c r="G389" s="7" t="s">
        <v>617</v>
      </c>
      <c r="H389" s="7" t="s">
        <v>616</v>
      </c>
      <c r="I389" s="7" t="s">
        <v>2640</v>
      </c>
      <c r="K389">
        <f>IF($A389="","",IF(ISNUMBER($A389),MONTH($A389),MONTH(DATEVALUE($A389))))</f>
        <v>9</v>
      </c>
    </row>
    <row r="390" spans="1:11" ht="60" customHeight="1" x14ac:dyDescent="0.25">
      <c r="A390" s="8" t="s">
        <v>613</v>
      </c>
      <c r="B390" s="8" t="s">
        <v>0</v>
      </c>
      <c r="C390" s="8" t="s">
        <v>616</v>
      </c>
      <c r="D390" s="8" t="s">
        <v>4</v>
      </c>
      <c r="E390" s="8" t="s">
        <v>18</v>
      </c>
      <c r="F390" s="6">
        <v>-0.15</v>
      </c>
      <c r="G390" s="8" t="s">
        <v>617</v>
      </c>
      <c r="H390" s="8" t="s">
        <v>616</v>
      </c>
      <c r="I390" s="8" t="s">
        <v>2640</v>
      </c>
      <c r="K390">
        <f>IF($A390="","",IF(ISNUMBER($A390),MONTH($A390),MONTH(DATEVALUE($A390))))</f>
        <v>9</v>
      </c>
    </row>
    <row r="391" spans="1:11" ht="60" customHeight="1" x14ac:dyDescent="0.25">
      <c r="A391" s="7" t="s">
        <v>613</v>
      </c>
      <c r="B391" s="7" t="s">
        <v>0</v>
      </c>
      <c r="C391" s="7" t="s">
        <v>616</v>
      </c>
      <c r="D391" s="7" t="s">
        <v>4</v>
      </c>
      <c r="E391" s="7" t="s">
        <v>18</v>
      </c>
      <c r="F391" s="5">
        <v>-7.0000000000000007E-2</v>
      </c>
      <c r="G391" s="7" t="s">
        <v>617</v>
      </c>
      <c r="H391" s="7" t="s">
        <v>616</v>
      </c>
      <c r="I391" s="7" t="s">
        <v>2640</v>
      </c>
      <c r="K391">
        <f>IF($A391="","",IF(ISNUMBER($A391),MONTH($A391),MONTH(DATEVALUE($A391))))</f>
        <v>9</v>
      </c>
    </row>
    <row r="392" spans="1:11" ht="60" customHeight="1" x14ac:dyDescent="0.25">
      <c r="A392" s="8" t="s">
        <v>613</v>
      </c>
      <c r="B392" s="8" t="s">
        <v>0</v>
      </c>
      <c r="C392" s="8" t="s">
        <v>618</v>
      </c>
      <c r="D392" s="8" t="s">
        <v>4</v>
      </c>
      <c r="E392" s="8" t="s">
        <v>18</v>
      </c>
      <c r="F392" s="6">
        <v>22.98</v>
      </c>
      <c r="G392" s="8" t="s">
        <v>619</v>
      </c>
      <c r="H392" s="8" t="s">
        <v>618</v>
      </c>
      <c r="I392" s="8" t="s">
        <v>2627</v>
      </c>
      <c r="K392">
        <f>IF($A392="","",IF(ISNUMBER($A392),MONTH($A392),MONTH(DATEVALUE($A392))))</f>
        <v>9</v>
      </c>
    </row>
    <row r="393" spans="1:11" ht="60" customHeight="1" x14ac:dyDescent="0.25">
      <c r="A393" s="7" t="s">
        <v>613</v>
      </c>
      <c r="B393" s="7" t="s">
        <v>0</v>
      </c>
      <c r="C393" s="7" t="s">
        <v>620</v>
      </c>
      <c r="D393" s="7" t="s">
        <v>4</v>
      </c>
      <c r="E393" s="7" t="s">
        <v>18</v>
      </c>
      <c r="F393" s="5">
        <v>-397.27</v>
      </c>
      <c r="G393" s="7" t="s">
        <v>621</v>
      </c>
      <c r="H393" s="7" t="s">
        <v>620</v>
      </c>
      <c r="I393" s="7" t="s">
        <v>620</v>
      </c>
      <c r="K393">
        <f>IF($A393="","",IF(ISNUMBER($A393),MONTH($A393),MONTH(DATEVALUE($A393))))</f>
        <v>9</v>
      </c>
    </row>
    <row r="394" spans="1:11" ht="60" customHeight="1" x14ac:dyDescent="0.25">
      <c r="A394" s="8" t="s">
        <v>613</v>
      </c>
      <c r="B394" s="8" t="s">
        <v>0</v>
      </c>
      <c r="C394" s="8" t="s">
        <v>620</v>
      </c>
      <c r="D394" s="8" t="s">
        <v>4</v>
      </c>
      <c r="E394" s="8" t="s">
        <v>18</v>
      </c>
      <c r="F394" s="6">
        <v>-318.76</v>
      </c>
      <c r="G394" s="8" t="s">
        <v>621</v>
      </c>
      <c r="H394" s="8" t="s">
        <v>620</v>
      </c>
      <c r="I394" s="8" t="s">
        <v>620</v>
      </c>
      <c r="K394">
        <f>IF($A394="","",IF(ISNUMBER($A394),MONTH($A394),MONTH(DATEVALUE($A394))))</f>
        <v>9</v>
      </c>
    </row>
    <row r="395" spans="1:11" ht="60" customHeight="1" x14ac:dyDescent="0.25">
      <c r="A395" s="7" t="s">
        <v>613</v>
      </c>
      <c r="B395" s="7" t="s">
        <v>0</v>
      </c>
      <c r="C395" s="7" t="s">
        <v>620</v>
      </c>
      <c r="D395" s="7" t="s">
        <v>4</v>
      </c>
      <c r="E395" s="7" t="s">
        <v>18</v>
      </c>
      <c r="F395" s="5">
        <v>-308.27</v>
      </c>
      <c r="G395" s="7" t="s">
        <v>621</v>
      </c>
      <c r="H395" s="7" t="s">
        <v>620</v>
      </c>
      <c r="I395" s="7" t="s">
        <v>620</v>
      </c>
      <c r="K395">
        <f>IF($A395="","",IF(ISNUMBER($A395),MONTH($A395),MONTH(DATEVALUE($A395))))</f>
        <v>9</v>
      </c>
    </row>
    <row r="396" spans="1:11" ht="60" customHeight="1" x14ac:dyDescent="0.25">
      <c r="A396" s="8" t="s">
        <v>613</v>
      </c>
      <c r="B396" s="8" t="s">
        <v>0</v>
      </c>
      <c r="C396" s="8" t="s">
        <v>620</v>
      </c>
      <c r="D396" s="8" t="s">
        <v>4</v>
      </c>
      <c r="E396" s="8" t="s">
        <v>18</v>
      </c>
      <c r="F396" s="6">
        <v>-303.10000000000002</v>
      </c>
      <c r="G396" s="8" t="s">
        <v>621</v>
      </c>
      <c r="H396" s="8" t="s">
        <v>620</v>
      </c>
      <c r="I396" s="8" t="s">
        <v>620</v>
      </c>
      <c r="K396">
        <f>IF($A396="","",IF(ISNUMBER($A396),MONTH($A396),MONTH(DATEVALUE($A396))))</f>
        <v>9</v>
      </c>
    </row>
    <row r="397" spans="1:11" ht="60" customHeight="1" x14ac:dyDescent="0.25">
      <c r="A397" s="7" t="s">
        <v>613</v>
      </c>
      <c r="B397" s="7" t="s">
        <v>0</v>
      </c>
      <c r="C397" s="7" t="s">
        <v>620</v>
      </c>
      <c r="D397" s="7" t="s">
        <v>4</v>
      </c>
      <c r="E397" s="7" t="s">
        <v>18</v>
      </c>
      <c r="F397" s="5">
        <v>-298.75</v>
      </c>
      <c r="G397" s="7" t="s">
        <v>621</v>
      </c>
      <c r="H397" s="7" t="s">
        <v>620</v>
      </c>
      <c r="I397" s="7" t="s">
        <v>620</v>
      </c>
      <c r="K397">
        <f>IF($A397="","",IF(ISNUMBER($A397),MONTH($A397),MONTH(DATEVALUE($A397))))</f>
        <v>9</v>
      </c>
    </row>
    <row r="398" spans="1:11" ht="60" customHeight="1" x14ac:dyDescent="0.25">
      <c r="A398" s="8" t="s">
        <v>613</v>
      </c>
      <c r="B398" s="8" t="s">
        <v>0</v>
      </c>
      <c r="C398" s="8" t="s">
        <v>620</v>
      </c>
      <c r="D398" s="8" t="s">
        <v>4</v>
      </c>
      <c r="E398" s="8" t="s">
        <v>18</v>
      </c>
      <c r="F398" s="6">
        <v>-280.11</v>
      </c>
      <c r="G398" s="8" t="s">
        <v>621</v>
      </c>
      <c r="H398" s="8" t="s">
        <v>620</v>
      </c>
      <c r="I398" s="8" t="s">
        <v>620</v>
      </c>
      <c r="K398">
        <f>IF($A398="","",IF(ISNUMBER($A398),MONTH($A398),MONTH(DATEVALUE($A398))))</f>
        <v>9</v>
      </c>
    </row>
    <row r="399" spans="1:11" ht="60" customHeight="1" x14ac:dyDescent="0.25">
      <c r="A399" s="7" t="s">
        <v>613</v>
      </c>
      <c r="B399" s="7" t="s">
        <v>0</v>
      </c>
      <c r="C399" s="7" t="s">
        <v>620</v>
      </c>
      <c r="D399" s="7" t="s">
        <v>4</v>
      </c>
      <c r="E399" s="7" t="s">
        <v>18</v>
      </c>
      <c r="F399" s="5">
        <v>-267.93</v>
      </c>
      <c r="G399" s="7" t="s">
        <v>621</v>
      </c>
      <c r="H399" s="7" t="s">
        <v>620</v>
      </c>
      <c r="I399" s="7" t="s">
        <v>620</v>
      </c>
      <c r="K399">
        <f>IF($A399="","",IF(ISNUMBER($A399),MONTH($A399),MONTH(DATEVALUE($A399))))</f>
        <v>9</v>
      </c>
    </row>
    <row r="400" spans="1:11" ht="60" customHeight="1" x14ac:dyDescent="0.25">
      <c r="A400" s="8" t="s">
        <v>613</v>
      </c>
      <c r="B400" s="8" t="s">
        <v>0</v>
      </c>
      <c r="C400" s="8" t="s">
        <v>620</v>
      </c>
      <c r="D400" s="8" t="s">
        <v>4</v>
      </c>
      <c r="E400" s="8" t="s">
        <v>18</v>
      </c>
      <c r="F400" s="6">
        <v>-261.66000000000003</v>
      </c>
      <c r="G400" s="8" t="s">
        <v>621</v>
      </c>
      <c r="H400" s="8" t="s">
        <v>620</v>
      </c>
      <c r="I400" s="8" t="s">
        <v>620</v>
      </c>
      <c r="K400">
        <f>IF($A400="","",IF(ISNUMBER($A400),MONTH($A400),MONTH(DATEVALUE($A400))))</f>
        <v>9</v>
      </c>
    </row>
    <row r="401" spans="1:11" ht="60" customHeight="1" x14ac:dyDescent="0.25">
      <c r="A401" s="7" t="s">
        <v>613</v>
      </c>
      <c r="B401" s="7" t="s">
        <v>0</v>
      </c>
      <c r="C401" s="7" t="s">
        <v>620</v>
      </c>
      <c r="D401" s="7" t="s">
        <v>4</v>
      </c>
      <c r="E401" s="7" t="s">
        <v>18</v>
      </c>
      <c r="F401" s="5">
        <v>-252.59</v>
      </c>
      <c r="G401" s="7" t="s">
        <v>621</v>
      </c>
      <c r="H401" s="7" t="s">
        <v>620</v>
      </c>
      <c r="I401" s="7" t="s">
        <v>620</v>
      </c>
      <c r="K401">
        <f>IF($A401="","",IF(ISNUMBER($A401),MONTH($A401),MONTH(DATEVALUE($A401))))</f>
        <v>9</v>
      </c>
    </row>
    <row r="402" spans="1:11" ht="60" customHeight="1" x14ac:dyDescent="0.25">
      <c r="A402" s="8" t="s">
        <v>613</v>
      </c>
      <c r="B402" s="8" t="s">
        <v>0</v>
      </c>
      <c r="C402" s="8" t="s">
        <v>620</v>
      </c>
      <c r="D402" s="8" t="s">
        <v>4</v>
      </c>
      <c r="E402" s="8" t="s">
        <v>18</v>
      </c>
      <c r="F402" s="6">
        <v>-229.92</v>
      </c>
      <c r="G402" s="8" t="s">
        <v>621</v>
      </c>
      <c r="H402" s="8" t="s">
        <v>620</v>
      </c>
      <c r="I402" s="8" t="s">
        <v>620</v>
      </c>
      <c r="K402">
        <f>IF($A402="","",IF(ISNUMBER($A402),MONTH($A402),MONTH(DATEVALUE($A402))))</f>
        <v>9</v>
      </c>
    </row>
    <row r="403" spans="1:11" ht="60" customHeight="1" x14ac:dyDescent="0.25">
      <c r="A403" s="7" t="s">
        <v>613</v>
      </c>
      <c r="B403" s="7" t="s">
        <v>0</v>
      </c>
      <c r="C403" s="7" t="s">
        <v>620</v>
      </c>
      <c r="D403" s="7" t="s">
        <v>4</v>
      </c>
      <c r="E403" s="7" t="s">
        <v>18</v>
      </c>
      <c r="F403" s="5">
        <v>-226.25</v>
      </c>
      <c r="G403" s="7" t="s">
        <v>621</v>
      </c>
      <c r="H403" s="7" t="s">
        <v>620</v>
      </c>
      <c r="I403" s="7" t="s">
        <v>620</v>
      </c>
      <c r="K403">
        <f>IF($A403="","",IF(ISNUMBER($A403),MONTH($A403),MONTH(DATEVALUE($A403))))</f>
        <v>9</v>
      </c>
    </row>
    <row r="404" spans="1:11" ht="60" customHeight="1" x14ac:dyDescent="0.25">
      <c r="A404" s="8" t="s">
        <v>613</v>
      </c>
      <c r="B404" s="8" t="s">
        <v>0</v>
      </c>
      <c r="C404" s="8" t="s">
        <v>620</v>
      </c>
      <c r="D404" s="8" t="s">
        <v>4</v>
      </c>
      <c r="E404" s="8" t="s">
        <v>18</v>
      </c>
      <c r="F404" s="6">
        <v>-226.24</v>
      </c>
      <c r="G404" s="8" t="s">
        <v>621</v>
      </c>
      <c r="H404" s="8" t="s">
        <v>620</v>
      </c>
      <c r="I404" s="8" t="s">
        <v>620</v>
      </c>
      <c r="K404">
        <f>IF($A404="","",IF(ISNUMBER($A404),MONTH($A404),MONTH(DATEVALUE($A404))))</f>
        <v>9</v>
      </c>
    </row>
    <row r="405" spans="1:11" ht="60" customHeight="1" x14ac:dyDescent="0.25">
      <c r="A405" s="7" t="s">
        <v>613</v>
      </c>
      <c r="B405" s="7" t="s">
        <v>0</v>
      </c>
      <c r="C405" s="7" t="s">
        <v>620</v>
      </c>
      <c r="D405" s="7" t="s">
        <v>4</v>
      </c>
      <c r="E405" s="7" t="s">
        <v>18</v>
      </c>
      <c r="F405" s="5">
        <v>-225.1</v>
      </c>
      <c r="G405" s="7" t="s">
        <v>621</v>
      </c>
      <c r="H405" s="7" t="s">
        <v>620</v>
      </c>
      <c r="I405" s="7" t="s">
        <v>620</v>
      </c>
      <c r="K405">
        <f>IF($A405="","",IF(ISNUMBER($A405),MONTH($A405),MONTH(DATEVALUE($A405))))</f>
        <v>9</v>
      </c>
    </row>
    <row r="406" spans="1:11" ht="60" customHeight="1" x14ac:dyDescent="0.25">
      <c r="A406" s="8" t="s">
        <v>613</v>
      </c>
      <c r="B406" s="8" t="s">
        <v>0</v>
      </c>
      <c r="C406" s="8" t="s">
        <v>620</v>
      </c>
      <c r="D406" s="8" t="s">
        <v>4</v>
      </c>
      <c r="E406" s="8" t="s">
        <v>18</v>
      </c>
      <c r="F406" s="6">
        <v>-220.45</v>
      </c>
      <c r="G406" s="8" t="s">
        <v>621</v>
      </c>
      <c r="H406" s="8" t="s">
        <v>620</v>
      </c>
      <c r="I406" s="8" t="s">
        <v>620</v>
      </c>
      <c r="K406">
        <f>IF($A406="","",IF(ISNUMBER($A406),MONTH($A406),MONTH(DATEVALUE($A406))))</f>
        <v>9</v>
      </c>
    </row>
    <row r="407" spans="1:11" ht="60" customHeight="1" x14ac:dyDescent="0.25">
      <c r="A407" s="7" t="s">
        <v>613</v>
      </c>
      <c r="B407" s="7" t="s">
        <v>0</v>
      </c>
      <c r="C407" s="7" t="s">
        <v>620</v>
      </c>
      <c r="D407" s="7" t="s">
        <v>4</v>
      </c>
      <c r="E407" s="7" t="s">
        <v>18</v>
      </c>
      <c r="F407" s="5">
        <v>-219.03</v>
      </c>
      <c r="G407" s="7" t="s">
        <v>621</v>
      </c>
      <c r="H407" s="7" t="s">
        <v>620</v>
      </c>
      <c r="I407" s="7" t="s">
        <v>620</v>
      </c>
      <c r="K407">
        <f>IF($A407="","",IF(ISNUMBER($A407),MONTH($A407),MONTH(DATEVALUE($A407))))</f>
        <v>9</v>
      </c>
    </row>
    <row r="408" spans="1:11" ht="60" customHeight="1" x14ac:dyDescent="0.25">
      <c r="A408" s="8" t="s">
        <v>613</v>
      </c>
      <c r="B408" s="8" t="s">
        <v>0</v>
      </c>
      <c r="C408" s="8" t="s">
        <v>620</v>
      </c>
      <c r="D408" s="8" t="s">
        <v>4</v>
      </c>
      <c r="E408" s="8" t="s">
        <v>18</v>
      </c>
      <c r="F408" s="6">
        <v>-216.49</v>
      </c>
      <c r="G408" s="8" t="s">
        <v>621</v>
      </c>
      <c r="H408" s="8" t="s">
        <v>620</v>
      </c>
      <c r="I408" s="8" t="s">
        <v>620</v>
      </c>
      <c r="K408">
        <f>IF($A408="","",IF(ISNUMBER($A408),MONTH($A408),MONTH(DATEVALUE($A408))))</f>
        <v>9</v>
      </c>
    </row>
    <row r="409" spans="1:11" ht="60" customHeight="1" x14ac:dyDescent="0.25">
      <c r="A409" s="7" t="s">
        <v>613</v>
      </c>
      <c r="B409" s="7" t="s">
        <v>0</v>
      </c>
      <c r="C409" s="7" t="s">
        <v>620</v>
      </c>
      <c r="D409" s="7" t="s">
        <v>4</v>
      </c>
      <c r="E409" s="7" t="s">
        <v>18</v>
      </c>
      <c r="F409" s="5">
        <v>-210.46</v>
      </c>
      <c r="G409" s="7" t="s">
        <v>621</v>
      </c>
      <c r="H409" s="7" t="s">
        <v>620</v>
      </c>
      <c r="I409" s="7" t="s">
        <v>620</v>
      </c>
      <c r="K409">
        <f>IF($A409="","",IF(ISNUMBER($A409),MONTH($A409),MONTH(DATEVALUE($A409))))</f>
        <v>9</v>
      </c>
    </row>
    <row r="410" spans="1:11" ht="60" customHeight="1" x14ac:dyDescent="0.25">
      <c r="A410" s="8" t="s">
        <v>613</v>
      </c>
      <c r="B410" s="8" t="s">
        <v>0</v>
      </c>
      <c r="C410" s="8" t="s">
        <v>620</v>
      </c>
      <c r="D410" s="8" t="s">
        <v>4</v>
      </c>
      <c r="E410" s="8" t="s">
        <v>18</v>
      </c>
      <c r="F410" s="6">
        <v>-206.69</v>
      </c>
      <c r="G410" s="8" t="s">
        <v>621</v>
      </c>
      <c r="H410" s="8" t="s">
        <v>620</v>
      </c>
      <c r="I410" s="8" t="s">
        <v>620</v>
      </c>
      <c r="K410">
        <f>IF($A410="","",IF(ISNUMBER($A410),MONTH($A410),MONTH(DATEVALUE($A410))))</f>
        <v>9</v>
      </c>
    </row>
    <row r="411" spans="1:11" ht="60" customHeight="1" x14ac:dyDescent="0.25">
      <c r="A411" s="7" t="s">
        <v>613</v>
      </c>
      <c r="B411" s="7" t="s">
        <v>0</v>
      </c>
      <c r="C411" s="7" t="s">
        <v>620</v>
      </c>
      <c r="D411" s="7" t="s">
        <v>4</v>
      </c>
      <c r="E411" s="7" t="s">
        <v>18</v>
      </c>
      <c r="F411" s="5">
        <v>-204.1</v>
      </c>
      <c r="G411" s="7" t="s">
        <v>621</v>
      </c>
      <c r="H411" s="7" t="s">
        <v>620</v>
      </c>
      <c r="I411" s="7" t="s">
        <v>620</v>
      </c>
      <c r="K411">
        <f>IF($A411="","",IF(ISNUMBER($A411),MONTH($A411),MONTH(DATEVALUE($A411))))</f>
        <v>9</v>
      </c>
    </row>
    <row r="412" spans="1:11" ht="60" customHeight="1" x14ac:dyDescent="0.25">
      <c r="A412" s="8" t="s">
        <v>613</v>
      </c>
      <c r="B412" s="8" t="s">
        <v>0</v>
      </c>
      <c r="C412" s="8" t="s">
        <v>620</v>
      </c>
      <c r="D412" s="8" t="s">
        <v>4</v>
      </c>
      <c r="E412" s="8" t="s">
        <v>18</v>
      </c>
      <c r="F412" s="6">
        <v>-202.56</v>
      </c>
      <c r="G412" s="8" t="s">
        <v>621</v>
      </c>
      <c r="H412" s="8" t="s">
        <v>620</v>
      </c>
      <c r="I412" s="8" t="s">
        <v>620</v>
      </c>
      <c r="K412">
        <f>IF($A412="","",IF(ISNUMBER($A412),MONTH($A412),MONTH(DATEVALUE($A412))))</f>
        <v>9</v>
      </c>
    </row>
    <row r="413" spans="1:11" ht="60" customHeight="1" x14ac:dyDescent="0.25">
      <c r="A413" s="7" t="s">
        <v>613</v>
      </c>
      <c r="B413" s="7" t="s">
        <v>0</v>
      </c>
      <c r="C413" s="7" t="s">
        <v>620</v>
      </c>
      <c r="D413" s="7" t="s">
        <v>4</v>
      </c>
      <c r="E413" s="7" t="s">
        <v>18</v>
      </c>
      <c r="F413" s="5">
        <v>-201.74</v>
      </c>
      <c r="G413" s="7" t="s">
        <v>621</v>
      </c>
      <c r="H413" s="7" t="s">
        <v>620</v>
      </c>
      <c r="I413" s="7" t="s">
        <v>620</v>
      </c>
      <c r="K413">
        <f>IF($A413="","",IF(ISNUMBER($A413),MONTH($A413),MONTH(DATEVALUE($A413))))</f>
        <v>9</v>
      </c>
    </row>
    <row r="414" spans="1:11" ht="60" customHeight="1" x14ac:dyDescent="0.25">
      <c r="A414" s="8" t="s">
        <v>613</v>
      </c>
      <c r="B414" s="8" t="s">
        <v>0</v>
      </c>
      <c r="C414" s="8" t="s">
        <v>620</v>
      </c>
      <c r="D414" s="8" t="s">
        <v>4</v>
      </c>
      <c r="E414" s="8" t="s">
        <v>18</v>
      </c>
      <c r="F414" s="6">
        <v>-196.31</v>
      </c>
      <c r="G414" s="8" t="s">
        <v>621</v>
      </c>
      <c r="H414" s="8" t="s">
        <v>620</v>
      </c>
      <c r="I414" s="8" t="s">
        <v>620</v>
      </c>
      <c r="K414">
        <f>IF($A414="","",IF(ISNUMBER($A414),MONTH($A414),MONTH(DATEVALUE($A414))))</f>
        <v>9</v>
      </c>
    </row>
    <row r="415" spans="1:11" ht="60" customHeight="1" x14ac:dyDescent="0.25">
      <c r="A415" s="7" t="s">
        <v>613</v>
      </c>
      <c r="B415" s="7" t="s">
        <v>0</v>
      </c>
      <c r="C415" s="7" t="s">
        <v>620</v>
      </c>
      <c r="D415" s="7" t="s">
        <v>4</v>
      </c>
      <c r="E415" s="7" t="s">
        <v>18</v>
      </c>
      <c r="F415" s="5">
        <v>-194.84</v>
      </c>
      <c r="G415" s="7" t="s">
        <v>621</v>
      </c>
      <c r="H415" s="7" t="s">
        <v>620</v>
      </c>
      <c r="I415" s="7" t="s">
        <v>620</v>
      </c>
      <c r="K415">
        <f>IF($A415="","",IF(ISNUMBER($A415),MONTH($A415),MONTH(DATEVALUE($A415))))</f>
        <v>9</v>
      </c>
    </row>
    <row r="416" spans="1:11" ht="60" customHeight="1" x14ac:dyDescent="0.25">
      <c r="A416" s="8" t="s">
        <v>613</v>
      </c>
      <c r="B416" s="8" t="s">
        <v>0</v>
      </c>
      <c r="C416" s="8" t="s">
        <v>620</v>
      </c>
      <c r="D416" s="8" t="s">
        <v>4</v>
      </c>
      <c r="E416" s="8" t="s">
        <v>18</v>
      </c>
      <c r="F416" s="6">
        <v>-192.65</v>
      </c>
      <c r="G416" s="8" t="s">
        <v>621</v>
      </c>
      <c r="H416" s="8" t="s">
        <v>620</v>
      </c>
      <c r="I416" s="8" t="s">
        <v>620</v>
      </c>
      <c r="K416">
        <f>IF($A416="","",IF(ISNUMBER($A416),MONTH($A416),MONTH(DATEVALUE($A416))))</f>
        <v>9</v>
      </c>
    </row>
    <row r="417" spans="1:11" ht="60" customHeight="1" x14ac:dyDescent="0.25">
      <c r="A417" s="7" t="s">
        <v>613</v>
      </c>
      <c r="B417" s="7" t="s">
        <v>0</v>
      </c>
      <c r="C417" s="7" t="s">
        <v>620</v>
      </c>
      <c r="D417" s="7" t="s">
        <v>4</v>
      </c>
      <c r="E417" s="7" t="s">
        <v>18</v>
      </c>
      <c r="F417" s="5">
        <v>-191.97</v>
      </c>
      <c r="G417" s="7" t="s">
        <v>621</v>
      </c>
      <c r="H417" s="7" t="s">
        <v>620</v>
      </c>
      <c r="I417" s="7" t="s">
        <v>620</v>
      </c>
      <c r="K417">
        <f>IF($A417="","",IF(ISNUMBER($A417),MONTH($A417),MONTH(DATEVALUE($A417))))</f>
        <v>9</v>
      </c>
    </row>
    <row r="418" spans="1:11" ht="60" customHeight="1" x14ac:dyDescent="0.25">
      <c r="A418" s="8" t="s">
        <v>613</v>
      </c>
      <c r="B418" s="8" t="s">
        <v>0</v>
      </c>
      <c r="C418" s="8" t="s">
        <v>620</v>
      </c>
      <c r="D418" s="8" t="s">
        <v>4</v>
      </c>
      <c r="E418" s="8" t="s">
        <v>18</v>
      </c>
      <c r="F418" s="6">
        <v>-187.79</v>
      </c>
      <c r="G418" s="8" t="s">
        <v>621</v>
      </c>
      <c r="H418" s="8" t="s">
        <v>620</v>
      </c>
      <c r="I418" s="8" t="s">
        <v>620</v>
      </c>
      <c r="K418">
        <f>IF($A418="","",IF(ISNUMBER($A418),MONTH($A418),MONTH(DATEVALUE($A418))))</f>
        <v>9</v>
      </c>
    </row>
    <row r="419" spans="1:11" ht="60" customHeight="1" x14ac:dyDescent="0.25">
      <c r="A419" s="7" t="s">
        <v>613</v>
      </c>
      <c r="B419" s="7" t="s">
        <v>0</v>
      </c>
      <c r="C419" s="7" t="s">
        <v>620</v>
      </c>
      <c r="D419" s="7" t="s">
        <v>4</v>
      </c>
      <c r="E419" s="7" t="s">
        <v>18</v>
      </c>
      <c r="F419" s="5">
        <v>-177.54</v>
      </c>
      <c r="G419" s="7" t="s">
        <v>621</v>
      </c>
      <c r="H419" s="7" t="s">
        <v>620</v>
      </c>
      <c r="I419" s="7" t="s">
        <v>620</v>
      </c>
      <c r="K419">
        <f>IF($A419="","",IF(ISNUMBER($A419),MONTH($A419),MONTH(DATEVALUE($A419))))</f>
        <v>9</v>
      </c>
    </row>
    <row r="420" spans="1:11" ht="60" customHeight="1" x14ac:dyDescent="0.25">
      <c r="A420" s="8" t="s">
        <v>613</v>
      </c>
      <c r="B420" s="8" t="s">
        <v>0</v>
      </c>
      <c r="C420" s="8" t="s">
        <v>620</v>
      </c>
      <c r="D420" s="8" t="s">
        <v>4</v>
      </c>
      <c r="E420" s="8" t="s">
        <v>18</v>
      </c>
      <c r="F420" s="6">
        <v>-172.17</v>
      </c>
      <c r="G420" s="8" t="s">
        <v>621</v>
      </c>
      <c r="H420" s="8" t="s">
        <v>620</v>
      </c>
      <c r="I420" s="8" t="s">
        <v>620</v>
      </c>
      <c r="K420">
        <f>IF($A420="","",IF(ISNUMBER($A420),MONTH($A420),MONTH(DATEVALUE($A420))))</f>
        <v>9</v>
      </c>
    </row>
    <row r="421" spans="1:11" ht="60" customHeight="1" x14ac:dyDescent="0.25">
      <c r="A421" s="7" t="s">
        <v>613</v>
      </c>
      <c r="B421" s="7" t="s">
        <v>0</v>
      </c>
      <c r="C421" s="7" t="s">
        <v>620</v>
      </c>
      <c r="D421" s="7" t="s">
        <v>4</v>
      </c>
      <c r="E421" s="7" t="s">
        <v>18</v>
      </c>
      <c r="F421" s="5">
        <v>-165.22</v>
      </c>
      <c r="G421" s="7" t="s">
        <v>621</v>
      </c>
      <c r="H421" s="7" t="s">
        <v>620</v>
      </c>
      <c r="I421" s="7" t="s">
        <v>620</v>
      </c>
      <c r="K421">
        <f>IF($A421="","",IF(ISNUMBER($A421),MONTH($A421),MONTH(DATEVALUE($A421))))</f>
        <v>9</v>
      </c>
    </row>
    <row r="422" spans="1:11" ht="60" customHeight="1" x14ac:dyDescent="0.25">
      <c r="A422" s="8" t="s">
        <v>613</v>
      </c>
      <c r="B422" s="8" t="s">
        <v>0</v>
      </c>
      <c r="C422" s="8" t="s">
        <v>620</v>
      </c>
      <c r="D422" s="8" t="s">
        <v>4</v>
      </c>
      <c r="E422" s="8" t="s">
        <v>18</v>
      </c>
      <c r="F422" s="6">
        <v>-160.37</v>
      </c>
      <c r="G422" s="8" t="s">
        <v>621</v>
      </c>
      <c r="H422" s="8" t="s">
        <v>620</v>
      </c>
      <c r="I422" s="8" t="s">
        <v>620</v>
      </c>
      <c r="K422">
        <f>IF($A422="","",IF(ISNUMBER($A422),MONTH($A422),MONTH(DATEVALUE($A422))))</f>
        <v>9</v>
      </c>
    </row>
    <row r="423" spans="1:11" ht="60" customHeight="1" x14ac:dyDescent="0.25">
      <c r="A423" s="7" t="s">
        <v>613</v>
      </c>
      <c r="B423" s="7" t="s">
        <v>0</v>
      </c>
      <c r="C423" s="7" t="s">
        <v>620</v>
      </c>
      <c r="D423" s="7" t="s">
        <v>4</v>
      </c>
      <c r="E423" s="7" t="s">
        <v>18</v>
      </c>
      <c r="F423" s="5">
        <v>-160.13999999999999</v>
      </c>
      <c r="G423" s="7" t="s">
        <v>621</v>
      </c>
      <c r="H423" s="7" t="s">
        <v>620</v>
      </c>
      <c r="I423" s="7" t="s">
        <v>620</v>
      </c>
      <c r="K423">
        <f>IF($A423="","",IF(ISNUMBER($A423),MONTH($A423),MONTH(DATEVALUE($A423))))</f>
        <v>9</v>
      </c>
    </row>
    <row r="424" spans="1:11" ht="60" customHeight="1" x14ac:dyDescent="0.25">
      <c r="A424" s="8" t="s">
        <v>613</v>
      </c>
      <c r="B424" s="8" t="s">
        <v>0</v>
      </c>
      <c r="C424" s="8" t="s">
        <v>620</v>
      </c>
      <c r="D424" s="8" t="s">
        <v>4</v>
      </c>
      <c r="E424" s="8" t="s">
        <v>18</v>
      </c>
      <c r="F424" s="6">
        <v>-157.80000000000001</v>
      </c>
      <c r="G424" s="8" t="s">
        <v>621</v>
      </c>
      <c r="H424" s="8" t="s">
        <v>620</v>
      </c>
      <c r="I424" s="8" t="s">
        <v>620</v>
      </c>
      <c r="K424">
        <f>IF($A424="","",IF(ISNUMBER($A424),MONTH($A424),MONTH(DATEVALUE($A424))))</f>
        <v>9</v>
      </c>
    </row>
    <row r="425" spans="1:11" ht="60" customHeight="1" x14ac:dyDescent="0.25">
      <c r="A425" s="7" t="s">
        <v>613</v>
      </c>
      <c r="B425" s="7" t="s">
        <v>0</v>
      </c>
      <c r="C425" s="7" t="s">
        <v>620</v>
      </c>
      <c r="D425" s="7" t="s">
        <v>4</v>
      </c>
      <c r="E425" s="7" t="s">
        <v>18</v>
      </c>
      <c r="F425" s="5">
        <v>-151.33000000000001</v>
      </c>
      <c r="G425" s="7" t="s">
        <v>621</v>
      </c>
      <c r="H425" s="7" t="s">
        <v>620</v>
      </c>
      <c r="I425" s="7" t="s">
        <v>620</v>
      </c>
      <c r="K425">
        <f>IF($A425="","",IF(ISNUMBER($A425),MONTH($A425),MONTH(DATEVALUE($A425))))</f>
        <v>9</v>
      </c>
    </row>
    <row r="426" spans="1:11" ht="60" customHeight="1" x14ac:dyDescent="0.25">
      <c r="A426" s="8" t="s">
        <v>613</v>
      </c>
      <c r="B426" s="8" t="s">
        <v>0</v>
      </c>
      <c r="C426" s="8" t="s">
        <v>620</v>
      </c>
      <c r="D426" s="8" t="s">
        <v>4</v>
      </c>
      <c r="E426" s="8" t="s">
        <v>18</v>
      </c>
      <c r="F426" s="6">
        <v>-148.55000000000001</v>
      </c>
      <c r="G426" s="8" t="s">
        <v>621</v>
      </c>
      <c r="H426" s="8" t="s">
        <v>620</v>
      </c>
      <c r="I426" s="8" t="s">
        <v>620</v>
      </c>
      <c r="K426">
        <f>IF($A426="","",IF(ISNUMBER($A426),MONTH($A426),MONTH(DATEVALUE($A426))))</f>
        <v>9</v>
      </c>
    </row>
    <row r="427" spans="1:11" ht="60" customHeight="1" x14ac:dyDescent="0.25">
      <c r="A427" s="7" t="s">
        <v>613</v>
      </c>
      <c r="B427" s="7" t="s">
        <v>0</v>
      </c>
      <c r="C427" s="7" t="s">
        <v>620</v>
      </c>
      <c r="D427" s="7" t="s">
        <v>4</v>
      </c>
      <c r="E427" s="7" t="s">
        <v>18</v>
      </c>
      <c r="F427" s="5">
        <v>-148.51</v>
      </c>
      <c r="G427" s="7" t="s">
        <v>621</v>
      </c>
      <c r="H427" s="7" t="s">
        <v>620</v>
      </c>
      <c r="I427" s="7" t="s">
        <v>620</v>
      </c>
      <c r="K427">
        <f>IF($A427="","",IF(ISNUMBER($A427),MONTH($A427),MONTH(DATEVALUE($A427))))</f>
        <v>9</v>
      </c>
    </row>
    <row r="428" spans="1:11" ht="60" customHeight="1" x14ac:dyDescent="0.25">
      <c r="A428" s="8" t="s">
        <v>613</v>
      </c>
      <c r="B428" s="8" t="s">
        <v>0</v>
      </c>
      <c r="C428" s="8" t="s">
        <v>620</v>
      </c>
      <c r="D428" s="8" t="s">
        <v>4</v>
      </c>
      <c r="E428" s="8" t="s">
        <v>18</v>
      </c>
      <c r="F428" s="6">
        <v>-139.36000000000001</v>
      </c>
      <c r="G428" s="8" t="s">
        <v>621</v>
      </c>
      <c r="H428" s="8" t="s">
        <v>620</v>
      </c>
      <c r="I428" s="8" t="s">
        <v>620</v>
      </c>
      <c r="K428">
        <f>IF($A428="","",IF(ISNUMBER($A428),MONTH($A428),MONTH(DATEVALUE($A428))))</f>
        <v>9</v>
      </c>
    </row>
    <row r="429" spans="1:11" ht="60" customHeight="1" x14ac:dyDescent="0.25">
      <c r="A429" s="7" t="s">
        <v>613</v>
      </c>
      <c r="B429" s="7" t="s">
        <v>0</v>
      </c>
      <c r="C429" s="7" t="s">
        <v>620</v>
      </c>
      <c r="D429" s="7" t="s">
        <v>4</v>
      </c>
      <c r="E429" s="7" t="s">
        <v>18</v>
      </c>
      <c r="F429" s="5">
        <v>-138.25</v>
      </c>
      <c r="G429" s="7" t="s">
        <v>621</v>
      </c>
      <c r="H429" s="7" t="s">
        <v>620</v>
      </c>
      <c r="I429" s="7" t="s">
        <v>620</v>
      </c>
      <c r="K429">
        <f>IF($A429="","",IF(ISNUMBER($A429),MONTH($A429),MONTH(DATEVALUE($A429))))</f>
        <v>9</v>
      </c>
    </row>
    <row r="430" spans="1:11" ht="60" customHeight="1" x14ac:dyDescent="0.25">
      <c r="A430" s="8" t="s">
        <v>613</v>
      </c>
      <c r="B430" s="8" t="s">
        <v>0</v>
      </c>
      <c r="C430" s="8" t="s">
        <v>620</v>
      </c>
      <c r="D430" s="8" t="s">
        <v>4</v>
      </c>
      <c r="E430" s="8" t="s">
        <v>18</v>
      </c>
      <c r="F430" s="6">
        <v>-137</v>
      </c>
      <c r="G430" s="8" t="s">
        <v>621</v>
      </c>
      <c r="H430" s="8" t="s">
        <v>620</v>
      </c>
      <c r="I430" s="8" t="s">
        <v>620</v>
      </c>
      <c r="K430">
        <f>IF($A430="","",IF(ISNUMBER($A430),MONTH($A430),MONTH(DATEVALUE($A430))))</f>
        <v>9</v>
      </c>
    </row>
    <row r="431" spans="1:11" ht="60" customHeight="1" x14ac:dyDescent="0.25">
      <c r="A431" s="7" t="s">
        <v>613</v>
      </c>
      <c r="B431" s="7" t="s">
        <v>0</v>
      </c>
      <c r="C431" s="7" t="s">
        <v>620</v>
      </c>
      <c r="D431" s="7" t="s">
        <v>4</v>
      </c>
      <c r="E431" s="7" t="s">
        <v>18</v>
      </c>
      <c r="F431" s="5">
        <v>-133.21</v>
      </c>
      <c r="G431" s="7" t="s">
        <v>621</v>
      </c>
      <c r="H431" s="7" t="s">
        <v>620</v>
      </c>
      <c r="I431" s="7" t="s">
        <v>620</v>
      </c>
      <c r="K431">
        <f>IF($A431="","",IF(ISNUMBER($A431),MONTH($A431),MONTH(DATEVALUE($A431))))</f>
        <v>9</v>
      </c>
    </row>
    <row r="432" spans="1:11" ht="60" customHeight="1" x14ac:dyDescent="0.25">
      <c r="A432" s="8" t="s">
        <v>613</v>
      </c>
      <c r="B432" s="8" t="s">
        <v>0</v>
      </c>
      <c r="C432" s="8" t="s">
        <v>620</v>
      </c>
      <c r="D432" s="8" t="s">
        <v>4</v>
      </c>
      <c r="E432" s="8" t="s">
        <v>18</v>
      </c>
      <c r="F432" s="6">
        <v>-128.81</v>
      </c>
      <c r="G432" s="8" t="s">
        <v>621</v>
      </c>
      <c r="H432" s="8" t="s">
        <v>620</v>
      </c>
      <c r="I432" s="8" t="s">
        <v>620</v>
      </c>
      <c r="K432">
        <f>IF($A432="","",IF(ISNUMBER($A432),MONTH($A432),MONTH(DATEVALUE($A432))))</f>
        <v>9</v>
      </c>
    </row>
    <row r="433" spans="1:11" ht="60" customHeight="1" x14ac:dyDescent="0.25">
      <c r="A433" s="7" t="s">
        <v>613</v>
      </c>
      <c r="B433" s="7" t="s">
        <v>0</v>
      </c>
      <c r="C433" s="7" t="s">
        <v>620</v>
      </c>
      <c r="D433" s="7" t="s">
        <v>4</v>
      </c>
      <c r="E433" s="7" t="s">
        <v>18</v>
      </c>
      <c r="F433" s="5">
        <v>-128.72999999999999</v>
      </c>
      <c r="G433" s="7" t="s">
        <v>621</v>
      </c>
      <c r="H433" s="7" t="s">
        <v>620</v>
      </c>
      <c r="I433" s="7" t="s">
        <v>620</v>
      </c>
      <c r="K433">
        <f>IF($A433="","",IF(ISNUMBER($A433),MONTH($A433),MONTH(DATEVALUE($A433))))</f>
        <v>9</v>
      </c>
    </row>
    <row r="434" spans="1:11" ht="60" customHeight="1" x14ac:dyDescent="0.25">
      <c r="A434" s="8" t="s">
        <v>613</v>
      </c>
      <c r="B434" s="8" t="s">
        <v>0</v>
      </c>
      <c r="C434" s="8" t="s">
        <v>620</v>
      </c>
      <c r="D434" s="8" t="s">
        <v>4</v>
      </c>
      <c r="E434" s="8" t="s">
        <v>18</v>
      </c>
      <c r="F434" s="6">
        <v>-128.72999999999999</v>
      </c>
      <c r="G434" s="8" t="s">
        <v>621</v>
      </c>
      <c r="H434" s="8" t="s">
        <v>620</v>
      </c>
      <c r="I434" s="8" t="s">
        <v>620</v>
      </c>
      <c r="K434">
        <f>IF($A434="","",IF(ISNUMBER($A434),MONTH($A434),MONTH(DATEVALUE($A434))))</f>
        <v>9</v>
      </c>
    </row>
    <row r="435" spans="1:11" ht="60" customHeight="1" x14ac:dyDescent="0.25">
      <c r="A435" s="7" t="s">
        <v>613</v>
      </c>
      <c r="B435" s="7" t="s">
        <v>0</v>
      </c>
      <c r="C435" s="7" t="s">
        <v>620</v>
      </c>
      <c r="D435" s="7" t="s">
        <v>4</v>
      </c>
      <c r="E435" s="7" t="s">
        <v>18</v>
      </c>
      <c r="F435" s="5">
        <v>-125.81</v>
      </c>
      <c r="G435" s="7" t="s">
        <v>621</v>
      </c>
      <c r="H435" s="7" t="s">
        <v>620</v>
      </c>
      <c r="I435" s="7" t="s">
        <v>620</v>
      </c>
      <c r="K435">
        <f>IF($A435="","",IF(ISNUMBER($A435),MONTH($A435),MONTH(DATEVALUE($A435))))</f>
        <v>9</v>
      </c>
    </row>
    <row r="436" spans="1:11" ht="60" customHeight="1" x14ac:dyDescent="0.25">
      <c r="A436" s="8" t="s">
        <v>613</v>
      </c>
      <c r="B436" s="8" t="s">
        <v>0</v>
      </c>
      <c r="C436" s="8" t="s">
        <v>620</v>
      </c>
      <c r="D436" s="8" t="s">
        <v>4</v>
      </c>
      <c r="E436" s="8" t="s">
        <v>18</v>
      </c>
      <c r="F436" s="6">
        <v>-121.33</v>
      </c>
      <c r="G436" s="8" t="s">
        <v>621</v>
      </c>
      <c r="H436" s="8" t="s">
        <v>620</v>
      </c>
      <c r="I436" s="8" t="s">
        <v>620</v>
      </c>
      <c r="K436">
        <f>IF($A436="","",IF(ISNUMBER($A436),MONTH($A436),MONTH(DATEVALUE($A436))))</f>
        <v>9</v>
      </c>
    </row>
    <row r="437" spans="1:11" ht="60" customHeight="1" x14ac:dyDescent="0.25">
      <c r="A437" s="7" t="s">
        <v>613</v>
      </c>
      <c r="B437" s="7" t="s">
        <v>0</v>
      </c>
      <c r="C437" s="7" t="s">
        <v>620</v>
      </c>
      <c r="D437" s="7" t="s">
        <v>4</v>
      </c>
      <c r="E437" s="7" t="s">
        <v>18</v>
      </c>
      <c r="F437" s="5">
        <v>-120.96</v>
      </c>
      <c r="G437" s="7" t="s">
        <v>621</v>
      </c>
      <c r="H437" s="7" t="s">
        <v>620</v>
      </c>
      <c r="I437" s="7" t="s">
        <v>620</v>
      </c>
      <c r="K437">
        <f>IF($A437="","",IF(ISNUMBER($A437),MONTH($A437),MONTH(DATEVALUE($A437))))</f>
        <v>9</v>
      </c>
    </row>
    <row r="438" spans="1:11" ht="60" customHeight="1" x14ac:dyDescent="0.25">
      <c r="A438" s="8" t="s">
        <v>613</v>
      </c>
      <c r="B438" s="8" t="s">
        <v>0</v>
      </c>
      <c r="C438" s="8" t="s">
        <v>620</v>
      </c>
      <c r="D438" s="8" t="s">
        <v>4</v>
      </c>
      <c r="E438" s="8" t="s">
        <v>18</v>
      </c>
      <c r="F438" s="6">
        <v>-119.91</v>
      </c>
      <c r="G438" s="8" t="s">
        <v>621</v>
      </c>
      <c r="H438" s="8" t="s">
        <v>620</v>
      </c>
      <c r="I438" s="8" t="s">
        <v>620</v>
      </c>
      <c r="K438">
        <f>IF($A438="","",IF(ISNUMBER($A438),MONTH($A438),MONTH(DATEVALUE($A438))))</f>
        <v>9</v>
      </c>
    </row>
    <row r="439" spans="1:11" ht="60" customHeight="1" x14ac:dyDescent="0.25">
      <c r="A439" s="7" t="s">
        <v>613</v>
      </c>
      <c r="B439" s="7" t="s">
        <v>0</v>
      </c>
      <c r="C439" s="7" t="s">
        <v>620</v>
      </c>
      <c r="D439" s="7" t="s">
        <v>4</v>
      </c>
      <c r="E439" s="7" t="s">
        <v>18</v>
      </c>
      <c r="F439" s="5">
        <v>-119.06</v>
      </c>
      <c r="G439" s="7" t="s">
        <v>621</v>
      </c>
      <c r="H439" s="7" t="s">
        <v>620</v>
      </c>
      <c r="I439" s="7" t="s">
        <v>620</v>
      </c>
      <c r="K439">
        <f>IF($A439="","",IF(ISNUMBER($A439),MONTH($A439),MONTH(DATEVALUE($A439))))</f>
        <v>9</v>
      </c>
    </row>
    <row r="440" spans="1:11" ht="60" customHeight="1" x14ac:dyDescent="0.25">
      <c r="A440" s="8" t="s">
        <v>613</v>
      </c>
      <c r="B440" s="8" t="s">
        <v>0</v>
      </c>
      <c r="C440" s="8" t="s">
        <v>620</v>
      </c>
      <c r="D440" s="8" t="s">
        <v>4</v>
      </c>
      <c r="E440" s="8" t="s">
        <v>18</v>
      </c>
      <c r="F440" s="6">
        <v>-116.33</v>
      </c>
      <c r="G440" s="8" t="s">
        <v>621</v>
      </c>
      <c r="H440" s="8" t="s">
        <v>620</v>
      </c>
      <c r="I440" s="8" t="s">
        <v>620</v>
      </c>
      <c r="K440">
        <f>IF($A440="","",IF(ISNUMBER($A440),MONTH($A440),MONTH(DATEVALUE($A440))))</f>
        <v>9</v>
      </c>
    </row>
    <row r="441" spans="1:11" ht="60" customHeight="1" x14ac:dyDescent="0.25">
      <c r="A441" s="7" t="s">
        <v>613</v>
      </c>
      <c r="B441" s="7" t="s">
        <v>0</v>
      </c>
      <c r="C441" s="7" t="s">
        <v>620</v>
      </c>
      <c r="D441" s="7" t="s">
        <v>4</v>
      </c>
      <c r="E441" s="7" t="s">
        <v>18</v>
      </c>
      <c r="F441" s="5">
        <v>-108.39</v>
      </c>
      <c r="G441" s="7" t="s">
        <v>621</v>
      </c>
      <c r="H441" s="7" t="s">
        <v>620</v>
      </c>
      <c r="I441" s="7" t="s">
        <v>620</v>
      </c>
      <c r="K441">
        <f>IF($A441="","",IF(ISNUMBER($A441),MONTH($A441),MONTH(DATEVALUE($A441))))</f>
        <v>9</v>
      </c>
    </row>
    <row r="442" spans="1:11" ht="60" customHeight="1" x14ac:dyDescent="0.25">
      <c r="A442" s="8" t="s">
        <v>613</v>
      </c>
      <c r="B442" s="8" t="s">
        <v>0</v>
      </c>
      <c r="C442" s="8" t="s">
        <v>620</v>
      </c>
      <c r="D442" s="8" t="s">
        <v>4</v>
      </c>
      <c r="E442" s="8" t="s">
        <v>18</v>
      </c>
      <c r="F442" s="6">
        <v>-104.93</v>
      </c>
      <c r="G442" s="8" t="s">
        <v>621</v>
      </c>
      <c r="H442" s="8" t="s">
        <v>620</v>
      </c>
      <c r="I442" s="8" t="s">
        <v>620</v>
      </c>
      <c r="K442">
        <f>IF($A442="","",IF(ISNUMBER($A442),MONTH($A442),MONTH(DATEVALUE($A442))))</f>
        <v>9</v>
      </c>
    </row>
    <row r="443" spans="1:11" ht="60" customHeight="1" x14ac:dyDescent="0.25">
      <c r="A443" s="7" t="s">
        <v>613</v>
      </c>
      <c r="B443" s="7" t="s">
        <v>0</v>
      </c>
      <c r="C443" s="7" t="s">
        <v>620</v>
      </c>
      <c r="D443" s="7" t="s">
        <v>4</v>
      </c>
      <c r="E443" s="7" t="s">
        <v>18</v>
      </c>
      <c r="F443" s="5">
        <v>-102.92</v>
      </c>
      <c r="G443" s="7" t="s">
        <v>621</v>
      </c>
      <c r="H443" s="7" t="s">
        <v>620</v>
      </c>
      <c r="I443" s="7" t="s">
        <v>620</v>
      </c>
      <c r="K443">
        <f>IF($A443="","",IF(ISNUMBER($A443),MONTH($A443),MONTH(DATEVALUE($A443))))</f>
        <v>9</v>
      </c>
    </row>
    <row r="444" spans="1:11" ht="60" customHeight="1" x14ac:dyDescent="0.25">
      <c r="A444" s="8" t="s">
        <v>613</v>
      </c>
      <c r="B444" s="8" t="s">
        <v>0</v>
      </c>
      <c r="C444" s="8" t="s">
        <v>620</v>
      </c>
      <c r="D444" s="8" t="s">
        <v>4</v>
      </c>
      <c r="E444" s="8" t="s">
        <v>18</v>
      </c>
      <c r="F444" s="6">
        <v>-101.83</v>
      </c>
      <c r="G444" s="8" t="s">
        <v>621</v>
      </c>
      <c r="H444" s="8" t="s">
        <v>620</v>
      </c>
      <c r="I444" s="8" t="s">
        <v>620</v>
      </c>
      <c r="K444">
        <f>IF($A444="","",IF(ISNUMBER($A444),MONTH($A444),MONTH(DATEVALUE($A444))))</f>
        <v>9</v>
      </c>
    </row>
    <row r="445" spans="1:11" ht="60" customHeight="1" x14ac:dyDescent="0.25">
      <c r="A445" s="7" t="s">
        <v>613</v>
      </c>
      <c r="B445" s="7" t="s">
        <v>0</v>
      </c>
      <c r="C445" s="7" t="s">
        <v>620</v>
      </c>
      <c r="D445" s="7" t="s">
        <v>4</v>
      </c>
      <c r="E445" s="7" t="s">
        <v>18</v>
      </c>
      <c r="F445" s="5">
        <v>-90.92</v>
      </c>
      <c r="G445" s="7" t="s">
        <v>621</v>
      </c>
      <c r="H445" s="7" t="s">
        <v>620</v>
      </c>
      <c r="I445" s="7" t="s">
        <v>620</v>
      </c>
      <c r="K445">
        <f>IF($A445="","",IF(ISNUMBER($A445),MONTH($A445),MONTH(DATEVALUE($A445))))</f>
        <v>9</v>
      </c>
    </row>
    <row r="446" spans="1:11" ht="60" customHeight="1" x14ac:dyDescent="0.25">
      <c r="A446" s="8" t="s">
        <v>613</v>
      </c>
      <c r="B446" s="8" t="s">
        <v>0</v>
      </c>
      <c r="C446" s="8" t="s">
        <v>620</v>
      </c>
      <c r="D446" s="8" t="s">
        <v>4</v>
      </c>
      <c r="E446" s="8" t="s">
        <v>18</v>
      </c>
      <c r="F446" s="6">
        <v>-89.42</v>
      </c>
      <c r="G446" s="8" t="s">
        <v>621</v>
      </c>
      <c r="H446" s="8" t="s">
        <v>620</v>
      </c>
      <c r="I446" s="8" t="s">
        <v>620</v>
      </c>
      <c r="K446">
        <f>IF($A446="","",IF(ISNUMBER($A446),MONTH($A446),MONTH(DATEVALUE($A446))))</f>
        <v>9</v>
      </c>
    </row>
    <row r="447" spans="1:11" ht="60" customHeight="1" x14ac:dyDescent="0.25">
      <c r="A447" s="7" t="s">
        <v>613</v>
      </c>
      <c r="B447" s="7" t="s">
        <v>0</v>
      </c>
      <c r="C447" s="7" t="s">
        <v>620</v>
      </c>
      <c r="D447" s="7" t="s">
        <v>4</v>
      </c>
      <c r="E447" s="7" t="s">
        <v>18</v>
      </c>
      <c r="F447" s="5">
        <v>-88.77</v>
      </c>
      <c r="G447" s="7" t="s">
        <v>621</v>
      </c>
      <c r="H447" s="7" t="s">
        <v>620</v>
      </c>
      <c r="I447" s="7" t="s">
        <v>620</v>
      </c>
      <c r="K447">
        <f>IF($A447="","",IF(ISNUMBER($A447),MONTH($A447),MONTH(DATEVALUE($A447))))</f>
        <v>9</v>
      </c>
    </row>
    <row r="448" spans="1:11" ht="60" customHeight="1" x14ac:dyDescent="0.25">
      <c r="A448" s="8" t="s">
        <v>613</v>
      </c>
      <c r="B448" s="8" t="s">
        <v>0</v>
      </c>
      <c r="C448" s="8" t="s">
        <v>620</v>
      </c>
      <c r="D448" s="8" t="s">
        <v>4</v>
      </c>
      <c r="E448" s="8" t="s">
        <v>18</v>
      </c>
      <c r="F448" s="6">
        <v>-86.11</v>
      </c>
      <c r="G448" s="8" t="s">
        <v>621</v>
      </c>
      <c r="H448" s="8" t="s">
        <v>620</v>
      </c>
      <c r="I448" s="8" t="s">
        <v>620</v>
      </c>
      <c r="K448">
        <f>IF($A448="","",IF(ISNUMBER($A448),MONTH($A448),MONTH(DATEVALUE($A448))))</f>
        <v>9</v>
      </c>
    </row>
    <row r="449" spans="1:11" ht="60" customHeight="1" x14ac:dyDescent="0.25">
      <c r="A449" s="7" t="s">
        <v>613</v>
      </c>
      <c r="B449" s="7" t="s">
        <v>0</v>
      </c>
      <c r="C449" s="7" t="s">
        <v>620</v>
      </c>
      <c r="D449" s="7" t="s">
        <v>4</v>
      </c>
      <c r="E449" s="7" t="s">
        <v>18</v>
      </c>
      <c r="F449" s="5">
        <v>-84.26</v>
      </c>
      <c r="G449" s="7" t="s">
        <v>621</v>
      </c>
      <c r="H449" s="7" t="s">
        <v>620</v>
      </c>
      <c r="I449" s="7" t="s">
        <v>620</v>
      </c>
      <c r="K449">
        <f>IF($A449="","",IF(ISNUMBER($A449),MONTH($A449),MONTH(DATEVALUE($A449))))</f>
        <v>9</v>
      </c>
    </row>
    <row r="450" spans="1:11" ht="60" customHeight="1" x14ac:dyDescent="0.25">
      <c r="A450" s="8" t="s">
        <v>613</v>
      </c>
      <c r="B450" s="8" t="s">
        <v>0</v>
      </c>
      <c r="C450" s="8" t="s">
        <v>620</v>
      </c>
      <c r="D450" s="8" t="s">
        <v>4</v>
      </c>
      <c r="E450" s="8" t="s">
        <v>18</v>
      </c>
      <c r="F450" s="6">
        <v>-83.78</v>
      </c>
      <c r="G450" s="8" t="s">
        <v>621</v>
      </c>
      <c r="H450" s="8" t="s">
        <v>620</v>
      </c>
      <c r="I450" s="8" t="s">
        <v>620</v>
      </c>
      <c r="K450">
        <f>IF($A450="","",IF(ISNUMBER($A450),MONTH($A450),MONTH(DATEVALUE($A450))))</f>
        <v>9</v>
      </c>
    </row>
    <row r="451" spans="1:11" ht="60" customHeight="1" x14ac:dyDescent="0.25">
      <c r="A451" s="7" t="s">
        <v>613</v>
      </c>
      <c r="B451" s="7" t="s">
        <v>0</v>
      </c>
      <c r="C451" s="7" t="s">
        <v>620</v>
      </c>
      <c r="D451" s="7" t="s">
        <v>4</v>
      </c>
      <c r="E451" s="7" t="s">
        <v>18</v>
      </c>
      <c r="F451" s="5">
        <v>-80.06</v>
      </c>
      <c r="G451" s="7" t="s">
        <v>621</v>
      </c>
      <c r="H451" s="7" t="s">
        <v>620</v>
      </c>
      <c r="I451" s="7" t="s">
        <v>620</v>
      </c>
      <c r="K451">
        <f>IF($A451="","",IF(ISNUMBER($A451),MONTH($A451),MONTH(DATEVALUE($A451))))</f>
        <v>9</v>
      </c>
    </row>
    <row r="452" spans="1:11" ht="60" customHeight="1" x14ac:dyDescent="0.25">
      <c r="A452" s="8" t="s">
        <v>613</v>
      </c>
      <c r="B452" s="8" t="s">
        <v>0</v>
      </c>
      <c r="C452" s="8" t="s">
        <v>620</v>
      </c>
      <c r="D452" s="8" t="s">
        <v>4</v>
      </c>
      <c r="E452" s="8" t="s">
        <v>18</v>
      </c>
      <c r="F452" s="6">
        <v>-77.930000000000007</v>
      </c>
      <c r="G452" s="8" t="s">
        <v>621</v>
      </c>
      <c r="H452" s="8" t="s">
        <v>620</v>
      </c>
      <c r="I452" s="8" t="s">
        <v>620</v>
      </c>
      <c r="K452">
        <f>IF($A452="","",IF(ISNUMBER($A452),MONTH($A452),MONTH(DATEVALUE($A452))))</f>
        <v>9</v>
      </c>
    </row>
    <row r="453" spans="1:11" ht="60" customHeight="1" x14ac:dyDescent="0.25">
      <c r="A453" s="7" t="s">
        <v>613</v>
      </c>
      <c r="B453" s="7" t="s">
        <v>0</v>
      </c>
      <c r="C453" s="7" t="s">
        <v>620</v>
      </c>
      <c r="D453" s="7" t="s">
        <v>4</v>
      </c>
      <c r="E453" s="7" t="s">
        <v>18</v>
      </c>
      <c r="F453" s="5">
        <v>-77.58</v>
      </c>
      <c r="G453" s="7" t="s">
        <v>621</v>
      </c>
      <c r="H453" s="7" t="s">
        <v>620</v>
      </c>
      <c r="I453" s="7" t="s">
        <v>620</v>
      </c>
      <c r="K453">
        <f>IF($A453="","",IF(ISNUMBER($A453),MONTH($A453),MONTH(DATEVALUE($A453))))</f>
        <v>9</v>
      </c>
    </row>
    <row r="454" spans="1:11" ht="60" customHeight="1" x14ac:dyDescent="0.25">
      <c r="A454" s="8" t="s">
        <v>613</v>
      </c>
      <c r="B454" s="8" t="s">
        <v>0</v>
      </c>
      <c r="C454" s="8" t="s">
        <v>620</v>
      </c>
      <c r="D454" s="8" t="s">
        <v>4</v>
      </c>
      <c r="E454" s="8" t="s">
        <v>18</v>
      </c>
      <c r="F454" s="6">
        <v>-74.69</v>
      </c>
      <c r="G454" s="8" t="s">
        <v>621</v>
      </c>
      <c r="H454" s="8" t="s">
        <v>620</v>
      </c>
      <c r="I454" s="8" t="s">
        <v>620</v>
      </c>
      <c r="K454">
        <f>IF($A454="","",IF(ISNUMBER($A454),MONTH($A454),MONTH(DATEVALUE($A454))))</f>
        <v>9</v>
      </c>
    </row>
    <row r="455" spans="1:11" ht="60" customHeight="1" x14ac:dyDescent="0.25">
      <c r="A455" s="7" t="s">
        <v>613</v>
      </c>
      <c r="B455" s="7" t="s">
        <v>0</v>
      </c>
      <c r="C455" s="7" t="s">
        <v>620</v>
      </c>
      <c r="D455" s="7" t="s">
        <v>4</v>
      </c>
      <c r="E455" s="7" t="s">
        <v>18</v>
      </c>
      <c r="F455" s="5">
        <v>-74.680000000000007</v>
      </c>
      <c r="G455" s="7" t="s">
        <v>621</v>
      </c>
      <c r="H455" s="7" t="s">
        <v>620</v>
      </c>
      <c r="I455" s="7" t="s">
        <v>620</v>
      </c>
      <c r="K455">
        <f>IF($A455="","",IF(ISNUMBER($A455),MONTH($A455),MONTH(DATEVALUE($A455))))</f>
        <v>9</v>
      </c>
    </row>
    <row r="456" spans="1:11" ht="60" customHeight="1" x14ac:dyDescent="0.25">
      <c r="A456" s="8" t="s">
        <v>613</v>
      </c>
      <c r="B456" s="8" t="s">
        <v>0</v>
      </c>
      <c r="C456" s="8" t="s">
        <v>620</v>
      </c>
      <c r="D456" s="8" t="s">
        <v>4</v>
      </c>
      <c r="E456" s="8" t="s">
        <v>18</v>
      </c>
      <c r="F456" s="6">
        <v>-74.680000000000007</v>
      </c>
      <c r="G456" s="8" t="s">
        <v>621</v>
      </c>
      <c r="H456" s="8" t="s">
        <v>620</v>
      </c>
      <c r="I456" s="8" t="s">
        <v>620</v>
      </c>
      <c r="K456">
        <f>IF($A456="","",IF(ISNUMBER($A456),MONTH($A456),MONTH(DATEVALUE($A456))))</f>
        <v>9</v>
      </c>
    </row>
    <row r="457" spans="1:11" ht="60" customHeight="1" x14ac:dyDescent="0.25">
      <c r="A457" s="7" t="s">
        <v>613</v>
      </c>
      <c r="B457" s="7" t="s">
        <v>0</v>
      </c>
      <c r="C457" s="7" t="s">
        <v>620</v>
      </c>
      <c r="D457" s="7" t="s">
        <v>4</v>
      </c>
      <c r="E457" s="7" t="s">
        <v>18</v>
      </c>
      <c r="F457" s="5">
        <v>-73.849999999999994</v>
      </c>
      <c r="G457" s="7" t="s">
        <v>621</v>
      </c>
      <c r="H457" s="7" t="s">
        <v>620</v>
      </c>
      <c r="I457" s="7" t="s">
        <v>620</v>
      </c>
      <c r="K457">
        <f>IF($A457="","",IF(ISNUMBER($A457),MONTH($A457),MONTH(DATEVALUE($A457))))</f>
        <v>9</v>
      </c>
    </row>
    <row r="458" spans="1:11" ht="60" customHeight="1" x14ac:dyDescent="0.25">
      <c r="A458" s="8" t="s">
        <v>613</v>
      </c>
      <c r="B458" s="8" t="s">
        <v>0</v>
      </c>
      <c r="C458" s="8" t="s">
        <v>620</v>
      </c>
      <c r="D458" s="8" t="s">
        <v>4</v>
      </c>
      <c r="E458" s="8" t="s">
        <v>18</v>
      </c>
      <c r="F458" s="6">
        <v>-73.08</v>
      </c>
      <c r="G458" s="8" t="s">
        <v>621</v>
      </c>
      <c r="H458" s="8" t="s">
        <v>620</v>
      </c>
      <c r="I458" s="8" t="s">
        <v>620</v>
      </c>
      <c r="K458">
        <f>IF($A458="","",IF(ISNUMBER($A458),MONTH($A458),MONTH(DATEVALUE($A458))))</f>
        <v>9</v>
      </c>
    </row>
    <row r="459" spans="1:11" ht="60" customHeight="1" x14ac:dyDescent="0.25">
      <c r="A459" s="7" t="s">
        <v>613</v>
      </c>
      <c r="B459" s="7" t="s">
        <v>0</v>
      </c>
      <c r="C459" s="7" t="s">
        <v>620</v>
      </c>
      <c r="D459" s="7" t="s">
        <v>4</v>
      </c>
      <c r="E459" s="7" t="s">
        <v>18</v>
      </c>
      <c r="F459" s="5">
        <v>-70.31</v>
      </c>
      <c r="G459" s="7" t="s">
        <v>621</v>
      </c>
      <c r="H459" s="7" t="s">
        <v>620</v>
      </c>
      <c r="I459" s="7" t="s">
        <v>620</v>
      </c>
      <c r="K459">
        <f>IF($A459="","",IF(ISNUMBER($A459),MONTH($A459),MONTH(DATEVALUE($A459))))</f>
        <v>9</v>
      </c>
    </row>
    <row r="460" spans="1:11" ht="60" customHeight="1" x14ac:dyDescent="0.25">
      <c r="A460" s="8" t="s">
        <v>613</v>
      </c>
      <c r="B460" s="8" t="s">
        <v>0</v>
      </c>
      <c r="C460" s="8" t="s">
        <v>620</v>
      </c>
      <c r="D460" s="8" t="s">
        <v>4</v>
      </c>
      <c r="E460" s="8" t="s">
        <v>18</v>
      </c>
      <c r="F460" s="6">
        <v>-70.31</v>
      </c>
      <c r="G460" s="8" t="s">
        <v>621</v>
      </c>
      <c r="H460" s="8" t="s">
        <v>620</v>
      </c>
      <c r="I460" s="8" t="s">
        <v>620</v>
      </c>
      <c r="K460">
        <f>IF($A460="","",IF(ISNUMBER($A460),MONTH($A460),MONTH(DATEVALUE($A460))))</f>
        <v>9</v>
      </c>
    </row>
    <row r="461" spans="1:11" ht="60" customHeight="1" x14ac:dyDescent="0.25">
      <c r="A461" s="7" t="s">
        <v>613</v>
      </c>
      <c r="B461" s="7" t="s">
        <v>0</v>
      </c>
      <c r="C461" s="7" t="s">
        <v>620</v>
      </c>
      <c r="D461" s="7" t="s">
        <v>4</v>
      </c>
      <c r="E461" s="7" t="s">
        <v>18</v>
      </c>
      <c r="F461" s="5">
        <v>-70.150000000000006</v>
      </c>
      <c r="G461" s="7" t="s">
        <v>621</v>
      </c>
      <c r="H461" s="7" t="s">
        <v>620</v>
      </c>
      <c r="I461" s="7" t="s">
        <v>620</v>
      </c>
      <c r="K461">
        <f>IF($A461="","",IF(ISNUMBER($A461),MONTH($A461),MONTH(DATEVALUE($A461))))</f>
        <v>9</v>
      </c>
    </row>
    <row r="462" spans="1:11" ht="60" customHeight="1" x14ac:dyDescent="0.25">
      <c r="A462" s="8" t="s">
        <v>613</v>
      </c>
      <c r="B462" s="8" t="s">
        <v>0</v>
      </c>
      <c r="C462" s="8" t="s">
        <v>620</v>
      </c>
      <c r="D462" s="8" t="s">
        <v>4</v>
      </c>
      <c r="E462" s="8" t="s">
        <v>18</v>
      </c>
      <c r="F462" s="6">
        <v>-69.989999999999995</v>
      </c>
      <c r="G462" s="8" t="s">
        <v>621</v>
      </c>
      <c r="H462" s="8" t="s">
        <v>620</v>
      </c>
      <c r="I462" s="8" t="s">
        <v>620</v>
      </c>
      <c r="K462">
        <f>IF($A462="","",IF(ISNUMBER($A462),MONTH($A462),MONTH(DATEVALUE($A462))))</f>
        <v>9</v>
      </c>
    </row>
    <row r="463" spans="1:11" ht="60" customHeight="1" x14ac:dyDescent="0.25">
      <c r="A463" s="7" t="s">
        <v>613</v>
      </c>
      <c r="B463" s="7" t="s">
        <v>0</v>
      </c>
      <c r="C463" s="7" t="s">
        <v>620</v>
      </c>
      <c r="D463" s="7" t="s">
        <v>4</v>
      </c>
      <c r="E463" s="7" t="s">
        <v>18</v>
      </c>
      <c r="F463" s="5">
        <v>-69.17</v>
      </c>
      <c r="G463" s="7" t="s">
        <v>621</v>
      </c>
      <c r="H463" s="7" t="s">
        <v>620</v>
      </c>
      <c r="I463" s="7" t="s">
        <v>620</v>
      </c>
      <c r="K463">
        <f>IF($A463="","",IF(ISNUMBER($A463),MONTH($A463),MONTH(DATEVALUE($A463))))</f>
        <v>9</v>
      </c>
    </row>
    <row r="464" spans="1:11" ht="60" customHeight="1" x14ac:dyDescent="0.25">
      <c r="A464" s="8" t="s">
        <v>613</v>
      </c>
      <c r="B464" s="8" t="s">
        <v>0</v>
      </c>
      <c r="C464" s="8" t="s">
        <v>620</v>
      </c>
      <c r="D464" s="8" t="s">
        <v>4</v>
      </c>
      <c r="E464" s="8" t="s">
        <v>18</v>
      </c>
      <c r="F464" s="6">
        <v>-67.209999999999994</v>
      </c>
      <c r="G464" s="8" t="s">
        <v>621</v>
      </c>
      <c r="H464" s="8" t="s">
        <v>620</v>
      </c>
      <c r="I464" s="8" t="s">
        <v>620</v>
      </c>
      <c r="K464">
        <f>IF($A464="","",IF(ISNUMBER($A464),MONTH($A464),MONTH(DATEVALUE($A464))))</f>
        <v>9</v>
      </c>
    </row>
    <row r="465" spans="1:11" ht="60" customHeight="1" x14ac:dyDescent="0.25">
      <c r="A465" s="7" t="s">
        <v>613</v>
      </c>
      <c r="B465" s="7" t="s">
        <v>0</v>
      </c>
      <c r="C465" s="7" t="s">
        <v>620</v>
      </c>
      <c r="D465" s="7" t="s">
        <v>4</v>
      </c>
      <c r="E465" s="7" t="s">
        <v>18</v>
      </c>
      <c r="F465" s="5">
        <v>-66.25</v>
      </c>
      <c r="G465" s="7" t="s">
        <v>621</v>
      </c>
      <c r="H465" s="7" t="s">
        <v>620</v>
      </c>
      <c r="I465" s="7" t="s">
        <v>620</v>
      </c>
      <c r="K465">
        <f>IF($A465="","",IF(ISNUMBER($A465),MONTH($A465),MONTH(DATEVALUE($A465))))</f>
        <v>9</v>
      </c>
    </row>
    <row r="466" spans="1:11" ht="60" customHeight="1" x14ac:dyDescent="0.25">
      <c r="A466" s="8" t="s">
        <v>613</v>
      </c>
      <c r="B466" s="8" t="s">
        <v>0</v>
      </c>
      <c r="C466" s="8" t="s">
        <v>620</v>
      </c>
      <c r="D466" s="8" t="s">
        <v>4</v>
      </c>
      <c r="E466" s="8" t="s">
        <v>18</v>
      </c>
      <c r="F466" s="6">
        <v>-64.25</v>
      </c>
      <c r="G466" s="8" t="s">
        <v>621</v>
      </c>
      <c r="H466" s="8" t="s">
        <v>620</v>
      </c>
      <c r="I466" s="8" t="s">
        <v>620</v>
      </c>
      <c r="K466">
        <f>IF($A466="","",IF(ISNUMBER($A466),MONTH($A466),MONTH(DATEVALUE($A466))))</f>
        <v>9</v>
      </c>
    </row>
    <row r="467" spans="1:11" ht="60" customHeight="1" x14ac:dyDescent="0.25">
      <c r="A467" s="7" t="s">
        <v>613</v>
      </c>
      <c r="B467" s="7" t="s">
        <v>0</v>
      </c>
      <c r="C467" s="7" t="s">
        <v>620</v>
      </c>
      <c r="D467" s="7" t="s">
        <v>4</v>
      </c>
      <c r="E467" s="7" t="s">
        <v>18</v>
      </c>
      <c r="F467" s="5">
        <v>-63.58</v>
      </c>
      <c r="G467" s="7" t="s">
        <v>621</v>
      </c>
      <c r="H467" s="7" t="s">
        <v>620</v>
      </c>
      <c r="I467" s="7" t="s">
        <v>620</v>
      </c>
      <c r="K467">
        <f>IF($A467="","",IF(ISNUMBER($A467),MONTH($A467),MONTH(DATEVALUE($A467))))</f>
        <v>9</v>
      </c>
    </row>
    <row r="468" spans="1:11" ht="60" customHeight="1" x14ac:dyDescent="0.25">
      <c r="A468" s="8" t="s">
        <v>613</v>
      </c>
      <c r="B468" s="8" t="s">
        <v>0</v>
      </c>
      <c r="C468" s="8" t="s">
        <v>620</v>
      </c>
      <c r="D468" s="8" t="s">
        <v>4</v>
      </c>
      <c r="E468" s="8" t="s">
        <v>18</v>
      </c>
      <c r="F468" s="6">
        <v>-63.32</v>
      </c>
      <c r="G468" s="8" t="s">
        <v>621</v>
      </c>
      <c r="H468" s="8" t="s">
        <v>620</v>
      </c>
      <c r="I468" s="8" t="s">
        <v>620</v>
      </c>
      <c r="K468">
        <f>IF($A468="","",IF(ISNUMBER($A468),MONTH($A468),MONTH(DATEVALUE($A468))))</f>
        <v>9</v>
      </c>
    </row>
    <row r="469" spans="1:11" ht="60" customHeight="1" x14ac:dyDescent="0.25">
      <c r="A469" s="7" t="s">
        <v>613</v>
      </c>
      <c r="B469" s="7" t="s">
        <v>0</v>
      </c>
      <c r="C469" s="7" t="s">
        <v>620</v>
      </c>
      <c r="D469" s="7" t="s">
        <v>4</v>
      </c>
      <c r="E469" s="7" t="s">
        <v>18</v>
      </c>
      <c r="F469" s="5">
        <v>-60.6</v>
      </c>
      <c r="G469" s="7" t="s">
        <v>621</v>
      </c>
      <c r="H469" s="7" t="s">
        <v>620</v>
      </c>
      <c r="I469" s="7" t="s">
        <v>620</v>
      </c>
      <c r="K469">
        <f>IF($A469="","",IF(ISNUMBER($A469),MONTH($A469),MONTH(DATEVALUE($A469))))</f>
        <v>9</v>
      </c>
    </row>
    <row r="470" spans="1:11" ht="60" customHeight="1" x14ac:dyDescent="0.25">
      <c r="A470" s="8" t="s">
        <v>613</v>
      </c>
      <c r="B470" s="8" t="s">
        <v>0</v>
      </c>
      <c r="C470" s="8" t="s">
        <v>620</v>
      </c>
      <c r="D470" s="8" t="s">
        <v>4</v>
      </c>
      <c r="E470" s="8" t="s">
        <v>18</v>
      </c>
      <c r="F470" s="6">
        <v>-59.53</v>
      </c>
      <c r="G470" s="8" t="s">
        <v>621</v>
      </c>
      <c r="H470" s="8" t="s">
        <v>620</v>
      </c>
      <c r="I470" s="8" t="s">
        <v>620</v>
      </c>
      <c r="K470">
        <f>IF($A470="","",IF(ISNUMBER($A470),MONTH($A470),MONTH(DATEVALUE($A470))))</f>
        <v>9</v>
      </c>
    </row>
    <row r="471" spans="1:11" ht="60" customHeight="1" x14ac:dyDescent="0.25">
      <c r="A471" s="7" t="s">
        <v>613</v>
      </c>
      <c r="B471" s="7" t="s">
        <v>0</v>
      </c>
      <c r="C471" s="7" t="s">
        <v>620</v>
      </c>
      <c r="D471" s="7" t="s">
        <v>4</v>
      </c>
      <c r="E471" s="7" t="s">
        <v>18</v>
      </c>
      <c r="F471" s="5">
        <v>-59.44</v>
      </c>
      <c r="G471" s="7" t="s">
        <v>621</v>
      </c>
      <c r="H471" s="7" t="s">
        <v>620</v>
      </c>
      <c r="I471" s="7" t="s">
        <v>620</v>
      </c>
      <c r="K471">
        <f>IF($A471="","",IF(ISNUMBER($A471),MONTH($A471),MONTH(DATEVALUE($A471))))</f>
        <v>9</v>
      </c>
    </row>
    <row r="472" spans="1:11" ht="60" customHeight="1" x14ac:dyDescent="0.25">
      <c r="A472" s="8" t="s">
        <v>613</v>
      </c>
      <c r="B472" s="8" t="s">
        <v>0</v>
      </c>
      <c r="C472" s="8" t="s">
        <v>620</v>
      </c>
      <c r="D472" s="8" t="s">
        <v>4</v>
      </c>
      <c r="E472" s="8" t="s">
        <v>18</v>
      </c>
      <c r="F472" s="6">
        <v>-58.44</v>
      </c>
      <c r="G472" s="8" t="s">
        <v>621</v>
      </c>
      <c r="H472" s="8" t="s">
        <v>620</v>
      </c>
      <c r="I472" s="8" t="s">
        <v>620</v>
      </c>
      <c r="K472">
        <f>IF($A472="","",IF(ISNUMBER($A472),MONTH($A472),MONTH(DATEVALUE($A472))))</f>
        <v>9</v>
      </c>
    </row>
    <row r="473" spans="1:11" ht="60" customHeight="1" x14ac:dyDescent="0.25">
      <c r="A473" s="7" t="s">
        <v>613</v>
      </c>
      <c r="B473" s="7" t="s">
        <v>0</v>
      </c>
      <c r="C473" s="7" t="s">
        <v>620</v>
      </c>
      <c r="D473" s="7" t="s">
        <v>4</v>
      </c>
      <c r="E473" s="7" t="s">
        <v>18</v>
      </c>
      <c r="F473" s="5">
        <v>-57.36</v>
      </c>
      <c r="G473" s="7" t="s">
        <v>621</v>
      </c>
      <c r="H473" s="7" t="s">
        <v>620</v>
      </c>
      <c r="I473" s="7" t="s">
        <v>620</v>
      </c>
      <c r="K473">
        <f>IF($A473="","",IF(ISNUMBER($A473),MONTH($A473),MONTH(DATEVALUE($A473))))</f>
        <v>9</v>
      </c>
    </row>
    <row r="474" spans="1:11" ht="60" customHeight="1" x14ac:dyDescent="0.25">
      <c r="A474" s="8" t="s">
        <v>613</v>
      </c>
      <c r="B474" s="8" t="s">
        <v>0</v>
      </c>
      <c r="C474" s="8" t="s">
        <v>620</v>
      </c>
      <c r="D474" s="8" t="s">
        <v>4</v>
      </c>
      <c r="E474" s="8" t="s">
        <v>18</v>
      </c>
      <c r="F474" s="6">
        <v>-49.67</v>
      </c>
      <c r="G474" s="8" t="s">
        <v>621</v>
      </c>
      <c r="H474" s="8" t="s">
        <v>620</v>
      </c>
      <c r="I474" s="8" t="s">
        <v>620</v>
      </c>
      <c r="K474">
        <f>IF($A474="","",IF(ISNUMBER($A474),MONTH($A474),MONTH(DATEVALUE($A474))))</f>
        <v>9</v>
      </c>
    </row>
    <row r="475" spans="1:11" ht="60" customHeight="1" x14ac:dyDescent="0.25">
      <c r="A475" s="7" t="s">
        <v>613</v>
      </c>
      <c r="B475" s="7" t="s">
        <v>0</v>
      </c>
      <c r="C475" s="7" t="s">
        <v>620</v>
      </c>
      <c r="D475" s="7" t="s">
        <v>4</v>
      </c>
      <c r="E475" s="7" t="s">
        <v>18</v>
      </c>
      <c r="F475" s="5">
        <v>-48.58</v>
      </c>
      <c r="G475" s="7" t="s">
        <v>621</v>
      </c>
      <c r="H475" s="7" t="s">
        <v>620</v>
      </c>
      <c r="I475" s="7" t="s">
        <v>620</v>
      </c>
      <c r="K475">
        <f>IF($A475="","",IF(ISNUMBER($A475),MONTH($A475),MONTH(DATEVALUE($A475))))</f>
        <v>9</v>
      </c>
    </row>
    <row r="476" spans="1:11" ht="60" customHeight="1" x14ac:dyDescent="0.25">
      <c r="A476" s="8" t="s">
        <v>613</v>
      </c>
      <c r="B476" s="8" t="s">
        <v>0</v>
      </c>
      <c r="C476" s="8" t="s">
        <v>620</v>
      </c>
      <c r="D476" s="8" t="s">
        <v>4</v>
      </c>
      <c r="E476" s="8" t="s">
        <v>18</v>
      </c>
      <c r="F476" s="6">
        <v>-47.13</v>
      </c>
      <c r="G476" s="8" t="s">
        <v>621</v>
      </c>
      <c r="H476" s="8" t="s">
        <v>620</v>
      </c>
      <c r="I476" s="8" t="s">
        <v>620</v>
      </c>
      <c r="K476">
        <f>IF($A476="","",IF(ISNUMBER($A476),MONTH($A476),MONTH(DATEVALUE($A476))))</f>
        <v>9</v>
      </c>
    </row>
    <row r="477" spans="1:11" ht="60" customHeight="1" x14ac:dyDescent="0.25">
      <c r="A477" s="7" t="s">
        <v>613</v>
      </c>
      <c r="B477" s="7" t="s">
        <v>0</v>
      </c>
      <c r="C477" s="7" t="s">
        <v>620</v>
      </c>
      <c r="D477" s="7" t="s">
        <v>4</v>
      </c>
      <c r="E477" s="7" t="s">
        <v>18</v>
      </c>
      <c r="F477" s="5">
        <v>-46.91</v>
      </c>
      <c r="G477" s="7" t="s">
        <v>621</v>
      </c>
      <c r="H477" s="7" t="s">
        <v>620</v>
      </c>
      <c r="I477" s="7" t="s">
        <v>620</v>
      </c>
      <c r="K477">
        <f>IF($A477="","",IF(ISNUMBER($A477),MONTH($A477),MONTH(DATEVALUE($A477))))</f>
        <v>9</v>
      </c>
    </row>
    <row r="478" spans="1:11" ht="60" customHeight="1" x14ac:dyDescent="0.25">
      <c r="A478" s="8" t="s">
        <v>613</v>
      </c>
      <c r="B478" s="8" t="s">
        <v>0</v>
      </c>
      <c r="C478" s="8" t="s">
        <v>620</v>
      </c>
      <c r="D478" s="8" t="s">
        <v>4</v>
      </c>
      <c r="E478" s="8" t="s">
        <v>18</v>
      </c>
      <c r="F478" s="6">
        <v>-46.52</v>
      </c>
      <c r="G478" s="8" t="s">
        <v>621</v>
      </c>
      <c r="H478" s="8" t="s">
        <v>620</v>
      </c>
      <c r="I478" s="8" t="s">
        <v>620</v>
      </c>
      <c r="K478">
        <f>IF($A478="","",IF(ISNUMBER($A478),MONTH($A478),MONTH(DATEVALUE($A478))))</f>
        <v>9</v>
      </c>
    </row>
    <row r="479" spans="1:11" ht="60" customHeight="1" x14ac:dyDescent="0.25">
      <c r="A479" s="7" t="s">
        <v>613</v>
      </c>
      <c r="B479" s="7" t="s">
        <v>0</v>
      </c>
      <c r="C479" s="7" t="s">
        <v>620</v>
      </c>
      <c r="D479" s="7" t="s">
        <v>4</v>
      </c>
      <c r="E479" s="7" t="s">
        <v>18</v>
      </c>
      <c r="F479" s="5">
        <v>-46.43</v>
      </c>
      <c r="G479" s="7" t="s">
        <v>621</v>
      </c>
      <c r="H479" s="7" t="s">
        <v>620</v>
      </c>
      <c r="I479" s="7" t="s">
        <v>620</v>
      </c>
      <c r="K479">
        <f>IF($A479="","",IF(ISNUMBER($A479),MONTH($A479),MONTH(DATEVALUE($A479))))</f>
        <v>9</v>
      </c>
    </row>
    <row r="480" spans="1:11" ht="60" customHeight="1" x14ac:dyDescent="0.25">
      <c r="A480" s="8" t="s">
        <v>613</v>
      </c>
      <c r="B480" s="8" t="s">
        <v>0</v>
      </c>
      <c r="C480" s="8" t="s">
        <v>620</v>
      </c>
      <c r="D480" s="8" t="s">
        <v>4</v>
      </c>
      <c r="E480" s="8" t="s">
        <v>18</v>
      </c>
      <c r="F480" s="6">
        <v>-46</v>
      </c>
      <c r="G480" s="8" t="s">
        <v>621</v>
      </c>
      <c r="H480" s="8" t="s">
        <v>620</v>
      </c>
      <c r="I480" s="8" t="s">
        <v>620</v>
      </c>
      <c r="K480">
        <f>IF($A480="","",IF(ISNUMBER($A480),MONTH($A480),MONTH(DATEVALUE($A480))))</f>
        <v>9</v>
      </c>
    </row>
    <row r="481" spans="1:11" ht="60" customHeight="1" x14ac:dyDescent="0.25">
      <c r="A481" s="7" t="s">
        <v>613</v>
      </c>
      <c r="B481" s="7" t="s">
        <v>0</v>
      </c>
      <c r="C481" s="7" t="s">
        <v>620</v>
      </c>
      <c r="D481" s="7" t="s">
        <v>4</v>
      </c>
      <c r="E481" s="7" t="s">
        <v>18</v>
      </c>
      <c r="F481" s="5">
        <v>-45.81</v>
      </c>
      <c r="G481" s="7" t="s">
        <v>621</v>
      </c>
      <c r="H481" s="7" t="s">
        <v>620</v>
      </c>
      <c r="I481" s="7" t="s">
        <v>620</v>
      </c>
      <c r="K481">
        <f>IF($A481="","",IF(ISNUMBER($A481),MONTH($A481),MONTH(DATEVALUE($A481))))</f>
        <v>9</v>
      </c>
    </row>
    <row r="482" spans="1:11" ht="60" customHeight="1" x14ac:dyDescent="0.25">
      <c r="A482" s="8" t="s">
        <v>613</v>
      </c>
      <c r="B482" s="8" t="s">
        <v>0</v>
      </c>
      <c r="C482" s="8" t="s">
        <v>620</v>
      </c>
      <c r="D482" s="8" t="s">
        <v>4</v>
      </c>
      <c r="E482" s="8" t="s">
        <v>18</v>
      </c>
      <c r="F482" s="6">
        <v>-45.41</v>
      </c>
      <c r="G482" s="8" t="s">
        <v>621</v>
      </c>
      <c r="H482" s="8" t="s">
        <v>620</v>
      </c>
      <c r="I482" s="8" t="s">
        <v>620</v>
      </c>
      <c r="K482">
        <f>IF($A482="","",IF(ISNUMBER($A482),MONTH($A482),MONTH(DATEVALUE($A482))))</f>
        <v>9</v>
      </c>
    </row>
    <row r="483" spans="1:11" ht="60" customHeight="1" x14ac:dyDescent="0.25">
      <c r="A483" s="7" t="s">
        <v>613</v>
      </c>
      <c r="B483" s="7" t="s">
        <v>0</v>
      </c>
      <c r="C483" s="7" t="s">
        <v>620</v>
      </c>
      <c r="D483" s="7" t="s">
        <v>4</v>
      </c>
      <c r="E483" s="7" t="s">
        <v>18</v>
      </c>
      <c r="F483" s="5">
        <v>-44.9</v>
      </c>
      <c r="G483" s="7" t="s">
        <v>621</v>
      </c>
      <c r="H483" s="7" t="s">
        <v>620</v>
      </c>
      <c r="I483" s="7" t="s">
        <v>620</v>
      </c>
      <c r="K483">
        <f>IF($A483="","",IF(ISNUMBER($A483),MONTH($A483),MONTH(DATEVALUE($A483))))</f>
        <v>9</v>
      </c>
    </row>
    <row r="484" spans="1:11" ht="60" customHeight="1" x14ac:dyDescent="0.25">
      <c r="A484" s="8" t="s">
        <v>613</v>
      </c>
      <c r="B484" s="8" t="s">
        <v>0</v>
      </c>
      <c r="C484" s="8" t="s">
        <v>620</v>
      </c>
      <c r="D484" s="8" t="s">
        <v>4</v>
      </c>
      <c r="E484" s="8" t="s">
        <v>18</v>
      </c>
      <c r="F484" s="6">
        <v>-44.65</v>
      </c>
      <c r="G484" s="8" t="s">
        <v>621</v>
      </c>
      <c r="H484" s="8" t="s">
        <v>620</v>
      </c>
      <c r="I484" s="8" t="s">
        <v>620</v>
      </c>
      <c r="K484">
        <f>IF($A484="","",IF(ISNUMBER($A484),MONTH($A484),MONTH(DATEVALUE($A484))))</f>
        <v>9</v>
      </c>
    </row>
    <row r="485" spans="1:11" ht="60" customHeight="1" x14ac:dyDescent="0.25">
      <c r="A485" s="7" t="s">
        <v>613</v>
      </c>
      <c r="B485" s="7" t="s">
        <v>0</v>
      </c>
      <c r="C485" s="7" t="s">
        <v>620</v>
      </c>
      <c r="D485" s="7" t="s">
        <v>4</v>
      </c>
      <c r="E485" s="7" t="s">
        <v>18</v>
      </c>
      <c r="F485" s="5">
        <v>-44.36</v>
      </c>
      <c r="G485" s="7" t="s">
        <v>621</v>
      </c>
      <c r="H485" s="7" t="s">
        <v>620</v>
      </c>
      <c r="I485" s="7" t="s">
        <v>620</v>
      </c>
      <c r="K485">
        <f>IF($A485="","",IF(ISNUMBER($A485),MONTH($A485),MONTH(DATEVALUE($A485))))</f>
        <v>9</v>
      </c>
    </row>
    <row r="486" spans="1:11" ht="60" customHeight="1" x14ac:dyDescent="0.25">
      <c r="A486" s="8" t="s">
        <v>613</v>
      </c>
      <c r="B486" s="8" t="s">
        <v>0</v>
      </c>
      <c r="C486" s="8" t="s">
        <v>620</v>
      </c>
      <c r="D486" s="8" t="s">
        <v>4</v>
      </c>
      <c r="E486" s="8" t="s">
        <v>18</v>
      </c>
      <c r="F486" s="6">
        <v>-43.28</v>
      </c>
      <c r="G486" s="8" t="s">
        <v>621</v>
      </c>
      <c r="H486" s="8" t="s">
        <v>620</v>
      </c>
      <c r="I486" s="8" t="s">
        <v>620</v>
      </c>
      <c r="K486">
        <f>IF($A486="","",IF(ISNUMBER($A486),MONTH($A486),MONTH(DATEVALUE($A486))))</f>
        <v>9</v>
      </c>
    </row>
    <row r="487" spans="1:11" ht="60" customHeight="1" x14ac:dyDescent="0.25">
      <c r="A487" s="7" t="s">
        <v>613</v>
      </c>
      <c r="B487" s="7" t="s">
        <v>0</v>
      </c>
      <c r="C487" s="7" t="s">
        <v>620</v>
      </c>
      <c r="D487" s="7" t="s">
        <v>4</v>
      </c>
      <c r="E487" s="7" t="s">
        <v>18</v>
      </c>
      <c r="F487" s="5">
        <v>-43.27</v>
      </c>
      <c r="G487" s="7" t="s">
        <v>621</v>
      </c>
      <c r="H487" s="7" t="s">
        <v>620</v>
      </c>
      <c r="I487" s="7" t="s">
        <v>620</v>
      </c>
      <c r="K487">
        <f>IF($A487="","",IF(ISNUMBER($A487),MONTH($A487),MONTH(DATEVALUE($A487))))</f>
        <v>9</v>
      </c>
    </row>
    <row r="488" spans="1:11" ht="60" customHeight="1" x14ac:dyDescent="0.25">
      <c r="A488" s="8" t="s">
        <v>613</v>
      </c>
      <c r="B488" s="8" t="s">
        <v>0</v>
      </c>
      <c r="C488" s="8" t="s">
        <v>620</v>
      </c>
      <c r="D488" s="8" t="s">
        <v>4</v>
      </c>
      <c r="E488" s="8" t="s">
        <v>18</v>
      </c>
      <c r="F488" s="6">
        <v>-43.24</v>
      </c>
      <c r="G488" s="8" t="s">
        <v>621</v>
      </c>
      <c r="H488" s="8" t="s">
        <v>620</v>
      </c>
      <c r="I488" s="8" t="s">
        <v>620</v>
      </c>
      <c r="K488">
        <f>IF($A488="","",IF(ISNUMBER($A488),MONTH($A488),MONTH(DATEVALUE($A488))))</f>
        <v>9</v>
      </c>
    </row>
    <row r="489" spans="1:11" ht="60" customHeight="1" x14ac:dyDescent="0.25">
      <c r="A489" s="7" t="s">
        <v>613</v>
      </c>
      <c r="B489" s="7" t="s">
        <v>0</v>
      </c>
      <c r="C489" s="7" t="s">
        <v>620</v>
      </c>
      <c r="D489" s="7" t="s">
        <v>4</v>
      </c>
      <c r="E489" s="7" t="s">
        <v>18</v>
      </c>
      <c r="F489" s="5">
        <v>-43.19</v>
      </c>
      <c r="G489" s="7" t="s">
        <v>621</v>
      </c>
      <c r="H489" s="7" t="s">
        <v>620</v>
      </c>
      <c r="I489" s="7" t="s">
        <v>620</v>
      </c>
      <c r="K489">
        <f>IF($A489="","",IF(ISNUMBER($A489),MONTH($A489),MONTH(DATEVALUE($A489))))</f>
        <v>9</v>
      </c>
    </row>
    <row r="490" spans="1:11" ht="60" customHeight="1" x14ac:dyDescent="0.25">
      <c r="A490" s="8" t="s">
        <v>613</v>
      </c>
      <c r="B490" s="8" t="s">
        <v>0</v>
      </c>
      <c r="C490" s="8" t="s">
        <v>620</v>
      </c>
      <c r="D490" s="8" t="s">
        <v>4</v>
      </c>
      <c r="E490" s="8" t="s">
        <v>18</v>
      </c>
      <c r="F490" s="6">
        <v>-41.12</v>
      </c>
      <c r="G490" s="8" t="s">
        <v>621</v>
      </c>
      <c r="H490" s="8" t="s">
        <v>620</v>
      </c>
      <c r="I490" s="8" t="s">
        <v>620</v>
      </c>
      <c r="K490">
        <f>IF($A490="","",IF(ISNUMBER($A490),MONTH($A490),MONTH(DATEVALUE($A490))))</f>
        <v>9</v>
      </c>
    </row>
    <row r="491" spans="1:11" ht="60" customHeight="1" x14ac:dyDescent="0.25">
      <c r="A491" s="7" t="s">
        <v>613</v>
      </c>
      <c r="B491" s="7" t="s">
        <v>0</v>
      </c>
      <c r="C491" s="7" t="s">
        <v>620</v>
      </c>
      <c r="D491" s="7" t="s">
        <v>4</v>
      </c>
      <c r="E491" s="7" t="s">
        <v>18</v>
      </c>
      <c r="F491" s="5">
        <v>-40.020000000000003</v>
      </c>
      <c r="G491" s="7" t="s">
        <v>621</v>
      </c>
      <c r="H491" s="7" t="s">
        <v>620</v>
      </c>
      <c r="I491" s="7" t="s">
        <v>620</v>
      </c>
      <c r="K491">
        <f>IF($A491="","",IF(ISNUMBER($A491),MONTH($A491),MONTH(DATEVALUE($A491))))</f>
        <v>9</v>
      </c>
    </row>
    <row r="492" spans="1:11" ht="60" customHeight="1" x14ac:dyDescent="0.25">
      <c r="A492" s="8" t="s">
        <v>613</v>
      </c>
      <c r="B492" s="8" t="s">
        <v>0</v>
      </c>
      <c r="C492" s="8" t="s">
        <v>620</v>
      </c>
      <c r="D492" s="8" t="s">
        <v>4</v>
      </c>
      <c r="E492" s="8" t="s">
        <v>18</v>
      </c>
      <c r="F492" s="6">
        <v>-39.409999999999997</v>
      </c>
      <c r="G492" s="8" t="s">
        <v>621</v>
      </c>
      <c r="H492" s="8" t="s">
        <v>620</v>
      </c>
      <c r="I492" s="8" t="s">
        <v>620</v>
      </c>
      <c r="K492">
        <f>IF($A492="","",IF(ISNUMBER($A492),MONTH($A492),MONTH(DATEVALUE($A492))))</f>
        <v>9</v>
      </c>
    </row>
    <row r="493" spans="1:11" ht="60" customHeight="1" x14ac:dyDescent="0.25">
      <c r="A493" s="7" t="s">
        <v>613</v>
      </c>
      <c r="B493" s="7" t="s">
        <v>0</v>
      </c>
      <c r="C493" s="7" t="s">
        <v>620</v>
      </c>
      <c r="D493" s="7" t="s">
        <v>4</v>
      </c>
      <c r="E493" s="7" t="s">
        <v>18</v>
      </c>
      <c r="F493" s="5">
        <v>-39.4</v>
      </c>
      <c r="G493" s="7" t="s">
        <v>621</v>
      </c>
      <c r="H493" s="7" t="s">
        <v>620</v>
      </c>
      <c r="I493" s="7" t="s">
        <v>620</v>
      </c>
      <c r="K493">
        <f>IF($A493="","",IF(ISNUMBER($A493),MONTH($A493),MONTH(DATEVALUE($A493))))</f>
        <v>9</v>
      </c>
    </row>
    <row r="494" spans="1:11" ht="60" customHeight="1" x14ac:dyDescent="0.25">
      <c r="A494" s="8" t="s">
        <v>613</v>
      </c>
      <c r="B494" s="8" t="s">
        <v>0</v>
      </c>
      <c r="C494" s="8" t="s">
        <v>620</v>
      </c>
      <c r="D494" s="8" t="s">
        <v>4</v>
      </c>
      <c r="E494" s="8" t="s">
        <v>18</v>
      </c>
      <c r="F494" s="6">
        <v>-38.96</v>
      </c>
      <c r="G494" s="8" t="s">
        <v>621</v>
      </c>
      <c r="H494" s="8" t="s">
        <v>620</v>
      </c>
      <c r="I494" s="8" t="s">
        <v>620</v>
      </c>
      <c r="K494">
        <f>IF($A494="","",IF(ISNUMBER($A494),MONTH($A494),MONTH(DATEVALUE($A494))))</f>
        <v>9</v>
      </c>
    </row>
    <row r="495" spans="1:11" ht="60" customHeight="1" x14ac:dyDescent="0.25">
      <c r="A495" s="7" t="s">
        <v>613</v>
      </c>
      <c r="B495" s="7" t="s">
        <v>0</v>
      </c>
      <c r="C495" s="7" t="s">
        <v>620</v>
      </c>
      <c r="D495" s="7" t="s">
        <v>4</v>
      </c>
      <c r="E495" s="7" t="s">
        <v>18</v>
      </c>
      <c r="F495" s="5">
        <v>-37.880000000000003</v>
      </c>
      <c r="G495" s="7" t="s">
        <v>621</v>
      </c>
      <c r="H495" s="7" t="s">
        <v>620</v>
      </c>
      <c r="I495" s="7" t="s">
        <v>620</v>
      </c>
      <c r="K495">
        <f>IF($A495="","",IF(ISNUMBER($A495),MONTH($A495),MONTH(DATEVALUE($A495))))</f>
        <v>9</v>
      </c>
    </row>
    <row r="496" spans="1:11" ht="60" customHeight="1" x14ac:dyDescent="0.25">
      <c r="A496" s="8" t="s">
        <v>613</v>
      </c>
      <c r="B496" s="8" t="s">
        <v>0</v>
      </c>
      <c r="C496" s="8" t="s">
        <v>620</v>
      </c>
      <c r="D496" s="8" t="s">
        <v>4</v>
      </c>
      <c r="E496" s="8" t="s">
        <v>18</v>
      </c>
      <c r="F496" s="6">
        <v>-37.880000000000003</v>
      </c>
      <c r="G496" s="8" t="s">
        <v>621</v>
      </c>
      <c r="H496" s="8" t="s">
        <v>620</v>
      </c>
      <c r="I496" s="8" t="s">
        <v>620</v>
      </c>
      <c r="K496">
        <f>IF($A496="","",IF(ISNUMBER($A496),MONTH($A496),MONTH(DATEVALUE($A496))))</f>
        <v>9</v>
      </c>
    </row>
    <row r="497" spans="1:11" ht="60" customHeight="1" x14ac:dyDescent="0.25">
      <c r="A497" s="7" t="s">
        <v>613</v>
      </c>
      <c r="B497" s="7" t="s">
        <v>0</v>
      </c>
      <c r="C497" s="7" t="s">
        <v>620</v>
      </c>
      <c r="D497" s="7" t="s">
        <v>4</v>
      </c>
      <c r="E497" s="7" t="s">
        <v>18</v>
      </c>
      <c r="F497" s="5">
        <v>-37.83</v>
      </c>
      <c r="G497" s="7" t="s">
        <v>621</v>
      </c>
      <c r="H497" s="7" t="s">
        <v>620</v>
      </c>
      <c r="I497" s="7" t="s">
        <v>620</v>
      </c>
      <c r="K497">
        <f>IF($A497="","",IF(ISNUMBER($A497),MONTH($A497),MONTH(DATEVALUE($A497))))</f>
        <v>9</v>
      </c>
    </row>
    <row r="498" spans="1:11" ht="60" customHeight="1" x14ac:dyDescent="0.25">
      <c r="A498" s="8" t="s">
        <v>613</v>
      </c>
      <c r="B498" s="8" t="s">
        <v>0</v>
      </c>
      <c r="C498" s="8" t="s">
        <v>620</v>
      </c>
      <c r="D498" s="8" t="s">
        <v>4</v>
      </c>
      <c r="E498" s="8" t="s">
        <v>18</v>
      </c>
      <c r="F498" s="6">
        <v>-37.28</v>
      </c>
      <c r="G498" s="8" t="s">
        <v>621</v>
      </c>
      <c r="H498" s="8" t="s">
        <v>620</v>
      </c>
      <c r="I498" s="8" t="s">
        <v>620</v>
      </c>
      <c r="K498">
        <f>IF($A498="","",IF(ISNUMBER($A498),MONTH($A498),MONTH(DATEVALUE($A498))))</f>
        <v>9</v>
      </c>
    </row>
    <row r="499" spans="1:11" ht="60" customHeight="1" x14ac:dyDescent="0.25">
      <c r="A499" s="7" t="s">
        <v>613</v>
      </c>
      <c r="B499" s="7" t="s">
        <v>0</v>
      </c>
      <c r="C499" s="7" t="s">
        <v>620</v>
      </c>
      <c r="D499" s="7" t="s">
        <v>4</v>
      </c>
      <c r="E499" s="7" t="s">
        <v>18</v>
      </c>
      <c r="F499" s="5">
        <v>-36.590000000000003</v>
      </c>
      <c r="G499" s="7" t="s">
        <v>621</v>
      </c>
      <c r="H499" s="7" t="s">
        <v>620</v>
      </c>
      <c r="I499" s="7" t="s">
        <v>620</v>
      </c>
      <c r="K499">
        <f>IF($A499="","",IF(ISNUMBER($A499),MONTH($A499),MONTH(DATEVALUE($A499))))</f>
        <v>9</v>
      </c>
    </row>
    <row r="500" spans="1:11" ht="60" customHeight="1" x14ac:dyDescent="0.25">
      <c r="A500" s="8" t="s">
        <v>613</v>
      </c>
      <c r="B500" s="8" t="s">
        <v>0</v>
      </c>
      <c r="C500" s="8" t="s">
        <v>620</v>
      </c>
      <c r="D500" s="8" t="s">
        <v>4</v>
      </c>
      <c r="E500" s="8" t="s">
        <v>18</v>
      </c>
      <c r="F500" s="6">
        <v>-35.71</v>
      </c>
      <c r="G500" s="8" t="s">
        <v>621</v>
      </c>
      <c r="H500" s="8" t="s">
        <v>620</v>
      </c>
      <c r="I500" s="8" t="s">
        <v>620</v>
      </c>
      <c r="K500">
        <f>IF($A500="","",IF(ISNUMBER($A500),MONTH($A500),MONTH(DATEVALUE($A500))))</f>
        <v>9</v>
      </c>
    </row>
    <row r="501" spans="1:11" ht="60" customHeight="1" x14ac:dyDescent="0.25">
      <c r="A501" s="7" t="s">
        <v>613</v>
      </c>
      <c r="B501" s="7" t="s">
        <v>0</v>
      </c>
      <c r="C501" s="7" t="s">
        <v>620</v>
      </c>
      <c r="D501" s="7" t="s">
        <v>4</v>
      </c>
      <c r="E501" s="7" t="s">
        <v>18</v>
      </c>
      <c r="F501" s="5">
        <v>-35.64</v>
      </c>
      <c r="G501" s="7" t="s">
        <v>621</v>
      </c>
      <c r="H501" s="7" t="s">
        <v>620</v>
      </c>
      <c r="I501" s="7" t="s">
        <v>620</v>
      </c>
      <c r="K501">
        <f>IF($A501="","",IF(ISNUMBER($A501),MONTH($A501),MONTH(DATEVALUE($A501))))</f>
        <v>9</v>
      </c>
    </row>
    <row r="502" spans="1:11" ht="60" customHeight="1" x14ac:dyDescent="0.25">
      <c r="A502" s="8" t="s">
        <v>613</v>
      </c>
      <c r="B502" s="8" t="s">
        <v>0</v>
      </c>
      <c r="C502" s="8" t="s">
        <v>620</v>
      </c>
      <c r="D502" s="8" t="s">
        <v>4</v>
      </c>
      <c r="E502" s="8" t="s">
        <v>18</v>
      </c>
      <c r="F502" s="6">
        <v>-33.11</v>
      </c>
      <c r="G502" s="8" t="s">
        <v>621</v>
      </c>
      <c r="H502" s="8" t="s">
        <v>620</v>
      </c>
      <c r="I502" s="8" t="s">
        <v>620</v>
      </c>
      <c r="K502">
        <f>IF($A502="","",IF(ISNUMBER($A502),MONTH($A502),MONTH(DATEVALUE($A502))))</f>
        <v>9</v>
      </c>
    </row>
    <row r="503" spans="1:11" ht="60" customHeight="1" x14ac:dyDescent="0.25">
      <c r="A503" s="7" t="s">
        <v>613</v>
      </c>
      <c r="B503" s="7" t="s">
        <v>0</v>
      </c>
      <c r="C503" s="7" t="s">
        <v>620</v>
      </c>
      <c r="D503" s="7" t="s">
        <v>4</v>
      </c>
      <c r="E503" s="7" t="s">
        <v>18</v>
      </c>
      <c r="F503" s="5">
        <v>-32.869999999999997</v>
      </c>
      <c r="G503" s="7" t="s">
        <v>621</v>
      </c>
      <c r="H503" s="7" t="s">
        <v>620</v>
      </c>
      <c r="I503" s="7" t="s">
        <v>620</v>
      </c>
      <c r="K503">
        <f>IF($A503="","",IF(ISNUMBER($A503),MONTH($A503),MONTH(DATEVALUE($A503))))</f>
        <v>9</v>
      </c>
    </row>
    <row r="504" spans="1:11" ht="60" customHeight="1" x14ac:dyDescent="0.25">
      <c r="A504" s="8" t="s">
        <v>613</v>
      </c>
      <c r="B504" s="8" t="s">
        <v>0</v>
      </c>
      <c r="C504" s="8" t="s">
        <v>620</v>
      </c>
      <c r="D504" s="8" t="s">
        <v>4</v>
      </c>
      <c r="E504" s="8" t="s">
        <v>18</v>
      </c>
      <c r="F504" s="6">
        <v>-32.46</v>
      </c>
      <c r="G504" s="8" t="s">
        <v>621</v>
      </c>
      <c r="H504" s="8" t="s">
        <v>620</v>
      </c>
      <c r="I504" s="8" t="s">
        <v>620</v>
      </c>
      <c r="K504">
        <f>IF($A504="","",IF(ISNUMBER($A504),MONTH($A504),MONTH(DATEVALUE($A504))))</f>
        <v>9</v>
      </c>
    </row>
    <row r="505" spans="1:11" ht="60" customHeight="1" x14ac:dyDescent="0.25">
      <c r="A505" s="7" t="s">
        <v>613</v>
      </c>
      <c r="B505" s="7" t="s">
        <v>0</v>
      </c>
      <c r="C505" s="7" t="s">
        <v>620</v>
      </c>
      <c r="D505" s="7" t="s">
        <v>4</v>
      </c>
      <c r="E505" s="7" t="s">
        <v>18</v>
      </c>
      <c r="F505" s="5">
        <v>-32.46</v>
      </c>
      <c r="G505" s="7" t="s">
        <v>621</v>
      </c>
      <c r="H505" s="7" t="s">
        <v>620</v>
      </c>
      <c r="I505" s="7" t="s">
        <v>620</v>
      </c>
      <c r="K505">
        <f>IF($A505="","",IF(ISNUMBER($A505),MONTH($A505),MONTH(DATEVALUE($A505))))</f>
        <v>9</v>
      </c>
    </row>
    <row r="506" spans="1:11" ht="60" customHeight="1" x14ac:dyDescent="0.25">
      <c r="A506" s="8" t="s">
        <v>613</v>
      </c>
      <c r="B506" s="8" t="s">
        <v>0</v>
      </c>
      <c r="C506" s="8" t="s">
        <v>620</v>
      </c>
      <c r="D506" s="8" t="s">
        <v>4</v>
      </c>
      <c r="E506" s="8" t="s">
        <v>18</v>
      </c>
      <c r="F506" s="6">
        <v>-32.42</v>
      </c>
      <c r="G506" s="8" t="s">
        <v>621</v>
      </c>
      <c r="H506" s="8" t="s">
        <v>620</v>
      </c>
      <c r="I506" s="8" t="s">
        <v>620</v>
      </c>
      <c r="K506">
        <f>IF($A506="","",IF(ISNUMBER($A506),MONTH($A506),MONTH(DATEVALUE($A506))))</f>
        <v>9</v>
      </c>
    </row>
    <row r="507" spans="1:11" ht="60" customHeight="1" x14ac:dyDescent="0.25">
      <c r="A507" s="7" t="s">
        <v>613</v>
      </c>
      <c r="B507" s="7" t="s">
        <v>0</v>
      </c>
      <c r="C507" s="7" t="s">
        <v>620</v>
      </c>
      <c r="D507" s="7" t="s">
        <v>4</v>
      </c>
      <c r="E507" s="7" t="s">
        <v>18</v>
      </c>
      <c r="F507" s="5">
        <v>-32.229999999999997</v>
      </c>
      <c r="G507" s="7" t="s">
        <v>621</v>
      </c>
      <c r="H507" s="7" t="s">
        <v>620</v>
      </c>
      <c r="I507" s="7" t="s">
        <v>620</v>
      </c>
      <c r="K507">
        <f>IF($A507="","",IF(ISNUMBER($A507),MONTH($A507),MONTH(DATEVALUE($A507))))</f>
        <v>9</v>
      </c>
    </row>
    <row r="508" spans="1:11" ht="60" customHeight="1" x14ac:dyDescent="0.25">
      <c r="A508" s="8" t="s">
        <v>613</v>
      </c>
      <c r="B508" s="8" t="s">
        <v>0</v>
      </c>
      <c r="C508" s="8" t="s">
        <v>620</v>
      </c>
      <c r="D508" s="8" t="s">
        <v>4</v>
      </c>
      <c r="E508" s="8" t="s">
        <v>18</v>
      </c>
      <c r="F508" s="6">
        <v>-30.54</v>
      </c>
      <c r="G508" s="8" t="s">
        <v>621</v>
      </c>
      <c r="H508" s="8" t="s">
        <v>620</v>
      </c>
      <c r="I508" s="8" t="s">
        <v>620</v>
      </c>
      <c r="K508">
        <f>IF($A508="","",IF(ISNUMBER($A508),MONTH($A508),MONTH(DATEVALUE($A508))))</f>
        <v>9</v>
      </c>
    </row>
    <row r="509" spans="1:11" ht="60" customHeight="1" x14ac:dyDescent="0.25">
      <c r="A509" s="7" t="s">
        <v>613</v>
      </c>
      <c r="B509" s="7" t="s">
        <v>0</v>
      </c>
      <c r="C509" s="7" t="s">
        <v>620</v>
      </c>
      <c r="D509" s="7" t="s">
        <v>4</v>
      </c>
      <c r="E509" s="7" t="s">
        <v>18</v>
      </c>
      <c r="F509" s="5">
        <v>-29.17</v>
      </c>
      <c r="G509" s="7" t="s">
        <v>621</v>
      </c>
      <c r="H509" s="7" t="s">
        <v>620</v>
      </c>
      <c r="I509" s="7" t="s">
        <v>620</v>
      </c>
      <c r="K509">
        <f>IF($A509="","",IF(ISNUMBER($A509),MONTH($A509),MONTH(DATEVALUE($A509))))</f>
        <v>9</v>
      </c>
    </row>
    <row r="510" spans="1:11" ht="60" customHeight="1" x14ac:dyDescent="0.25">
      <c r="A510" s="8" t="s">
        <v>613</v>
      </c>
      <c r="B510" s="8" t="s">
        <v>0</v>
      </c>
      <c r="C510" s="8" t="s">
        <v>620</v>
      </c>
      <c r="D510" s="8" t="s">
        <v>4</v>
      </c>
      <c r="E510" s="8" t="s">
        <v>18</v>
      </c>
      <c r="F510" s="6">
        <v>-28.78</v>
      </c>
      <c r="G510" s="8" t="s">
        <v>621</v>
      </c>
      <c r="H510" s="8" t="s">
        <v>620</v>
      </c>
      <c r="I510" s="8" t="s">
        <v>620</v>
      </c>
      <c r="K510">
        <f>IF($A510="","",IF(ISNUMBER($A510),MONTH($A510),MONTH(DATEVALUE($A510))))</f>
        <v>9</v>
      </c>
    </row>
    <row r="511" spans="1:11" ht="60" customHeight="1" x14ac:dyDescent="0.25">
      <c r="A511" s="7" t="s">
        <v>613</v>
      </c>
      <c r="B511" s="7" t="s">
        <v>0</v>
      </c>
      <c r="C511" s="7" t="s">
        <v>620</v>
      </c>
      <c r="D511" s="7" t="s">
        <v>4</v>
      </c>
      <c r="E511" s="7" t="s">
        <v>18</v>
      </c>
      <c r="F511" s="5">
        <v>-28.13</v>
      </c>
      <c r="G511" s="7" t="s">
        <v>621</v>
      </c>
      <c r="H511" s="7" t="s">
        <v>620</v>
      </c>
      <c r="I511" s="7" t="s">
        <v>620</v>
      </c>
      <c r="K511">
        <f>IF($A511="","",IF(ISNUMBER($A511),MONTH($A511),MONTH(DATEVALUE($A511))))</f>
        <v>9</v>
      </c>
    </row>
    <row r="512" spans="1:11" ht="60" customHeight="1" x14ac:dyDescent="0.25">
      <c r="A512" s="8" t="s">
        <v>613</v>
      </c>
      <c r="B512" s="8" t="s">
        <v>0</v>
      </c>
      <c r="C512" s="8" t="s">
        <v>620</v>
      </c>
      <c r="D512" s="8" t="s">
        <v>4</v>
      </c>
      <c r="E512" s="8" t="s">
        <v>18</v>
      </c>
      <c r="F512" s="6">
        <v>-28.13</v>
      </c>
      <c r="G512" s="8" t="s">
        <v>621</v>
      </c>
      <c r="H512" s="8" t="s">
        <v>620</v>
      </c>
      <c r="I512" s="8" t="s">
        <v>620</v>
      </c>
      <c r="K512">
        <f>IF($A512="","",IF(ISNUMBER($A512),MONTH($A512),MONTH(DATEVALUE($A512))))</f>
        <v>9</v>
      </c>
    </row>
    <row r="513" spans="1:11" ht="60" customHeight="1" x14ac:dyDescent="0.25">
      <c r="A513" s="7" t="s">
        <v>613</v>
      </c>
      <c r="B513" s="7" t="s">
        <v>0</v>
      </c>
      <c r="C513" s="7" t="s">
        <v>620</v>
      </c>
      <c r="D513" s="7" t="s">
        <v>4</v>
      </c>
      <c r="E513" s="7" t="s">
        <v>18</v>
      </c>
      <c r="F513" s="5">
        <v>-27.05</v>
      </c>
      <c r="G513" s="7" t="s">
        <v>621</v>
      </c>
      <c r="H513" s="7" t="s">
        <v>620</v>
      </c>
      <c r="I513" s="7" t="s">
        <v>620</v>
      </c>
      <c r="K513">
        <f>IF($A513="","",IF(ISNUMBER($A513),MONTH($A513),MONTH(DATEVALUE($A513))))</f>
        <v>9</v>
      </c>
    </row>
    <row r="514" spans="1:11" ht="60" customHeight="1" x14ac:dyDescent="0.25">
      <c r="A514" s="8" t="s">
        <v>613</v>
      </c>
      <c r="B514" s="8" t="s">
        <v>0</v>
      </c>
      <c r="C514" s="8" t="s">
        <v>620</v>
      </c>
      <c r="D514" s="8" t="s">
        <v>4</v>
      </c>
      <c r="E514" s="8" t="s">
        <v>18</v>
      </c>
      <c r="F514" s="6">
        <v>-24.94</v>
      </c>
      <c r="G514" s="8" t="s">
        <v>621</v>
      </c>
      <c r="H514" s="8" t="s">
        <v>620</v>
      </c>
      <c r="I514" s="8" t="s">
        <v>620</v>
      </c>
      <c r="K514">
        <f>IF($A514="","",IF(ISNUMBER($A514),MONTH($A514),MONTH(DATEVALUE($A514))))</f>
        <v>9</v>
      </c>
    </row>
    <row r="515" spans="1:11" ht="60" customHeight="1" x14ac:dyDescent="0.25">
      <c r="A515" s="7" t="s">
        <v>613</v>
      </c>
      <c r="B515" s="7" t="s">
        <v>0</v>
      </c>
      <c r="C515" s="7" t="s">
        <v>620</v>
      </c>
      <c r="D515" s="7" t="s">
        <v>4</v>
      </c>
      <c r="E515" s="7" t="s">
        <v>18</v>
      </c>
      <c r="F515" s="5">
        <v>-24.35</v>
      </c>
      <c r="G515" s="7" t="s">
        <v>621</v>
      </c>
      <c r="H515" s="7" t="s">
        <v>620</v>
      </c>
      <c r="I515" s="7" t="s">
        <v>620</v>
      </c>
      <c r="K515">
        <f>IF($A515="","",IF(ISNUMBER($A515),MONTH($A515),MONTH(DATEVALUE($A515))))</f>
        <v>9</v>
      </c>
    </row>
    <row r="516" spans="1:11" ht="60" customHeight="1" x14ac:dyDescent="0.25">
      <c r="A516" s="8" t="s">
        <v>613</v>
      </c>
      <c r="B516" s="8" t="s">
        <v>0</v>
      </c>
      <c r="C516" s="8" t="s">
        <v>620</v>
      </c>
      <c r="D516" s="8" t="s">
        <v>4</v>
      </c>
      <c r="E516" s="8" t="s">
        <v>18</v>
      </c>
      <c r="F516" s="6">
        <v>-23.87</v>
      </c>
      <c r="G516" s="8" t="s">
        <v>621</v>
      </c>
      <c r="H516" s="8" t="s">
        <v>620</v>
      </c>
      <c r="I516" s="8" t="s">
        <v>620</v>
      </c>
      <c r="K516">
        <f>IF($A516="","",IF(ISNUMBER($A516),MONTH($A516),MONTH(DATEVALUE($A516))))</f>
        <v>9</v>
      </c>
    </row>
    <row r="517" spans="1:11" ht="60" customHeight="1" x14ac:dyDescent="0.25">
      <c r="A517" s="7" t="s">
        <v>613</v>
      </c>
      <c r="B517" s="7" t="s">
        <v>0</v>
      </c>
      <c r="C517" s="7" t="s">
        <v>620</v>
      </c>
      <c r="D517" s="7" t="s">
        <v>4</v>
      </c>
      <c r="E517" s="7" t="s">
        <v>18</v>
      </c>
      <c r="F517" s="5">
        <v>-23.82</v>
      </c>
      <c r="G517" s="7" t="s">
        <v>621</v>
      </c>
      <c r="H517" s="7" t="s">
        <v>620</v>
      </c>
      <c r="I517" s="7" t="s">
        <v>620</v>
      </c>
      <c r="K517">
        <f>IF($A517="","",IF(ISNUMBER($A517),MONTH($A517),MONTH(DATEVALUE($A517))))</f>
        <v>9</v>
      </c>
    </row>
    <row r="518" spans="1:11" ht="60" customHeight="1" x14ac:dyDescent="0.25">
      <c r="A518" s="8" t="s">
        <v>613</v>
      </c>
      <c r="B518" s="8" t="s">
        <v>0</v>
      </c>
      <c r="C518" s="8" t="s">
        <v>620</v>
      </c>
      <c r="D518" s="8" t="s">
        <v>4</v>
      </c>
      <c r="E518" s="8" t="s">
        <v>18</v>
      </c>
      <c r="F518" s="6">
        <v>-23.53</v>
      </c>
      <c r="G518" s="8" t="s">
        <v>621</v>
      </c>
      <c r="H518" s="8" t="s">
        <v>620</v>
      </c>
      <c r="I518" s="8" t="s">
        <v>620</v>
      </c>
      <c r="K518">
        <f>IF($A518="","",IF(ISNUMBER($A518),MONTH($A518),MONTH(DATEVALUE($A518))))</f>
        <v>9</v>
      </c>
    </row>
    <row r="519" spans="1:11" ht="60" customHeight="1" x14ac:dyDescent="0.25">
      <c r="A519" s="7" t="s">
        <v>613</v>
      </c>
      <c r="B519" s="7" t="s">
        <v>0</v>
      </c>
      <c r="C519" s="7" t="s">
        <v>620</v>
      </c>
      <c r="D519" s="7" t="s">
        <v>4</v>
      </c>
      <c r="E519" s="7" t="s">
        <v>18</v>
      </c>
      <c r="F519" s="5">
        <v>-23.53</v>
      </c>
      <c r="G519" s="7" t="s">
        <v>621</v>
      </c>
      <c r="H519" s="7" t="s">
        <v>620</v>
      </c>
      <c r="I519" s="7" t="s">
        <v>620</v>
      </c>
      <c r="K519">
        <f>IF($A519="","",IF(ISNUMBER($A519),MONTH($A519),MONTH(DATEVALUE($A519))))</f>
        <v>9</v>
      </c>
    </row>
    <row r="520" spans="1:11" ht="60" customHeight="1" x14ac:dyDescent="0.25">
      <c r="A520" s="8" t="s">
        <v>613</v>
      </c>
      <c r="B520" s="8" t="s">
        <v>0</v>
      </c>
      <c r="C520" s="8" t="s">
        <v>620</v>
      </c>
      <c r="D520" s="8" t="s">
        <v>4</v>
      </c>
      <c r="E520" s="8" t="s">
        <v>18</v>
      </c>
      <c r="F520" s="6">
        <v>-22.29</v>
      </c>
      <c r="G520" s="8" t="s">
        <v>621</v>
      </c>
      <c r="H520" s="8" t="s">
        <v>620</v>
      </c>
      <c r="I520" s="8" t="s">
        <v>620</v>
      </c>
      <c r="K520">
        <f>IF($A520="","",IF(ISNUMBER($A520),MONTH($A520),MONTH(DATEVALUE($A520))))</f>
        <v>9</v>
      </c>
    </row>
    <row r="521" spans="1:11" ht="60" customHeight="1" x14ac:dyDescent="0.25">
      <c r="A521" s="7" t="s">
        <v>613</v>
      </c>
      <c r="B521" s="7" t="s">
        <v>0</v>
      </c>
      <c r="C521" s="7" t="s">
        <v>620</v>
      </c>
      <c r="D521" s="7" t="s">
        <v>4</v>
      </c>
      <c r="E521" s="7" t="s">
        <v>18</v>
      </c>
      <c r="F521" s="5">
        <v>-21.39</v>
      </c>
      <c r="G521" s="7" t="s">
        <v>621</v>
      </c>
      <c r="H521" s="7" t="s">
        <v>620</v>
      </c>
      <c r="I521" s="7" t="s">
        <v>620</v>
      </c>
      <c r="K521">
        <f>IF($A521="","",IF(ISNUMBER($A521),MONTH($A521),MONTH(DATEVALUE($A521))))</f>
        <v>9</v>
      </c>
    </row>
    <row r="522" spans="1:11" ht="60" customHeight="1" x14ac:dyDescent="0.25">
      <c r="A522" s="8" t="s">
        <v>613</v>
      </c>
      <c r="B522" s="8" t="s">
        <v>0</v>
      </c>
      <c r="C522" s="8" t="s">
        <v>620</v>
      </c>
      <c r="D522" s="8" t="s">
        <v>4</v>
      </c>
      <c r="E522" s="8" t="s">
        <v>18</v>
      </c>
      <c r="F522" s="6">
        <v>-21.39</v>
      </c>
      <c r="G522" s="8" t="s">
        <v>621</v>
      </c>
      <c r="H522" s="8" t="s">
        <v>620</v>
      </c>
      <c r="I522" s="8" t="s">
        <v>620</v>
      </c>
      <c r="K522">
        <f>IF($A522="","",IF(ISNUMBER($A522),MONTH($A522),MONTH(DATEVALUE($A522))))</f>
        <v>9</v>
      </c>
    </row>
    <row r="523" spans="1:11" ht="60" customHeight="1" x14ac:dyDescent="0.25">
      <c r="A523" s="7" t="s">
        <v>613</v>
      </c>
      <c r="B523" s="7" t="s">
        <v>0</v>
      </c>
      <c r="C523" s="7" t="s">
        <v>620</v>
      </c>
      <c r="D523" s="7" t="s">
        <v>4</v>
      </c>
      <c r="E523" s="7" t="s">
        <v>18</v>
      </c>
      <c r="F523" s="5">
        <v>-20.8</v>
      </c>
      <c r="G523" s="7" t="s">
        <v>621</v>
      </c>
      <c r="H523" s="7" t="s">
        <v>620</v>
      </c>
      <c r="I523" s="7" t="s">
        <v>620</v>
      </c>
      <c r="K523">
        <f>IF($A523="","",IF(ISNUMBER($A523),MONTH($A523),MONTH(DATEVALUE($A523))))</f>
        <v>9</v>
      </c>
    </row>
    <row r="524" spans="1:11" ht="60" customHeight="1" x14ac:dyDescent="0.25">
      <c r="A524" s="8" t="s">
        <v>613</v>
      </c>
      <c r="B524" s="8" t="s">
        <v>0</v>
      </c>
      <c r="C524" s="8" t="s">
        <v>620</v>
      </c>
      <c r="D524" s="8" t="s">
        <v>4</v>
      </c>
      <c r="E524" s="8" t="s">
        <v>18</v>
      </c>
      <c r="F524" s="6">
        <v>-20.8</v>
      </c>
      <c r="G524" s="8" t="s">
        <v>621</v>
      </c>
      <c r="H524" s="8" t="s">
        <v>620</v>
      </c>
      <c r="I524" s="8" t="s">
        <v>620</v>
      </c>
      <c r="K524">
        <f>IF($A524="","",IF(ISNUMBER($A524),MONTH($A524),MONTH(DATEVALUE($A524))))</f>
        <v>9</v>
      </c>
    </row>
    <row r="525" spans="1:11" ht="60" customHeight="1" x14ac:dyDescent="0.25">
      <c r="A525" s="7" t="s">
        <v>613</v>
      </c>
      <c r="B525" s="7" t="s">
        <v>0</v>
      </c>
      <c r="C525" s="7" t="s">
        <v>620</v>
      </c>
      <c r="D525" s="7" t="s">
        <v>4</v>
      </c>
      <c r="E525" s="7" t="s">
        <v>18</v>
      </c>
      <c r="F525" s="5">
        <v>-20.8</v>
      </c>
      <c r="G525" s="7" t="s">
        <v>621</v>
      </c>
      <c r="H525" s="7" t="s">
        <v>620</v>
      </c>
      <c r="I525" s="7" t="s">
        <v>620</v>
      </c>
      <c r="K525">
        <f>IF($A525="","",IF(ISNUMBER($A525),MONTH($A525),MONTH(DATEVALUE($A525))))</f>
        <v>9</v>
      </c>
    </row>
    <row r="526" spans="1:11" ht="60" customHeight="1" x14ac:dyDescent="0.25">
      <c r="A526" s="8" t="s">
        <v>613</v>
      </c>
      <c r="B526" s="8" t="s">
        <v>0</v>
      </c>
      <c r="C526" s="8" t="s">
        <v>620</v>
      </c>
      <c r="D526" s="8" t="s">
        <v>4</v>
      </c>
      <c r="E526" s="8" t="s">
        <v>18</v>
      </c>
      <c r="F526" s="6">
        <v>-20.57</v>
      </c>
      <c r="G526" s="8" t="s">
        <v>621</v>
      </c>
      <c r="H526" s="8" t="s">
        <v>620</v>
      </c>
      <c r="I526" s="8" t="s">
        <v>620</v>
      </c>
      <c r="K526">
        <f>IF($A526="","",IF(ISNUMBER($A526),MONTH($A526),MONTH(DATEVALUE($A526))))</f>
        <v>9</v>
      </c>
    </row>
    <row r="527" spans="1:11" ht="60" customHeight="1" x14ac:dyDescent="0.25">
      <c r="A527" s="7" t="s">
        <v>613</v>
      </c>
      <c r="B527" s="7" t="s">
        <v>0</v>
      </c>
      <c r="C527" s="7" t="s">
        <v>620</v>
      </c>
      <c r="D527" s="7" t="s">
        <v>4</v>
      </c>
      <c r="E527" s="7" t="s">
        <v>18</v>
      </c>
      <c r="F527" s="5">
        <v>-19.89</v>
      </c>
      <c r="G527" s="7" t="s">
        <v>621</v>
      </c>
      <c r="H527" s="7" t="s">
        <v>620</v>
      </c>
      <c r="I527" s="7" t="s">
        <v>620</v>
      </c>
      <c r="K527">
        <f>IF($A527="","",IF(ISNUMBER($A527),MONTH($A527),MONTH(DATEVALUE($A527))))</f>
        <v>9</v>
      </c>
    </row>
    <row r="528" spans="1:11" ht="60" customHeight="1" x14ac:dyDescent="0.25">
      <c r="A528" s="8" t="s">
        <v>613</v>
      </c>
      <c r="B528" s="8" t="s">
        <v>0</v>
      </c>
      <c r="C528" s="8" t="s">
        <v>620</v>
      </c>
      <c r="D528" s="8" t="s">
        <v>4</v>
      </c>
      <c r="E528" s="8" t="s">
        <v>18</v>
      </c>
      <c r="F528" s="6">
        <v>-19.47</v>
      </c>
      <c r="G528" s="8" t="s">
        <v>621</v>
      </c>
      <c r="H528" s="8" t="s">
        <v>620</v>
      </c>
      <c r="I528" s="8" t="s">
        <v>620</v>
      </c>
      <c r="K528">
        <f>IF($A528="","",IF(ISNUMBER($A528),MONTH($A528),MONTH(DATEVALUE($A528))))</f>
        <v>9</v>
      </c>
    </row>
    <row r="529" spans="1:11" ht="60" customHeight="1" x14ac:dyDescent="0.25">
      <c r="A529" s="7" t="s">
        <v>613</v>
      </c>
      <c r="B529" s="7" t="s">
        <v>0</v>
      </c>
      <c r="C529" s="7" t="s">
        <v>620</v>
      </c>
      <c r="D529" s="7" t="s">
        <v>4</v>
      </c>
      <c r="E529" s="7" t="s">
        <v>18</v>
      </c>
      <c r="F529" s="5">
        <v>-19.46</v>
      </c>
      <c r="G529" s="7" t="s">
        <v>621</v>
      </c>
      <c r="H529" s="7" t="s">
        <v>620</v>
      </c>
      <c r="I529" s="7" t="s">
        <v>620</v>
      </c>
      <c r="K529">
        <f>IF($A529="","",IF(ISNUMBER($A529),MONTH($A529),MONTH(DATEVALUE($A529))))</f>
        <v>9</v>
      </c>
    </row>
    <row r="530" spans="1:11" ht="60" customHeight="1" x14ac:dyDescent="0.25">
      <c r="A530" s="8" t="s">
        <v>613</v>
      </c>
      <c r="B530" s="8" t="s">
        <v>0</v>
      </c>
      <c r="C530" s="8" t="s">
        <v>620</v>
      </c>
      <c r="D530" s="8" t="s">
        <v>4</v>
      </c>
      <c r="E530" s="8" t="s">
        <v>18</v>
      </c>
      <c r="F530" s="6">
        <v>-18.77</v>
      </c>
      <c r="G530" s="8" t="s">
        <v>621</v>
      </c>
      <c r="H530" s="8" t="s">
        <v>620</v>
      </c>
      <c r="I530" s="8" t="s">
        <v>620</v>
      </c>
      <c r="K530">
        <f>IF($A530="","",IF(ISNUMBER($A530),MONTH($A530),MONTH(DATEVALUE($A530))))</f>
        <v>9</v>
      </c>
    </row>
    <row r="531" spans="1:11" ht="60" customHeight="1" x14ac:dyDescent="0.25">
      <c r="A531" s="7" t="s">
        <v>613</v>
      </c>
      <c r="B531" s="7" t="s">
        <v>0</v>
      </c>
      <c r="C531" s="7" t="s">
        <v>620</v>
      </c>
      <c r="D531" s="7" t="s">
        <v>4</v>
      </c>
      <c r="E531" s="7" t="s">
        <v>18</v>
      </c>
      <c r="F531" s="5">
        <v>-18.39</v>
      </c>
      <c r="G531" s="7" t="s">
        <v>621</v>
      </c>
      <c r="H531" s="7" t="s">
        <v>620</v>
      </c>
      <c r="I531" s="7" t="s">
        <v>620</v>
      </c>
      <c r="K531">
        <f>IF($A531="","",IF(ISNUMBER($A531),MONTH($A531),MONTH(DATEVALUE($A531))))</f>
        <v>9</v>
      </c>
    </row>
    <row r="532" spans="1:11" ht="60" customHeight="1" x14ac:dyDescent="0.25">
      <c r="A532" s="8" t="s">
        <v>613</v>
      </c>
      <c r="B532" s="8" t="s">
        <v>0</v>
      </c>
      <c r="C532" s="8" t="s">
        <v>620</v>
      </c>
      <c r="D532" s="8" t="s">
        <v>4</v>
      </c>
      <c r="E532" s="8" t="s">
        <v>18</v>
      </c>
      <c r="F532" s="6">
        <v>-18.39</v>
      </c>
      <c r="G532" s="8" t="s">
        <v>621</v>
      </c>
      <c r="H532" s="8" t="s">
        <v>620</v>
      </c>
      <c r="I532" s="8" t="s">
        <v>620</v>
      </c>
      <c r="K532">
        <f>IF($A532="","",IF(ISNUMBER($A532),MONTH($A532),MONTH(DATEVALUE($A532))))</f>
        <v>9</v>
      </c>
    </row>
    <row r="533" spans="1:11" ht="60" customHeight="1" x14ac:dyDescent="0.25">
      <c r="A533" s="7" t="s">
        <v>613</v>
      </c>
      <c r="B533" s="7" t="s">
        <v>0</v>
      </c>
      <c r="C533" s="7" t="s">
        <v>620</v>
      </c>
      <c r="D533" s="7" t="s">
        <v>4</v>
      </c>
      <c r="E533" s="7" t="s">
        <v>18</v>
      </c>
      <c r="F533" s="5">
        <v>-18.39</v>
      </c>
      <c r="G533" s="7" t="s">
        <v>621</v>
      </c>
      <c r="H533" s="7" t="s">
        <v>620</v>
      </c>
      <c r="I533" s="7" t="s">
        <v>620</v>
      </c>
      <c r="K533">
        <f>IF($A533="","",IF(ISNUMBER($A533),MONTH($A533),MONTH(DATEVALUE($A533))))</f>
        <v>9</v>
      </c>
    </row>
    <row r="534" spans="1:11" ht="60" customHeight="1" x14ac:dyDescent="0.25">
      <c r="A534" s="8" t="s">
        <v>613</v>
      </c>
      <c r="B534" s="8" t="s">
        <v>0</v>
      </c>
      <c r="C534" s="8" t="s">
        <v>620</v>
      </c>
      <c r="D534" s="8" t="s">
        <v>4</v>
      </c>
      <c r="E534" s="8" t="s">
        <v>18</v>
      </c>
      <c r="F534" s="6">
        <v>-18.350000000000001</v>
      </c>
      <c r="G534" s="8" t="s">
        <v>621</v>
      </c>
      <c r="H534" s="8" t="s">
        <v>620</v>
      </c>
      <c r="I534" s="8" t="s">
        <v>620</v>
      </c>
      <c r="K534">
        <f>IF($A534="","",IF(ISNUMBER($A534),MONTH($A534),MONTH(DATEVALUE($A534))))</f>
        <v>9</v>
      </c>
    </row>
    <row r="535" spans="1:11" ht="60" customHeight="1" x14ac:dyDescent="0.25">
      <c r="A535" s="7" t="s">
        <v>613</v>
      </c>
      <c r="B535" s="7" t="s">
        <v>0</v>
      </c>
      <c r="C535" s="7" t="s">
        <v>620</v>
      </c>
      <c r="D535" s="7" t="s">
        <v>4</v>
      </c>
      <c r="E535" s="7" t="s">
        <v>18</v>
      </c>
      <c r="F535" s="5">
        <v>-17.309999999999999</v>
      </c>
      <c r="G535" s="7" t="s">
        <v>621</v>
      </c>
      <c r="H535" s="7" t="s">
        <v>620</v>
      </c>
      <c r="I535" s="7" t="s">
        <v>620</v>
      </c>
      <c r="K535">
        <f>IF($A535="","",IF(ISNUMBER($A535),MONTH($A535),MONTH(DATEVALUE($A535))))</f>
        <v>9</v>
      </c>
    </row>
    <row r="536" spans="1:11" ht="60" customHeight="1" x14ac:dyDescent="0.25">
      <c r="A536" s="8" t="s">
        <v>613</v>
      </c>
      <c r="B536" s="8" t="s">
        <v>0</v>
      </c>
      <c r="C536" s="8" t="s">
        <v>620</v>
      </c>
      <c r="D536" s="8" t="s">
        <v>4</v>
      </c>
      <c r="E536" s="8" t="s">
        <v>18</v>
      </c>
      <c r="F536" s="6">
        <v>-17.309999999999999</v>
      </c>
      <c r="G536" s="8" t="s">
        <v>621</v>
      </c>
      <c r="H536" s="8" t="s">
        <v>620</v>
      </c>
      <c r="I536" s="8" t="s">
        <v>620</v>
      </c>
      <c r="K536">
        <f>IF($A536="","",IF(ISNUMBER($A536),MONTH($A536),MONTH(DATEVALUE($A536))))</f>
        <v>9</v>
      </c>
    </row>
    <row r="537" spans="1:11" ht="60" customHeight="1" x14ac:dyDescent="0.25">
      <c r="A537" s="7" t="s">
        <v>613</v>
      </c>
      <c r="B537" s="7" t="s">
        <v>0</v>
      </c>
      <c r="C537" s="7" t="s">
        <v>620</v>
      </c>
      <c r="D537" s="7" t="s">
        <v>4</v>
      </c>
      <c r="E537" s="7" t="s">
        <v>18</v>
      </c>
      <c r="F537" s="5">
        <v>-16.77</v>
      </c>
      <c r="G537" s="7" t="s">
        <v>621</v>
      </c>
      <c r="H537" s="7" t="s">
        <v>620</v>
      </c>
      <c r="I537" s="7" t="s">
        <v>620</v>
      </c>
      <c r="K537">
        <f>IF($A537="","",IF(ISNUMBER($A537),MONTH($A537),MONTH(DATEVALUE($A537))))</f>
        <v>9</v>
      </c>
    </row>
    <row r="538" spans="1:11" ht="60" customHeight="1" x14ac:dyDescent="0.25">
      <c r="A538" s="8" t="s">
        <v>613</v>
      </c>
      <c r="B538" s="8" t="s">
        <v>0</v>
      </c>
      <c r="C538" s="8" t="s">
        <v>620</v>
      </c>
      <c r="D538" s="8" t="s">
        <v>4</v>
      </c>
      <c r="E538" s="8" t="s">
        <v>18</v>
      </c>
      <c r="F538" s="6">
        <v>-16.77</v>
      </c>
      <c r="G538" s="8" t="s">
        <v>621</v>
      </c>
      <c r="H538" s="8" t="s">
        <v>620</v>
      </c>
      <c r="I538" s="8" t="s">
        <v>620</v>
      </c>
      <c r="K538">
        <f>IF($A538="","",IF(ISNUMBER($A538),MONTH($A538),MONTH(DATEVALUE($A538))))</f>
        <v>9</v>
      </c>
    </row>
    <row r="539" spans="1:11" ht="60" customHeight="1" x14ac:dyDescent="0.25">
      <c r="A539" s="7" t="s">
        <v>613</v>
      </c>
      <c r="B539" s="7" t="s">
        <v>0</v>
      </c>
      <c r="C539" s="7" t="s">
        <v>620</v>
      </c>
      <c r="D539" s="7" t="s">
        <v>4</v>
      </c>
      <c r="E539" s="7" t="s">
        <v>18</v>
      </c>
      <c r="F539" s="5">
        <v>-16.23</v>
      </c>
      <c r="G539" s="7" t="s">
        <v>621</v>
      </c>
      <c r="H539" s="7" t="s">
        <v>620</v>
      </c>
      <c r="I539" s="7" t="s">
        <v>620</v>
      </c>
      <c r="K539">
        <f>IF($A539="","",IF(ISNUMBER($A539),MONTH($A539),MONTH(DATEVALUE($A539))))</f>
        <v>9</v>
      </c>
    </row>
    <row r="540" spans="1:11" ht="60" customHeight="1" x14ac:dyDescent="0.25">
      <c r="A540" s="8" t="s">
        <v>613</v>
      </c>
      <c r="B540" s="8" t="s">
        <v>0</v>
      </c>
      <c r="C540" s="8" t="s">
        <v>620</v>
      </c>
      <c r="D540" s="8" t="s">
        <v>4</v>
      </c>
      <c r="E540" s="8" t="s">
        <v>18</v>
      </c>
      <c r="F540" s="6">
        <v>-15.56</v>
      </c>
      <c r="G540" s="8" t="s">
        <v>621</v>
      </c>
      <c r="H540" s="8" t="s">
        <v>620</v>
      </c>
      <c r="I540" s="8" t="s">
        <v>620</v>
      </c>
      <c r="K540">
        <f>IF($A540="","",IF(ISNUMBER($A540),MONTH($A540),MONTH(DATEVALUE($A540))))</f>
        <v>9</v>
      </c>
    </row>
    <row r="541" spans="1:11" ht="60" customHeight="1" x14ac:dyDescent="0.25">
      <c r="A541" s="7" t="s">
        <v>613</v>
      </c>
      <c r="B541" s="7" t="s">
        <v>0</v>
      </c>
      <c r="C541" s="7" t="s">
        <v>620</v>
      </c>
      <c r="D541" s="7" t="s">
        <v>4</v>
      </c>
      <c r="E541" s="7" t="s">
        <v>18</v>
      </c>
      <c r="F541" s="5">
        <v>-14.24</v>
      </c>
      <c r="G541" s="7" t="s">
        <v>621</v>
      </c>
      <c r="H541" s="7" t="s">
        <v>620</v>
      </c>
      <c r="I541" s="7" t="s">
        <v>620</v>
      </c>
      <c r="K541">
        <f>IF($A541="","",IF(ISNUMBER($A541),MONTH($A541),MONTH(DATEVALUE($A541))))</f>
        <v>9</v>
      </c>
    </row>
    <row r="542" spans="1:11" ht="60" customHeight="1" x14ac:dyDescent="0.25">
      <c r="A542" s="8" t="s">
        <v>613</v>
      </c>
      <c r="B542" s="8" t="s">
        <v>0</v>
      </c>
      <c r="C542" s="8" t="s">
        <v>620</v>
      </c>
      <c r="D542" s="8" t="s">
        <v>4</v>
      </c>
      <c r="E542" s="8" t="s">
        <v>18</v>
      </c>
      <c r="F542" s="6">
        <v>-12.33</v>
      </c>
      <c r="G542" s="8" t="s">
        <v>621</v>
      </c>
      <c r="H542" s="8" t="s">
        <v>620</v>
      </c>
      <c r="I542" s="8" t="s">
        <v>620</v>
      </c>
      <c r="K542">
        <f>IF($A542="","",IF(ISNUMBER($A542),MONTH($A542),MONTH(DATEVALUE($A542))))</f>
        <v>9</v>
      </c>
    </row>
    <row r="543" spans="1:11" ht="60" customHeight="1" x14ac:dyDescent="0.25">
      <c r="A543" s="7" t="s">
        <v>613</v>
      </c>
      <c r="B543" s="7" t="s">
        <v>0</v>
      </c>
      <c r="C543" s="7" t="s">
        <v>620</v>
      </c>
      <c r="D543" s="7" t="s">
        <v>4</v>
      </c>
      <c r="E543" s="7" t="s">
        <v>18</v>
      </c>
      <c r="F543" s="5">
        <v>-11.86</v>
      </c>
      <c r="G543" s="7" t="s">
        <v>621</v>
      </c>
      <c r="H543" s="7" t="s">
        <v>620</v>
      </c>
      <c r="I543" s="7" t="s">
        <v>620</v>
      </c>
      <c r="K543">
        <f>IF($A543="","",IF(ISNUMBER($A543),MONTH($A543),MONTH(DATEVALUE($A543))))</f>
        <v>9</v>
      </c>
    </row>
    <row r="544" spans="1:11" ht="60" customHeight="1" x14ac:dyDescent="0.25">
      <c r="A544" s="8" t="s">
        <v>613</v>
      </c>
      <c r="B544" s="8" t="s">
        <v>0</v>
      </c>
      <c r="C544" s="8" t="s">
        <v>620</v>
      </c>
      <c r="D544" s="8" t="s">
        <v>4</v>
      </c>
      <c r="E544" s="8" t="s">
        <v>18</v>
      </c>
      <c r="F544" s="6">
        <v>-10.81</v>
      </c>
      <c r="G544" s="8" t="s">
        <v>621</v>
      </c>
      <c r="H544" s="8" t="s">
        <v>620</v>
      </c>
      <c r="I544" s="8" t="s">
        <v>620</v>
      </c>
      <c r="K544">
        <f>IF($A544="","",IF(ISNUMBER($A544),MONTH($A544),MONTH(DATEVALUE($A544))))</f>
        <v>9</v>
      </c>
    </row>
    <row r="545" spans="1:11" ht="60" customHeight="1" x14ac:dyDescent="0.25">
      <c r="A545" s="7" t="s">
        <v>613</v>
      </c>
      <c r="B545" s="7" t="s">
        <v>0</v>
      </c>
      <c r="C545" s="7" t="s">
        <v>620</v>
      </c>
      <c r="D545" s="7" t="s">
        <v>4</v>
      </c>
      <c r="E545" s="7" t="s">
        <v>18</v>
      </c>
      <c r="F545" s="5">
        <v>-10.81</v>
      </c>
      <c r="G545" s="7" t="s">
        <v>621</v>
      </c>
      <c r="H545" s="7" t="s">
        <v>620</v>
      </c>
      <c r="I545" s="7" t="s">
        <v>620</v>
      </c>
      <c r="K545">
        <f>IF($A545="","",IF(ISNUMBER($A545),MONTH($A545),MONTH(DATEVALUE($A545))))</f>
        <v>9</v>
      </c>
    </row>
    <row r="546" spans="1:11" ht="60" customHeight="1" x14ac:dyDescent="0.25">
      <c r="A546" s="8" t="s">
        <v>613</v>
      </c>
      <c r="B546" s="8" t="s">
        <v>0</v>
      </c>
      <c r="C546" s="8" t="s">
        <v>620</v>
      </c>
      <c r="D546" s="8" t="s">
        <v>4</v>
      </c>
      <c r="E546" s="8" t="s">
        <v>18</v>
      </c>
      <c r="F546" s="6">
        <v>-8.7200000000000006</v>
      </c>
      <c r="G546" s="8" t="s">
        <v>621</v>
      </c>
      <c r="H546" s="8" t="s">
        <v>620</v>
      </c>
      <c r="I546" s="8" t="s">
        <v>620</v>
      </c>
      <c r="K546">
        <f>IF($A546="","",IF(ISNUMBER($A546),MONTH($A546),MONTH(DATEVALUE($A546))))</f>
        <v>9</v>
      </c>
    </row>
    <row r="547" spans="1:11" ht="60" customHeight="1" x14ac:dyDescent="0.25">
      <c r="A547" s="7" t="s">
        <v>613</v>
      </c>
      <c r="B547" s="7" t="s">
        <v>0</v>
      </c>
      <c r="C547" s="7" t="s">
        <v>620</v>
      </c>
      <c r="D547" s="7" t="s">
        <v>4</v>
      </c>
      <c r="E547" s="7" t="s">
        <v>18</v>
      </c>
      <c r="F547" s="5">
        <v>-7.57</v>
      </c>
      <c r="G547" s="7" t="s">
        <v>621</v>
      </c>
      <c r="H547" s="7" t="s">
        <v>620</v>
      </c>
      <c r="I547" s="7" t="s">
        <v>620</v>
      </c>
      <c r="K547">
        <f>IF($A547="","",IF(ISNUMBER($A547),MONTH($A547),MONTH(DATEVALUE($A547))))</f>
        <v>9</v>
      </c>
    </row>
    <row r="548" spans="1:11" ht="60" customHeight="1" x14ac:dyDescent="0.25">
      <c r="A548" s="8" t="s">
        <v>613</v>
      </c>
      <c r="B548" s="8" t="s">
        <v>0</v>
      </c>
      <c r="C548" s="8" t="s">
        <v>620</v>
      </c>
      <c r="D548" s="8" t="s">
        <v>4</v>
      </c>
      <c r="E548" s="8" t="s">
        <v>18</v>
      </c>
      <c r="F548" s="6">
        <v>-7.57</v>
      </c>
      <c r="G548" s="8" t="s">
        <v>621</v>
      </c>
      <c r="H548" s="8" t="s">
        <v>620</v>
      </c>
      <c r="I548" s="8" t="s">
        <v>620</v>
      </c>
      <c r="K548">
        <f>IF($A548="","",IF(ISNUMBER($A548),MONTH($A548),MONTH(DATEVALUE($A548))))</f>
        <v>9</v>
      </c>
    </row>
    <row r="549" spans="1:11" ht="60" customHeight="1" x14ac:dyDescent="0.25">
      <c r="A549" s="7" t="s">
        <v>613</v>
      </c>
      <c r="B549" s="7" t="s">
        <v>0</v>
      </c>
      <c r="C549" s="7" t="s">
        <v>620</v>
      </c>
      <c r="D549" s="7" t="s">
        <v>4</v>
      </c>
      <c r="E549" s="7" t="s">
        <v>18</v>
      </c>
      <c r="F549" s="5">
        <v>-6.5</v>
      </c>
      <c r="G549" s="7" t="s">
        <v>621</v>
      </c>
      <c r="H549" s="7" t="s">
        <v>620</v>
      </c>
      <c r="I549" s="7" t="s">
        <v>620</v>
      </c>
      <c r="K549">
        <f>IF($A549="","",IF(ISNUMBER($A549),MONTH($A549),MONTH(DATEVALUE($A549))))</f>
        <v>9</v>
      </c>
    </row>
    <row r="550" spans="1:11" ht="60" customHeight="1" x14ac:dyDescent="0.25">
      <c r="A550" s="8" t="s">
        <v>613</v>
      </c>
      <c r="B550" s="8" t="s">
        <v>0</v>
      </c>
      <c r="C550" s="8" t="s">
        <v>22</v>
      </c>
      <c r="D550" s="8" t="s">
        <v>4</v>
      </c>
      <c r="E550" s="8" t="s">
        <v>18</v>
      </c>
      <c r="F550" s="6">
        <v>203.37</v>
      </c>
      <c r="G550" s="8" t="s">
        <v>622</v>
      </c>
      <c r="H550" s="8" t="s">
        <v>22</v>
      </c>
      <c r="I550" s="8" t="s">
        <v>2626</v>
      </c>
      <c r="K550">
        <f>IF($A550="","",IF(ISNUMBER($A550),MONTH($A550),MONTH(DATEVALUE($A550))))</f>
        <v>9</v>
      </c>
    </row>
    <row r="551" spans="1:11" ht="60" customHeight="1" x14ac:dyDescent="0.25">
      <c r="A551" s="7" t="s">
        <v>613</v>
      </c>
      <c r="B551" s="7" t="s">
        <v>0</v>
      </c>
      <c r="C551" s="7" t="s">
        <v>233</v>
      </c>
      <c r="D551" s="7" t="s">
        <v>4</v>
      </c>
      <c r="E551" s="7" t="s">
        <v>18</v>
      </c>
      <c r="F551" s="5">
        <v>201.1</v>
      </c>
      <c r="G551" s="7" t="s">
        <v>623</v>
      </c>
      <c r="H551" s="7" t="s">
        <v>233</v>
      </c>
      <c r="I551" s="7" t="s">
        <v>2633</v>
      </c>
      <c r="K551">
        <f>IF($A551="","",IF(ISNUMBER($A551),MONTH($A551),MONTH(DATEVALUE($A551))))</f>
        <v>9</v>
      </c>
    </row>
    <row r="552" spans="1:11" ht="60" customHeight="1" x14ac:dyDescent="0.25">
      <c r="A552" s="8" t="s">
        <v>613</v>
      </c>
      <c r="B552" s="8" t="s">
        <v>0</v>
      </c>
      <c r="C552" s="8" t="s">
        <v>624</v>
      </c>
      <c r="D552" s="8" t="s">
        <v>4</v>
      </c>
      <c r="E552" s="8" t="s">
        <v>18</v>
      </c>
      <c r="F552" s="6">
        <v>79.87</v>
      </c>
      <c r="G552" s="8" t="s">
        <v>625</v>
      </c>
      <c r="H552" s="8" t="s">
        <v>624</v>
      </c>
      <c r="I552" s="8" t="s">
        <v>2633</v>
      </c>
      <c r="K552">
        <f>IF($A552="","",IF(ISNUMBER($A552),MONTH($A552),MONTH(DATEVALUE($A552))))</f>
        <v>9</v>
      </c>
    </row>
    <row r="553" spans="1:11" ht="60" customHeight="1" x14ac:dyDescent="0.25">
      <c r="A553" s="7" t="s">
        <v>626</v>
      </c>
      <c r="B553" s="7" t="s">
        <v>0</v>
      </c>
      <c r="C553" s="7" t="s">
        <v>627</v>
      </c>
      <c r="D553" s="7" t="s">
        <v>4</v>
      </c>
      <c r="E553" s="7" t="s">
        <v>18</v>
      </c>
      <c r="F553" s="5">
        <v>21.94</v>
      </c>
      <c r="G553" s="7" t="s">
        <v>628</v>
      </c>
      <c r="H553" s="7" t="s">
        <v>627</v>
      </c>
      <c r="I553" s="7" t="s">
        <v>2632</v>
      </c>
      <c r="K553">
        <f>IF($A553="","",IF(ISNUMBER($A553),MONTH($A553),MONTH(DATEVALUE($A553))))</f>
        <v>9</v>
      </c>
    </row>
    <row r="554" spans="1:11" ht="60" customHeight="1" x14ac:dyDescent="0.25">
      <c r="A554" s="8" t="s">
        <v>626</v>
      </c>
      <c r="B554" s="8" t="s">
        <v>0</v>
      </c>
      <c r="C554" s="8" t="s">
        <v>629</v>
      </c>
      <c r="D554" s="8" t="s">
        <v>4</v>
      </c>
      <c r="E554" s="8" t="s">
        <v>18</v>
      </c>
      <c r="F554" s="6">
        <v>180.29</v>
      </c>
      <c r="G554" s="8" t="s">
        <v>630</v>
      </c>
      <c r="H554" s="8" t="s">
        <v>629</v>
      </c>
      <c r="I554" s="8" t="s">
        <v>2645</v>
      </c>
      <c r="K554">
        <f>IF($A554="","",IF(ISNUMBER($A554),MONTH($A554),MONTH(DATEVALUE($A554))))</f>
        <v>9</v>
      </c>
    </row>
    <row r="555" spans="1:11" ht="60" customHeight="1" x14ac:dyDescent="0.25">
      <c r="A555" s="7" t="s">
        <v>626</v>
      </c>
      <c r="B555" s="7" t="s">
        <v>0</v>
      </c>
      <c r="C555" s="7" t="s">
        <v>27</v>
      </c>
      <c r="D555" s="7" t="s">
        <v>4</v>
      </c>
      <c r="E555" s="7" t="s">
        <v>18</v>
      </c>
      <c r="F555" s="5">
        <v>20</v>
      </c>
      <c r="G555" s="7" t="s">
        <v>631</v>
      </c>
      <c r="H555" s="7" t="s">
        <v>27</v>
      </c>
      <c r="I555" s="7" t="s">
        <v>2628</v>
      </c>
      <c r="K555">
        <f>IF($A555="","",IF(ISNUMBER($A555),MONTH($A555),MONTH(DATEVALUE($A555))))</f>
        <v>9</v>
      </c>
    </row>
    <row r="556" spans="1:11" ht="60" customHeight="1" x14ac:dyDescent="0.25">
      <c r="A556" s="8" t="s">
        <v>626</v>
      </c>
      <c r="B556" s="8" t="s">
        <v>0</v>
      </c>
      <c r="C556" s="8" t="s">
        <v>632</v>
      </c>
      <c r="D556" s="8" t="s">
        <v>4</v>
      </c>
      <c r="E556" s="8" t="s">
        <v>18</v>
      </c>
      <c r="F556" s="6">
        <v>7.57</v>
      </c>
      <c r="G556" s="8" t="s">
        <v>633</v>
      </c>
      <c r="H556" s="8" t="s">
        <v>632</v>
      </c>
      <c r="I556" s="8" t="s">
        <v>2630</v>
      </c>
      <c r="K556">
        <f>IF($A556="","",IF(ISNUMBER($A556),MONTH($A556),MONTH(DATEVALUE($A556))))</f>
        <v>9</v>
      </c>
    </row>
    <row r="557" spans="1:11" ht="60" customHeight="1" x14ac:dyDescent="0.25">
      <c r="A557" s="7" t="s">
        <v>626</v>
      </c>
      <c r="B557" s="7" t="s">
        <v>227</v>
      </c>
      <c r="C557" s="7" t="s">
        <v>597</v>
      </c>
      <c r="D557" s="7" t="s">
        <v>4</v>
      </c>
      <c r="E557" s="7" t="s">
        <v>18</v>
      </c>
      <c r="F557" s="5">
        <v>649.54999999999995</v>
      </c>
      <c r="G557" s="7" t="s">
        <v>634</v>
      </c>
      <c r="H557" s="7" t="s">
        <v>597</v>
      </c>
      <c r="I557" s="7" t="s">
        <v>2645</v>
      </c>
      <c r="K557">
        <f>IF($A557="","",IF(ISNUMBER($A557),MONTH($A557),MONTH(DATEVALUE($A557))))</f>
        <v>9</v>
      </c>
    </row>
    <row r="558" spans="1:11" ht="60" customHeight="1" x14ac:dyDescent="0.25">
      <c r="A558" s="8" t="s">
        <v>626</v>
      </c>
      <c r="B558" s="8" t="s">
        <v>227</v>
      </c>
      <c r="C558" s="8" t="s">
        <v>597</v>
      </c>
      <c r="D558" s="8" t="s">
        <v>4</v>
      </c>
      <c r="E558" s="8" t="s">
        <v>18</v>
      </c>
      <c r="F558" s="6">
        <v>7193.05</v>
      </c>
      <c r="G558" s="8" t="s">
        <v>635</v>
      </c>
      <c r="H558" s="8" t="s">
        <v>597</v>
      </c>
      <c r="I558" s="7" t="s">
        <v>2645</v>
      </c>
      <c r="K558">
        <f>IF($A558="","",IF(ISNUMBER($A558),MONTH($A558),MONTH(DATEVALUE($A558))))</f>
        <v>9</v>
      </c>
    </row>
    <row r="559" spans="1:11" ht="60" customHeight="1" x14ac:dyDescent="0.25">
      <c r="A559" s="7" t="s">
        <v>626</v>
      </c>
      <c r="B559" s="7" t="s">
        <v>0</v>
      </c>
      <c r="C559" s="7" t="s">
        <v>63</v>
      </c>
      <c r="D559" s="7" t="s">
        <v>4</v>
      </c>
      <c r="E559" s="7" t="s">
        <v>18</v>
      </c>
      <c r="F559" s="5">
        <v>108.82</v>
      </c>
      <c r="G559" s="7" t="s">
        <v>636</v>
      </c>
      <c r="H559" s="7" t="s">
        <v>63</v>
      </c>
      <c r="I559" s="7" t="s">
        <v>2633</v>
      </c>
      <c r="K559">
        <f>IF($A559="","",IF(ISNUMBER($A559),MONTH($A559),MONTH(DATEVALUE($A559))))</f>
        <v>9</v>
      </c>
    </row>
    <row r="560" spans="1:11" ht="60" customHeight="1" x14ac:dyDescent="0.25">
      <c r="A560" s="8" t="s">
        <v>626</v>
      </c>
      <c r="B560" s="8" t="s">
        <v>0</v>
      </c>
      <c r="C560" s="8" t="s">
        <v>171</v>
      </c>
      <c r="D560" s="8" t="s">
        <v>4</v>
      </c>
      <c r="E560" s="8" t="s">
        <v>18</v>
      </c>
      <c r="F560" s="6">
        <v>96.68</v>
      </c>
      <c r="G560" s="8" t="s">
        <v>637</v>
      </c>
      <c r="H560" s="8" t="s">
        <v>171</v>
      </c>
      <c r="I560" s="8" t="s">
        <v>2633</v>
      </c>
      <c r="K560">
        <f>IF($A560="","",IF(ISNUMBER($A560),MONTH($A560),MONTH(DATEVALUE($A560))))</f>
        <v>9</v>
      </c>
    </row>
    <row r="561" spans="1:11" ht="60" customHeight="1" x14ac:dyDescent="0.25">
      <c r="A561" s="7" t="s">
        <v>638</v>
      </c>
      <c r="B561" s="7" t="s">
        <v>0</v>
      </c>
      <c r="C561" s="7" t="s">
        <v>639</v>
      </c>
      <c r="D561" s="7" t="s">
        <v>4</v>
      </c>
      <c r="E561" s="7" t="s">
        <v>18</v>
      </c>
      <c r="F561" s="5">
        <v>6.49</v>
      </c>
      <c r="G561" s="7" t="s">
        <v>640</v>
      </c>
      <c r="H561" s="7" t="s">
        <v>639</v>
      </c>
      <c r="I561" s="7" t="s">
        <v>2633</v>
      </c>
      <c r="K561">
        <f>IF($A561="","",IF(ISNUMBER($A561),MONTH($A561),MONTH(DATEVALUE($A561))))</f>
        <v>9</v>
      </c>
    </row>
    <row r="562" spans="1:11" ht="60" customHeight="1" x14ac:dyDescent="0.25">
      <c r="A562" s="8" t="s">
        <v>638</v>
      </c>
      <c r="B562" s="8" t="s">
        <v>0</v>
      </c>
      <c r="C562" s="8" t="s">
        <v>641</v>
      </c>
      <c r="D562" s="8" t="s">
        <v>4</v>
      </c>
      <c r="E562" s="8" t="s">
        <v>18</v>
      </c>
      <c r="F562" s="6">
        <v>17.02</v>
      </c>
      <c r="G562" s="8" t="s">
        <v>642</v>
      </c>
      <c r="H562" s="8" t="s">
        <v>641</v>
      </c>
      <c r="I562" s="8" t="s">
        <v>2633</v>
      </c>
      <c r="K562">
        <f>IF($A562="","",IF(ISNUMBER($A562),MONTH($A562),MONTH(DATEVALUE($A562))))</f>
        <v>9</v>
      </c>
    </row>
    <row r="563" spans="1:11" ht="60" customHeight="1" x14ac:dyDescent="0.25">
      <c r="A563" s="7" t="s">
        <v>638</v>
      </c>
      <c r="B563" s="7" t="s">
        <v>0</v>
      </c>
      <c r="C563" s="7" t="s">
        <v>641</v>
      </c>
      <c r="D563" s="7" t="s">
        <v>4</v>
      </c>
      <c r="E563" s="7" t="s">
        <v>18</v>
      </c>
      <c r="F563" s="5">
        <v>77.02</v>
      </c>
      <c r="G563" s="7" t="s">
        <v>642</v>
      </c>
      <c r="H563" s="7" t="s">
        <v>641</v>
      </c>
      <c r="I563" s="7" t="s">
        <v>2633</v>
      </c>
      <c r="K563">
        <f>IF($A563="","",IF(ISNUMBER($A563),MONTH($A563),MONTH(DATEVALUE($A563))))</f>
        <v>9</v>
      </c>
    </row>
    <row r="564" spans="1:11" ht="60" customHeight="1" x14ac:dyDescent="0.25">
      <c r="A564" s="8" t="s">
        <v>638</v>
      </c>
      <c r="B564" s="8" t="s">
        <v>0</v>
      </c>
      <c r="C564" s="8" t="s">
        <v>68</v>
      </c>
      <c r="D564" s="8" t="s">
        <v>4</v>
      </c>
      <c r="E564" s="8" t="s">
        <v>18</v>
      </c>
      <c r="F564" s="6">
        <v>165</v>
      </c>
      <c r="G564" s="8" t="s">
        <v>643</v>
      </c>
      <c r="H564" s="8" t="s">
        <v>68</v>
      </c>
      <c r="I564" s="8" t="s">
        <v>2632</v>
      </c>
      <c r="K564">
        <f>IF($A564="","",IF(ISNUMBER($A564),MONTH($A564),MONTH(DATEVALUE($A564))))</f>
        <v>9</v>
      </c>
    </row>
    <row r="565" spans="1:11" ht="60" customHeight="1" x14ac:dyDescent="0.25">
      <c r="A565" s="7" t="s">
        <v>644</v>
      </c>
      <c r="B565" s="7" t="s">
        <v>0</v>
      </c>
      <c r="C565" s="7" t="s">
        <v>645</v>
      </c>
      <c r="D565" s="7" t="s">
        <v>4</v>
      </c>
      <c r="E565" s="7" t="s">
        <v>18</v>
      </c>
      <c r="F565" s="5">
        <v>11.99</v>
      </c>
      <c r="G565" s="7" t="s">
        <v>646</v>
      </c>
      <c r="H565" s="7" t="s">
        <v>645</v>
      </c>
      <c r="I565" s="7" t="s">
        <v>2627</v>
      </c>
      <c r="K565">
        <f>IF($A565="","",IF(ISNUMBER($A565),MONTH($A565),MONTH(DATEVALUE($A565))))</f>
        <v>9</v>
      </c>
    </row>
    <row r="566" spans="1:11" ht="60" customHeight="1" x14ac:dyDescent="0.25">
      <c r="A566" s="8" t="s">
        <v>644</v>
      </c>
      <c r="B566" s="8" t="s">
        <v>0</v>
      </c>
      <c r="C566" s="8" t="s">
        <v>647</v>
      </c>
      <c r="D566" s="8" t="s">
        <v>4</v>
      </c>
      <c r="E566" s="8" t="s">
        <v>18</v>
      </c>
      <c r="F566" s="6">
        <v>256.82</v>
      </c>
      <c r="G566" s="8" t="s">
        <v>648</v>
      </c>
      <c r="H566" s="8" t="s">
        <v>647</v>
      </c>
      <c r="I566" s="8" t="s">
        <v>2645</v>
      </c>
      <c r="K566">
        <f>IF($A566="","",IF(ISNUMBER($A566),MONTH($A566),MONTH(DATEVALUE($A566))))</f>
        <v>9</v>
      </c>
    </row>
    <row r="567" spans="1:11" ht="60" customHeight="1" x14ac:dyDescent="0.25">
      <c r="A567" s="7" t="s">
        <v>644</v>
      </c>
      <c r="B567" s="7" t="s">
        <v>0</v>
      </c>
      <c r="C567" s="7" t="s">
        <v>35</v>
      </c>
      <c r="D567" s="7" t="s">
        <v>4</v>
      </c>
      <c r="E567" s="7" t="s">
        <v>18</v>
      </c>
      <c r="F567" s="5">
        <v>39.99</v>
      </c>
      <c r="G567" s="7" t="s">
        <v>649</v>
      </c>
      <c r="H567" s="7" t="s">
        <v>35</v>
      </c>
      <c r="I567" s="7" t="s">
        <v>2630</v>
      </c>
      <c r="K567">
        <f>IF($A567="","",IF(ISNUMBER($A567),MONTH($A567),MONTH(DATEVALUE($A567))))</f>
        <v>9</v>
      </c>
    </row>
    <row r="568" spans="1:11" ht="60" customHeight="1" x14ac:dyDescent="0.25">
      <c r="A568" s="8" t="s">
        <v>644</v>
      </c>
      <c r="B568" s="8" t="s">
        <v>227</v>
      </c>
      <c r="C568" s="8" t="s">
        <v>597</v>
      </c>
      <c r="D568" s="8" t="s">
        <v>4</v>
      </c>
      <c r="E568" s="8" t="s">
        <v>18</v>
      </c>
      <c r="F568" s="6">
        <v>570.36</v>
      </c>
      <c r="G568" s="8" t="s">
        <v>650</v>
      </c>
      <c r="H568" s="8" t="s">
        <v>597</v>
      </c>
      <c r="I568" s="8" t="s">
        <v>2645</v>
      </c>
      <c r="K568">
        <f>IF($A568="","",IF(ISNUMBER($A568),MONTH($A568),MONTH(DATEVALUE($A568))))</f>
        <v>9</v>
      </c>
    </row>
    <row r="569" spans="1:11" ht="60" customHeight="1" x14ac:dyDescent="0.25">
      <c r="A569" s="7" t="s">
        <v>644</v>
      </c>
      <c r="B569" s="7" t="s">
        <v>0</v>
      </c>
      <c r="C569" s="7" t="s">
        <v>233</v>
      </c>
      <c r="D569" s="7" t="s">
        <v>4</v>
      </c>
      <c r="E569" s="7" t="s">
        <v>18</v>
      </c>
      <c r="F569" s="5">
        <v>129.13</v>
      </c>
      <c r="G569" s="7" t="s">
        <v>623</v>
      </c>
      <c r="H569" s="7" t="s">
        <v>233</v>
      </c>
      <c r="I569" s="7" t="s">
        <v>2633</v>
      </c>
      <c r="K569">
        <f>IF($A569="","",IF(ISNUMBER($A569),MONTH($A569),MONTH(DATEVALUE($A569))))</f>
        <v>9</v>
      </c>
    </row>
    <row r="570" spans="1:11" ht="60" customHeight="1" x14ac:dyDescent="0.25">
      <c r="A570" s="8" t="s">
        <v>651</v>
      </c>
      <c r="B570" s="8" t="s">
        <v>0</v>
      </c>
      <c r="C570" s="8" t="s">
        <v>652</v>
      </c>
      <c r="D570" s="8" t="s">
        <v>4</v>
      </c>
      <c r="E570" s="8" t="s">
        <v>18</v>
      </c>
      <c r="F570" s="6">
        <v>119.88</v>
      </c>
      <c r="G570" s="8" t="s">
        <v>653</v>
      </c>
      <c r="H570" s="8" t="s">
        <v>652</v>
      </c>
      <c r="I570" s="8" t="s">
        <v>2627</v>
      </c>
      <c r="K570">
        <f>IF($A570="","",IF(ISNUMBER($A570),MONTH($A570),MONTH(DATEVALUE($A570))))</f>
        <v>9</v>
      </c>
    </row>
    <row r="571" spans="1:11" ht="60" customHeight="1" x14ac:dyDescent="0.25">
      <c r="A571" s="7" t="s">
        <v>651</v>
      </c>
      <c r="B571" s="7" t="s">
        <v>0</v>
      </c>
      <c r="C571" s="7" t="s">
        <v>654</v>
      </c>
      <c r="D571" s="7" t="s">
        <v>4</v>
      </c>
      <c r="E571" s="7" t="s">
        <v>18</v>
      </c>
      <c r="F571" s="5">
        <v>3.83</v>
      </c>
      <c r="G571" s="7" t="s">
        <v>655</v>
      </c>
      <c r="H571" s="7" t="s">
        <v>654</v>
      </c>
      <c r="I571" s="7" t="s">
        <v>2634</v>
      </c>
      <c r="K571">
        <f>IF($A571="","",IF(ISNUMBER($A571),MONTH($A571),MONTH(DATEVALUE($A571))))</f>
        <v>9</v>
      </c>
    </row>
    <row r="572" spans="1:11" ht="60" customHeight="1" x14ac:dyDescent="0.25">
      <c r="A572" s="8" t="s">
        <v>651</v>
      </c>
      <c r="B572" s="8" t="s">
        <v>0</v>
      </c>
      <c r="C572" s="8" t="s">
        <v>656</v>
      </c>
      <c r="D572" s="8" t="s">
        <v>4</v>
      </c>
      <c r="E572" s="8" t="s">
        <v>18</v>
      </c>
      <c r="F572" s="6">
        <v>16.22</v>
      </c>
      <c r="G572" s="8" t="s">
        <v>657</v>
      </c>
      <c r="H572" s="8" t="s">
        <v>656</v>
      </c>
      <c r="I572" s="8" t="s">
        <v>2635</v>
      </c>
      <c r="K572">
        <f>IF($A572="","",IF(ISNUMBER($A572),MONTH($A572),MONTH(DATEVALUE($A572))))</f>
        <v>9</v>
      </c>
    </row>
    <row r="573" spans="1:11" ht="60" customHeight="1" x14ac:dyDescent="0.25">
      <c r="A573" s="7" t="s">
        <v>651</v>
      </c>
      <c r="B573" s="7" t="s">
        <v>0</v>
      </c>
      <c r="C573" s="7" t="s">
        <v>658</v>
      </c>
      <c r="D573" s="7" t="s">
        <v>4</v>
      </c>
      <c r="E573" s="7" t="s">
        <v>18</v>
      </c>
      <c r="F573" s="5">
        <v>55</v>
      </c>
      <c r="G573" s="7" t="s">
        <v>659</v>
      </c>
      <c r="H573" s="7" t="s">
        <v>658</v>
      </c>
      <c r="I573" s="7" t="s">
        <v>2632</v>
      </c>
      <c r="K573">
        <f>IF($A573="","",IF(ISNUMBER($A573),MONTH($A573),MONTH(DATEVALUE($A573))))</f>
        <v>9</v>
      </c>
    </row>
    <row r="574" spans="1:11" ht="60" customHeight="1" x14ac:dyDescent="0.25">
      <c r="A574" s="8" t="s">
        <v>651</v>
      </c>
      <c r="B574" s="8" t="s">
        <v>0</v>
      </c>
      <c r="C574" s="8" t="s">
        <v>282</v>
      </c>
      <c r="D574" s="8" t="s">
        <v>4</v>
      </c>
      <c r="E574" s="8" t="s">
        <v>18</v>
      </c>
      <c r="F574" s="6">
        <v>185.76</v>
      </c>
      <c r="G574" s="8" t="s">
        <v>660</v>
      </c>
      <c r="H574" s="8" t="s">
        <v>282</v>
      </c>
      <c r="I574" s="8" t="s">
        <v>2633</v>
      </c>
      <c r="K574">
        <f>IF($A574="","",IF(ISNUMBER($A574),MONTH($A574),MONTH(DATEVALUE($A574))))</f>
        <v>9</v>
      </c>
    </row>
    <row r="575" spans="1:11" ht="60" customHeight="1" x14ac:dyDescent="0.25">
      <c r="A575" s="7" t="s">
        <v>661</v>
      </c>
      <c r="B575" s="7" t="s">
        <v>0</v>
      </c>
      <c r="C575" s="7" t="s">
        <v>214</v>
      </c>
      <c r="D575" s="7" t="s">
        <v>4</v>
      </c>
      <c r="E575" s="7" t="s">
        <v>18</v>
      </c>
      <c r="F575" s="5">
        <v>14.25</v>
      </c>
      <c r="G575" s="7" t="s">
        <v>662</v>
      </c>
      <c r="H575" s="7" t="s">
        <v>214</v>
      </c>
      <c r="I575" s="7" t="s">
        <v>2633</v>
      </c>
      <c r="K575">
        <f>IF($A575="","",IF(ISNUMBER($A575),MONTH($A575),MONTH(DATEVALUE($A575))))</f>
        <v>9</v>
      </c>
    </row>
    <row r="576" spans="1:11" ht="60" customHeight="1" x14ac:dyDescent="0.25">
      <c r="A576" s="8" t="s">
        <v>661</v>
      </c>
      <c r="B576" s="8" t="s">
        <v>0</v>
      </c>
      <c r="C576" s="8" t="s">
        <v>663</v>
      </c>
      <c r="D576" s="8" t="s">
        <v>4</v>
      </c>
      <c r="E576" s="8" t="s">
        <v>18</v>
      </c>
      <c r="F576" s="6">
        <v>15.98</v>
      </c>
      <c r="G576" s="8" t="s">
        <v>664</v>
      </c>
      <c r="H576" s="8" t="s">
        <v>663</v>
      </c>
      <c r="I576" s="8" t="s">
        <v>2627</v>
      </c>
      <c r="K576">
        <f>IF($A576="","",IF(ISNUMBER($A576),MONTH($A576),MONTH(DATEVALUE($A576))))</f>
        <v>9</v>
      </c>
    </row>
    <row r="577" spans="1:11" ht="60" customHeight="1" x14ac:dyDescent="0.25">
      <c r="A577" s="7" t="s">
        <v>661</v>
      </c>
      <c r="B577" s="7" t="s">
        <v>0</v>
      </c>
      <c r="C577" s="7" t="s">
        <v>435</v>
      </c>
      <c r="D577" s="7" t="s">
        <v>4</v>
      </c>
      <c r="E577" s="7" t="s">
        <v>18</v>
      </c>
      <c r="F577" s="5">
        <v>883</v>
      </c>
      <c r="G577" s="7" t="s">
        <v>665</v>
      </c>
      <c r="H577" s="7" t="s">
        <v>435</v>
      </c>
      <c r="I577" s="7" t="s">
        <v>2644</v>
      </c>
      <c r="K577">
        <f>IF($A577="","",IF(ISNUMBER($A577),MONTH($A577),MONTH(DATEVALUE($A577))))</f>
        <v>9</v>
      </c>
    </row>
    <row r="578" spans="1:11" ht="60" customHeight="1" x14ac:dyDescent="0.25">
      <c r="A578" s="8" t="s">
        <v>661</v>
      </c>
      <c r="B578" s="8" t="s">
        <v>0</v>
      </c>
      <c r="C578" s="8" t="s">
        <v>666</v>
      </c>
      <c r="D578" s="8" t="s">
        <v>4</v>
      </c>
      <c r="E578" s="8" t="s">
        <v>18</v>
      </c>
      <c r="F578" s="6">
        <v>85</v>
      </c>
      <c r="G578" s="8" t="s">
        <v>667</v>
      </c>
      <c r="H578" s="8" t="s">
        <v>666</v>
      </c>
      <c r="I578" s="8" t="s">
        <v>2632</v>
      </c>
      <c r="K578">
        <f>IF($A578="","",IF(ISNUMBER($A578),MONTH($A578),MONTH(DATEVALUE($A578))))</f>
        <v>9</v>
      </c>
    </row>
    <row r="579" spans="1:11" ht="60" customHeight="1" x14ac:dyDescent="0.25">
      <c r="A579" s="7" t="s">
        <v>661</v>
      </c>
      <c r="B579" s="7" t="s">
        <v>0</v>
      </c>
      <c r="C579" s="7" t="s">
        <v>668</v>
      </c>
      <c r="D579" s="7" t="s">
        <v>4</v>
      </c>
      <c r="E579" s="7" t="s">
        <v>18</v>
      </c>
      <c r="F579" s="5">
        <v>203.82</v>
      </c>
      <c r="G579" s="7" t="s">
        <v>669</v>
      </c>
      <c r="H579" s="7" t="s">
        <v>668</v>
      </c>
      <c r="I579" s="7" t="s">
        <v>2633</v>
      </c>
      <c r="K579">
        <f>IF($A579="","",IF(ISNUMBER($A579),MONTH($A579),MONTH(DATEVALUE($A579))))</f>
        <v>9</v>
      </c>
    </row>
    <row r="580" spans="1:11" ht="60" customHeight="1" x14ac:dyDescent="0.25">
      <c r="A580" s="8" t="s">
        <v>661</v>
      </c>
      <c r="B580" s="8" t="s">
        <v>0</v>
      </c>
      <c r="C580" s="8" t="s">
        <v>670</v>
      </c>
      <c r="D580" s="8" t="s">
        <v>4</v>
      </c>
      <c r="E580" s="8" t="s">
        <v>18</v>
      </c>
      <c r="F580" s="6">
        <v>176.7</v>
      </c>
      <c r="G580" s="8" t="s">
        <v>671</v>
      </c>
      <c r="H580" s="8" t="s">
        <v>670</v>
      </c>
      <c r="I580" s="8" t="s">
        <v>2645</v>
      </c>
      <c r="K580">
        <f>IF($A580="","",IF(ISNUMBER($A580),MONTH($A580),MONTH(DATEVALUE($A580))))</f>
        <v>9</v>
      </c>
    </row>
    <row r="581" spans="1:11" ht="60" customHeight="1" x14ac:dyDescent="0.25">
      <c r="A581" s="7" t="s">
        <v>661</v>
      </c>
      <c r="B581" s="7" t="s">
        <v>0</v>
      </c>
      <c r="C581" s="7" t="s">
        <v>672</v>
      </c>
      <c r="D581" s="7" t="s">
        <v>4</v>
      </c>
      <c r="E581" s="7" t="s">
        <v>18</v>
      </c>
      <c r="F581" s="5">
        <v>7.57</v>
      </c>
      <c r="G581" s="7" t="s">
        <v>673</v>
      </c>
      <c r="H581" s="7" t="s">
        <v>672</v>
      </c>
      <c r="I581" s="7" t="s">
        <v>2647</v>
      </c>
      <c r="K581">
        <f>IF($A581="","",IF(ISNUMBER($A581),MONTH($A581),MONTH(DATEVALUE($A581))))</f>
        <v>9</v>
      </c>
    </row>
    <row r="582" spans="1:11" ht="60" customHeight="1" x14ac:dyDescent="0.25">
      <c r="A582" s="8" t="s">
        <v>674</v>
      </c>
      <c r="B582" s="8" t="s">
        <v>0</v>
      </c>
      <c r="C582" s="8" t="s">
        <v>73</v>
      </c>
      <c r="D582" s="8" t="s">
        <v>4</v>
      </c>
      <c r="E582" s="8" t="s">
        <v>18</v>
      </c>
      <c r="F582" s="6">
        <v>71.73</v>
      </c>
      <c r="G582" s="8" t="s">
        <v>675</v>
      </c>
      <c r="H582" s="8" t="s">
        <v>73</v>
      </c>
      <c r="I582" s="8" t="s">
        <v>2633</v>
      </c>
      <c r="K582">
        <f>IF($A582="","",IF(ISNUMBER($A582),MONTH($A582),MONTH(DATEVALUE($A582))))</f>
        <v>9</v>
      </c>
    </row>
    <row r="583" spans="1:11" ht="60" customHeight="1" x14ac:dyDescent="0.25">
      <c r="A583" s="7" t="s">
        <v>676</v>
      </c>
      <c r="B583" s="7" t="s">
        <v>0</v>
      </c>
      <c r="C583" s="7" t="s">
        <v>677</v>
      </c>
      <c r="D583" s="7" t="s">
        <v>4</v>
      </c>
      <c r="E583" s="7" t="s">
        <v>18</v>
      </c>
      <c r="F583" s="5">
        <v>280.85000000000002</v>
      </c>
      <c r="G583" s="7" t="s">
        <v>678</v>
      </c>
      <c r="H583" s="7" t="s">
        <v>677</v>
      </c>
      <c r="I583" s="7" t="s">
        <v>2627</v>
      </c>
      <c r="K583">
        <f>IF($A583="","",IF(ISNUMBER($A583),MONTH($A583),MONTH(DATEVALUE($A583))))</f>
        <v>9</v>
      </c>
    </row>
    <row r="584" spans="1:11" ht="60" customHeight="1" x14ac:dyDescent="0.25">
      <c r="A584" s="8" t="s">
        <v>676</v>
      </c>
      <c r="B584" s="8" t="s">
        <v>0</v>
      </c>
      <c r="C584" s="8" t="s">
        <v>235</v>
      </c>
      <c r="D584" s="8" t="s">
        <v>4</v>
      </c>
      <c r="E584" s="8" t="s">
        <v>18</v>
      </c>
      <c r="F584" s="6">
        <v>52.65</v>
      </c>
      <c r="G584" s="8" t="s">
        <v>679</v>
      </c>
      <c r="H584" s="8" t="s">
        <v>235</v>
      </c>
      <c r="I584" s="8" t="s">
        <v>2634</v>
      </c>
      <c r="K584">
        <f>IF($A584="","",IF(ISNUMBER($A584),MONTH($A584),MONTH(DATEVALUE($A584))))</f>
        <v>9</v>
      </c>
    </row>
    <row r="585" spans="1:11" ht="60" customHeight="1" x14ac:dyDescent="0.25">
      <c r="A585" s="7" t="s">
        <v>680</v>
      </c>
      <c r="B585" s="7" t="s">
        <v>0</v>
      </c>
      <c r="C585" s="7" t="s">
        <v>70</v>
      </c>
      <c r="D585" s="7" t="s">
        <v>4</v>
      </c>
      <c r="E585" s="7" t="s">
        <v>18</v>
      </c>
      <c r="F585" s="5">
        <v>96</v>
      </c>
      <c r="G585" s="7" t="s">
        <v>681</v>
      </c>
      <c r="H585" s="7" t="s">
        <v>70</v>
      </c>
      <c r="I585" s="7" t="s">
        <v>2632</v>
      </c>
      <c r="K585">
        <f>IF($A585="","",IF(ISNUMBER($A585),MONTH($A585),MONTH(DATEVALUE($A585))))</f>
        <v>9</v>
      </c>
    </row>
    <row r="586" spans="1:11" ht="60" customHeight="1" x14ac:dyDescent="0.25">
      <c r="A586" s="8" t="s">
        <v>680</v>
      </c>
      <c r="B586" s="8" t="s">
        <v>0</v>
      </c>
      <c r="C586" s="8" t="s">
        <v>70</v>
      </c>
      <c r="D586" s="8" t="s">
        <v>4</v>
      </c>
      <c r="E586" s="8" t="s">
        <v>18</v>
      </c>
      <c r="F586" s="6">
        <v>199</v>
      </c>
      <c r="G586" s="8" t="s">
        <v>682</v>
      </c>
      <c r="H586" s="8" t="s">
        <v>70</v>
      </c>
      <c r="I586" s="8" t="s">
        <v>2632</v>
      </c>
      <c r="K586">
        <f>IF($A586="","",IF(ISNUMBER($A586),MONTH($A586),MONTH(DATEVALUE($A586))))</f>
        <v>9</v>
      </c>
    </row>
    <row r="587" spans="1:11" ht="60" customHeight="1" x14ac:dyDescent="0.25">
      <c r="A587" s="7" t="s">
        <v>680</v>
      </c>
      <c r="B587" s="7" t="s">
        <v>0</v>
      </c>
      <c r="C587" s="7" t="s">
        <v>63</v>
      </c>
      <c r="D587" s="7" t="s">
        <v>4</v>
      </c>
      <c r="E587" s="7" t="s">
        <v>18</v>
      </c>
      <c r="F587" s="5">
        <v>115.28</v>
      </c>
      <c r="G587" s="7" t="s">
        <v>683</v>
      </c>
      <c r="H587" s="7" t="s">
        <v>63</v>
      </c>
      <c r="I587" s="7" t="s">
        <v>2633</v>
      </c>
      <c r="K587">
        <f>IF($A587="","",IF(ISNUMBER($A587),MONTH($A587),MONTH(DATEVALUE($A587))))</f>
        <v>9</v>
      </c>
    </row>
    <row r="588" spans="1:11" ht="60" customHeight="1" x14ac:dyDescent="0.25">
      <c r="A588" s="8" t="s">
        <v>684</v>
      </c>
      <c r="B588" s="8" t="s">
        <v>0</v>
      </c>
      <c r="C588" s="8" t="s">
        <v>685</v>
      </c>
      <c r="D588" s="8" t="s">
        <v>4</v>
      </c>
      <c r="E588" s="8" t="s">
        <v>18</v>
      </c>
      <c r="F588" s="6">
        <v>76.63</v>
      </c>
      <c r="G588" s="8" t="s">
        <v>686</v>
      </c>
      <c r="H588" s="8" t="s">
        <v>685</v>
      </c>
      <c r="I588" s="8" t="s">
        <v>2635</v>
      </c>
      <c r="K588">
        <f>IF($A588="","",IF(ISNUMBER($A588),MONTH($A588),MONTH(DATEVALUE($A588))))</f>
        <v>9</v>
      </c>
    </row>
    <row r="589" spans="1:11" ht="60" customHeight="1" x14ac:dyDescent="0.25">
      <c r="A589" s="7" t="s">
        <v>684</v>
      </c>
      <c r="B589" s="7" t="s">
        <v>0</v>
      </c>
      <c r="C589" s="7" t="s">
        <v>44</v>
      </c>
      <c r="D589" s="7" t="s">
        <v>4</v>
      </c>
      <c r="E589" s="7" t="s">
        <v>18</v>
      </c>
      <c r="F589" s="5">
        <v>584</v>
      </c>
      <c r="G589" s="7" t="s">
        <v>687</v>
      </c>
      <c r="H589" s="7" t="s">
        <v>44</v>
      </c>
      <c r="I589" s="7" t="s">
        <v>2630</v>
      </c>
      <c r="K589">
        <f>IF($A589="","",IF(ISNUMBER($A589),MONTH($A589),MONTH(DATEVALUE($A589))))</f>
        <v>9</v>
      </c>
    </row>
    <row r="590" spans="1:11" ht="60" customHeight="1" x14ac:dyDescent="0.25">
      <c r="A590" s="8" t="s">
        <v>684</v>
      </c>
      <c r="B590" s="8" t="s">
        <v>0</v>
      </c>
      <c r="C590" s="8" t="s">
        <v>688</v>
      </c>
      <c r="D590" s="8" t="s">
        <v>4</v>
      </c>
      <c r="E590" s="8" t="s">
        <v>18</v>
      </c>
      <c r="F590" s="6">
        <v>17.97</v>
      </c>
      <c r="G590" s="8" t="s">
        <v>689</v>
      </c>
      <c r="H590" s="8" t="s">
        <v>688</v>
      </c>
      <c r="I590" s="8" t="s">
        <v>2627</v>
      </c>
      <c r="K590">
        <f>IF($A590="","",IF(ISNUMBER($A590),MONTH($A590),MONTH(DATEVALUE($A590))))</f>
        <v>9</v>
      </c>
    </row>
    <row r="591" spans="1:11" ht="60" customHeight="1" x14ac:dyDescent="0.25">
      <c r="A591" s="7" t="s">
        <v>684</v>
      </c>
      <c r="B591" s="7" t="s">
        <v>0</v>
      </c>
      <c r="C591" s="7" t="s">
        <v>690</v>
      </c>
      <c r="D591" s="7" t="s">
        <v>4</v>
      </c>
      <c r="E591" s="7" t="s">
        <v>18</v>
      </c>
      <c r="F591" s="5">
        <v>1486.02</v>
      </c>
      <c r="G591" s="7" t="s">
        <v>691</v>
      </c>
      <c r="H591" s="7" t="s">
        <v>690</v>
      </c>
      <c r="I591" s="7" t="s">
        <v>2645</v>
      </c>
      <c r="K591">
        <f>IF($A591="","",IF(ISNUMBER($A591),MONTH($A591),MONTH(DATEVALUE($A591))))</f>
        <v>9</v>
      </c>
    </row>
    <row r="592" spans="1:11" ht="60" customHeight="1" x14ac:dyDescent="0.25">
      <c r="A592" s="8" t="s">
        <v>684</v>
      </c>
      <c r="B592" s="8" t="s">
        <v>0</v>
      </c>
      <c r="C592" s="8" t="s">
        <v>63</v>
      </c>
      <c r="D592" s="8" t="s">
        <v>4</v>
      </c>
      <c r="E592" s="8" t="s">
        <v>18</v>
      </c>
      <c r="F592" s="6">
        <v>26.57</v>
      </c>
      <c r="G592" s="8" t="s">
        <v>692</v>
      </c>
      <c r="H592" s="8" t="s">
        <v>63</v>
      </c>
      <c r="I592" s="8" t="s">
        <v>2633</v>
      </c>
      <c r="K592">
        <f>IF($A592="","",IF(ISNUMBER($A592),MONTH($A592),MONTH(DATEVALUE($A592))))</f>
        <v>9</v>
      </c>
    </row>
    <row r="593" spans="1:11" ht="60" customHeight="1" x14ac:dyDescent="0.25">
      <c r="A593" s="7" t="s">
        <v>693</v>
      </c>
      <c r="B593" s="7" t="s">
        <v>0</v>
      </c>
      <c r="C593" s="7" t="s">
        <v>694</v>
      </c>
      <c r="D593" s="7" t="s">
        <v>4</v>
      </c>
      <c r="E593" s="7" t="s">
        <v>18</v>
      </c>
      <c r="F593" s="5">
        <v>5.4</v>
      </c>
      <c r="G593" s="7" t="s">
        <v>695</v>
      </c>
      <c r="H593" s="7" t="s">
        <v>694</v>
      </c>
      <c r="I593" s="7" t="s">
        <v>2635</v>
      </c>
      <c r="K593">
        <f>IF($A593="","",IF(ISNUMBER($A593),MONTH($A593),MONTH(DATEVALUE($A593))))</f>
        <v>9</v>
      </c>
    </row>
    <row r="594" spans="1:11" ht="60" customHeight="1" x14ac:dyDescent="0.25">
      <c r="A594" s="8" t="s">
        <v>693</v>
      </c>
      <c r="B594" s="8" t="s">
        <v>0</v>
      </c>
      <c r="C594" s="8" t="s">
        <v>63</v>
      </c>
      <c r="D594" s="8" t="s">
        <v>4</v>
      </c>
      <c r="E594" s="8" t="s">
        <v>18</v>
      </c>
      <c r="F594" s="6">
        <v>100.26</v>
      </c>
      <c r="G594" s="8" t="s">
        <v>696</v>
      </c>
      <c r="H594" s="8" t="s">
        <v>63</v>
      </c>
      <c r="I594" s="8" t="s">
        <v>2633</v>
      </c>
      <c r="K594">
        <f>IF($A594="","",IF(ISNUMBER($A594),MONTH($A594),MONTH(DATEVALUE($A594))))</f>
        <v>9</v>
      </c>
    </row>
    <row r="595" spans="1:11" ht="60" customHeight="1" x14ac:dyDescent="0.25">
      <c r="A595" s="7" t="s">
        <v>697</v>
      </c>
      <c r="B595" s="7" t="s">
        <v>0</v>
      </c>
      <c r="C595" s="7" t="s">
        <v>214</v>
      </c>
      <c r="D595" s="7" t="s">
        <v>4</v>
      </c>
      <c r="E595" s="7" t="s">
        <v>18</v>
      </c>
      <c r="F595" s="5">
        <v>16.96</v>
      </c>
      <c r="G595" s="7" t="s">
        <v>698</v>
      </c>
      <c r="H595" s="7" t="s">
        <v>214</v>
      </c>
      <c r="I595" s="7" t="s">
        <v>2633</v>
      </c>
      <c r="K595">
        <f>IF($A595="","",IF(ISNUMBER($A595),MONTH($A595),MONTH(DATEVALUE($A595))))</f>
        <v>9</v>
      </c>
    </row>
    <row r="596" spans="1:11" ht="60" customHeight="1" x14ac:dyDescent="0.25">
      <c r="A596" s="8" t="s">
        <v>697</v>
      </c>
      <c r="B596" s="8" t="s">
        <v>0</v>
      </c>
      <c r="C596" s="8" t="s">
        <v>699</v>
      </c>
      <c r="D596" s="8" t="s">
        <v>4</v>
      </c>
      <c r="E596" s="8" t="s">
        <v>18</v>
      </c>
      <c r="F596" s="6">
        <v>43.98</v>
      </c>
      <c r="G596" s="8" t="s">
        <v>700</v>
      </c>
      <c r="H596" s="8" t="s">
        <v>699</v>
      </c>
      <c r="I596" s="8" t="s">
        <v>2627</v>
      </c>
      <c r="K596">
        <f>IF($A596="","",IF(ISNUMBER($A596),MONTH($A596),MONTH(DATEVALUE($A596))))</f>
        <v>9</v>
      </c>
    </row>
    <row r="597" spans="1:11" ht="60" customHeight="1" x14ac:dyDescent="0.25">
      <c r="A597" s="7" t="s">
        <v>697</v>
      </c>
      <c r="B597" s="7" t="s">
        <v>0</v>
      </c>
      <c r="C597" s="7" t="s">
        <v>63</v>
      </c>
      <c r="D597" s="7" t="s">
        <v>4</v>
      </c>
      <c r="E597" s="7" t="s">
        <v>18</v>
      </c>
      <c r="F597" s="5">
        <v>102.61</v>
      </c>
      <c r="G597" s="7" t="s">
        <v>701</v>
      </c>
      <c r="H597" s="7" t="s">
        <v>63</v>
      </c>
      <c r="I597" s="7" t="s">
        <v>2633</v>
      </c>
      <c r="K597">
        <f>IF($A597="","",IF(ISNUMBER($A597),MONTH($A597),MONTH(DATEVALUE($A597))))</f>
        <v>9</v>
      </c>
    </row>
    <row r="598" spans="1:11" ht="60" customHeight="1" x14ac:dyDescent="0.25">
      <c r="A598" s="8" t="s">
        <v>702</v>
      </c>
      <c r="B598" s="8" t="s">
        <v>0</v>
      </c>
      <c r="C598" s="8" t="s">
        <v>601</v>
      </c>
      <c r="D598" s="8" t="s">
        <v>4</v>
      </c>
      <c r="E598" s="8" t="s">
        <v>18</v>
      </c>
      <c r="F598" s="6">
        <v>130</v>
      </c>
      <c r="G598" s="8" t="s">
        <v>703</v>
      </c>
      <c r="H598" s="8" t="s">
        <v>601</v>
      </c>
      <c r="I598" s="8" t="s">
        <v>2633</v>
      </c>
      <c r="K598">
        <f>IF($A598="","",IF(ISNUMBER($A598),MONTH($A598),MONTH(DATEVALUE($A598))))</f>
        <v>9</v>
      </c>
    </row>
    <row r="599" spans="1:11" ht="60" customHeight="1" x14ac:dyDescent="0.25">
      <c r="A599" s="7" t="s">
        <v>702</v>
      </c>
      <c r="B599" s="7" t="s">
        <v>0</v>
      </c>
      <c r="C599" s="7" t="s">
        <v>171</v>
      </c>
      <c r="D599" s="7" t="s">
        <v>4</v>
      </c>
      <c r="E599" s="7" t="s">
        <v>18</v>
      </c>
      <c r="F599" s="5">
        <v>110.57</v>
      </c>
      <c r="G599" s="7" t="s">
        <v>704</v>
      </c>
      <c r="H599" s="7" t="s">
        <v>171</v>
      </c>
      <c r="I599" s="7" t="s">
        <v>2633</v>
      </c>
      <c r="K599">
        <f>IF($A599="","",IF(ISNUMBER($A599),MONTH($A599),MONTH(DATEVALUE($A599))))</f>
        <v>9</v>
      </c>
    </row>
    <row r="600" spans="1:11" ht="60" customHeight="1" x14ac:dyDescent="0.25">
      <c r="A600" s="8" t="s">
        <v>702</v>
      </c>
      <c r="B600" s="8" t="s">
        <v>0</v>
      </c>
      <c r="C600" s="8" t="s">
        <v>705</v>
      </c>
      <c r="D600" s="8" t="s">
        <v>4</v>
      </c>
      <c r="E600" s="8" t="s">
        <v>18</v>
      </c>
      <c r="F600" s="6">
        <v>15</v>
      </c>
      <c r="G600" s="8" t="s">
        <v>706</v>
      </c>
      <c r="H600" s="8" t="s">
        <v>705</v>
      </c>
      <c r="I600" s="8" t="s">
        <v>2634</v>
      </c>
      <c r="K600">
        <f>IF($A600="","",IF(ISNUMBER($A600),MONTH($A600),MONTH(DATEVALUE($A600))))</f>
        <v>9</v>
      </c>
    </row>
    <row r="601" spans="1:11" ht="60" customHeight="1" x14ac:dyDescent="0.25">
      <c r="A601" s="7" t="s">
        <v>707</v>
      </c>
      <c r="B601" s="7" t="s">
        <v>0</v>
      </c>
      <c r="C601" s="7" t="s">
        <v>66</v>
      </c>
      <c r="D601" s="7" t="s">
        <v>4</v>
      </c>
      <c r="E601" s="7" t="s">
        <v>18</v>
      </c>
      <c r="F601" s="5">
        <v>69.62</v>
      </c>
      <c r="G601" s="7" t="s">
        <v>708</v>
      </c>
      <c r="H601" s="7" t="s">
        <v>66</v>
      </c>
      <c r="I601" s="7" t="s">
        <v>2630</v>
      </c>
      <c r="K601">
        <f>IF($A601="","",IF(ISNUMBER($A601),MONTH($A601),MONTH(DATEVALUE($A601))))</f>
        <v>9</v>
      </c>
    </row>
    <row r="602" spans="1:11" ht="60" customHeight="1" x14ac:dyDescent="0.25">
      <c r="A602" s="8" t="s">
        <v>707</v>
      </c>
      <c r="B602" s="8" t="s">
        <v>0</v>
      </c>
      <c r="C602" s="8" t="s">
        <v>492</v>
      </c>
      <c r="D602" s="8" t="s">
        <v>4</v>
      </c>
      <c r="E602" s="8" t="s">
        <v>18</v>
      </c>
      <c r="F602" s="6">
        <v>2000</v>
      </c>
      <c r="G602" s="8" t="s">
        <v>709</v>
      </c>
      <c r="H602" s="8" t="s">
        <v>492</v>
      </c>
      <c r="I602" s="8" t="s">
        <v>2638</v>
      </c>
      <c r="K602">
        <f>IF($A602="","",IF(ISNUMBER($A602),MONTH($A602),MONTH(DATEVALUE($A602))))</f>
        <v>9</v>
      </c>
    </row>
    <row r="603" spans="1:11" ht="60" customHeight="1" x14ac:dyDescent="0.25">
      <c r="A603" s="7" t="s">
        <v>707</v>
      </c>
      <c r="B603" s="7" t="s">
        <v>0</v>
      </c>
      <c r="C603" s="7" t="s">
        <v>61</v>
      </c>
      <c r="D603" s="7" t="s">
        <v>4</v>
      </c>
      <c r="E603" s="7" t="s">
        <v>18</v>
      </c>
      <c r="F603" s="5">
        <v>50</v>
      </c>
      <c r="G603" s="7" t="s">
        <v>710</v>
      </c>
      <c r="H603" s="7" t="s">
        <v>61</v>
      </c>
      <c r="I603" s="7" t="s">
        <v>2630</v>
      </c>
      <c r="K603">
        <f>IF($A603="","",IF(ISNUMBER($A603),MONTH($A603),MONTH(DATEVALUE($A603))))</f>
        <v>9</v>
      </c>
    </row>
    <row r="604" spans="1:11" ht="60" customHeight="1" x14ac:dyDescent="0.25">
      <c r="A604" s="8" t="s">
        <v>711</v>
      </c>
      <c r="B604" s="8" t="s">
        <v>0</v>
      </c>
      <c r="C604" s="8" t="s">
        <v>712</v>
      </c>
      <c r="D604" s="8" t="s">
        <v>4</v>
      </c>
      <c r="E604" s="8" t="s">
        <v>18</v>
      </c>
      <c r="F604" s="6">
        <v>43.96</v>
      </c>
      <c r="G604" s="8" t="s">
        <v>713</v>
      </c>
      <c r="H604" s="8" t="s">
        <v>712</v>
      </c>
      <c r="I604" s="8" t="s">
        <v>2627</v>
      </c>
      <c r="K604">
        <f>IF($A604="","",IF(ISNUMBER($A604),MONTH($A604),MONTH(DATEVALUE($A604))))</f>
        <v>9</v>
      </c>
    </row>
    <row r="605" spans="1:11" ht="60" customHeight="1" x14ac:dyDescent="0.25">
      <c r="A605" s="7" t="s">
        <v>714</v>
      </c>
      <c r="B605" s="7" t="s">
        <v>0</v>
      </c>
      <c r="C605" s="7" t="s">
        <v>715</v>
      </c>
      <c r="D605" s="7" t="s">
        <v>4</v>
      </c>
      <c r="E605" s="7" t="s">
        <v>18</v>
      </c>
      <c r="F605" s="5">
        <v>10</v>
      </c>
      <c r="G605" s="7" t="s">
        <v>716</v>
      </c>
      <c r="H605" s="7" t="s">
        <v>715</v>
      </c>
      <c r="I605" s="7" t="s">
        <v>2630</v>
      </c>
      <c r="K605">
        <f>IF($A605="","",IF(ISNUMBER($A605),MONTH($A605),MONTH(DATEVALUE($A605))))</f>
        <v>9</v>
      </c>
    </row>
    <row r="606" spans="1:11" ht="60" customHeight="1" x14ac:dyDescent="0.25">
      <c r="A606" s="8" t="s">
        <v>714</v>
      </c>
      <c r="B606" s="8" t="s">
        <v>0</v>
      </c>
      <c r="C606" s="8" t="s">
        <v>108</v>
      </c>
      <c r="D606" s="8" t="s">
        <v>4</v>
      </c>
      <c r="E606" s="8" t="s">
        <v>18</v>
      </c>
      <c r="F606" s="6">
        <v>12.98</v>
      </c>
      <c r="G606" s="8" t="s">
        <v>717</v>
      </c>
      <c r="H606" s="8" t="s">
        <v>108</v>
      </c>
      <c r="I606" s="8" t="s">
        <v>2630</v>
      </c>
      <c r="K606">
        <f>IF($A606="","",IF(ISNUMBER($A606),MONTH($A606),MONTH(DATEVALUE($A606))))</f>
        <v>9</v>
      </c>
    </row>
    <row r="607" spans="1:11" ht="60" customHeight="1" x14ac:dyDescent="0.25">
      <c r="A607" s="7" t="s">
        <v>714</v>
      </c>
      <c r="B607" s="7" t="s">
        <v>0</v>
      </c>
      <c r="C607" s="7" t="s">
        <v>718</v>
      </c>
      <c r="D607" s="7" t="s">
        <v>4</v>
      </c>
      <c r="E607" s="7" t="s">
        <v>18</v>
      </c>
      <c r="F607" s="5">
        <v>21.39</v>
      </c>
      <c r="G607" s="7" t="s">
        <v>719</v>
      </c>
      <c r="H607" s="7" t="s">
        <v>718</v>
      </c>
      <c r="I607" s="7" t="s">
        <v>2651</v>
      </c>
      <c r="K607">
        <f>IF($A607="","",IF(ISNUMBER($A607),MONTH($A607),MONTH(DATEVALUE($A607))))</f>
        <v>9</v>
      </c>
    </row>
    <row r="608" spans="1:11" ht="60" customHeight="1" x14ac:dyDescent="0.25">
      <c r="A608" s="8" t="s">
        <v>714</v>
      </c>
      <c r="B608" s="8" t="s">
        <v>0</v>
      </c>
      <c r="C608" s="8" t="s">
        <v>63</v>
      </c>
      <c r="D608" s="8" t="s">
        <v>4</v>
      </c>
      <c r="E608" s="8" t="s">
        <v>18</v>
      </c>
      <c r="F608" s="6">
        <v>98.43</v>
      </c>
      <c r="G608" s="8" t="s">
        <v>720</v>
      </c>
      <c r="H608" s="8" t="s">
        <v>63</v>
      </c>
      <c r="I608" s="8" t="s">
        <v>2633</v>
      </c>
      <c r="K608">
        <f>IF($A608="","",IF(ISNUMBER($A608),MONTH($A608),MONTH(DATEVALUE($A608))))</f>
        <v>9</v>
      </c>
    </row>
    <row r="609" spans="1:11" ht="60" customHeight="1" x14ac:dyDescent="0.25">
      <c r="A609" s="7" t="s">
        <v>721</v>
      </c>
      <c r="B609" s="7" t="s">
        <v>0</v>
      </c>
      <c r="C609" s="7" t="s">
        <v>214</v>
      </c>
      <c r="D609" s="7" t="s">
        <v>4</v>
      </c>
      <c r="E609" s="7" t="s">
        <v>18</v>
      </c>
      <c r="F609" s="5">
        <v>7</v>
      </c>
      <c r="G609" s="7" t="s">
        <v>722</v>
      </c>
      <c r="H609" s="7" t="s">
        <v>214</v>
      </c>
      <c r="I609" s="7" t="s">
        <v>2633</v>
      </c>
      <c r="K609">
        <f>IF($A609="","",IF(ISNUMBER($A609),MONTH($A609),MONTH(DATEVALUE($A609))))</f>
        <v>9</v>
      </c>
    </row>
    <row r="610" spans="1:11" ht="60" customHeight="1" x14ac:dyDescent="0.25">
      <c r="A610" s="8" t="s">
        <v>721</v>
      </c>
      <c r="B610" s="8" t="s">
        <v>0</v>
      </c>
      <c r="C610" s="8" t="s">
        <v>723</v>
      </c>
      <c r="D610" s="8" t="s">
        <v>4</v>
      </c>
      <c r="E610" s="8" t="s">
        <v>18</v>
      </c>
      <c r="F610" s="6">
        <v>57.73</v>
      </c>
      <c r="G610" s="8" t="s">
        <v>724</v>
      </c>
      <c r="H610" s="8" t="s">
        <v>723</v>
      </c>
      <c r="I610" s="8" t="s">
        <v>2627</v>
      </c>
      <c r="K610">
        <f>IF($A610="","",IF(ISNUMBER($A610),MONTH($A610),MONTH(DATEVALUE($A610))))</f>
        <v>9</v>
      </c>
    </row>
    <row r="611" spans="1:11" ht="60" customHeight="1" x14ac:dyDescent="0.25">
      <c r="A611" s="7" t="s">
        <v>721</v>
      </c>
      <c r="B611" s="7" t="s">
        <v>0</v>
      </c>
      <c r="C611" s="7" t="s">
        <v>279</v>
      </c>
      <c r="D611" s="7" t="s">
        <v>4</v>
      </c>
      <c r="E611" s="7" t="s">
        <v>18</v>
      </c>
      <c r="F611" s="5">
        <v>2</v>
      </c>
      <c r="G611" s="7" t="s">
        <v>725</v>
      </c>
      <c r="H611" s="7" t="s">
        <v>279</v>
      </c>
      <c r="I611" s="7" t="s">
        <v>2634</v>
      </c>
      <c r="K611">
        <f>IF($A611="","",IF(ISNUMBER($A611),MONTH($A611),MONTH(DATEVALUE($A611))))</f>
        <v>9</v>
      </c>
    </row>
    <row r="612" spans="1:11" ht="60" customHeight="1" x14ac:dyDescent="0.25">
      <c r="A612" s="8" t="s">
        <v>721</v>
      </c>
      <c r="B612" s="8" t="s">
        <v>0</v>
      </c>
      <c r="C612" s="8" t="s">
        <v>624</v>
      </c>
      <c r="D612" s="8" t="s">
        <v>4</v>
      </c>
      <c r="E612" s="8" t="s">
        <v>18</v>
      </c>
      <c r="F612" s="6">
        <v>71.66</v>
      </c>
      <c r="G612" s="8" t="s">
        <v>726</v>
      </c>
      <c r="H612" s="8" t="s">
        <v>624</v>
      </c>
      <c r="I612" s="8" t="s">
        <v>2633</v>
      </c>
      <c r="K612">
        <f>IF($A612="","",IF(ISNUMBER($A612),MONTH($A612),MONTH(DATEVALUE($A612))))</f>
        <v>9</v>
      </c>
    </row>
    <row r="613" spans="1:11" ht="60" customHeight="1" x14ac:dyDescent="0.25">
      <c r="A613" s="7" t="s">
        <v>727</v>
      </c>
      <c r="B613" s="7" t="s">
        <v>0</v>
      </c>
      <c r="C613" s="7" t="s">
        <v>214</v>
      </c>
      <c r="D613" s="7" t="s">
        <v>4</v>
      </c>
      <c r="E613" s="7" t="s">
        <v>18</v>
      </c>
      <c r="F613" s="5">
        <v>11.25</v>
      </c>
      <c r="G613" s="7" t="s">
        <v>728</v>
      </c>
      <c r="H613" s="7" t="s">
        <v>214</v>
      </c>
      <c r="I613" s="7" t="s">
        <v>2633</v>
      </c>
      <c r="K613">
        <f>IF($A613="","",IF(ISNUMBER($A613),MONTH($A613),MONTH(DATEVALUE($A613))))</f>
        <v>9</v>
      </c>
    </row>
    <row r="614" spans="1:11" ht="60" customHeight="1" x14ac:dyDescent="0.25">
      <c r="A614" s="8" t="s">
        <v>727</v>
      </c>
      <c r="B614" s="8" t="s">
        <v>0</v>
      </c>
      <c r="C614" s="8" t="s">
        <v>729</v>
      </c>
      <c r="D614" s="8" t="s">
        <v>4</v>
      </c>
      <c r="E614" s="8" t="s">
        <v>18</v>
      </c>
      <c r="F614" s="6">
        <v>26.98</v>
      </c>
      <c r="G614" s="8" t="s">
        <v>730</v>
      </c>
      <c r="H614" s="8" t="s">
        <v>729</v>
      </c>
      <c r="I614" s="8" t="s">
        <v>2627</v>
      </c>
      <c r="K614">
        <f>IF($A614="","",IF(ISNUMBER($A614),MONTH($A614),MONTH(DATEVALUE($A614))))</f>
        <v>9</v>
      </c>
    </row>
    <row r="615" spans="1:11" ht="60" customHeight="1" x14ac:dyDescent="0.25">
      <c r="A615" s="7" t="s">
        <v>727</v>
      </c>
      <c r="B615" s="7" t="s">
        <v>0</v>
      </c>
      <c r="C615" s="7" t="s">
        <v>63</v>
      </c>
      <c r="D615" s="7" t="s">
        <v>4</v>
      </c>
      <c r="E615" s="7" t="s">
        <v>18</v>
      </c>
      <c r="F615" s="5">
        <v>95.04</v>
      </c>
      <c r="G615" s="7" t="s">
        <v>731</v>
      </c>
      <c r="H615" s="7" t="s">
        <v>63</v>
      </c>
      <c r="I615" s="7" t="s">
        <v>2633</v>
      </c>
      <c r="K615">
        <f>IF($A615="","",IF(ISNUMBER($A615),MONTH($A615),MONTH(DATEVALUE($A615))))</f>
        <v>9</v>
      </c>
    </row>
    <row r="616" spans="1:11" ht="60" customHeight="1" x14ac:dyDescent="0.25">
      <c r="A616" s="8" t="s">
        <v>727</v>
      </c>
      <c r="B616" s="8" t="s">
        <v>0</v>
      </c>
      <c r="C616" s="8" t="s">
        <v>732</v>
      </c>
      <c r="D616" s="8" t="s">
        <v>4</v>
      </c>
      <c r="E616" s="8" t="s">
        <v>18</v>
      </c>
      <c r="F616" s="6">
        <v>7.38</v>
      </c>
      <c r="G616" s="8" t="s">
        <v>733</v>
      </c>
      <c r="H616" s="8" t="s">
        <v>732</v>
      </c>
      <c r="I616" s="8" t="s">
        <v>2633</v>
      </c>
      <c r="K616">
        <f>IF($A616="","",IF(ISNUMBER($A616),MONTH($A616),MONTH(DATEVALUE($A616))))</f>
        <v>9</v>
      </c>
    </row>
    <row r="617" spans="1:11" ht="60" customHeight="1" x14ac:dyDescent="0.25">
      <c r="A617" s="7" t="s">
        <v>727</v>
      </c>
      <c r="B617" s="7" t="s">
        <v>0</v>
      </c>
      <c r="C617" s="7" t="s">
        <v>132</v>
      </c>
      <c r="D617" s="7" t="s">
        <v>4</v>
      </c>
      <c r="E617" s="7" t="s">
        <v>18</v>
      </c>
      <c r="F617" s="5">
        <v>24</v>
      </c>
      <c r="G617" s="7" t="s">
        <v>734</v>
      </c>
      <c r="H617" s="7" t="s">
        <v>132</v>
      </c>
      <c r="I617" s="7" t="s">
        <v>2630</v>
      </c>
      <c r="K617">
        <f>IF($A617="","",IF(ISNUMBER($A617),MONTH($A617),MONTH(DATEVALUE($A617))))</f>
        <v>9</v>
      </c>
    </row>
    <row r="618" spans="1:11" ht="60" customHeight="1" x14ac:dyDescent="0.25">
      <c r="A618" s="8" t="s">
        <v>735</v>
      </c>
      <c r="B618" s="8" t="s">
        <v>0</v>
      </c>
      <c r="C618" s="8" t="s">
        <v>736</v>
      </c>
      <c r="D618" s="8" t="s">
        <v>4</v>
      </c>
      <c r="E618" s="8" t="s">
        <v>18</v>
      </c>
      <c r="F618" s="6">
        <v>13.79</v>
      </c>
      <c r="G618" s="8" t="s">
        <v>737</v>
      </c>
      <c r="H618" s="8" t="s">
        <v>736</v>
      </c>
      <c r="I618" s="8" t="s">
        <v>2627</v>
      </c>
      <c r="K618">
        <f>IF($A618="","",IF(ISNUMBER($A618),MONTH($A618),MONTH(DATEVALUE($A618))))</f>
        <v>9</v>
      </c>
    </row>
    <row r="619" spans="1:11" ht="60" customHeight="1" x14ac:dyDescent="0.25">
      <c r="A619" s="7" t="s">
        <v>735</v>
      </c>
      <c r="B619" s="7" t="s">
        <v>0</v>
      </c>
      <c r="C619" s="7" t="s">
        <v>738</v>
      </c>
      <c r="D619" s="7" t="s">
        <v>4</v>
      </c>
      <c r="E619" s="7" t="s">
        <v>18</v>
      </c>
      <c r="F619" s="5">
        <v>664.55</v>
      </c>
      <c r="G619" s="7" t="s">
        <v>739</v>
      </c>
      <c r="H619" s="7" t="s">
        <v>738</v>
      </c>
      <c r="I619" s="7" t="s">
        <v>2639</v>
      </c>
      <c r="K619">
        <f>IF($A619="","",IF(ISNUMBER($A619),MONTH($A619),MONTH(DATEVALUE($A619))))</f>
        <v>9</v>
      </c>
    </row>
    <row r="620" spans="1:11" ht="60" customHeight="1" x14ac:dyDescent="0.25">
      <c r="A620" s="8" t="s">
        <v>735</v>
      </c>
      <c r="B620" s="8" t="s">
        <v>0</v>
      </c>
      <c r="C620" s="8" t="s">
        <v>718</v>
      </c>
      <c r="D620" s="8" t="s">
        <v>4</v>
      </c>
      <c r="E620" s="8" t="s">
        <v>18</v>
      </c>
      <c r="F620" s="6">
        <v>161.79</v>
      </c>
      <c r="G620" s="8" t="s">
        <v>740</v>
      </c>
      <c r="H620" s="8" t="s">
        <v>718</v>
      </c>
      <c r="I620" s="8" t="s">
        <v>2651</v>
      </c>
      <c r="K620">
        <f>IF($A620="","",IF(ISNUMBER($A620),MONTH($A620),MONTH(DATEVALUE($A620))))</f>
        <v>9</v>
      </c>
    </row>
    <row r="621" spans="1:11" ht="60" customHeight="1" x14ac:dyDescent="0.25">
      <c r="A621" s="7" t="s">
        <v>735</v>
      </c>
      <c r="B621" s="7" t="s">
        <v>0</v>
      </c>
      <c r="C621" s="7" t="s">
        <v>741</v>
      </c>
      <c r="D621" s="7" t="s">
        <v>4</v>
      </c>
      <c r="E621" s="7" t="s">
        <v>18</v>
      </c>
      <c r="F621" s="5">
        <v>18.48</v>
      </c>
      <c r="G621" s="7" t="s">
        <v>742</v>
      </c>
      <c r="H621" s="7" t="s">
        <v>741</v>
      </c>
      <c r="I621" s="7" t="s">
        <v>2633</v>
      </c>
      <c r="K621">
        <f>IF($A621="","",IF(ISNUMBER($A621),MONTH($A621),MONTH(DATEVALUE($A621))))</f>
        <v>9</v>
      </c>
    </row>
    <row r="622" spans="1:11" ht="60" customHeight="1" x14ac:dyDescent="0.25">
      <c r="A622" s="8" t="s">
        <v>735</v>
      </c>
      <c r="B622" s="8" t="s">
        <v>0</v>
      </c>
      <c r="C622" s="8" t="s">
        <v>562</v>
      </c>
      <c r="D622" s="8" t="s">
        <v>4</v>
      </c>
      <c r="E622" s="8" t="s">
        <v>18</v>
      </c>
      <c r="F622" s="6">
        <v>28.15</v>
      </c>
      <c r="G622" s="8" t="s">
        <v>743</v>
      </c>
      <c r="H622" s="8" t="s">
        <v>562</v>
      </c>
      <c r="I622" s="8" t="s">
        <v>2633</v>
      </c>
      <c r="K622">
        <f>IF($A622="","",IF(ISNUMBER($A622),MONTH($A622),MONTH(DATEVALUE($A622))))</f>
        <v>9</v>
      </c>
    </row>
    <row r="623" spans="1:11" ht="60" customHeight="1" x14ac:dyDescent="0.25">
      <c r="A623" s="7" t="s">
        <v>744</v>
      </c>
      <c r="B623" s="7" t="s">
        <v>0</v>
      </c>
      <c r="C623" s="7" t="s">
        <v>745</v>
      </c>
      <c r="D623" s="7" t="s">
        <v>4</v>
      </c>
      <c r="E623" s="7" t="s">
        <v>18</v>
      </c>
      <c r="F623" s="5">
        <v>-71.16</v>
      </c>
      <c r="G623" s="7" t="s">
        <v>746</v>
      </c>
      <c r="H623" s="7" t="s">
        <v>745</v>
      </c>
      <c r="I623" s="7" t="s">
        <v>2636</v>
      </c>
      <c r="K623">
        <f>IF($A623="","",IF(ISNUMBER($A623),MONTH($A623),MONTH(DATEVALUE($A623))))</f>
        <v>9</v>
      </c>
    </row>
    <row r="624" spans="1:11" ht="60" customHeight="1" x14ac:dyDescent="0.25">
      <c r="A624" s="8" t="s">
        <v>744</v>
      </c>
      <c r="B624" s="8" t="s">
        <v>0</v>
      </c>
      <c r="C624" s="8" t="s">
        <v>747</v>
      </c>
      <c r="D624" s="8" t="s">
        <v>4</v>
      </c>
      <c r="E624" s="8" t="s">
        <v>18</v>
      </c>
      <c r="F624" s="6">
        <v>53.35</v>
      </c>
      <c r="G624" s="8" t="s">
        <v>748</v>
      </c>
      <c r="H624" s="8" t="s">
        <v>747</v>
      </c>
      <c r="I624" s="8" t="s">
        <v>2627</v>
      </c>
      <c r="K624">
        <f>IF($A624="","",IF(ISNUMBER($A624),MONTH($A624),MONTH(DATEVALUE($A624))))</f>
        <v>9</v>
      </c>
    </row>
    <row r="625" spans="1:11" ht="60" customHeight="1" x14ac:dyDescent="0.25">
      <c r="A625" s="7" t="s">
        <v>744</v>
      </c>
      <c r="B625" s="7" t="s">
        <v>0</v>
      </c>
      <c r="C625" s="7" t="s">
        <v>609</v>
      </c>
      <c r="D625" s="7" t="s">
        <v>4</v>
      </c>
      <c r="E625" s="7" t="s">
        <v>18</v>
      </c>
      <c r="F625" s="5">
        <v>17.63</v>
      </c>
      <c r="G625" s="7" t="s">
        <v>749</v>
      </c>
      <c r="H625" s="7" t="s">
        <v>609</v>
      </c>
      <c r="I625" s="7" t="s">
        <v>2650</v>
      </c>
      <c r="K625">
        <f>IF($A625="","",IF(ISNUMBER($A625),MONTH($A625),MONTH(DATEVALUE($A625))))</f>
        <v>9</v>
      </c>
    </row>
    <row r="626" spans="1:11" ht="60" customHeight="1" x14ac:dyDescent="0.25">
      <c r="A626" s="8" t="s">
        <v>744</v>
      </c>
      <c r="B626" s="8" t="s">
        <v>0</v>
      </c>
      <c r="C626" s="8" t="s">
        <v>750</v>
      </c>
      <c r="D626" s="8" t="s">
        <v>4</v>
      </c>
      <c r="E626" s="8" t="s">
        <v>18</v>
      </c>
      <c r="F626" s="6">
        <v>328.47</v>
      </c>
      <c r="G626" s="8" t="s">
        <v>751</v>
      </c>
      <c r="H626" s="8" t="s">
        <v>750</v>
      </c>
      <c r="I626" s="8" t="s">
        <v>2639</v>
      </c>
      <c r="K626">
        <f>IF($A626="","",IF(ISNUMBER($A626),MONTH($A626),MONTH(DATEVALUE($A626))))</f>
        <v>9</v>
      </c>
    </row>
    <row r="627" spans="1:11" ht="60" customHeight="1" x14ac:dyDescent="0.25">
      <c r="A627" s="7" t="s">
        <v>744</v>
      </c>
      <c r="B627" s="7" t="s">
        <v>0</v>
      </c>
      <c r="C627" s="7" t="s">
        <v>27</v>
      </c>
      <c r="D627" s="7" t="s">
        <v>4</v>
      </c>
      <c r="E627" s="7" t="s">
        <v>18</v>
      </c>
      <c r="F627" s="5">
        <v>20</v>
      </c>
      <c r="G627" s="7" t="s">
        <v>752</v>
      </c>
      <c r="H627" s="7" t="s">
        <v>27</v>
      </c>
      <c r="I627" s="7" t="s">
        <v>2628</v>
      </c>
      <c r="K627">
        <f>IF($A627="","",IF(ISNUMBER($A627),MONTH($A627),MONTH(DATEVALUE($A627))))</f>
        <v>9</v>
      </c>
    </row>
    <row r="628" spans="1:11" ht="60" customHeight="1" x14ac:dyDescent="0.25">
      <c r="A628" s="8" t="s">
        <v>744</v>
      </c>
      <c r="B628" s="8" t="s">
        <v>0</v>
      </c>
      <c r="C628" s="8" t="s">
        <v>73</v>
      </c>
      <c r="D628" s="8" t="s">
        <v>4</v>
      </c>
      <c r="E628" s="8" t="s">
        <v>18</v>
      </c>
      <c r="F628" s="6">
        <v>36.729999999999997</v>
      </c>
      <c r="G628" s="8" t="s">
        <v>753</v>
      </c>
      <c r="H628" s="8" t="s">
        <v>73</v>
      </c>
      <c r="I628" s="8" t="s">
        <v>2633</v>
      </c>
      <c r="K628">
        <f>IF($A628="","",IF(ISNUMBER($A628),MONTH($A628),MONTH(DATEVALUE($A628))))</f>
        <v>9</v>
      </c>
    </row>
    <row r="629" spans="1:11" ht="60" customHeight="1" x14ac:dyDescent="0.25">
      <c r="A629" s="7" t="s">
        <v>754</v>
      </c>
      <c r="B629" s="7" t="s">
        <v>0</v>
      </c>
      <c r="C629" s="7" t="s">
        <v>755</v>
      </c>
      <c r="D629" s="7" t="s">
        <v>4</v>
      </c>
      <c r="E629" s="7" t="s">
        <v>18</v>
      </c>
      <c r="F629" s="5">
        <v>296.19</v>
      </c>
      <c r="G629" s="7" t="s">
        <v>756</v>
      </c>
      <c r="H629" s="7" t="s">
        <v>755</v>
      </c>
      <c r="I629" s="7" t="s">
        <v>2627</v>
      </c>
      <c r="K629">
        <f>IF($A629="","",IF(ISNUMBER($A629),MONTH($A629),MONTH(DATEVALUE($A629))))</f>
        <v>9</v>
      </c>
    </row>
    <row r="630" spans="1:11" ht="60" customHeight="1" x14ac:dyDescent="0.25">
      <c r="A630" s="8" t="s">
        <v>754</v>
      </c>
      <c r="B630" s="8" t="s">
        <v>0</v>
      </c>
      <c r="C630" s="8" t="s">
        <v>757</v>
      </c>
      <c r="D630" s="8" t="s">
        <v>4</v>
      </c>
      <c r="E630" s="8" t="s">
        <v>18</v>
      </c>
      <c r="F630" s="6">
        <v>10.99</v>
      </c>
      <c r="G630" s="8" t="s">
        <v>758</v>
      </c>
      <c r="H630" s="8" t="s">
        <v>757</v>
      </c>
      <c r="I630" s="8" t="s">
        <v>2627</v>
      </c>
      <c r="K630">
        <f>IF($A630="","",IF(ISNUMBER($A630),MONTH($A630),MONTH(DATEVALUE($A630))))</f>
        <v>9</v>
      </c>
    </row>
    <row r="631" spans="1:11" ht="60" customHeight="1" x14ac:dyDescent="0.25">
      <c r="A631" s="7" t="s">
        <v>754</v>
      </c>
      <c r="B631" s="7" t="s">
        <v>0</v>
      </c>
      <c r="C631" s="7" t="s">
        <v>92</v>
      </c>
      <c r="D631" s="7" t="s">
        <v>4</v>
      </c>
      <c r="E631" s="7" t="s">
        <v>18</v>
      </c>
      <c r="F631" s="5">
        <v>136.5</v>
      </c>
      <c r="G631" s="7" t="s">
        <v>759</v>
      </c>
      <c r="H631" s="7" t="s">
        <v>92</v>
      </c>
      <c r="I631" s="7" t="s">
        <v>2633</v>
      </c>
      <c r="K631">
        <f>IF($A631="","",IF(ISNUMBER($A631),MONTH($A631),MONTH(DATEVALUE($A631))))</f>
        <v>9</v>
      </c>
    </row>
    <row r="632" spans="1:11" ht="60" customHeight="1" x14ac:dyDescent="0.25">
      <c r="A632" s="8" t="s">
        <v>754</v>
      </c>
      <c r="B632" s="8" t="s">
        <v>0</v>
      </c>
      <c r="C632" s="8" t="s">
        <v>760</v>
      </c>
      <c r="D632" s="8" t="s">
        <v>4</v>
      </c>
      <c r="E632" s="8" t="s">
        <v>18</v>
      </c>
      <c r="F632" s="6">
        <v>9.75</v>
      </c>
      <c r="G632" s="8" t="s">
        <v>761</v>
      </c>
      <c r="H632" s="8" t="s">
        <v>760</v>
      </c>
      <c r="I632" s="8" t="s">
        <v>2633</v>
      </c>
      <c r="K632">
        <f>IF($A632="","",IF(ISNUMBER($A632),MONTH($A632),MONTH(DATEVALUE($A632))))</f>
        <v>9</v>
      </c>
    </row>
    <row r="633" spans="1:11" ht="60" customHeight="1" x14ac:dyDescent="0.25">
      <c r="A633" s="7" t="s">
        <v>754</v>
      </c>
      <c r="B633" s="7" t="s">
        <v>0</v>
      </c>
      <c r="C633" s="7" t="s">
        <v>762</v>
      </c>
      <c r="D633" s="7" t="s">
        <v>4</v>
      </c>
      <c r="E633" s="7" t="s">
        <v>18</v>
      </c>
      <c r="F633" s="5">
        <v>59.5</v>
      </c>
      <c r="G633" s="7" t="s">
        <v>763</v>
      </c>
      <c r="H633" s="7" t="s">
        <v>762</v>
      </c>
      <c r="I633" s="7" t="s">
        <v>2650</v>
      </c>
      <c r="K633">
        <f>IF($A633="","",IF(ISNUMBER($A633),MONTH($A633),MONTH(DATEVALUE($A633))))</f>
        <v>9</v>
      </c>
    </row>
    <row r="634" spans="1:11" ht="60" customHeight="1" x14ac:dyDescent="0.25">
      <c r="A634" s="8" t="s">
        <v>754</v>
      </c>
      <c r="B634" s="8" t="s">
        <v>0</v>
      </c>
      <c r="C634" s="8" t="s">
        <v>764</v>
      </c>
      <c r="D634" s="8" t="s">
        <v>4</v>
      </c>
      <c r="E634" s="8" t="s">
        <v>18</v>
      </c>
      <c r="F634" s="6">
        <v>12.34</v>
      </c>
      <c r="G634" s="8" t="s">
        <v>765</v>
      </c>
      <c r="H634" s="8" t="s">
        <v>764</v>
      </c>
      <c r="I634" s="8" t="s">
        <v>2633</v>
      </c>
      <c r="K634">
        <f>IF($A634="","",IF(ISNUMBER($A634),MONTH($A634),MONTH(DATEVALUE($A634))))</f>
        <v>9</v>
      </c>
    </row>
    <row r="635" spans="1:11" ht="60" customHeight="1" x14ac:dyDescent="0.25">
      <c r="A635" s="7" t="s">
        <v>766</v>
      </c>
      <c r="B635" s="7" t="s">
        <v>0</v>
      </c>
      <c r="C635" s="7" t="s">
        <v>767</v>
      </c>
      <c r="D635" s="7" t="s">
        <v>4</v>
      </c>
      <c r="E635" s="7" t="s">
        <v>18</v>
      </c>
      <c r="F635" s="5">
        <v>36.9</v>
      </c>
      <c r="G635" s="7" t="s">
        <v>768</v>
      </c>
      <c r="H635" s="7" t="s">
        <v>767</v>
      </c>
      <c r="I635" s="7" t="s">
        <v>2652</v>
      </c>
      <c r="K635">
        <f>IF($A635="","",IF(ISNUMBER($A635),MONTH($A635),MONTH(DATEVALUE($A635))))</f>
        <v>9</v>
      </c>
    </row>
    <row r="636" spans="1:11" ht="60" customHeight="1" x14ac:dyDescent="0.25">
      <c r="A636" s="8" t="s">
        <v>766</v>
      </c>
      <c r="B636" s="8" t="s">
        <v>0</v>
      </c>
      <c r="C636" s="8" t="s">
        <v>767</v>
      </c>
      <c r="D636" s="8" t="s">
        <v>4</v>
      </c>
      <c r="E636" s="8" t="s">
        <v>18</v>
      </c>
      <c r="F636" s="6">
        <v>47.5</v>
      </c>
      <c r="G636" s="8" t="s">
        <v>769</v>
      </c>
      <c r="H636" s="8" t="s">
        <v>767</v>
      </c>
      <c r="I636" s="7" t="s">
        <v>2652</v>
      </c>
      <c r="K636">
        <f>IF($A636="","",IF(ISNUMBER($A636),MONTH($A636),MONTH(DATEVALUE($A636))))</f>
        <v>9</v>
      </c>
    </row>
    <row r="637" spans="1:11" ht="60" customHeight="1" x14ac:dyDescent="0.25">
      <c r="A637" s="7" t="s">
        <v>766</v>
      </c>
      <c r="B637" s="7" t="s">
        <v>0</v>
      </c>
      <c r="C637" s="7" t="s">
        <v>770</v>
      </c>
      <c r="D637" s="7" t="s">
        <v>4</v>
      </c>
      <c r="E637" s="7" t="s">
        <v>18</v>
      </c>
      <c r="F637" s="5">
        <v>3.24</v>
      </c>
      <c r="G637" s="7" t="s">
        <v>771</v>
      </c>
      <c r="H637" s="7" t="s">
        <v>770</v>
      </c>
      <c r="I637" s="7" t="s">
        <v>2647</v>
      </c>
      <c r="K637">
        <f>IF($A637="","",IF(ISNUMBER($A637),MONTH($A637),MONTH(DATEVALUE($A637))))</f>
        <v>9</v>
      </c>
    </row>
    <row r="638" spans="1:11" ht="60" customHeight="1" x14ac:dyDescent="0.25">
      <c r="A638" s="8" t="s">
        <v>766</v>
      </c>
      <c r="B638" s="8" t="s">
        <v>0</v>
      </c>
      <c r="C638" s="8" t="s">
        <v>567</v>
      </c>
      <c r="D638" s="8" t="s">
        <v>4</v>
      </c>
      <c r="E638" s="8" t="s">
        <v>18</v>
      </c>
      <c r="F638" s="6">
        <v>16.23</v>
      </c>
      <c r="G638" s="8" t="s">
        <v>772</v>
      </c>
      <c r="H638" s="8" t="s">
        <v>567</v>
      </c>
      <c r="I638" s="8" t="s">
        <v>2647</v>
      </c>
      <c r="K638">
        <f>IF($A638="","",IF(ISNUMBER($A638),MONTH($A638),MONTH(DATEVALUE($A638))))</f>
        <v>9</v>
      </c>
    </row>
    <row r="639" spans="1:11" ht="60" customHeight="1" x14ac:dyDescent="0.25">
      <c r="A639" s="7" t="s">
        <v>766</v>
      </c>
      <c r="B639" s="7" t="s">
        <v>0</v>
      </c>
      <c r="C639" s="7" t="s">
        <v>176</v>
      </c>
      <c r="D639" s="7" t="s">
        <v>4</v>
      </c>
      <c r="E639" s="7" t="s">
        <v>18</v>
      </c>
      <c r="F639" s="5">
        <v>9.99</v>
      </c>
      <c r="G639" s="7" t="s">
        <v>773</v>
      </c>
      <c r="H639" s="7" t="s">
        <v>176</v>
      </c>
      <c r="I639" s="7" t="s">
        <v>2630</v>
      </c>
      <c r="K639">
        <f>IF($A639="","",IF(ISNUMBER($A639),MONTH($A639),MONTH(DATEVALUE($A639))))</f>
        <v>9</v>
      </c>
    </row>
    <row r="640" spans="1:11" ht="60" customHeight="1" x14ac:dyDescent="0.25">
      <c r="A640" s="8" t="s">
        <v>766</v>
      </c>
      <c r="B640" s="8" t="s">
        <v>0</v>
      </c>
      <c r="C640" s="8" t="s">
        <v>178</v>
      </c>
      <c r="D640" s="8" t="s">
        <v>4</v>
      </c>
      <c r="E640" s="8" t="s">
        <v>18</v>
      </c>
      <c r="F640" s="6">
        <v>260</v>
      </c>
      <c r="G640" s="8" t="s">
        <v>774</v>
      </c>
      <c r="H640" s="8" t="s">
        <v>178</v>
      </c>
      <c r="I640" s="8" t="s">
        <v>2638</v>
      </c>
      <c r="K640">
        <f>IF($A640="","",IF(ISNUMBER($A640),MONTH($A640),MONTH(DATEVALUE($A640))))</f>
        <v>9</v>
      </c>
    </row>
    <row r="641" spans="1:11" ht="60" customHeight="1" x14ac:dyDescent="0.25">
      <c r="A641" s="7" t="s">
        <v>766</v>
      </c>
      <c r="B641" s="7" t="s">
        <v>0</v>
      </c>
      <c r="C641" s="7" t="s">
        <v>775</v>
      </c>
      <c r="D641" s="7" t="s">
        <v>4</v>
      </c>
      <c r="E641" s="7" t="s">
        <v>18</v>
      </c>
      <c r="F641" s="5">
        <v>8</v>
      </c>
      <c r="G641" s="7" t="s">
        <v>776</v>
      </c>
      <c r="H641" s="7" t="s">
        <v>775</v>
      </c>
      <c r="I641" s="7" t="s">
        <v>2652</v>
      </c>
      <c r="K641">
        <f>IF($A641="","",IF(ISNUMBER($A641),MONTH($A641),MONTH(DATEVALUE($A641))))</f>
        <v>9</v>
      </c>
    </row>
    <row r="642" spans="1:11" ht="60" customHeight="1" x14ac:dyDescent="0.25">
      <c r="A642" s="8" t="s">
        <v>766</v>
      </c>
      <c r="B642" s="8" t="s">
        <v>0</v>
      </c>
      <c r="C642" s="8" t="s">
        <v>775</v>
      </c>
      <c r="D642" s="8" t="s">
        <v>4</v>
      </c>
      <c r="E642" s="8" t="s">
        <v>18</v>
      </c>
      <c r="F642" s="6">
        <v>16</v>
      </c>
      <c r="G642" s="8" t="s">
        <v>776</v>
      </c>
      <c r="H642" s="8" t="s">
        <v>775</v>
      </c>
      <c r="I642" s="7" t="s">
        <v>2652</v>
      </c>
      <c r="K642">
        <f>IF($A642="","",IF(ISNUMBER($A642),MONTH($A642),MONTH(DATEVALUE($A642))))</f>
        <v>9</v>
      </c>
    </row>
    <row r="643" spans="1:11" ht="60" customHeight="1" x14ac:dyDescent="0.25">
      <c r="A643" s="7" t="s">
        <v>777</v>
      </c>
      <c r="B643" s="7" t="s">
        <v>0</v>
      </c>
      <c r="C643" s="7" t="s">
        <v>767</v>
      </c>
      <c r="D643" s="7" t="s">
        <v>4</v>
      </c>
      <c r="E643" s="7" t="s">
        <v>18</v>
      </c>
      <c r="F643" s="5">
        <v>135.99</v>
      </c>
      <c r="G643" s="7" t="s">
        <v>778</v>
      </c>
      <c r="H643" s="7" t="s">
        <v>767</v>
      </c>
      <c r="I643" s="7" t="s">
        <v>2652</v>
      </c>
      <c r="K643">
        <f>IF($A643="","",IF(ISNUMBER($A643),MONTH($A643),MONTH(DATEVALUE($A643))))</f>
        <v>9</v>
      </c>
    </row>
    <row r="644" spans="1:11" ht="60" customHeight="1" x14ac:dyDescent="0.25">
      <c r="A644" s="8" t="s">
        <v>777</v>
      </c>
      <c r="B644" s="8" t="s">
        <v>0</v>
      </c>
      <c r="C644" s="8" t="s">
        <v>779</v>
      </c>
      <c r="D644" s="8" t="s">
        <v>4</v>
      </c>
      <c r="E644" s="8" t="s">
        <v>18</v>
      </c>
      <c r="F644" s="6">
        <v>118.13</v>
      </c>
      <c r="G644" s="8" t="s">
        <v>780</v>
      </c>
      <c r="H644" s="8" t="s">
        <v>779</v>
      </c>
      <c r="I644" s="8" t="s">
        <v>2627</v>
      </c>
      <c r="K644">
        <f>IF($A644="","",IF(ISNUMBER($A644),MONTH($A644),MONTH(DATEVALUE($A644))))</f>
        <v>9</v>
      </c>
    </row>
    <row r="645" spans="1:11" ht="60" customHeight="1" x14ac:dyDescent="0.25">
      <c r="A645" s="7" t="s">
        <v>777</v>
      </c>
      <c r="B645" s="7" t="s">
        <v>0</v>
      </c>
      <c r="C645" s="7" t="s">
        <v>781</v>
      </c>
      <c r="D645" s="7" t="s">
        <v>4</v>
      </c>
      <c r="E645" s="7" t="s">
        <v>18</v>
      </c>
      <c r="F645" s="5">
        <v>67.650000000000006</v>
      </c>
      <c r="G645" s="7" t="s">
        <v>782</v>
      </c>
      <c r="H645" s="7" t="s">
        <v>781</v>
      </c>
      <c r="I645" s="7" t="s">
        <v>2652</v>
      </c>
      <c r="K645">
        <f>IF($A645="","",IF(ISNUMBER($A645),MONTH($A645),MONTH(DATEVALUE($A645))))</f>
        <v>9</v>
      </c>
    </row>
    <row r="646" spans="1:11" ht="60" customHeight="1" x14ac:dyDescent="0.25">
      <c r="A646" s="8" t="s">
        <v>777</v>
      </c>
      <c r="B646" s="8" t="s">
        <v>0</v>
      </c>
      <c r="C646" s="8" t="s">
        <v>783</v>
      </c>
      <c r="D646" s="8" t="s">
        <v>4</v>
      </c>
      <c r="E646" s="8" t="s">
        <v>18</v>
      </c>
      <c r="F646" s="6">
        <v>168.37</v>
      </c>
      <c r="G646" s="8" t="s">
        <v>784</v>
      </c>
      <c r="H646" s="8" t="s">
        <v>783</v>
      </c>
      <c r="I646" s="7" t="s">
        <v>2652</v>
      </c>
      <c r="K646">
        <f>IF($A646="","",IF(ISNUMBER($A646),MONTH($A646),MONTH(DATEVALUE($A646))))</f>
        <v>9</v>
      </c>
    </row>
    <row r="647" spans="1:11" ht="60" customHeight="1" x14ac:dyDescent="0.25">
      <c r="A647" s="7" t="s">
        <v>777</v>
      </c>
      <c r="B647" s="7" t="s">
        <v>0</v>
      </c>
      <c r="C647" s="7" t="s">
        <v>785</v>
      </c>
      <c r="D647" s="7" t="s">
        <v>4</v>
      </c>
      <c r="E647" s="7" t="s">
        <v>18</v>
      </c>
      <c r="F647" s="5">
        <v>1.29</v>
      </c>
      <c r="G647" s="7" t="s">
        <v>786</v>
      </c>
      <c r="H647" s="7" t="s">
        <v>785</v>
      </c>
      <c r="I647" s="7" t="s">
        <v>2652</v>
      </c>
      <c r="K647">
        <f>IF($A647="","",IF(ISNUMBER($A647),MONTH($A647),MONTH(DATEVALUE($A647))))</f>
        <v>9</v>
      </c>
    </row>
    <row r="648" spans="1:11" ht="60" customHeight="1" x14ac:dyDescent="0.25">
      <c r="A648" s="8" t="s">
        <v>787</v>
      </c>
      <c r="B648" s="8" t="s">
        <v>0</v>
      </c>
      <c r="C648" s="8" t="s">
        <v>788</v>
      </c>
      <c r="D648" s="8" t="s">
        <v>4</v>
      </c>
      <c r="E648" s="8" t="s">
        <v>18</v>
      </c>
      <c r="F648" s="6">
        <v>119.88</v>
      </c>
      <c r="G648" s="8" t="s">
        <v>789</v>
      </c>
      <c r="H648" s="8" t="s">
        <v>788</v>
      </c>
      <c r="I648" s="8" t="s">
        <v>2627</v>
      </c>
      <c r="K648">
        <f>IF($A648="","",IF(ISNUMBER($A648),MONTH($A648),MONTH(DATEVALUE($A648))))</f>
        <v>9</v>
      </c>
    </row>
    <row r="649" spans="1:11" ht="60" customHeight="1" x14ac:dyDescent="0.25">
      <c r="A649" s="7" t="s">
        <v>787</v>
      </c>
      <c r="B649" s="7" t="s">
        <v>0</v>
      </c>
      <c r="C649" s="7" t="s">
        <v>790</v>
      </c>
      <c r="D649" s="7" t="s">
        <v>4</v>
      </c>
      <c r="E649" s="7" t="s">
        <v>18</v>
      </c>
      <c r="F649" s="5">
        <v>101.07</v>
      </c>
      <c r="G649" s="7" t="s">
        <v>791</v>
      </c>
      <c r="H649" s="7" t="s">
        <v>790</v>
      </c>
      <c r="I649" s="7" t="s">
        <v>2652</v>
      </c>
      <c r="K649">
        <f>IF($A649="","",IF(ISNUMBER($A649),MONTH($A649),MONTH(DATEVALUE($A649))))</f>
        <v>9</v>
      </c>
    </row>
    <row r="650" spans="1:11" ht="60" customHeight="1" x14ac:dyDescent="0.25">
      <c r="A650" s="8" t="s">
        <v>787</v>
      </c>
      <c r="B650" s="8" t="s">
        <v>0</v>
      </c>
      <c r="C650" s="8" t="s">
        <v>792</v>
      </c>
      <c r="D650" s="8" t="s">
        <v>4</v>
      </c>
      <c r="E650" s="8" t="s">
        <v>18</v>
      </c>
      <c r="F650" s="6">
        <v>56.29</v>
      </c>
      <c r="G650" s="8" t="s">
        <v>793</v>
      </c>
      <c r="H650" s="8" t="s">
        <v>792</v>
      </c>
      <c r="I650" s="7" t="s">
        <v>2652</v>
      </c>
      <c r="K650">
        <f>IF($A650="","",IF(ISNUMBER($A650),MONTH($A650),MONTH(DATEVALUE($A650))))</f>
        <v>9</v>
      </c>
    </row>
    <row r="651" spans="1:11" ht="60" customHeight="1" x14ac:dyDescent="0.25">
      <c r="A651" s="7" t="s">
        <v>787</v>
      </c>
      <c r="B651" s="7" t="s">
        <v>0</v>
      </c>
      <c r="C651" s="7" t="s">
        <v>794</v>
      </c>
      <c r="D651" s="7" t="s">
        <v>4</v>
      </c>
      <c r="E651" s="7" t="s">
        <v>18</v>
      </c>
      <c r="F651" s="5">
        <v>16.77</v>
      </c>
      <c r="G651" s="7" t="s">
        <v>795</v>
      </c>
      <c r="H651" s="7" t="s">
        <v>794</v>
      </c>
      <c r="I651" s="7" t="s">
        <v>2652</v>
      </c>
      <c r="K651">
        <f>IF($A651="","",IF(ISNUMBER($A651),MONTH($A651),MONTH(DATEVALUE($A651))))</f>
        <v>9</v>
      </c>
    </row>
    <row r="652" spans="1:11" ht="60" customHeight="1" x14ac:dyDescent="0.25">
      <c r="A652" s="8" t="s">
        <v>796</v>
      </c>
      <c r="B652" s="8" t="s">
        <v>0</v>
      </c>
      <c r="C652" s="8" t="s">
        <v>104</v>
      </c>
      <c r="D652" s="8" t="s">
        <v>4</v>
      </c>
      <c r="E652" s="8" t="s">
        <v>18</v>
      </c>
      <c r="F652" s="6">
        <v>13.99</v>
      </c>
      <c r="G652" s="8" t="s">
        <v>797</v>
      </c>
      <c r="H652" s="8" t="s">
        <v>104</v>
      </c>
      <c r="I652" s="8" t="s">
        <v>2632</v>
      </c>
      <c r="K652">
        <f>IF($A652="","",IF(ISNUMBER($A652),MONTH($A652),MONTH(DATEVALUE($A652))))</f>
        <v>9</v>
      </c>
    </row>
    <row r="653" spans="1:11" ht="60" customHeight="1" x14ac:dyDescent="0.25">
      <c r="A653" s="7" t="s">
        <v>796</v>
      </c>
      <c r="B653" s="7" t="s">
        <v>0</v>
      </c>
      <c r="C653" s="7" t="s">
        <v>798</v>
      </c>
      <c r="D653" s="7" t="s">
        <v>4</v>
      </c>
      <c r="E653" s="7" t="s">
        <v>18</v>
      </c>
      <c r="F653" s="5">
        <v>50</v>
      </c>
      <c r="G653" s="7" t="s">
        <v>799</v>
      </c>
      <c r="H653" s="7" t="s">
        <v>798</v>
      </c>
      <c r="I653" s="7" t="s">
        <v>2652</v>
      </c>
      <c r="K653">
        <f>IF($A653="","",IF(ISNUMBER($A653),MONTH($A653),MONTH(DATEVALUE($A653))))</f>
        <v>9</v>
      </c>
    </row>
    <row r="654" spans="1:11" ht="60" customHeight="1" x14ac:dyDescent="0.25">
      <c r="A654" s="8" t="s">
        <v>796</v>
      </c>
      <c r="B654" s="8" t="s">
        <v>0</v>
      </c>
      <c r="C654" s="8" t="s">
        <v>800</v>
      </c>
      <c r="D654" s="8" t="s">
        <v>4</v>
      </c>
      <c r="E654" s="8" t="s">
        <v>18</v>
      </c>
      <c r="F654" s="6">
        <v>31.15</v>
      </c>
      <c r="G654" s="8" t="s">
        <v>801</v>
      </c>
      <c r="H654" s="8" t="s">
        <v>800</v>
      </c>
      <c r="I654" s="7" t="s">
        <v>2652</v>
      </c>
      <c r="K654">
        <f>IF($A654="","",IF(ISNUMBER($A654),MONTH($A654),MONTH(DATEVALUE($A654))))</f>
        <v>9</v>
      </c>
    </row>
    <row r="655" spans="1:11" ht="60" customHeight="1" x14ac:dyDescent="0.25">
      <c r="A655" s="7" t="s">
        <v>796</v>
      </c>
      <c r="B655" s="7" t="s">
        <v>0</v>
      </c>
      <c r="C655" s="7" t="s">
        <v>802</v>
      </c>
      <c r="D655" s="7" t="s">
        <v>4</v>
      </c>
      <c r="E655" s="7" t="s">
        <v>18</v>
      </c>
      <c r="F655" s="5">
        <v>96.16</v>
      </c>
      <c r="G655" s="7" t="s">
        <v>803</v>
      </c>
      <c r="H655" s="7" t="s">
        <v>802</v>
      </c>
      <c r="I655" s="7" t="s">
        <v>2652</v>
      </c>
      <c r="K655">
        <f>IF($A655="","",IF(ISNUMBER($A655),MONTH($A655),MONTH(DATEVALUE($A655))))</f>
        <v>9</v>
      </c>
    </row>
    <row r="656" spans="1:11" ht="60" customHeight="1" x14ac:dyDescent="0.25">
      <c r="A656" s="8" t="s">
        <v>796</v>
      </c>
      <c r="B656" s="8" t="s">
        <v>0</v>
      </c>
      <c r="C656" s="8" t="s">
        <v>211</v>
      </c>
      <c r="D656" s="8" t="s">
        <v>4</v>
      </c>
      <c r="E656" s="8" t="s">
        <v>18</v>
      </c>
      <c r="F656" s="6">
        <v>52.14</v>
      </c>
      <c r="G656" s="8" t="s">
        <v>804</v>
      </c>
      <c r="H656" s="8" t="s">
        <v>211</v>
      </c>
      <c r="I656" s="8" t="s">
        <v>2630</v>
      </c>
      <c r="K656">
        <f>IF($A656="","",IF(ISNUMBER($A656),MONTH($A656),MONTH(DATEVALUE($A656))))</f>
        <v>9</v>
      </c>
    </row>
    <row r="657" spans="1:11" ht="60" customHeight="1" x14ac:dyDescent="0.25">
      <c r="A657" s="7" t="s">
        <v>805</v>
      </c>
      <c r="B657" s="7" t="s">
        <v>0</v>
      </c>
      <c r="C657" s="7" t="s">
        <v>806</v>
      </c>
      <c r="D657" s="7" t="s">
        <v>4</v>
      </c>
      <c r="E657" s="7" t="s">
        <v>18</v>
      </c>
      <c r="F657" s="5">
        <v>13.98</v>
      </c>
      <c r="G657" s="7" t="s">
        <v>807</v>
      </c>
      <c r="H657" s="7" t="s">
        <v>806</v>
      </c>
      <c r="I657" s="7" t="s">
        <v>2627</v>
      </c>
      <c r="K657">
        <f>IF($A657="","",IF(ISNUMBER($A657),MONTH($A657),MONTH(DATEVALUE($A657))))</f>
        <v>9</v>
      </c>
    </row>
    <row r="658" spans="1:11" ht="60" customHeight="1" x14ac:dyDescent="0.25">
      <c r="A658" s="8" t="s">
        <v>805</v>
      </c>
      <c r="B658" s="8" t="s">
        <v>0</v>
      </c>
      <c r="C658" s="8" t="s">
        <v>808</v>
      </c>
      <c r="D658" s="8" t="s">
        <v>4</v>
      </c>
      <c r="E658" s="8" t="s">
        <v>18</v>
      </c>
      <c r="F658" s="6">
        <v>5.99</v>
      </c>
      <c r="G658" s="8" t="s">
        <v>809</v>
      </c>
      <c r="H658" s="8" t="s">
        <v>808</v>
      </c>
      <c r="I658" s="8" t="s">
        <v>2627</v>
      </c>
      <c r="K658">
        <f>IF($A658="","",IF(ISNUMBER($A658),MONTH($A658),MONTH(DATEVALUE($A658))))</f>
        <v>9</v>
      </c>
    </row>
    <row r="659" spans="1:11" ht="60" customHeight="1" x14ac:dyDescent="0.25">
      <c r="A659" s="7" t="s">
        <v>805</v>
      </c>
      <c r="B659" s="7" t="s">
        <v>0</v>
      </c>
      <c r="C659" s="7" t="s">
        <v>810</v>
      </c>
      <c r="D659" s="7" t="s">
        <v>4</v>
      </c>
      <c r="E659" s="7" t="s">
        <v>18</v>
      </c>
      <c r="F659" s="5">
        <v>104.09</v>
      </c>
      <c r="G659" s="7" t="s">
        <v>811</v>
      </c>
      <c r="H659" s="7" t="s">
        <v>810</v>
      </c>
      <c r="I659" s="7" t="s">
        <v>2652</v>
      </c>
      <c r="K659">
        <f>IF($A659="","",IF(ISNUMBER($A659),MONTH($A659),MONTH(DATEVALUE($A659))))</f>
        <v>9</v>
      </c>
    </row>
    <row r="660" spans="1:11" ht="60" customHeight="1" x14ac:dyDescent="0.25">
      <c r="A660" s="8" t="s">
        <v>805</v>
      </c>
      <c r="B660" s="8" t="s">
        <v>0</v>
      </c>
      <c r="C660" s="8" t="s">
        <v>812</v>
      </c>
      <c r="D660" s="8" t="s">
        <v>4</v>
      </c>
      <c r="E660" s="8" t="s">
        <v>18</v>
      </c>
      <c r="F660" s="6">
        <v>140.53</v>
      </c>
      <c r="G660" s="8" t="s">
        <v>813</v>
      </c>
      <c r="H660" s="8" t="s">
        <v>812</v>
      </c>
      <c r="I660" s="7" t="s">
        <v>2652</v>
      </c>
      <c r="K660">
        <f>IF($A660="","",IF(ISNUMBER($A660),MONTH($A660),MONTH(DATEVALUE($A660))))</f>
        <v>9</v>
      </c>
    </row>
    <row r="661" spans="1:11" ht="60" customHeight="1" x14ac:dyDescent="0.25">
      <c r="A661" s="7" t="s">
        <v>805</v>
      </c>
      <c r="B661" s="7" t="s">
        <v>0</v>
      </c>
      <c r="C661" s="7" t="s">
        <v>814</v>
      </c>
      <c r="D661" s="7" t="s">
        <v>4</v>
      </c>
      <c r="E661" s="7" t="s">
        <v>18</v>
      </c>
      <c r="F661" s="5">
        <v>1.79</v>
      </c>
      <c r="G661" s="7" t="s">
        <v>815</v>
      </c>
      <c r="H661" s="7" t="s">
        <v>814</v>
      </c>
      <c r="I661" s="7" t="s">
        <v>2652</v>
      </c>
      <c r="K661">
        <f>IF($A661="","",IF(ISNUMBER($A661),MONTH($A661),MONTH(DATEVALUE($A661))))</f>
        <v>9</v>
      </c>
    </row>
    <row r="662" spans="1:11" ht="60" customHeight="1" x14ac:dyDescent="0.25">
      <c r="A662" s="8" t="s">
        <v>805</v>
      </c>
      <c r="B662" s="8" t="s">
        <v>0</v>
      </c>
      <c r="C662" s="8" t="s">
        <v>814</v>
      </c>
      <c r="D662" s="8" t="s">
        <v>4</v>
      </c>
      <c r="E662" s="8" t="s">
        <v>18</v>
      </c>
      <c r="F662" s="6">
        <v>1.99</v>
      </c>
      <c r="G662" s="8" t="s">
        <v>816</v>
      </c>
      <c r="H662" s="8" t="s">
        <v>814</v>
      </c>
      <c r="I662" s="7" t="s">
        <v>2652</v>
      </c>
      <c r="K662">
        <f>IF($A662="","",IF(ISNUMBER($A662),MONTH($A662),MONTH(DATEVALUE($A662))))</f>
        <v>9</v>
      </c>
    </row>
    <row r="663" spans="1:11" ht="60" customHeight="1" x14ac:dyDescent="0.25">
      <c r="A663" s="7" t="s">
        <v>817</v>
      </c>
      <c r="B663" s="7" t="s">
        <v>0</v>
      </c>
      <c r="C663" s="7" t="s">
        <v>217</v>
      </c>
      <c r="D663" s="7" t="s">
        <v>4</v>
      </c>
      <c r="E663" s="7" t="s">
        <v>18</v>
      </c>
      <c r="F663" s="5">
        <v>119.52</v>
      </c>
      <c r="G663" s="7" t="s">
        <v>818</v>
      </c>
      <c r="H663" s="7" t="s">
        <v>217</v>
      </c>
      <c r="I663" s="7" t="s">
        <v>2632</v>
      </c>
      <c r="K663">
        <f>IF($A663="","",IF(ISNUMBER($A663),MONTH($A663),MONTH(DATEVALUE($A663))))</f>
        <v>9</v>
      </c>
    </row>
    <row r="664" spans="1:11" ht="60" customHeight="1" x14ac:dyDescent="0.25">
      <c r="A664" s="8" t="s">
        <v>817</v>
      </c>
      <c r="B664" s="8" t="s">
        <v>0</v>
      </c>
      <c r="C664" s="8" t="s">
        <v>819</v>
      </c>
      <c r="D664" s="8" t="s">
        <v>4</v>
      </c>
      <c r="E664" s="8" t="s">
        <v>18</v>
      </c>
      <c r="F664" s="6">
        <v>51</v>
      </c>
      <c r="G664" s="8" t="s">
        <v>820</v>
      </c>
      <c r="H664" s="8" t="s">
        <v>819</v>
      </c>
      <c r="I664" s="7" t="s">
        <v>2652</v>
      </c>
      <c r="K664">
        <f>IF($A664="","",IF(ISNUMBER($A664),MONTH($A664),MONTH(DATEVALUE($A664))))</f>
        <v>9</v>
      </c>
    </row>
    <row r="665" spans="1:11" ht="60" customHeight="1" x14ac:dyDescent="0.25">
      <c r="A665" s="7" t="s">
        <v>817</v>
      </c>
      <c r="B665" s="7" t="s">
        <v>0</v>
      </c>
      <c r="C665" s="7" t="s">
        <v>821</v>
      </c>
      <c r="D665" s="7" t="s">
        <v>4</v>
      </c>
      <c r="E665" s="7" t="s">
        <v>18</v>
      </c>
      <c r="F665" s="5">
        <v>30.97</v>
      </c>
      <c r="G665" s="7" t="s">
        <v>822</v>
      </c>
      <c r="H665" s="7" t="s">
        <v>821</v>
      </c>
      <c r="I665" s="7" t="s">
        <v>2627</v>
      </c>
      <c r="K665">
        <f>IF($A665="","",IF(ISNUMBER($A665),MONTH($A665),MONTH(DATEVALUE($A665))))</f>
        <v>9</v>
      </c>
    </row>
    <row r="666" spans="1:11" ht="60" customHeight="1" x14ac:dyDescent="0.25">
      <c r="A666" s="8" t="s">
        <v>817</v>
      </c>
      <c r="B666" s="8" t="s">
        <v>0</v>
      </c>
      <c r="C666" s="8" t="s">
        <v>221</v>
      </c>
      <c r="D666" s="8" t="s">
        <v>4</v>
      </c>
      <c r="E666" s="8" t="s">
        <v>18</v>
      </c>
      <c r="F666" s="6">
        <v>20</v>
      </c>
      <c r="G666" s="8" t="s">
        <v>823</v>
      </c>
      <c r="H666" s="8" t="s">
        <v>221</v>
      </c>
      <c r="I666" s="8" t="s">
        <v>2630</v>
      </c>
      <c r="K666">
        <f>IF($A666="","",IF(ISNUMBER($A666),MONTH($A666),MONTH(DATEVALUE($A666))))</f>
        <v>9</v>
      </c>
    </row>
    <row r="667" spans="1:11" ht="60" customHeight="1" x14ac:dyDescent="0.25">
      <c r="A667" s="7" t="s">
        <v>817</v>
      </c>
      <c r="B667" s="7" t="s">
        <v>0</v>
      </c>
      <c r="C667" s="7" t="s">
        <v>824</v>
      </c>
      <c r="D667" s="7" t="s">
        <v>4</v>
      </c>
      <c r="E667" s="7" t="s">
        <v>18</v>
      </c>
      <c r="F667" s="5">
        <v>113.36</v>
      </c>
      <c r="G667" s="7" t="s">
        <v>825</v>
      </c>
      <c r="H667" s="7" t="s">
        <v>824</v>
      </c>
      <c r="I667" s="7" t="s">
        <v>2633</v>
      </c>
      <c r="K667">
        <f>IF($A667="","",IF(ISNUMBER($A667),MONTH($A667),MONTH(DATEVALUE($A667))))</f>
        <v>9</v>
      </c>
    </row>
    <row r="668" spans="1:11" ht="60" customHeight="1" x14ac:dyDescent="0.25">
      <c r="A668" s="8" t="s">
        <v>826</v>
      </c>
      <c r="B668" s="8" t="s">
        <v>0</v>
      </c>
      <c r="C668" s="8" t="s">
        <v>767</v>
      </c>
      <c r="D668" s="8" t="s">
        <v>4</v>
      </c>
      <c r="E668" s="8" t="s">
        <v>18</v>
      </c>
      <c r="F668" s="6">
        <v>341.06</v>
      </c>
      <c r="G668" s="8" t="s">
        <v>827</v>
      </c>
      <c r="H668" s="8" t="s">
        <v>767</v>
      </c>
      <c r="I668" s="7" t="s">
        <v>2652</v>
      </c>
      <c r="K668">
        <f>IF($A668="","",IF(ISNUMBER($A668),MONTH($A668),MONTH(DATEVALUE($A668))))</f>
        <v>8</v>
      </c>
    </row>
    <row r="669" spans="1:11" ht="60" customHeight="1" x14ac:dyDescent="0.25">
      <c r="A669" s="7" t="s">
        <v>826</v>
      </c>
      <c r="B669" s="7" t="s">
        <v>0</v>
      </c>
      <c r="C669" s="7" t="s">
        <v>828</v>
      </c>
      <c r="D669" s="7" t="s">
        <v>4</v>
      </c>
      <c r="E669" s="7" t="s">
        <v>18</v>
      </c>
      <c r="F669" s="5">
        <v>26.83</v>
      </c>
      <c r="G669" s="7" t="s">
        <v>829</v>
      </c>
      <c r="H669" s="7" t="s">
        <v>828</v>
      </c>
      <c r="I669" s="7" t="s">
        <v>2652</v>
      </c>
      <c r="K669">
        <f>IF($A669="","",IF(ISNUMBER($A669),MONTH($A669),MONTH(DATEVALUE($A669))))</f>
        <v>8</v>
      </c>
    </row>
    <row r="670" spans="1:11" ht="60" customHeight="1" x14ac:dyDescent="0.25">
      <c r="A670" s="8" t="s">
        <v>826</v>
      </c>
      <c r="B670" s="8" t="s">
        <v>0</v>
      </c>
      <c r="C670" s="8" t="s">
        <v>22</v>
      </c>
      <c r="D670" s="8" t="s">
        <v>4</v>
      </c>
      <c r="E670" s="8" t="s">
        <v>18</v>
      </c>
      <c r="F670" s="6">
        <v>184.16</v>
      </c>
      <c r="G670" s="8" t="s">
        <v>830</v>
      </c>
      <c r="H670" s="8" t="s">
        <v>22</v>
      </c>
      <c r="I670" s="8" t="s">
        <v>2626</v>
      </c>
      <c r="K670">
        <f>IF($A670="","",IF(ISNUMBER($A670),MONTH($A670),MONTH(DATEVALUE($A670))))</f>
        <v>8</v>
      </c>
    </row>
    <row r="671" spans="1:11" ht="60" customHeight="1" x14ac:dyDescent="0.25">
      <c r="A671" s="7" t="s">
        <v>831</v>
      </c>
      <c r="B671" s="7" t="s">
        <v>0</v>
      </c>
      <c r="C671" s="7" t="s">
        <v>745</v>
      </c>
      <c r="D671" s="7" t="s">
        <v>4</v>
      </c>
      <c r="E671" s="7" t="s">
        <v>18</v>
      </c>
      <c r="F671" s="5">
        <v>715.95</v>
      </c>
      <c r="G671" s="7" t="s">
        <v>832</v>
      </c>
      <c r="H671" s="7" t="s">
        <v>745</v>
      </c>
      <c r="I671" s="7" t="s">
        <v>2652</v>
      </c>
      <c r="K671">
        <f>IF($A671="","",IF(ISNUMBER($A671),MONTH($A671),MONTH(DATEVALUE($A671))))</f>
        <v>8</v>
      </c>
    </row>
    <row r="672" spans="1:11" ht="60" customHeight="1" x14ac:dyDescent="0.25">
      <c r="A672" s="8" t="s">
        <v>831</v>
      </c>
      <c r="B672" s="8" t="s">
        <v>0</v>
      </c>
      <c r="C672" s="8" t="s">
        <v>833</v>
      </c>
      <c r="D672" s="8" t="s">
        <v>4</v>
      </c>
      <c r="E672" s="8" t="s">
        <v>18</v>
      </c>
      <c r="F672" s="6">
        <v>150</v>
      </c>
      <c r="G672" s="8" t="s">
        <v>834</v>
      </c>
      <c r="H672" s="8" t="s">
        <v>833</v>
      </c>
      <c r="I672" s="7" t="s">
        <v>2652</v>
      </c>
      <c r="K672">
        <f>IF($A672="","",IF(ISNUMBER($A672),MONTH($A672),MONTH(DATEVALUE($A672))))</f>
        <v>8</v>
      </c>
    </row>
    <row r="673" spans="1:11" ht="60" customHeight="1" x14ac:dyDescent="0.25">
      <c r="A673" s="7" t="s">
        <v>831</v>
      </c>
      <c r="B673" s="7" t="s">
        <v>0</v>
      </c>
      <c r="C673" s="7" t="s">
        <v>835</v>
      </c>
      <c r="D673" s="7" t="s">
        <v>4</v>
      </c>
      <c r="E673" s="7" t="s">
        <v>18</v>
      </c>
      <c r="F673" s="5">
        <v>112</v>
      </c>
      <c r="G673" s="7" t="s">
        <v>836</v>
      </c>
      <c r="H673" s="7" t="s">
        <v>835</v>
      </c>
      <c r="I673" s="7" t="s">
        <v>2652</v>
      </c>
      <c r="K673">
        <f>IF($A673="","",IF(ISNUMBER($A673),MONTH($A673),MONTH(DATEVALUE($A673))))</f>
        <v>8</v>
      </c>
    </row>
    <row r="674" spans="1:11" ht="60" customHeight="1" x14ac:dyDescent="0.25">
      <c r="A674" s="8" t="s">
        <v>831</v>
      </c>
      <c r="B674" s="8" t="s">
        <v>0</v>
      </c>
      <c r="C674" s="8" t="s">
        <v>837</v>
      </c>
      <c r="D674" s="8" t="s">
        <v>4</v>
      </c>
      <c r="E674" s="8" t="s">
        <v>18</v>
      </c>
      <c r="F674" s="6">
        <v>202.84</v>
      </c>
      <c r="G674" s="8" t="s">
        <v>838</v>
      </c>
      <c r="H674" s="8" t="s">
        <v>837</v>
      </c>
      <c r="I674" s="8" t="s">
        <v>2633</v>
      </c>
      <c r="K674">
        <f>IF($A674="","",IF(ISNUMBER($A674),MONTH($A674),MONTH(DATEVALUE($A674))))</f>
        <v>8</v>
      </c>
    </row>
    <row r="675" spans="1:11" ht="60" customHeight="1" x14ac:dyDescent="0.25">
      <c r="A675" s="7" t="s">
        <v>831</v>
      </c>
      <c r="B675" s="7" t="s">
        <v>0</v>
      </c>
      <c r="C675" s="7" t="s">
        <v>839</v>
      </c>
      <c r="D675" s="7" t="s">
        <v>4</v>
      </c>
      <c r="E675" s="7" t="s">
        <v>18</v>
      </c>
      <c r="F675" s="5">
        <v>5.48</v>
      </c>
      <c r="G675" s="7" t="s">
        <v>840</v>
      </c>
      <c r="H675" s="7" t="s">
        <v>839</v>
      </c>
      <c r="I675" s="7" t="s">
        <v>2652</v>
      </c>
      <c r="K675">
        <f>IF($A675="","",IF(ISNUMBER($A675),MONTH($A675),MONTH(DATEVALUE($A675))))</f>
        <v>8</v>
      </c>
    </row>
    <row r="676" spans="1:11" ht="60" customHeight="1" x14ac:dyDescent="0.25">
      <c r="A676" s="8" t="s">
        <v>831</v>
      </c>
      <c r="B676" s="8" t="s">
        <v>0</v>
      </c>
      <c r="C676" s="8" t="s">
        <v>839</v>
      </c>
      <c r="D676" s="8" t="s">
        <v>4</v>
      </c>
      <c r="E676" s="8" t="s">
        <v>18</v>
      </c>
      <c r="F676" s="6">
        <v>31.92</v>
      </c>
      <c r="G676" s="8" t="s">
        <v>841</v>
      </c>
      <c r="H676" s="8" t="s">
        <v>839</v>
      </c>
      <c r="I676" s="7" t="s">
        <v>2652</v>
      </c>
      <c r="K676">
        <f>IF($A676="","",IF(ISNUMBER($A676),MONTH($A676),MONTH(DATEVALUE($A676))))</f>
        <v>8</v>
      </c>
    </row>
    <row r="677" spans="1:11" ht="60" customHeight="1" x14ac:dyDescent="0.25">
      <c r="A677" s="7" t="s">
        <v>831</v>
      </c>
      <c r="B677" s="7" t="s">
        <v>0</v>
      </c>
      <c r="C677" s="7" t="s">
        <v>842</v>
      </c>
      <c r="D677" s="7" t="s">
        <v>4</v>
      </c>
      <c r="E677" s="7" t="s">
        <v>18</v>
      </c>
      <c r="F677" s="5">
        <v>14.42</v>
      </c>
      <c r="G677" s="7" t="s">
        <v>843</v>
      </c>
      <c r="H677" s="7" t="s">
        <v>842</v>
      </c>
      <c r="I677" s="7" t="s">
        <v>2652</v>
      </c>
      <c r="K677">
        <f>IF($A677="","",IF(ISNUMBER($A677),MONTH($A677),MONTH(DATEVALUE($A677))))</f>
        <v>8</v>
      </c>
    </row>
    <row r="678" spans="1:11" ht="60" customHeight="1" x14ac:dyDescent="0.25">
      <c r="A678" s="8" t="s">
        <v>844</v>
      </c>
      <c r="B678" s="8" t="s">
        <v>0</v>
      </c>
      <c r="C678" s="8" t="s">
        <v>845</v>
      </c>
      <c r="D678" s="8" t="s">
        <v>4</v>
      </c>
      <c r="E678" s="8" t="s">
        <v>18</v>
      </c>
      <c r="F678" s="6">
        <v>228.22</v>
      </c>
      <c r="G678" s="8" t="s">
        <v>846</v>
      </c>
      <c r="H678" s="8" t="s">
        <v>847</v>
      </c>
      <c r="I678" s="7" t="s">
        <v>2652</v>
      </c>
      <c r="K678">
        <f>IF($A678="","",IF(ISNUMBER($A678),MONTH($A678),MONTH(DATEVALUE($A678))))</f>
        <v>8</v>
      </c>
    </row>
    <row r="679" spans="1:11" ht="60" customHeight="1" x14ac:dyDescent="0.25">
      <c r="A679" s="7" t="s">
        <v>844</v>
      </c>
      <c r="B679" s="7" t="s">
        <v>0</v>
      </c>
      <c r="C679" s="7" t="s">
        <v>848</v>
      </c>
      <c r="D679" s="7" t="s">
        <v>4</v>
      </c>
      <c r="E679" s="7" t="s">
        <v>18</v>
      </c>
      <c r="F679" s="5">
        <v>43.29</v>
      </c>
      <c r="G679" s="7" t="s">
        <v>849</v>
      </c>
      <c r="H679" s="7" t="s">
        <v>848</v>
      </c>
      <c r="I679" s="7" t="s">
        <v>2652</v>
      </c>
      <c r="K679">
        <f>IF($A679="","",IF(ISNUMBER($A679),MONTH($A679),MONTH(DATEVALUE($A679))))</f>
        <v>8</v>
      </c>
    </row>
    <row r="680" spans="1:11" ht="60" customHeight="1" x14ac:dyDescent="0.25">
      <c r="A680" s="8" t="s">
        <v>844</v>
      </c>
      <c r="B680" s="8" t="s">
        <v>0</v>
      </c>
      <c r="C680" s="8" t="s">
        <v>850</v>
      </c>
      <c r="D680" s="8" t="s">
        <v>4</v>
      </c>
      <c r="E680" s="8" t="s">
        <v>18</v>
      </c>
      <c r="F680" s="6">
        <v>35</v>
      </c>
      <c r="G680" s="8" t="s">
        <v>851</v>
      </c>
      <c r="H680" s="8" t="s">
        <v>850</v>
      </c>
      <c r="I680" s="7" t="s">
        <v>2652</v>
      </c>
      <c r="K680">
        <f>IF($A680="","",IF(ISNUMBER($A680),MONTH($A680),MONTH(DATEVALUE($A680))))</f>
        <v>8</v>
      </c>
    </row>
    <row r="681" spans="1:11" ht="60" customHeight="1" x14ac:dyDescent="0.25">
      <c r="A681" s="7" t="s">
        <v>844</v>
      </c>
      <c r="B681" s="7" t="s">
        <v>227</v>
      </c>
      <c r="C681" s="7" t="s">
        <v>852</v>
      </c>
      <c r="D681" s="7" t="s">
        <v>4</v>
      </c>
      <c r="E681" s="7" t="s">
        <v>18</v>
      </c>
      <c r="F681" s="5">
        <v>51.24</v>
      </c>
      <c r="G681" s="7" t="s">
        <v>853</v>
      </c>
      <c r="H681" s="7" t="s">
        <v>852</v>
      </c>
      <c r="I681" s="7" t="s">
        <v>2633</v>
      </c>
      <c r="K681">
        <f>IF($A681="","",IF(ISNUMBER($A681),MONTH($A681),MONTH(DATEVALUE($A681))))</f>
        <v>8</v>
      </c>
    </row>
    <row r="682" spans="1:11" ht="60" customHeight="1" x14ac:dyDescent="0.25">
      <c r="A682" s="8" t="s">
        <v>844</v>
      </c>
      <c r="B682" s="8" t="s">
        <v>0</v>
      </c>
      <c r="C682" s="8" t="s">
        <v>27</v>
      </c>
      <c r="D682" s="8" t="s">
        <v>4</v>
      </c>
      <c r="E682" s="8" t="s">
        <v>18</v>
      </c>
      <c r="F682" s="6">
        <v>20</v>
      </c>
      <c r="G682" s="8" t="s">
        <v>854</v>
      </c>
      <c r="H682" s="8" t="s">
        <v>27</v>
      </c>
      <c r="I682" s="8" t="s">
        <v>2628</v>
      </c>
      <c r="K682">
        <f>IF($A682="","",IF(ISNUMBER($A682),MONTH($A682),MONTH(DATEVALUE($A682))))</f>
        <v>8</v>
      </c>
    </row>
    <row r="683" spans="1:11" ht="60" customHeight="1" x14ac:dyDescent="0.25">
      <c r="A683" s="7" t="s">
        <v>844</v>
      </c>
      <c r="B683" s="7" t="s">
        <v>0</v>
      </c>
      <c r="C683" s="7" t="s">
        <v>738</v>
      </c>
      <c r="D683" s="7" t="s">
        <v>4</v>
      </c>
      <c r="E683" s="7" t="s">
        <v>18</v>
      </c>
      <c r="F683" s="5">
        <v>267.51</v>
      </c>
      <c r="G683" s="7" t="s">
        <v>855</v>
      </c>
      <c r="H683" s="7" t="s">
        <v>738</v>
      </c>
      <c r="I683" s="7" t="s">
        <v>2639</v>
      </c>
      <c r="K683">
        <f>IF($A683="","",IF(ISNUMBER($A683),MONTH($A683),MONTH(DATEVALUE($A683))))</f>
        <v>8</v>
      </c>
    </row>
    <row r="684" spans="1:11" ht="60" customHeight="1" x14ac:dyDescent="0.25">
      <c r="A684" s="8" t="s">
        <v>844</v>
      </c>
      <c r="B684" s="8" t="s">
        <v>0</v>
      </c>
      <c r="C684" s="8" t="s">
        <v>171</v>
      </c>
      <c r="D684" s="8" t="s">
        <v>4</v>
      </c>
      <c r="E684" s="8" t="s">
        <v>18</v>
      </c>
      <c r="F684" s="6">
        <v>143.36000000000001</v>
      </c>
      <c r="G684" s="8" t="s">
        <v>856</v>
      </c>
      <c r="H684" s="8" t="s">
        <v>171</v>
      </c>
      <c r="I684" s="8" t="s">
        <v>2633</v>
      </c>
      <c r="K684">
        <f>IF($A684="","",IF(ISNUMBER($A684),MONTH($A684),MONTH(DATEVALUE($A684))))</f>
        <v>8</v>
      </c>
    </row>
    <row r="685" spans="1:11" ht="60" customHeight="1" x14ac:dyDescent="0.25">
      <c r="A685" s="7" t="s">
        <v>857</v>
      </c>
      <c r="B685" s="7" t="s">
        <v>0</v>
      </c>
      <c r="C685" s="7" t="s">
        <v>357</v>
      </c>
      <c r="D685" s="7" t="s">
        <v>4</v>
      </c>
      <c r="E685" s="7" t="s">
        <v>18</v>
      </c>
      <c r="F685" s="5">
        <v>79.14</v>
      </c>
      <c r="G685" s="7" t="s">
        <v>358</v>
      </c>
      <c r="H685" s="7" t="s">
        <v>357</v>
      </c>
      <c r="I685" s="7" t="s">
        <v>2634</v>
      </c>
      <c r="K685">
        <f>IF($A685="","",IF(ISNUMBER($A685),MONTH($A685),MONTH(DATEVALUE($A685))))</f>
        <v>8</v>
      </c>
    </row>
    <row r="686" spans="1:11" ht="60" customHeight="1" x14ac:dyDescent="0.25">
      <c r="A686" s="8" t="s">
        <v>858</v>
      </c>
      <c r="B686" s="8" t="s">
        <v>0</v>
      </c>
      <c r="C686" s="8" t="s">
        <v>35</v>
      </c>
      <c r="D686" s="8" t="s">
        <v>4</v>
      </c>
      <c r="E686" s="8" t="s">
        <v>18</v>
      </c>
      <c r="F686" s="6">
        <v>39.99</v>
      </c>
      <c r="G686" s="8" t="s">
        <v>859</v>
      </c>
      <c r="H686" s="8" t="s">
        <v>35</v>
      </c>
      <c r="I686" s="8" t="s">
        <v>2630</v>
      </c>
      <c r="K686">
        <f>IF($A686="","",IF(ISNUMBER($A686),MONTH($A686),MONTH(DATEVALUE($A686))))</f>
        <v>8</v>
      </c>
    </row>
    <row r="687" spans="1:11" ht="60" customHeight="1" x14ac:dyDescent="0.25">
      <c r="A687" s="7" t="s">
        <v>860</v>
      </c>
      <c r="B687" s="7" t="s">
        <v>0</v>
      </c>
      <c r="C687" s="7" t="s">
        <v>562</v>
      </c>
      <c r="D687" s="7" t="s">
        <v>4</v>
      </c>
      <c r="E687" s="7" t="s">
        <v>18</v>
      </c>
      <c r="F687" s="5">
        <v>53.03</v>
      </c>
      <c r="G687" s="7" t="s">
        <v>861</v>
      </c>
      <c r="H687" s="7" t="s">
        <v>562</v>
      </c>
      <c r="I687" s="7" t="s">
        <v>2633</v>
      </c>
      <c r="K687">
        <f>IF($A687="","",IF(ISNUMBER($A687),MONTH($A687),MONTH(DATEVALUE($A687))))</f>
        <v>8</v>
      </c>
    </row>
    <row r="688" spans="1:11" ht="60" customHeight="1" x14ac:dyDescent="0.25">
      <c r="A688" s="8" t="s">
        <v>862</v>
      </c>
      <c r="B688" s="8" t="s">
        <v>0</v>
      </c>
      <c r="C688" s="8" t="s">
        <v>522</v>
      </c>
      <c r="D688" s="8" t="s">
        <v>4</v>
      </c>
      <c r="E688" s="8" t="s">
        <v>18</v>
      </c>
      <c r="F688" s="6">
        <v>10.47</v>
      </c>
      <c r="G688" s="8" t="s">
        <v>863</v>
      </c>
      <c r="H688" s="8" t="s">
        <v>522</v>
      </c>
      <c r="I688" s="8" t="s">
        <v>2647</v>
      </c>
      <c r="K688">
        <f>IF($A688="","",IF(ISNUMBER($A688),MONTH($A688),MONTH(DATEVALUE($A688))))</f>
        <v>8</v>
      </c>
    </row>
    <row r="689" spans="1:11" ht="60" customHeight="1" x14ac:dyDescent="0.25">
      <c r="A689" s="7" t="s">
        <v>862</v>
      </c>
      <c r="B689" s="7" t="s">
        <v>0</v>
      </c>
      <c r="C689" s="7" t="s">
        <v>435</v>
      </c>
      <c r="D689" s="7" t="s">
        <v>4</v>
      </c>
      <c r="E689" s="7" t="s">
        <v>18</v>
      </c>
      <c r="F689" s="5">
        <v>883</v>
      </c>
      <c r="G689" s="7" t="s">
        <v>864</v>
      </c>
      <c r="H689" s="7" t="s">
        <v>435</v>
      </c>
      <c r="I689" s="7" t="s">
        <v>2644</v>
      </c>
      <c r="K689">
        <f>IF($A689="","",IF(ISNUMBER($A689),MONTH($A689),MONTH(DATEVALUE($A689))))</f>
        <v>8</v>
      </c>
    </row>
    <row r="690" spans="1:11" ht="60" customHeight="1" x14ac:dyDescent="0.25">
      <c r="A690" s="8" t="s">
        <v>862</v>
      </c>
      <c r="B690" s="8" t="s">
        <v>0</v>
      </c>
      <c r="C690" s="8" t="s">
        <v>672</v>
      </c>
      <c r="D690" s="8" t="s">
        <v>4</v>
      </c>
      <c r="E690" s="8" t="s">
        <v>18</v>
      </c>
      <c r="F690" s="6">
        <v>10.81</v>
      </c>
      <c r="G690" s="8" t="s">
        <v>865</v>
      </c>
      <c r="H690" s="8" t="s">
        <v>672</v>
      </c>
      <c r="I690" s="8" t="s">
        <v>2647</v>
      </c>
      <c r="K690">
        <f>IF($A690="","",IF(ISNUMBER($A690),MONTH($A690),MONTH(DATEVALUE($A690))))</f>
        <v>8</v>
      </c>
    </row>
    <row r="691" spans="1:11" ht="60" customHeight="1" x14ac:dyDescent="0.25">
      <c r="A691" s="7" t="s">
        <v>862</v>
      </c>
      <c r="B691" s="7" t="s">
        <v>0</v>
      </c>
      <c r="C691" s="7" t="s">
        <v>73</v>
      </c>
      <c r="D691" s="7" t="s">
        <v>4</v>
      </c>
      <c r="E691" s="7" t="s">
        <v>18</v>
      </c>
      <c r="F691" s="5">
        <v>51.86</v>
      </c>
      <c r="G691" s="7" t="s">
        <v>866</v>
      </c>
      <c r="H691" s="7" t="s">
        <v>73</v>
      </c>
      <c r="I691" s="7" t="s">
        <v>2633</v>
      </c>
      <c r="K691">
        <f>IF($A691="","",IF(ISNUMBER($A691),MONTH($A691),MONTH(DATEVALUE($A691))))</f>
        <v>8</v>
      </c>
    </row>
    <row r="692" spans="1:11" ht="60" customHeight="1" x14ac:dyDescent="0.25">
      <c r="A692" s="8" t="s">
        <v>862</v>
      </c>
      <c r="B692" s="8" t="s">
        <v>0</v>
      </c>
      <c r="C692" s="8" t="s">
        <v>867</v>
      </c>
      <c r="D692" s="8" t="s">
        <v>4</v>
      </c>
      <c r="E692" s="8" t="s">
        <v>18</v>
      </c>
      <c r="F692" s="6">
        <v>19.77</v>
      </c>
      <c r="G692" s="8" t="s">
        <v>868</v>
      </c>
      <c r="H692" s="8" t="s">
        <v>867</v>
      </c>
      <c r="I692" s="8" t="s">
        <v>2633</v>
      </c>
      <c r="K692">
        <f>IF($A692="","",IF(ISNUMBER($A692),MONTH($A692),MONTH(DATEVALUE($A692))))</f>
        <v>8</v>
      </c>
    </row>
    <row r="693" spans="1:11" ht="60" customHeight="1" x14ac:dyDescent="0.25">
      <c r="A693" s="7" t="s">
        <v>869</v>
      </c>
      <c r="B693" s="7" t="s">
        <v>0</v>
      </c>
      <c r="C693" s="7" t="s">
        <v>870</v>
      </c>
      <c r="D693" s="7" t="s">
        <v>4</v>
      </c>
      <c r="E693" s="7" t="s">
        <v>18</v>
      </c>
      <c r="F693" s="5">
        <v>100</v>
      </c>
      <c r="G693" s="7" t="s">
        <v>871</v>
      </c>
      <c r="H693" s="7" t="s">
        <v>870</v>
      </c>
      <c r="I693" s="7" t="s">
        <v>2633</v>
      </c>
      <c r="K693">
        <f>IF($A693="","",IF(ISNUMBER($A693),MONTH($A693),MONTH(DATEVALUE($A693))))</f>
        <v>8</v>
      </c>
    </row>
    <row r="694" spans="1:11" ht="60" customHeight="1" x14ac:dyDescent="0.25">
      <c r="A694" s="8" t="s">
        <v>872</v>
      </c>
      <c r="B694" s="8" t="s">
        <v>0</v>
      </c>
      <c r="C694" s="8" t="s">
        <v>668</v>
      </c>
      <c r="D694" s="8" t="s">
        <v>4</v>
      </c>
      <c r="E694" s="8" t="s">
        <v>18</v>
      </c>
      <c r="F694" s="6">
        <v>190</v>
      </c>
      <c r="G694" s="8" t="s">
        <v>873</v>
      </c>
      <c r="H694" s="8" t="s">
        <v>668</v>
      </c>
      <c r="I694" s="8" t="s">
        <v>2633</v>
      </c>
      <c r="K694">
        <f>IF($A694="","",IF(ISNUMBER($A694),MONTH($A694),MONTH(DATEVALUE($A694))))</f>
        <v>8</v>
      </c>
    </row>
    <row r="695" spans="1:11" ht="60" customHeight="1" x14ac:dyDescent="0.25">
      <c r="A695" s="7" t="s">
        <v>872</v>
      </c>
      <c r="B695" s="7" t="s">
        <v>227</v>
      </c>
      <c r="C695" s="7" t="s">
        <v>874</v>
      </c>
      <c r="D695" s="7" t="s">
        <v>4</v>
      </c>
      <c r="E695" s="7" t="s">
        <v>18</v>
      </c>
      <c r="F695" s="5">
        <v>155</v>
      </c>
      <c r="G695" s="7" t="s">
        <v>875</v>
      </c>
      <c r="H695" s="7" t="s">
        <v>874</v>
      </c>
      <c r="I695" s="7" t="s">
        <v>2632</v>
      </c>
      <c r="K695">
        <f>IF($A695="","",IF(ISNUMBER($A695),MONTH($A695),MONTH(DATEVALUE($A695))))</f>
        <v>8</v>
      </c>
    </row>
    <row r="696" spans="1:11" ht="60" customHeight="1" x14ac:dyDescent="0.25">
      <c r="A696" s="8" t="s">
        <v>872</v>
      </c>
      <c r="B696" s="8" t="s">
        <v>0</v>
      </c>
      <c r="C696" s="8" t="s">
        <v>63</v>
      </c>
      <c r="D696" s="8" t="s">
        <v>4</v>
      </c>
      <c r="E696" s="8" t="s">
        <v>18</v>
      </c>
      <c r="F696" s="6">
        <v>73.12</v>
      </c>
      <c r="G696" s="8" t="s">
        <v>876</v>
      </c>
      <c r="H696" s="8" t="s">
        <v>63</v>
      </c>
      <c r="I696" s="8" t="s">
        <v>2633</v>
      </c>
      <c r="K696">
        <f>IF($A696="","",IF(ISNUMBER($A696),MONTH($A696),MONTH(DATEVALUE($A696))))</f>
        <v>8</v>
      </c>
    </row>
    <row r="697" spans="1:11" ht="60" customHeight="1" x14ac:dyDescent="0.25">
      <c r="A697" s="7" t="s">
        <v>877</v>
      </c>
      <c r="B697" s="7" t="s">
        <v>0</v>
      </c>
      <c r="C697" s="7" t="s">
        <v>878</v>
      </c>
      <c r="D697" s="7" t="s">
        <v>4</v>
      </c>
      <c r="E697" s="7" t="s">
        <v>18</v>
      </c>
      <c r="F697" s="5">
        <v>58.68</v>
      </c>
      <c r="G697" s="7" t="s">
        <v>879</v>
      </c>
      <c r="H697" s="7" t="s">
        <v>878</v>
      </c>
      <c r="I697" s="7" t="s">
        <v>2634</v>
      </c>
      <c r="K697">
        <f>IF($A697="","",IF(ISNUMBER($A697),MONTH($A697),MONTH(DATEVALUE($A697))))</f>
        <v>8</v>
      </c>
    </row>
    <row r="698" spans="1:11" ht="60" customHeight="1" x14ac:dyDescent="0.25">
      <c r="A698" s="8" t="s">
        <v>877</v>
      </c>
      <c r="B698" s="8" t="s">
        <v>227</v>
      </c>
      <c r="C698" s="8" t="s">
        <v>874</v>
      </c>
      <c r="D698" s="8" t="s">
        <v>4</v>
      </c>
      <c r="E698" s="8" t="s">
        <v>18</v>
      </c>
      <c r="F698" s="6">
        <v>90</v>
      </c>
      <c r="G698" s="8" t="s">
        <v>880</v>
      </c>
      <c r="H698" s="8" t="s">
        <v>874</v>
      </c>
      <c r="I698" s="8" t="s">
        <v>2632</v>
      </c>
      <c r="K698">
        <f>IF($A698="","",IF(ISNUMBER($A698),MONTH($A698),MONTH(DATEVALUE($A698))))</f>
        <v>8</v>
      </c>
    </row>
    <row r="699" spans="1:11" ht="60" customHeight="1" x14ac:dyDescent="0.25">
      <c r="A699" s="7" t="s">
        <v>881</v>
      </c>
      <c r="B699" s="7" t="s">
        <v>0</v>
      </c>
      <c r="C699" s="7" t="s">
        <v>124</v>
      </c>
      <c r="D699" s="7" t="s">
        <v>4</v>
      </c>
      <c r="E699" s="7" t="s">
        <v>18</v>
      </c>
      <c r="F699" s="5">
        <v>26.09</v>
      </c>
      <c r="G699" s="7" t="s">
        <v>882</v>
      </c>
      <c r="H699" s="7" t="s">
        <v>124</v>
      </c>
      <c r="I699" s="7" t="s">
        <v>2653</v>
      </c>
      <c r="K699">
        <f>IF($A699="","",IF(ISNUMBER($A699),MONTH($A699),MONTH(DATEVALUE($A699))))</f>
        <v>8</v>
      </c>
    </row>
    <row r="700" spans="1:11" ht="60" customHeight="1" x14ac:dyDescent="0.25">
      <c r="A700" s="8" t="s">
        <v>881</v>
      </c>
      <c r="B700" s="8" t="s">
        <v>0</v>
      </c>
      <c r="C700" s="8" t="s">
        <v>126</v>
      </c>
      <c r="D700" s="8" t="s">
        <v>4</v>
      </c>
      <c r="E700" s="8" t="s">
        <v>18</v>
      </c>
      <c r="F700" s="6">
        <v>45</v>
      </c>
      <c r="G700" s="8" t="s">
        <v>883</v>
      </c>
      <c r="H700" s="8" t="s">
        <v>126</v>
      </c>
      <c r="I700" s="7" t="s">
        <v>2653</v>
      </c>
      <c r="K700">
        <f>IF($A700="","",IF(ISNUMBER($A700),MONTH($A700),MONTH(DATEVALUE($A700))))</f>
        <v>8</v>
      </c>
    </row>
    <row r="701" spans="1:11" ht="60" customHeight="1" x14ac:dyDescent="0.25">
      <c r="A701" s="7" t="s">
        <v>881</v>
      </c>
      <c r="B701" s="7" t="s">
        <v>0</v>
      </c>
      <c r="C701" s="7" t="s">
        <v>884</v>
      </c>
      <c r="D701" s="7" t="s">
        <v>4</v>
      </c>
      <c r="E701" s="7" t="s">
        <v>18</v>
      </c>
      <c r="F701" s="5">
        <v>35.18</v>
      </c>
      <c r="G701" s="7" t="s">
        <v>885</v>
      </c>
      <c r="H701" s="7" t="s">
        <v>884</v>
      </c>
      <c r="I701" s="7" t="s">
        <v>2627</v>
      </c>
      <c r="K701">
        <f>IF($A701="","",IF(ISNUMBER($A701),MONTH($A701),MONTH(DATEVALUE($A701))))</f>
        <v>8</v>
      </c>
    </row>
    <row r="702" spans="1:11" ht="60" customHeight="1" x14ac:dyDescent="0.25">
      <c r="A702" s="8" t="s">
        <v>881</v>
      </c>
      <c r="B702" s="8" t="s">
        <v>0</v>
      </c>
      <c r="C702" s="8" t="s">
        <v>500</v>
      </c>
      <c r="D702" s="8" t="s">
        <v>4</v>
      </c>
      <c r="E702" s="8" t="s">
        <v>18</v>
      </c>
      <c r="F702" s="6">
        <v>18.149999999999999</v>
      </c>
      <c r="G702" s="8" t="s">
        <v>886</v>
      </c>
      <c r="H702" s="8" t="s">
        <v>500</v>
      </c>
      <c r="I702" s="7" t="s">
        <v>2653</v>
      </c>
      <c r="K702">
        <f>IF($A702="","",IF(ISNUMBER($A702),MONTH($A702),MONTH(DATEVALUE($A702))))</f>
        <v>8</v>
      </c>
    </row>
    <row r="703" spans="1:11" ht="60" customHeight="1" x14ac:dyDescent="0.25">
      <c r="A703" s="7" t="s">
        <v>881</v>
      </c>
      <c r="B703" s="7" t="s">
        <v>0</v>
      </c>
      <c r="C703" s="7" t="s">
        <v>887</v>
      </c>
      <c r="D703" s="7" t="s">
        <v>4</v>
      </c>
      <c r="E703" s="7" t="s">
        <v>18</v>
      </c>
      <c r="F703" s="5">
        <v>20.41</v>
      </c>
      <c r="G703" s="7" t="s">
        <v>888</v>
      </c>
      <c r="H703" s="7" t="s">
        <v>887</v>
      </c>
      <c r="I703" s="7" t="s">
        <v>2645</v>
      </c>
      <c r="K703">
        <f>IF($A703="","",IF(ISNUMBER($A703),MONTH($A703),MONTH(DATEVALUE($A703))))</f>
        <v>8</v>
      </c>
    </row>
    <row r="704" spans="1:11" ht="60" customHeight="1" x14ac:dyDescent="0.25">
      <c r="A704" s="8" t="s">
        <v>889</v>
      </c>
      <c r="B704" s="8" t="s">
        <v>0</v>
      </c>
      <c r="C704" s="8" t="s">
        <v>44</v>
      </c>
      <c r="D704" s="8" t="s">
        <v>4</v>
      </c>
      <c r="E704" s="8" t="s">
        <v>18</v>
      </c>
      <c r="F704" s="6">
        <v>584</v>
      </c>
      <c r="G704" s="8" t="s">
        <v>890</v>
      </c>
      <c r="H704" s="8" t="s">
        <v>44</v>
      </c>
      <c r="I704" s="8" t="s">
        <v>2630</v>
      </c>
      <c r="K704">
        <f>IF($A704="","",IF(ISNUMBER($A704),MONTH($A704),MONTH(DATEVALUE($A704))))</f>
        <v>8</v>
      </c>
    </row>
    <row r="705" spans="1:11" ht="60" customHeight="1" x14ac:dyDescent="0.25">
      <c r="A705" s="7" t="s">
        <v>889</v>
      </c>
      <c r="B705" s="7" t="s">
        <v>0</v>
      </c>
      <c r="C705" s="7" t="s">
        <v>891</v>
      </c>
      <c r="D705" s="7" t="s">
        <v>4</v>
      </c>
      <c r="E705" s="7" t="s">
        <v>18</v>
      </c>
      <c r="F705" s="5">
        <v>2</v>
      </c>
      <c r="G705" s="7" t="s">
        <v>892</v>
      </c>
      <c r="H705" s="7" t="s">
        <v>891</v>
      </c>
      <c r="I705" s="7" t="s">
        <v>2634</v>
      </c>
      <c r="K705">
        <f>IF($A705="","",IF(ISNUMBER($A705),MONTH($A705),MONTH(DATEVALUE($A705))))</f>
        <v>8</v>
      </c>
    </row>
    <row r="706" spans="1:11" ht="60" customHeight="1" x14ac:dyDescent="0.25">
      <c r="A706" s="8" t="s">
        <v>889</v>
      </c>
      <c r="B706" s="8" t="s">
        <v>0</v>
      </c>
      <c r="C706" s="8" t="s">
        <v>422</v>
      </c>
      <c r="D706" s="8" t="s">
        <v>4</v>
      </c>
      <c r="E706" s="8" t="s">
        <v>18</v>
      </c>
      <c r="F706" s="6">
        <v>20.350000000000001</v>
      </c>
      <c r="G706" s="8" t="s">
        <v>893</v>
      </c>
      <c r="H706" s="8" t="s">
        <v>422</v>
      </c>
      <c r="I706" s="8" t="s">
        <v>2633</v>
      </c>
      <c r="K706">
        <f>IF($A706="","",IF(ISNUMBER($A706),MONTH($A706),MONTH(DATEVALUE($A706))))</f>
        <v>8</v>
      </c>
    </row>
    <row r="707" spans="1:11" ht="60" customHeight="1" x14ac:dyDescent="0.25">
      <c r="A707" s="7" t="s">
        <v>889</v>
      </c>
      <c r="B707" s="7" t="s">
        <v>0</v>
      </c>
      <c r="C707" s="7" t="s">
        <v>894</v>
      </c>
      <c r="D707" s="7" t="s">
        <v>4</v>
      </c>
      <c r="E707" s="7" t="s">
        <v>18</v>
      </c>
      <c r="F707" s="5">
        <v>120</v>
      </c>
      <c r="G707" s="7" t="s">
        <v>895</v>
      </c>
      <c r="H707" s="7" t="s">
        <v>894</v>
      </c>
      <c r="I707" s="7" t="s">
        <v>2635</v>
      </c>
      <c r="K707">
        <f>IF($A707="","",IF(ISNUMBER($A707),MONTH($A707),MONTH(DATEVALUE($A707))))</f>
        <v>8</v>
      </c>
    </row>
    <row r="708" spans="1:11" ht="60" customHeight="1" x14ac:dyDescent="0.25">
      <c r="A708" s="8" t="s">
        <v>896</v>
      </c>
      <c r="B708" s="8" t="s">
        <v>0</v>
      </c>
      <c r="C708" s="8" t="s">
        <v>124</v>
      </c>
      <c r="D708" s="8" t="s">
        <v>4</v>
      </c>
      <c r="E708" s="8" t="s">
        <v>18</v>
      </c>
      <c r="F708" s="6">
        <v>69.989999999999995</v>
      </c>
      <c r="G708" s="8" t="s">
        <v>897</v>
      </c>
      <c r="H708" s="8" t="s">
        <v>124</v>
      </c>
      <c r="I708" s="7" t="s">
        <v>2653</v>
      </c>
      <c r="K708">
        <f>IF($A708="","",IF(ISNUMBER($A708),MONTH($A708),MONTH(DATEVALUE($A708))))</f>
        <v>8</v>
      </c>
    </row>
    <row r="709" spans="1:11" ht="60" customHeight="1" x14ac:dyDescent="0.25">
      <c r="A709" s="7" t="s">
        <v>898</v>
      </c>
      <c r="B709" s="7" t="s">
        <v>0</v>
      </c>
      <c r="C709" s="7" t="s">
        <v>899</v>
      </c>
      <c r="D709" s="7" t="s">
        <v>4</v>
      </c>
      <c r="E709" s="7" t="s">
        <v>18</v>
      </c>
      <c r="F709" s="5">
        <v>3885</v>
      </c>
      <c r="G709" s="7" t="s">
        <v>900</v>
      </c>
      <c r="H709" s="7" t="s">
        <v>899</v>
      </c>
      <c r="I709" s="7" t="s">
        <v>2649</v>
      </c>
      <c r="K709">
        <f>IF($A709="","",IF(ISNUMBER($A709),MONTH($A709),MONTH(DATEVALUE($A709))))</f>
        <v>8</v>
      </c>
    </row>
    <row r="710" spans="1:11" ht="60" customHeight="1" x14ac:dyDescent="0.25">
      <c r="A710" s="8" t="s">
        <v>901</v>
      </c>
      <c r="B710" s="8" t="s">
        <v>227</v>
      </c>
      <c r="C710" s="8" t="s">
        <v>384</v>
      </c>
      <c r="D710" s="8" t="s">
        <v>4</v>
      </c>
      <c r="E710" s="8" t="s">
        <v>18</v>
      </c>
      <c r="F710" s="6">
        <v>49.63</v>
      </c>
      <c r="G710" s="8" t="s">
        <v>902</v>
      </c>
      <c r="H710" s="8" t="s">
        <v>384</v>
      </c>
      <c r="I710" s="8" t="s">
        <v>2633</v>
      </c>
      <c r="K710">
        <f>IF($A710="","",IF(ISNUMBER($A710),MONTH($A710),MONTH(DATEVALUE($A710))))</f>
        <v>8</v>
      </c>
    </row>
    <row r="711" spans="1:11" ht="60" customHeight="1" x14ac:dyDescent="0.25">
      <c r="A711" s="7" t="s">
        <v>901</v>
      </c>
      <c r="B711" s="7" t="s">
        <v>227</v>
      </c>
      <c r="C711" s="7" t="s">
        <v>384</v>
      </c>
      <c r="D711" s="7" t="s">
        <v>4</v>
      </c>
      <c r="E711" s="7" t="s">
        <v>18</v>
      </c>
      <c r="F711" s="5">
        <v>147.22999999999999</v>
      </c>
      <c r="G711" s="7" t="s">
        <v>903</v>
      </c>
      <c r="H711" s="7" t="s">
        <v>384</v>
      </c>
      <c r="I711" s="7" t="s">
        <v>2633</v>
      </c>
      <c r="K711">
        <f>IF($A711="","",IF(ISNUMBER($A711),MONTH($A711),MONTH(DATEVALUE($A711))))</f>
        <v>8</v>
      </c>
    </row>
    <row r="712" spans="1:11" ht="60" customHeight="1" x14ac:dyDescent="0.25">
      <c r="A712" s="8" t="s">
        <v>901</v>
      </c>
      <c r="B712" s="8" t="s">
        <v>0</v>
      </c>
      <c r="C712" s="8" t="s">
        <v>904</v>
      </c>
      <c r="D712" s="8" t="s">
        <v>4</v>
      </c>
      <c r="E712" s="8" t="s">
        <v>18</v>
      </c>
      <c r="F712" s="6">
        <v>280</v>
      </c>
      <c r="G712" s="8" t="s">
        <v>905</v>
      </c>
      <c r="H712" s="8" t="s">
        <v>904</v>
      </c>
      <c r="I712" s="8" t="s">
        <v>2632</v>
      </c>
      <c r="K712">
        <f>IF($A712="","",IF(ISNUMBER($A712),MONTH($A712),MONTH(DATEVALUE($A712))))</f>
        <v>8</v>
      </c>
    </row>
    <row r="713" spans="1:11" ht="60" customHeight="1" x14ac:dyDescent="0.25">
      <c r="A713" s="7" t="s">
        <v>901</v>
      </c>
      <c r="B713" s="7" t="s">
        <v>0</v>
      </c>
      <c r="C713" s="7" t="s">
        <v>481</v>
      </c>
      <c r="D713" s="7" t="s">
        <v>4</v>
      </c>
      <c r="E713" s="7" t="s">
        <v>18</v>
      </c>
      <c r="F713" s="5">
        <v>151.53</v>
      </c>
      <c r="G713" s="7" t="s">
        <v>906</v>
      </c>
      <c r="H713" s="7" t="s">
        <v>481</v>
      </c>
      <c r="I713" s="7" t="s">
        <v>2645</v>
      </c>
      <c r="K713">
        <f>IF($A713="","",IF(ISNUMBER($A713),MONTH($A713),MONTH(DATEVALUE($A713))))</f>
        <v>8</v>
      </c>
    </row>
    <row r="714" spans="1:11" ht="60" customHeight="1" x14ac:dyDescent="0.25">
      <c r="A714" s="8" t="s">
        <v>901</v>
      </c>
      <c r="B714" s="8" t="s">
        <v>0</v>
      </c>
      <c r="C714" s="8" t="s">
        <v>462</v>
      </c>
      <c r="D714" s="8" t="s">
        <v>4</v>
      </c>
      <c r="E714" s="8" t="s">
        <v>18</v>
      </c>
      <c r="F714" s="6">
        <v>6.19</v>
      </c>
      <c r="G714" s="8" t="s">
        <v>907</v>
      </c>
      <c r="H714" s="8" t="s">
        <v>462</v>
      </c>
      <c r="I714" s="8" t="s">
        <v>2632</v>
      </c>
      <c r="K714">
        <f>IF($A714="","",IF(ISNUMBER($A714),MONTH($A714),MONTH(DATEVALUE($A714))))</f>
        <v>8</v>
      </c>
    </row>
    <row r="715" spans="1:11" ht="60" customHeight="1" x14ac:dyDescent="0.25">
      <c r="A715" s="7" t="s">
        <v>901</v>
      </c>
      <c r="B715" s="7" t="s">
        <v>0</v>
      </c>
      <c r="C715" s="7" t="s">
        <v>371</v>
      </c>
      <c r="D715" s="7" t="s">
        <v>4</v>
      </c>
      <c r="E715" s="7" t="s">
        <v>18</v>
      </c>
      <c r="F715" s="5">
        <v>280</v>
      </c>
      <c r="G715" s="7" t="s">
        <v>908</v>
      </c>
      <c r="H715" s="7" t="s">
        <v>371</v>
      </c>
      <c r="I715" s="7" t="s">
        <v>2632</v>
      </c>
      <c r="K715">
        <f>IF($A715="","",IF(ISNUMBER($A715),MONTH($A715),MONTH(DATEVALUE($A715))))</f>
        <v>8</v>
      </c>
    </row>
    <row r="716" spans="1:11" ht="60" customHeight="1" x14ac:dyDescent="0.25">
      <c r="A716" s="8" t="s">
        <v>901</v>
      </c>
      <c r="B716" s="8" t="s">
        <v>0</v>
      </c>
      <c r="C716" s="8" t="s">
        <v>909</v>
      </c>
      <c r="D716" s="8" t="s">
        <v>4</v>
      </c>
      <c r="E716" s="8" t="s">
        <v>18</v>
      </c>
      <c r="F716" s="6">
        <v>16.989999999999998</v>
      </c>
      <c r="G716" s="8" t="s">
        <v>910</v>
      </c>
      <c r="H716" s="8" t="s">
        <v>909</v>
      </c>
      <c r="I716" s="7" t="s">
        <v>2645</v>
      </c>
      <c r="K716">
        <f>IF($A716="","",IF(ISNUMBER($A716),MONTH($A716),MONTH(DATEVALUE($A716))))</f>
        <v>8</v>
      </c>
    </row>
    <row r="717" spans="1:11" ht="60" customHeight="1" x14ac:dyDescent="0.25">
      <c r="A717" s="7" t="s">
        <v>911</v>
      </c>
      <c r="B717" s="7" t="s">
        <v>0</v>
      </c>
      <c r="C717" s="7" t="s">
        <v>492</v>
      </c>
      <c r="D717" s="7" t="s">
        <v>4</v>
      </c>
      <c r="E717" s="7" t="s">
        <v>18</v>
      </c>
      <c r="F717" s="5">
        <v>2000</v>
      </c>
      <c r="G717" s="7" t="s">
        <v>912</v>
      </c>
      <c r="H717" s="7" t="s">
        <v>492</v>
      </c>
      <c r="I717" s="7" t="s">
        <v>2638</v>
      </c>
      <c r="K717">
        <f>IF($A717="","",IF(ISNUMBER($A717),MONTH($A717),MONTH(DATEVALUE($A717))))</f>
        <v>8</v>
      </c>
    </row>
    <row r="718" spans="1:11" ht="60" customHeight="1" x14ac:dyDescent="0.25">
      <c r="A718" s="8" t="s">
        <v>911</v>
      </c>
      <c r="B718" s="8" t="s">
        <v>0</v>
      </c>
      <c r="C718" s="8" t="s">
        <v>61</v>
      </c>
      <c r="D718" s="8" t="s">
        <v>4</v>
      </c>
      <c r="E718" s="8" t="s">
        <v>18</v>
      </c>
      <c r="F718" s="6">
        <v>50</v>
      </c>
      <c r="G718" s="8" t="s">
        <v>913</v>
      </c>
      <c r="H718" s="8" t="s">
        <v>61</v>
      </c>
      <c r="I718" s="8" t="s">
        <v>2630</v>
      </c>
      <c r="K718">
        <f>IF($A718="","",IF(ISNUMBER($A718),MONTH($A718),MONTH(DATEVALUE($A718))))</f>
        <v>8</v>
      </c>
    </row>
    <row r="719" spans="1:11" ht="60" customHeight="1" x14ac:dyDescent="0.25">
      <c r="A719" s="7" t="s">
        <v>914</v>
      </c>
      <c r="B719" s="7" t="s">
        <v>0</v>
      </c>
      <c r="C719" s="7" t="s">
        <v>915</v>
      </c>
      <c r="D719" s="7" t="s">
        <v>4</v>
      </c>
      <c r="E719" s="7" t="s">
        <v>18</v>
      </c>
      <c r="F719" s="5">
        <v>21.98</v>
      </c>
      <c r="G719" s="7" t="s">
        <v>916</v>
      </c>
      <c r="H719" s="7" t="s">
        <v>915</v>
      </c>
      <c r="I719" s="7" t="s">
        <v>2627</v>
      </c>
      <c r="K719">
        <f>IF($A719="","",IF(ISNUMBER($A719),MONTH($A719),MONTH(DATEVALUE($A719))))</f>
        <v>8</v>
      </c>
    </row>
    <row r="720" spans="1:11" ht="60" customHeight="1" x14ac:dyDescent="0.25">
      <c r="A720" s="8" t="s">
        <v>914</v>
      </c>
      <c r="B720" s="8" t="s">
        <v>0</v>
      </c>
      <c r="C720" s="8" t="s">
        <v>917</v>
      </c>
      <c r="D720" s="8" t="s">
        <v>4</v>
      </c>
      <c r="E720" s="8" t="s">
        <v>18</v>
      </c>
      <c r="F720" s="6">
        <v>11.5</v>
      </c>
      <c r="G720" s="8" t="s">
        <v>918</v>
      </c>
      <c r="H720" s="8" t="s">
        <v>917</v>
      </c>
      <c r="I720" s="8" t="s">
        <v>2635</v>
      </c>
      <c r="K720">
        <f>IF($A720="","",IF(ISNUMBER($A720),MONTH($A720),MONTH(DATEVALUE($A720))))</f>
        <v>8</v>
      </c>
    </row>
    <row r="721" spans="1:11" ht="60" customHeight="1" x14ac:dyDescent="0.25">
      <c r="A721" s="7" t="s">
        <v>914</v>
      </c>
      <c r="B721" s="7" t="s">
        <v>0</v>
      </c>
      <c r="C721" s="7" t="s">
        <v>919</v>
      </c>
      <c r="D721" s="7" t="s">
        <v>4</v>
      </c>
      <c r="E721" s="7" t="s">
        <v>18</v>
      </c>
      <c r="F721" s="5">
        <v>60.46</v>
      </c>
      <c r="G721" s="7" t="s">
        <v>920</v>
      </c>
      <c r="H721" s="7" t="s">
        <v>919</v>
      </c>
      <c r="I721" s="7" t="s">
        <v>2633</v>
      </c>
      <c r="K721">
        <f>IF($A721="","",IF(ISNUMBER($A721),MONTH($A721),MONTH(DATEVALUE($A721))))</f>
        <v>8</v>
      </c>
    </row>
    <row r="722" spans="1:11" ht="60" customHeight="1" x14ac:dyDescent="0.25">
      <c r="A722" s="8" t="s">
        <v>921</v>
      </c>
      <c r="B722" s="8" t="s">
        <v>0</v>
      </c>
      <c r="C722" s="8" t="s">
        <v>922</v>
      </c>
      <c r="D722" s="8" t="s">
        <v>4</v>
      </c>
      <c r="E722" s="8" t="s">
        <v>18</v>
      </c>
      <c r="F722" s="6">
        <v>380.02</v>
      </c>
      <c r="G722" s="8" t="s">
        <v>923</v>
      </c>
      <c r="H722" s="8" t="s">
        <v>922</v>
      </c>
      <c r="I722" s="8" t="s">
        <v>2653</v>
      </c>
      <c r="K722">
        <f>IF($A722="","",IF(ISNUMBER($A722),MONTH($A722),MONTH(DATEVALUE($A722))))</f>
        <v>8</v>
      </c>
    </row>
    <row r="723" spans="1:11" ht="60" customHeight="1" x14ac:dyDescent="0.25">
      <c r="A723" s="7" t="s">
        <v>921</v>
      </c>
      <c r="B723" s="7" t="s">
        <v>0</v>
      </c>
      <c r="C723" s="7" t="s">
        <v>126</v>
      </c>
      <c r="D723" s="7" t="s">
        <v>4</v>
      </c>
      <c r="E723" s="7" t="s">
        <v>18</v>
      </c>
      <c r="F723" s="5">
        <v>85</v>
      </c>
      <c r="G723" s="7" t="s">
        <v>924</v>
      </c>
      <c r="H723" s="7" t="s">
        <v>126</v>
      </c>
      <c r="I723" s="7" t="s">
        <v>2653</v>
      </c>
      <c r="K723">
        <f>IF($A723="","",IF(ISNUMBER($A723),MONTH($A723),MONTH(DATEVALUE($A723))))</f>
        <v>8</v>
      </c>
    </row>
    <row r="724" spans="1:11" ht="60" customHeight="1" x14ac:dyDescent="0.25">
      <c r="A724" s="8" t="s">
        <v>921</v>
      </c>
      <c r="B724" s="8" t="s">
        <v>0</v>
      </c>
      <c r="C724" s="8" t="s">
        <v>498</v>
      </c>
      <c r="D724" s="8" t="s">
        <v>4</v>
      </c>
      <c r="E724" s="8" t="s">
        <v>18</v>
      </c>
      <c r="F724" s="6">
        <v>3</v>
      </c>
      <c r="G724" s="8" t="s">
        <v>925</v>
      </c>
      <c r="H724" s="8" t="s">
        <v>498</v>
      </c>
      <c r="I724" s="8" t="s">
        <v>2653</v>
      </c>
      <c r="K724">
        <f>IF($A724="","",IF(ISNUMBER($A724),MONTH($A724),MONTH(DATEVALUE($A724))))</f>
        <v>8</v>
      </c>
    </row>
    <row r="725" spans="1:11" ht="60" customHeight="1" x14ac:dyDescent="0.25">
      <c r="A725" s="7" t="s">
        <v>921</v>
      </c>
      <c r="B725" s="7" t="s">
        <v>0</v>
      </c>
      <c r="C725" s="7" t="s">
        <v>926</v>
      </c>
      <c r="D725" s="7" t="s">
        <v>4</v>
      </c>
      <c r="E725" s="7" t="s">
        <v>18</v>
      </c>
      <c r="F725" s="5">
        <v>21.98</v>
      </c>
      <c r="G725" s="7" t="s">
        <v>927</v>
      </c>
      <c r="H725" s="7" t="s">
        <v>926</v>
      </c>
      <c r="I725" s="7" t="s">
        <v>2627</v>
      </c>
      <c r="K725">
        <f>IF($A725="","",IF(ISNUMBER($A725),MONTH($A725),MONTH(DATEVALUE($A725))))</f>
        <v>8</v>
      </c>
    </row>
    <row r="726" spans="1:11" ht="60" customHeight="1" x14ac:dyDescent="0.25">
      <c r="A726" s="8" t="s">
        <v>921</v>
      </c>
      <c r="B726" s="8" t="s">
        <v>0</v>
      </c>
      <c r="C726" s="8" t="s">
        <v>928</v>
      </c>
      <c r="D726" s="8" t="s">
        <v>4</v>
      </c>
      <c r="E726" s="8" t="s">
        <v>18</v>
      </c>
      <c r="F726" s="6">
        <v>30.12</v>
      </c>
      <c r="G726" s="8" t="s">
        <v>929</v>
      </c>
      <c r="H726" s="8" t="s">
        <v>928</v>
      </c>
      <c r="I726" s="8" t="s">
        <v>2653</v>
      </c>
      <c r="K726">
        <f>IF($A726="","",IF(ISNUMBER($A726),MONTH($A726),MONTH(DATEVALUE($A726))))</f>
        <v>8</v>
      </c>
    </row>
    <row r="727" spans="1:11" ht="60" customHeight="1" x14ac:dyDescent="0.25">
      <c r="A727" s="7" t="s">
        <v>921</v>
      </c>
      <c r="B727" s="7" t="s">
        <v>0</v>
      </c>
      <c r="C727" s="7" t="s">
        <v>930</v>
      </c>
      <c r="D727" s="7" t="s">
        <v>4</v>
      </c>
      <c r="E727" s="7" t="s">
        <v>18</v>
      </c>
      <c r="F727" s="5">
        <v>26.41</v>
      </c>
      <c r="G727" s="7" t="s">
        <v>931</v>
      </c>
      <c r="H727" s="7" t="s">
        <v>930</v>
      </c>
      <c r="I727" s="7" t="s">
        <v>2653</v>
      </c>
      <c r="K727">
        <f>IF($A727="","",IF(ISNUMBER($A727),MONTH($A727),MONTH(DATEVALUE($A727))))</f>
        <v>8</v>
      </c>
    </row>
    <row r="728" spans="1:11" ht="60" customHeight="1" x14ac:dyDescent="0.25">
      <c r="A728" s="8" t="s">
        <v>921</v>
      </c>
      <c r="B728" s="8" t="s">
        <v>0</v>
      </c>
      <c r="C728" s="8" t="s">
        <v>932</v>
      </c>
      <c r="D728" s="8" t="s">
        <v>4</v>
      </c>
      <c r="E728" s="8" t="s">
        <v>18</v>
      </c>
      <c r="F728" s="6">
        <v>118.66</v>
      </c>
      <c r="G728" s="8" t="s">
        <v>933</v>
      </c>
      <c r="H728" s="8" t="s">
        <v>932</v>
      </c>
      <c r="I728" s="8" t="s">
        <v>2653</v>
      </c>
      <c r="K728">
        <f>IF($A728="","",IF(ISNUMBER($A728),MONTH($A728),MONTH(DATEVALUE($A728))))</f>
        <v>8</v>
      </c>
    </row>
    <row r="729" spans="1:11" ht="60" customHeight="1" x14ac:dyDescent="0.25">
      <c r="A729" s="7" t="s">
        <v>921</v>
      </c>
      <c r="B729" s="7" t="s">
        <v>0</v>
      </c>
      <c r="C729" s="7" t="s">
        <v>932</v>
      </c>
      <c r="D729" s="7" t="s">
        <v>4</v>
      </c>
      <c r="E729" s="7" t="s">
        <v>18</v>
      </c>
      <c r="F729" s="5">
        <v>118.66</v>
      </c>
      <c r="G729" s="7" t="s">
        <v>934</v>
      </c>
      <c r="H729" s="7" t="s">
        <v>932</v>
      </c>
      <c r="I729" s="7" t="s">
        <v>2653</v>
      </c>
      <c r="K729">
        <f>IF($A729="","",IF(ISNUMBER($A729),MONTH($A729),MONTH(DATEVALUE($A729))))</f>
        <v>8</v>
      </c>
    </row>
    <row r="730" spans="1:11" ht="60" customHeight="1" x14ac:dyDescent="0.25">
      <c r="A730" s="8" t="s">
        <v>921</v>
      </c>
      <c r="B730" s="8" t="s">
        <v>0</v>
      </c>
      <c r="C730" s="8" t="s">
        <v>932</v>
      </c>
      <c r="D730" s="8" t="s">
        <v>4</v>
      </c>
      <c r="E730" s="8" t="s">
        <v>18</v>
      </c>
      <c r="F730" s="6">
        <v>331.68</v>
      </c>
      <c r="G730" s="8" t="s">
        <v>935</v>
      </c>
      <c r="H730" s="8" t="s">
        <v>932</v>
      </c>
      <c r="I730" s="8" t="s">
        <v>2653</v>
      </c>
      <c r="K730">
        <f>IF($A730="","",IF(ISNUMBER($A730),MONTH($A730),MONTH(DATEVALUE($A730))))</f>
        <v>8</v>
      </c>
    </row>
    <row r="731" spans="1:11" ht="60" customHeight="1" x14ac:dyDescent="0.25">
      <c r="A731" s="7" t="s">
        <v>921</v>
      </c>
      <c r="B731" s="7" t="s">
        <v>0</v>
      </c>
      <c r="C731" s="7" t="s">
        <v>458</v>
      </c>
      <c r="D731" s="7" t="s">
        <v>4</v>
      </c>
      <c r="E731" s="7" t="s">
        <v>18</v>
      </c>
      <c r="F731" s="5">
        <v>19.11</v>
      </c>
      <c r="G731" s="7" t="s">
        <v>936</v>
      </c>
      <c r="H731" s="7" t="s">
        <v>458</v>
      </c>
      <c r="I731" s="7" t="s">
        <v>2633</v>
      </c>
      <c r="K731">
        <f>IF($A731="","",IF(ISNUMBER($A731),MONTH($A731),MONTH(DATEVALUE($A731))))</f>
        <v>8</v>
      </c>
    </row>
    <row r="732" spans="1:11" ht="60" customHeight="1" x14ac:dyDescent="0.25">
      <c r="A732" s="8" t="s">
        <v>921</v>
      </c>
      <c r="B732" s="8" t="s">
        <v>0</v>
      </c>
      <c r="C732" s="8" t="s">
        <v>937</v>
      </c>
      <c r="D732" s="8" t="s">
        <v>4</v>
      </c>
      <c r="E732" s="8" t="s">
        <v>18</v>
      </c>
      <c r="F732" s="6">
        <v>14.12</v>
      </c>
      <c r="G732" s="8" t="s">
        <v>938</v>
      </c>
      <c r="H732" s="8" t="s">
        <v>937</v>
      </c>
      <c r="I732" s="8" t="s">
        <v>2653</v>
      </c>
      <c r="K732">
        <f>IF($A732="","",IF(ISNUMBER($A732),MONTH($A732),MONTH(DATEVALUE($A732))))</f>
        <v>8</v>
      </c>
    </row>
    <row r="733" spans="1:11" ht="60" customHeight="1" x14ac:dyDescent="0.25">
      <c r="A733" s="7" t="s">
        <v>921</v>
      </c>
      <c r="B733" s="7" t="s">
        <v>0</v>
      </c>
      <c r="C733" s="7" t="s">
        <v>939</v>
      </c>
      <c r="D733" s="7" t="s">
        <v>4</v>
      </c>
      <c r="E733" s="7" t="s">
        <v>18</v>
      </c>
      <c r="F733" s="5">
        <v>221.49</v>
      </c>
      <c r="G733" s="7" t="s">
        <v>940</v>
      </c>
      <c r="H733" s="7" t="s">
        <v>939</v>
      </c>
      <c r="I733" s="8" t="s">
        <v>2653</v>
      </c>
      <c r="K733">
        <f>IF($A733="","",IF(ISNUMBER($A733),MONTH($A733),MONTH(DATEVALUE($A733))))</f>
        <v>8</v>
      </c>
    </row>
    <row r="734" spans="1:11" ht="60" customHeight="1" x14ac:dyDescent="0.25">
      <c r="A734" s="8" t="s">
        <v>921</v>
      </c>
      <c r="B734" s="8" t="s">
        <v>0</v>
      </c>
      <c r="C734" s="8" t="s">
        <v>941</v>
      </c>
      <c r="D734" s="8" t="s">
        <v>4</v>
      </c>
      <c r="E734" s="8" t="s">
        <v>18</v>
      </c>
      <c r="F734" s="6">
        <v>131.27000000000001</v>
      </c>
      <c r="G734" s="8" t="s">
        <v>942</v>
      </c>
      <c r="H734" s="8" t="s">
        <v>941</v>
      </c>
      <c r="I734" s="8" t="s">
        <v>2653</v>
      </c>
      <c r="K734">
        <f>IF($A734="","",IF(ISNUMBER($A734),MONTH($A734),MONTH(DATEVALUE($A734))))</f>
        <v>8</v>
      </c>
    </row>
    <row r="735" spans="1:11" ht="60" customHeight="1" x14ac:dyDescent="0.25">
      <c r="A735" s="7" t="s">
        <v>921</v>
      </c>
      <c r="B735" s="7" t="s">
        <v>0</v>
      </c>
      <c r="C735" s="7" t="s">
        <v>941</v>
      </c>
      <c r="D735" s="7" t="s">
        <v>4</v>
      </c>
      <c r="E735" s="7" t="s">
        <v>18</v>
      </c>
      <c r="F735" s="5">
        <v>200</v>
      </c>
      <c r="G735" s="7" t="s">
        <v>943</v>
      </c>
      <c r="H735" s="7" t="s">
        <v>941</v>
      </c>
      <c r="I735" s="8" t="s">
        <v>2653</v>
      </c>
      <c r="K735">
        <f>IF($A735="","",IF(ISNUMBER($A735),MONTH($A735),MONTH(DATEVALUE($A735))))</f>
        <v>8</v>
      </c>
    </row>
    <row r="736" spans="1:11" ht="60" customHeight="1" x14ac:dyDescent="0.25">
      <c r="A736" s="8" t="s">
        <v>921</v>
      </c>
      <c r="B736" s="8" t="s">
        <v>0</v>
      </c>
      <c r="C736" s="8" t="s">
        <v>944</v>
      </c>
      <c r="D736" s="8" t="s">
        <v>4</v>
      </c>
      <c r="E736" s="8" t="s">
        <v>18</v>
      </c>
      <c r="F736" s="6">
        <v>273.92</v>
      </c>
      <c r="G736" s="8" t="s">
        <v>945</v>
      </c>
      <c r="H736" s="8" t="s">
        <v>944</v>
      </c>
      <c r="I736" s="8" t="s">
        <v>2653</v>
      </c>
      <c r="K736">
        <f>IF($A736="","",IF(ISNUMBER($A736),MONTH($A736),MONTH(DATEVALUE($A736))))</f>
        <v>8</v>
      </c>
    </row>
    <row r="737" spans="1:11" ht="60" customHeight="1" x14ac:dyDescent="0.25">
      <c r="A737" s="7" t="s">
        <v>921</v>
      </c>
      <c r="B737" s="7" t="s">
        <v>0</v>
      </c>
      <c r="C737" s="7" t="s">
        <v>462</v>
      </c>
      <c r="D737" s="7" t="s">
        <v>4</v>
      </c>
      <c r="E737" s="7" t="s">
        <v>18</v>
      </c>
      <c r="F737" s="5">
        <v>17.989999999999998</v>
      </c>
      <c r="G737" s="7" t="s">
        <v>946</v>
      </c>
      <c r="H737" s="7" t="s">
        <v>462</v>
      </c>
      <c r="I737" s="7" t="s">
        <v>2632</v>
      </c>
      <c r="K737">
        <f>IF($A737="","",IF(ISNUMBER($A737),MONTH($A737),MONTH(DATEVALUE($A737))))</f>
        <v>8</v>
      </c>
    </row>
    <row r="738" spans="1:11" ht="60" customHeight="1" x14ac:dyDescent="0.25">
      <c r="A738" s="8" t="s">
        <v>947</v>
      </c>
      <c r="B738" s="8" t="s">
        <v>0</v>
      </c>
      <c r="C738" s="8" t="s">
        <v>124</v>
      </c>
      <c r="D738" s="8" t="s">
        <v>4</v>
      </c>
      <c r="E738" s="8" t="s">
        <v>18</v>
      </c>
      <c r="F738" s="6">
        <v>35</v>
      </c>
      <c r="G738" s="8" t="s">
        <v>948</v>
      </c>
      <c r="H738" s="8" t="s">
        <v>124</v>
      </c>
      <c r="I738" s="8" t="s">
        <v>2653</v>
      </c>
      <c r="K738">
        <f>IF($A738="","",IF(ISNUMBER($A738),MONTH($A738),MONTH(DATEVALUE($A738))))</f>
        <v>8</v>
      </c>
    </row>
    <row r="739" spans="1:11" ht="60" customHeight="1" x14ac:dyDescent="0.25">
      <c r="A739" s="7" t="s">
        <v>947</v>
      </c>
      <c r="B739" s="7" t="s">
        <v>0</v>
      </c>
      <c r="C739" s="7" t="s">
        <v>124</v>
      </c>
      <c r="D739" s="7" t="s">
        <v>4</v>
      </c>
      <c r="E739" s="7" t="s">
        <v>18</v>
      </c>
      <c r="F739" s="5">
        <v>35.65</v>
      </c>
      <c r="G739" s="7" t="s">
        <v>949</v>
      </c>
      <c r="H739" s="7" t="s">
        <v>124</v>
      </c>
      <c r="I739" s="8" t="s">
        <v>2653</v>
      </c>
      <c r="K739">
        <f>IF($A739="","",IF(ISNUMBER($A739),MONTH($A739),MONTH(DATEVALUE($A739))))</f>
        <v>8</v>
      </c>
    </row>
    <row r="740" spans="1:11" ht="60" customHeight="1" x14ac:dyDescent="0.25">
      <c r="A740" s="8" t="s">
        <v>947</v>
      </c>
      <c r="B740" s="8" t="s">
        <v>0</v>
      </c>
      <c r="C740" s="8" t="s">
        <v>124</v>
      </c>
      <c r="D740" s="8" t="s">
        <v>4</v>
      </c>
      <c r="E740" s="8" t="s">
        <v>18</v>
      </c>
      <c r="F740" s="6">
        <v>35.65</v>
      </c>
      <c r="G740" s="8" t="s">
        <v>950</v>
      </c>
      <c r="H740" s="8" t="s">
        <v>124</v>
      </c>
      <c r="I740" s="8" t="s">
        <v>2653</v>
      </c>
      <c r="K740">
        <f>IF($A740="","",IF(ISNUMBER($A740),MONTH($A740),MONTH(DATEVALUE($A740))))</f>
        <v>8</v>
      </c>
    </row>
    <row r="741" spans="1:11" ht="60" customHeight="1" x14ac:dyDescent="0.25">
      <c r="A741" s="7" t="s">
        <v>947</v>
      </c>
      <c r="B741" s="7" t="s">
        <v>0</v>
      </c>
      <c r="C741" s="7" t="s">
        <v>124</v>
      </c>
      <c r="D741" s="7" t="s">
        <v>4</v>
      </c>
      <c r="E741" s="7" t="s">
        <v>18</v>
      </c>
      <c r="F741" s="5">
        <v>67</v>
      </c>
      <c r="G741" s="7" t="s">
        <v>951</v>
      </c>
      <c r="H741" s="7" t="s">
        <v>124</v>
      </c>
      <c r="I741" s="8" t="s">
        <v>2653</v>
      </c>
      <c r="K741">
        <f>IF($A741="","",IF(ISNUMBER($A741),MONTH($A741),MONTH(DATEVALUE($A741))))</f>
        <v>8</v>
      </c>
    </row>
    <row r="742" spans="1:11" ht="60" customHeight="1" x14ac:dyDescent="0.25">
      <c r="A742" s="8" t="s">
        <v>947</v>
      </c>
      <c r="B742" s="8" t="s">
        <v>0</v>
      </c>
      <c r="C742" s="8" t="s">
        <v>124</v>
      </c>
      <c r="D742" s="8" t="s">
        <v>4</v>
      </c>
      <c r="E742" s="8" t="s">
        <v>18</v>
      </c>
      <c r="F742" s="6">
        <v>67</v>
      </c>
      <c r="G742" s="8" t="s">
        <v>952</v>
      </c>
      <c r="H742" s="8" t="s">
        <v>124</v>
      </c>
      <c r="I742" s="8" t="s">
        <v>2653</v>
      </c>
      <c r="K742">
        <f>IF($A742="","",IF(ISNUMBER($A742),MONTH($A742),MONTH(DATEVALUE($A742))))</f>
        <v>8</v>
      </c>
    </row>
    <row r="743" spans="1:11" ht="60" customHeight="1" x14ac:dyDescent="0.25">
      <c r="A743" s="7" t="s">
        <v>947</v>
      </c>
      <c r="B743" s="7" t="s">
        <v>0</v>
      </c>
      <c r="C743" s="7" t="s">
        <v>953</v>
      </c>
      <c r="D743" s="7" t="s">
        <v>4</v>
      </c>
      <c r="E743" s="7" t="s">
        <v>18</v>
      </c>
      <c r="F743" s="5">
        <v>12.98</v>
      </c>
      <c r="G743" s="7" t="s">
        <v>954</v>
      </c>
      <c r="H743" s="7" t="s">
        <v>953</v>
      </c>
      <c r="I743" s="7" t="s">
        <v>2630</v>
      </c>
      <c r="K743">
        <f>IF($A743="","",IF(ISNUMBER($A743),MONTH($A743),MONTH(DATEVALUE($A743))))</f>
        <v>8</v>
      </c>
    </row>
    <row r="744" spans="1:11" ht="60" customHeight="1" x14ac:dyDescent="0.25">
      <c r="A744" s="8" t="s">
        <v>947</v>
      </c>
      <c r="B744" s="8" t="s">
        <v>0</v>
      </c>
      <c r="C744" s="8" t="s">
        <v>955</v>
      </c>
      <c r="D744" s="8" t="s">
        <v>4</v>
      </c>
      <c r="E744" s="8" t="s">
        <v>18</v>
      </c>
      <c r="F744" s="6">
        <v>248.6</v>
      </c>
      <c r="G744" s="8" t="s">
        <v>956</v>
      </c>
      <c r="H744" s="8" t="s">
        <v>955</v>
      </c>
      <c r="I744" s="8" t="s">
        <v>2653</v>
      </c>
      <c r="K744">
        <f>IF($A744="","",IF(ISNUMBER($A744),MONTH($A744),MONTH(DATEVALUE($A744))))</f>
        <v>8</v>
      </c>
    </row>
    <row r="745" spans="1:11" ht="60" customHeight="1" x14ac:dyDescent="0.25">
      <c r="A745" s="7" t="s">
        <v>957</v>
      </c>
      <c r="B745" s="7" t="s">
        <v>227</v>
      </c>
      <c r="C745" s="7" t="s">
        <v>958</v>
      </c>
      <c r="D745" s="7" t="s">
        <v>4</v>
      </c>
      <c r="E745" s="7" t="s">
        <v>18</v>
      </c>
      <c r="F745" s="5">
        <v>184.58</v>
      </c>
      <c r="G745" s="7" t="s">
        <v>959</v>
      </c>
      <c r="H745" s="7" t="s">
        <v>958</v>
      </c>
      <c r="I745" s="8" t="s">
        <v>2653</v>
      </c>
      <c r="K745">
        <f>IF($A745="","",IF(ISNUMBER($A745),MONTH($A745),MONTH(DATEVALUE($A745))))</f>
        <v>8</v>
      </c>
    </row>
    <row r="746" spans="1:11" ht="60" customHeight="1" x14ac:dyDescent="0.25">
      <c r="A746" s="8" t="s">
        <v>957</v>
      </c>
      <c r="B746" s="8" t="s">
        <v>0</v>
      </c>
      <c r="C746" s="8" t="s">
        <v>960</v>
      </c>
      <c r="D746" s="8" t="s">
        <v>4</v>
      </c>
      <c r="E746" s="8" t="s">
        <v>18</v>
      </c>
      <c r="F746" s="6">
        <v>57.73</v>
      </c>
      <c r="G746" s="8" t="s">
        <v>961</v>
      </c>
      <c r="H746" s="8" t="s">
        <v>960</v>
      </c>
      <c r="I746" s="8" t="s">
        <v>2627</v>
      </c>
      <c r="K746">
        <f>IF($A746="","",IF(ISNUMBER($A746),MONTH($A746),MONTH(DATEVALUE($A746))))</f>
        <v>8</v>
      </c>
    </row>
    <row r="747" spans="1:11" ht="60" customHeight="1" x14ac:dyDescent="0.25">
      <c r="A747" s="7" t="s">
        <v>957</v>
      </c>
      <c r="B747" s="7" t="s">
        <v>0</v>
      </c>
      <c r="C747" s="7" t="s">
        <v>962</v>
      </c>
      <c r="D747" s="7" t="s">
        <v>4</v>
      </c>
      <c r="E747" s="7" t="s">
        <v>18</v>
      </c>
      <c r="F747" s="5">
        <v>67.819999999999993</v>
      </c>
      <c r="G747" s="7" t="s">
        <v>963</v>
      </c>
      <c r="H747" s="7" t="s">
        <v>962</v>
      </c>
      <c r="I747" s="8" t="s">
        <v>2653</v>
      </c>
      <c r="K747">
        <f>IF($A747="","",IF(ISNUMBER($A747),MONTH($A747),MONTH(DATEVALUE($A747))))</f>
        <v>8</v>
      </c>
    </row>
    <row r="748" spans="1:11" ht="60" customHeight="1" x14ac:dyDescent="0.25">
      <c r="A748" s="8" t="s">
        <v>957</v>
      </c>
      <c r="B748" s="8" t="s">
        <v>0</v>
      </c>
      <c r="C748" s="8" t="s">
        <v>964</v>
      </c>
      <c r="D748" s="8" t="s">
        <v>4</v>
      </c>
      <c r="E748" s="8" t="s">
        <v>18</v>
      </c>
      <c r="F748" s="6">
        <v>569.36</v>
      </c>
      <c r="G748" s="8" t="s">
        <v>965</v>
      </c>
      <c r="H748" s="8" t="s">
        <v>964</v>
      </c>
      <c r="I748" s="8" t="s">
        <v>2653</v>
      </c>
      <c r="K748">
        <f>IF($A748="","",IF(ISNUMBER($A748),MONTH($A748),MONTH(DATEVALUE($A748))))</f>
        <v>8</v>
      </c>
    </row>
    <row r="749" spans="1:11" ht="60" customHeight="1" x14ac:dyDescent="0.25">
      <c r="A749" s="7" t="s">
        <v>957</v>
      </c>
      <c r="B749" s="7" t="s">
        <v>0</v>
      </c>
      <c r="C749" s="7" t="s">
        <v>966</v>
      </c>
      <c r="D749" s="7" t="s">
        <v>4</v>
      </c>
      <c r="E749" s="7" t="s">
        <v>18</v>
      </c>
      <c r="F749" s="5">
        <v>250</v>
      </c>
      <c r="G749" s="7" t="s">
        <v>967</v>
      </c>
      <c r="H749" s="7" t="s">
        <v>966</v>
      </c>
      <c r="I749" s="8" t="s">
        <v>2653</v>
      </c>
      <c r="K749">
        <f>IF($A749="","",IF(ISNUMBER($A749),MONTH($A749),MONTH(DATEVALUE($A749))))</f>
        <v>8</v>
      </c>
    </row>
    <row r="750" spans="1:11" ht="60" customHeight="1" x14ac:dyDescent="0.25">
      <c r="A750" s="8" t="s">
        <v>957</v>
      </c>
      <c r="B750" s="8" t="s">
        <v>0</v>
      </c>
      <c r="C750" s="8" t="s">
        <v>968</v>
      </c>
      <c r="D750" s="8" t="s">
        <v>4</v>
      </c>
      <c r="E750" s="8" t="s">
        <v>18</v>
      </c>
      <c r="F750" s="6">
        <v>78.87</v>
      </c>
      <c r="G750" s="8" t="s">
        <v>969</v>
      </c>
      <c r="H750" s="8" t="s">
        <v>968</v>
      </c>
      <c r="I750" s="8" t="s">
        <v>2653</v>
      </c>
      <c r="K750">
        <f>IF($A750="","",IF(ISNUMBER($A750),MONTH($A750),MONTH(DATEVALUE($A750))))</f>
        <v>8</v>
      </c>
    </row>
    <row r="751" spans="1:11" ht="60" customHeight="1" x14ac:dyDescent="0.25">
      <c r="A751" s="7" t="s">
        <v>970</v>
      </c>
      <c r="B751" s="7" t="s">
        <v>0</v>
      </c>
      <c r="C751" s="7" t="s">
        <v>971</v>
      </c>
      <c r="D751" s="7" t="s">
        <v>4</v>
      </c>
      <c r="E751" s="7" t="s">
        <v>18</v>
      </c>
      <c r="F751" s="5">
        <v>30</v>
      </c>
      <c r="G751" s="7" t="s">
        <v>972</v>
      </c>
      <c r="H751" s="7" t="s">
        <v>971</v>
      </c>
      <c r="I751" s="8" t="s">
        <v>2653</v>
      </c>
      <c r="K751">
        <f>IF($A751="","",IF(ISNUMBER($A751),MONTH($A751),MONTH(DATEVALUE($A751))))</f>
        <v>8</v>
      </c>
    </row>
    <row r="752" spans="1:11" ht="60" customHeight="1" x14ac:dyDescent="0.25">
      <c r="A752" s="8" t="s">
        <v>970</v>
      </c>
      <c r="B752" s="8" t="s">
        <v>0</v>
      </c>
      <c r="C752" s="8" t="s">
        <v>124</v>
      </c>
      <c r="D752" s="8" t="s">
        <v>4</v>
      </c>
      <c r="E752" s="8" t="s">
        <v>18</v>
      </c>
      <c r="F752" s="6">
        <v>35</v>
      </c>
      <c r="G752" s="8" t="s">
        <v>973</v>
      </c>
      <c r="H752" s="8" t="s">
        <v>124</v>
      </c>
      <c r="I752" s="8" t="s">
        <v>2653</v>
      </c>
      <c r="K752">
        <f>IF($A752="","",IF(ISNUMBER($A752),MONTH($A752),MONTH(DATEVALUE($A752))))</f>
        <v>8</v>
      </c>
    </row>
    <row r="753" spans="1:11" ht="60" customHeight="1" x14ac:dyDescent="0.25">
      <c r="A753" s="7" t="s">
        <v>970</v>
      </c>
      <c r="B753" s="7" t="s">
        <v>0</v>
      </c>
      <c r="C753" s="7" t="s">
        <v>126</v>
      </c>
      <c r="D753" s="7" t="s">
        <v>4</v>
      </c>
      <c r="E753" s="7" t="s">
        <v>18</v>
      </c>
      <c r="F753" s="5">
        <v>85</v>
      </c>
      <c r="G753" s="7" t="s">
        <v>974</v>
      </c>
      <c r="H753" s="7" t="s">
        <v>126</v>
      </c>
      <c r="I753" s="8" t="s">
        <v>2653</v>
      </c>
      <c r="K753">
        <f>IF($A753="","",IF(ISNUMBER($A753),MONTH($A753),MONTH(DATEVALUE($A753))))</f>
        <v>8</v>
      </c>
    </row>
    <row r="754" spans="1:11" ht="60" customHeight="1" x14ac:dyDescent="0.25">
      <c r="A754" s="8" t="s">
        <v>970</v>
      </c>
      <c r="B754" s="8" t="s">
        <v>0</v>
      </c>
      <c r="C754" s="8" t="s">
        <v>975</v>
      </c>
      <c r="D754" s="8" t="s">
        <v>4</v>
      </c>
      <c r="E754" s="8" t="s">
        <v>18</v>
      </c>
      <c r="F754" s="6">
        <v>26.98</v>
      </c>
      <c r="G754" s="8" t="s">
        <v>976</v>
      </c>
      <c r="H754" s="8" t="s">
        <v>975</v>
      </c>
      <c r="I754" s="8" t="s">
        <v>2627</v>
      </c>
      <c r="K754">
        <f>IF($A754="","",IF(ISNUMBER($A754),MONTH($A754),MONTH(DATEVALUE($A754))))</f>
        <v>8</v>
      </c>
    </row>
    <row r="755" spans="1:11" ht="60" customHeight="1" x14ac:dyDescent="0.25">
      <c r="A755" s="7" t="s">
        <v>970</v>
      </c>
      <c r="B755" s="7" t="s">
        <v>0</v>
      </c>
      <c r="C755" s="7" t="s">
        <v>977</v>
      </c>
      <c r="D755" s="7" t="s">
        <v>4</v>
      </c>
      <c r="E755" s="7" t="s">
        <v>18</v>
      </c>
      <c r="F755" s="5">
        <v>13.52</v>
      </c>
      <c r="G755" s="7" t="s">
        <v>978</v>
      </c>
      <c r="H755" s="7" t="s">
        <v>977</v>
      </c>
      <c r="I755" s="8" t="s">
        <v>2653</v>
      </c>
      <c r="K755">
        <f>IF($A755="","",IF(ISNUMBER($A755),MONTH($A755),MONTH(DATEVALUE($A755))))</f>
        <v>8</v>
      </c>
    </row>
    <row r="756" spans="1:11" ht="60" customHeight="1" x14ac:dyDescent="0.25">
      <c r="A756" s="8" t="s">
        <v>970</v>
      </c>
      <c r="B756" s="8" t="s">
        <v>0</v>
      </c>
      <c r="C756" s="8" t="s">
        <v>977</v>
      </c>
      <c r="D756" s="8" t="s">
        <v>4</v>
      </c>
      <c r="E756" s="8" t="s">
        <v>18</v>
      </c>
      <c r="F756" s="6">
        <v>49.75</v>
      </c>
      <c r="G756" s="8" t="s">
        <v>979</v>
      </c>
      <c r="H756" s="8" t="s">
        <v>977</v>
      </c>
      <c r="I756" s="8" t="s">
        <v>2653</v>
      </c>
      <c r="K756">
        <f>IF($A756="","",IF(ISNUMBER($A756),MONTH($A756),MONTH(DATEVALUE($A756))))</f>
        <v>8</v>
      </c>
    </row>
    <row r="757" spans="1:11" ht="60" customHeight="1" x14ac:dyDescent="0.25">
      <c r="A757" s="7" t="s">
        <v>970</v>
      </c>
      <c r="B757" s="7" t="s">
        <v>0</v>
      </c>
      <c r="C757" s="7" t="s">
        <v>169</v>
      </c>
      <c r="D757" s="7" t="s">
        <v>4</v>
      </c>
      <c r="E757" s="7" t="s">
        <v>18</v>
      </c>
      <c r="F757" s="5">
        <v>15.91</v>
      </c>
      <c r="G757" s="7" t="s">
        <v>980</v>
      </c>
      <c r="H757" s="7" t="s">
        <v>169</v>
      </c>
      <c r="I757" s="7" t="s">
        <v>2633</v>
      </c>
      <c r="K757">
        <f>IF($A757="","",IF(ISNUMBER($A757),MONTH($A757),MONTH(DATEVALUE($A757))))</f>
        <v>8</v>
      </c>
    </row>
    <row r="758" spans="1:11" ht="60" customHeight="1" x14ac:dyDescent="0.25">
      <c r="A758" s="8" t="s">
        <v>970</v>
      </c>
      <c r="B758" s="8" t="s">
        <v>0</v>
      </c>
      <c r="C758" s="8" t="s">
        <v>981</v>
      </c>
      <c r="D758" s="8" t="s">
        <v>4</v>
      </c>
      <c r="E758" s="8" t="s">
        <v>18</v>
      </c>
      <c r="F758" s="6">
        <v>187.2</v>
      </c>
      <c r="G758" s="8" t="s">
        <v>982</v>
      </c>
      <c r="H758" s="8" t="s">
        <v>981</v>
      </c>
      <c r="I758" s="8" t="s">
        <v>2653</v>
      </c>
      <c r="K758">
        <f>IF($A758="","",IF(ISNUMBER($A758),MONTH($A758),MONTH(DATEVALUE($A758))))</f>
        <v>8</v>
      </c>
    </row>
    <row r="759" spans="1:11" ht="60" customHeight="1" x14ac:dyDescent="0.25">
      <c r="A759" s="7" t="s">
        <v>970</v>
      </c>
      <c r="B759" s="7" t="s">
        <v>0</v>
      </c>
      <c r="C759" s="7" t="s">
        <v>132</v>
      </c>
      <c r="D759" s="7" t="s">
        <v>4</v>
      </c>
      <c r="E759" s="7" t="s">
        <v>18</v>
      </c>
      <c r="F759" s="5">
        <v>24</v>
      </c>
      <c r="G759" s="7" t="s">
        <v>983</v>
      </c>
      <c r="H759" s="7" t="s">
        <v>132</v>
      </c>
      <c r="I759" s="7" t="s">
        <v>2630</v>
      </c>
      <c r="K759">
        <f>IF($A759="","",IF(ISNUMBER($A759),MONTH($A759),MONTH(DATEVALUE($A759))))</f>
        <v>8</v>
      </c>
    </row>
    <row r="760" spans="1:11" ht="60" customHeight="1" x14ac:dyDescent="0.25">
      <c r="A760" s="8" t="s">
        <v>984</v>
      </c>
      <c r="B760" s="8" t="s">
        <v>0</v>
      </c>
      <c r="C760" s="8" t="s">
        <v>985</v>
      </c>
      <c r="D760" s="8" t="s">
        <v>4</v>
      </c>
      <c r="E760" s="8" t="s">
        <v>18</v>
      </c>
      <c r="F760" s="6">
        <v>13.79</v>
      </c>
      <c r="G760" s="8" t="s">
        <v>986</v>
      </c>
      <c r="H760" s="8" t="s">
        <v>985</v>
      </c>
      <c r="I760" s="8" t="s">
        <v>2627</v>
      </c>
      <c r="K760">
        <f>IF($A760="","",IF(ISNUMBER($A760),MONTH($A760),MONTH(DATEVALUE($A760))))</f>
        <v>8</v>
      </c>
    </row>
    <row r="761" spans="1:11" ht="60" customHeight="1" x14ac:dyDescent="0.25">
      <c r="A761" s="7" t="s">
        <v>987</v>
      </c>
      <c r="B761" s="7" t="s">
        <v>0</v>
      </c>
      <c r="C761" s="7" t="s">
        <v>52</v>
      </c>
      <c r="D761" s="7" t="s">
        <v>4</v>
      </c>
      <c r="E761" s="7" t="s">
        <v>18</v>
      </c>
      <c r="F761" s="5">
        <v>21.94</v>
      </c>
      <c r="G761" s="7" t="s">
        <v>988</v>
      </c>
      <c r="H761" s="7" t="s">
        <v>52</v>
      </c>
      <c r="I761" s="7" t="s">
        <v>2632</v>
      </c>
      <c r="K761">
        <f>IF($A761="","",IF(ISNUMBER($A761),MONTH($A761),MONTH(DATEVALUE($A761))))</f>
        <v>8</v>
      </c>
    </row>
    <row r="762" spans="1:11" ht="60" customHeight="1" x14ac:dyDescent="0.25">
      <c r="A762" s="8" t="s">
        <v>987</v>
      </c>
      <c r="B762" s="8" t="s">
        <v>0</v>
      </c>
      <c r="C762" s="8" t="s">
        <v>989</v>
      </c>
      <c r="D762" s="8" t="s">
        <v>4</v>
      </c>
      <c r="E762" s="8" t="s">
        <v>18</v>
      </c>
      <c r="F762" s="6">
        <v>117.42</v>
      </c>
      <c r="G762" s="8" t="s">
        <v>990</v>
      </c>
      <c r="H762" s="8" t="s">
        <v>989</v>
      </c>
      <c r="I762" s="8" t="s">
        <v>2630</v>
      </c>
      <c r="K762">
        <f>IF($A762="","",IF(ISNUMBER($A762),MONTH($A762),MONTH(DATEVALUE($A762))))</f>
        <v>8</v>
      </c>
    </row>
    <row r="763" spans="1:11" ht="60" customHeight="1" x14ac:dyDescent="0.25">
      <c r="A763" s="7" t="s">
        <v>987</v>
      </c>
      <c r="B763" s="7" t="s">
        <v>0</v>
      </c>
      <c r="C763" s="7" t="s">
        <v>991</v>
      </c>
      <c r="D763" s="7" t="s">
        <v>4</v>
      </c>
      <c r="E763" s="7" t="s">
        <v>18</v>
      </c>
      <c r="F763" s="5">
        <v>30.97</v>
      </c>
      <c r="G763" s="7" t="s">
        <v>992</v>
      </c>
      <c r="H763" s="7" t="s">
        <v>991</v>
      </c>
      <c r="I763" s="7" t="s">
        <v>2627</v>
      </c>
      <c r="K763">
        <f>IF($A763="","",IF(ISNUMBER($A763),MONTH($A763),MONTH(DATEVALUE($A763))))</f>
        <v>8</v>
      </c>
    </row>
    <row r="764" spans="1:11" ht="60" customHeight="1" x14ac:dyDescent="0.25">
      <c r="A764" s="8" t="s">
        <v>987</v>
      </c>
      <c r="B764" s="8" t="s">
        <v>0</v>
      </c>
      <c r="C764" s="8" t="s">
        <v>27</v>
      </c>
      <c r="D764" s="8" t="s">
        <v>4</v>
      </c>
      <c r="E764" s="8" t="s">
        <v>18</v>
      </c>
      <c r="F764" s="6">
        <v>20</v>
      </c>
      <c r="G764" s="8" t="s">
        <v>993</v>
      </c>
      <c r="H764" s="8" t="s">
        <v>27</v>
      </c>
      <c r="I764" s="8" t="s">
        <v>2628</v>
      </c>
      <c r="K764">
        <f>IF($A764="","",IF(ISNUMBER($A764),MONTH($A764),MONTH(DATEVALUE($A764))))</f>
        <v>8</v>
      </c>
    </row>
    <row r="765" spans="1:11" ht="60" customHeight="1" x14ac:dyDescent="0.25">
      <c r="A765" s="7" t="s">
        <v>987</v>
      </c>
      <c r="B765" s="7" t="s">
        <v>0</v>
      </c>
      <c r="C765" s="7" t="s">
        <v>171</v>
      </c>
      <c r="D765" s="7" t="s">
        <v>4</v>
      </c>
      <c r="E765" s="7" t="s">
        <v>18</v>
      </c>
      <c r="F765" s="5">
        <v>116.83</v>
      </c>
      <c r="G765" s="7" t="s">
        <v>994</v>
      </c>
      <c r="H765" s="7" t="s">
        <v>171</v>
      </c>
      <c r="I765" s="7" t="s">
        <v>2633</v>
      </c>
      <c r="K765">
        <f>IF($A765="","",IF(ISNUMBER($A765),MONTH($A765),MONTH(DATEVALUE($A765))))</f>
        <v>8</v>
      </c>
    </row>
    <row r="766" spans="1:11" ht="60" customHeight="1" x14ac:dyDescent="0.25">
      <c r="A766" s="8" t="s">
        <v>987</v>
      </c>
      <c r="B766" s="8" t="s">
        <v>0</v>
      </c>
      <c r="C766" s="8" t="s">
        <v>995</v>
      </c>
      <c r="D766" s="8" t="s">
        <v>4</v>
      </c>
      <c r="E766" s="8" t="s">
        <v>18</v>
      </c>
      <c r="F766" s="6">
        <v>165.89</v>
      </c>
      <c r="G766" s="8" t="s">
        <v>996</v>
      </c>
      <c r="H766" s="8" t="s">
        <v>995</v>
      </c>
      <c r="I766" s="8" t="s">
        <v>2633</v>
      </c>
      <c r="K766">
        <f>IF($A766="","",IF(ISNUMBER($A766),MONTH($A766),MONTH(DATEVALUE($A766))))</f>
        <v>8</v>
      </c>
    </row>
    <row r="767" spans="1:11" ht="60" customHeight="1" x14ac:dyDescent="0.25">
      <c r="A767" s="7" t="s">
        <v>997</v>
      </c>
      <c r="B767" s="7" t="s">
        <v>0</v>
      </c>
      <c r="C767" s="7" t="s">
        <v>998</v>
      </c>
      <c r="D767" s="7" t="s">
        <v>4</v>
      </c>
      <c r="E767" s="7" t="s">
        <v>18</v>
      </c>
      <c r="F767" s="5">
        <v>10.99</v>
      </c>
      <c r="G767" s="7" t="s">
        <v>999</v>
      </c>
      <c r="H767" s="7" t="s">
        <v>998</v>
      </c>
      <c r="I767" s="7" t="s">
        <v>2627</v>
      </c>
      <c r="K767">
        <f>IF($A767="","",IF(ISNUMBER($A767),MONTH($A767),MONTH(DATEVALUE($A767))))</f>
        <v>8</v>
      </c>
    </row>
    <row r="768" spans="1:11" ht="60" customHeight="1" x14ac:dyDescent="0.25">
      <c r="A768" s="8" t="s">
        <v>997</v>
      </c>
      <c r="B768" s="8" t="s">
        <v>0</v>
      </c>
      <c r="C768" s="8" t="s">
        <v>1000</v>
      </c>
      <c r="D768" s="8" t="s">
        <v>4</v>
      </c>
      <c r="E768" s="8" t="s">
        <v>18</v>
      </c>
      <c r="F768" s="6">
        <v>548.58000000000004</v>
      </c>
      <c r="G768" s="8" t="s">
        <v>1001</v>
      </c>
      <c r="H768" s="8" t="s">
        <v>1000</v>
      </c>
      <c r="I768" s="8" t="s">
        <v>2653</v>
      </c>
      <c r="K768">
        <f>IF($A768="","",IF(ISNUMBER($A768),MONTH($A768),MONTH(DATEVALUE($A768))))</f>
        <v>8</v>
      </c>
    </row>
    <row r="769" spans="1:11" ht="60" customHeight="1" x14ac:dyDescent="0.25">
      <c r="A769" s="7" t="s">
        <v>997</v>
      </c>
      <c r="B769" s="7" t="s">
        <v>0</v>
      </c>
      <c r="C769" s="7" t="s">
        <v>1002</v>
      </c>
      <c r="D769" s="7" t="s">
        <v>4</v>
      </c>
      <c r="E769" s="7" t="s">
        <v>18</v>
      </c>
      <c r="F769" s="5">
        <v>325</v>
      </c>
      <c r="G769" s="7" t="s">
        <v>1003</v>
      </c>
      <c r="H769" s="7" t="s">
        <v>1002</v>
      </c>
      <c r="I769" s="7" t="s">
        <v>2632</v>
      </c>
      <c r="K769">
        <f>IF($A769="","",IF(ISNUMBER($A769),MONTH($A769),MONTH(DATEVALUE($A769))))</f>
        <v>8</v>
      </c>
    </row>
    <row r="770" spans="1:11" ht="60" customHeight="1" x14ac:dyDescent="0.25">
      <c r="A770" s="8" t="s">
        <v>997</v>
      </c>
      <c r="B770" s="8" t="s">
        <v>0</v>
      </c>
      <c r="C770" s="8" t="s">
        <v>551</v>
      </c>
      <c r="D770" s="8" t="s">
        <v>4</v>
      </c>
      <c r="E770" s="8" t="s">
        <v>18</v>
      </c>
      <c r="F770" s="6">
        <v>-377.4</v>
      </c>
      <c r="G770" s="8" t="s">
        <v>552</v>
      </c>
      <c r="H770" s="8" t="s">
        <v>551</v>
      </c>
      <c r="I770" s="8" t="s">
        <v>551</v>
      </c>
      <c r="K770">
        <f>IF($A770="","",IF(ISNUMBER($A770),MONTH($A770),MONTH(DATEVALUE($A770))))</f>
        <v>8</v>
      </c>
    </row>
    <row r="771" spans="1:11" ht="60" customHeight="1" x14ac:dyDescent="0.25">
      <c r="A771" s="7" t="s">
        <v>997</v>
      </c>
      <c r="B771" s="7" t="s">
        <v>0</v>
      </c>
      <c r="C771" s="7" t="s">
        <v>551</v>
      </c>
      <c r="D771" s="7" t="s">
        <v>4</v>
      </c>
      <c r="E771" s="7" t="s">
        <v>18</v>
      </c>
      <c r="F771" s="5">
        <v>-93</v>
      </c>
      <c r="G771" s="7" t="s">
        <v>552</v>
      </c>
      <c r="H771" s="7" t="s">
        <v>551</v>
      </c>
      <c r="I771" s="7" t="s">
        <v>551</v>
      </c>
      <c r="K771">
        <f>IF($A771="","",IF(ISNUMBER($A771),MONTH($A771),MONTH(DATEVALUE($A771))))</f>
        <v>8</v>
      </c>
    </row>
    <row r="772" spans="1:11" ht="60" customHeight="1" x14ac:dyDescent="0.25">
      <c r="A772" s="8" t="s">
        <v>997</v>
      </c>
      <c r="B772" s="8" t="s">
        <v>0</v>
      </c>
      <c r="C772" s="8" t="s">
        <v>553</v>
      </c>
      <c r="D772" s="8" t="s">
        <v>4</v>
      </c>
      <c r="E772" s="8" t="s">
        <v>18</v>
      </c>
      <c r="F772" s="6">
        <v>377.4</v>
      </c>
      <c r="G772" s="8" t="s">
        <v>1004</v>
      </c>
      <c r="H772" s="8" t="s">
        <v>553</v>
      </c>
      <c r="I772" s="8" t="s">
        <v>2653</v>
      </c>
      <c r="K772">
        <f>IF($A772="","",IF(ISNUMBER($A772),MONTH($A772),MONTH(DATEVALUE($A772))))</f>
        <v>8</v>
      </c>
    </row>
    <row r="773" spans="1:11" ht="60" customHeight="1" x14ac:dyDescent="0.25">
      <c r="A773" s="7" t="s">
        <v>997</v>
      </c>
      <c r="B773" s="7" t="s">
        <v>0</v>
      </c>
      <c r="C773" s="7" t="s">
        <v>553</v>
      </c>
      <c r="D773" s="7" t="s">
        <v>4</v>
      </c>
      <c r="E773" s="7" t="s">
        <v>18</v>
      </c>
      <c r="F773" s="5">
        <v>377.4</v>
      </c>
      <c r="G773" s="7" t="s">
        <v>1005</v>
      </c>
      <c r="H773" s="7" t="s">
        <v>553</v>
      </c>
      <c r="I773" s="7" t="s">
        <v>2653</v>
      </c>
      <c r="K773">
        <f>IF($A773="","",IF(ISNUMBER($A773),MONTH($A773),MONTH(DATEVALUE($A773))))</f>
        <v>8</v>
      </c>
    </row>
    <row r="774" spans="1:11" ht="60" customHeight="1" x14ac:dyDescent="0.25">
      <c r="A774" s="8" t="s">
        <v>997</v>
      </c>
      <c r="B774" s="8" t="s">
        <v>0</v>
      </c>
      <c r="C774" s="8" t="s">
        <v>762</v>
      </c>
      <c r="D774" s="8" t="s">
        <v>4</v>
      </c>
      <c r="E774" s="8" t="s">
        <v>18</v>
      </c>
      <c r="F774" s="6">
        <v>59.5</v>
      </c>
      <c r="G774" s="8" t="s">
        <v>1006</v>
      </c>
      <c r="H774" s="8" t="s">
        <v>762</v>
      </c>
      <c r="I774" s="8" t="s">
        <v>2650</v>
      </c>
      <c r="K774">
        <f>IF($A774="","",IF(ISNUMBER($A774),MONTH($A774),MONTH(DATEVALUE($A774))))</f>
        <v>8</v>
      </c>
    </row>
    <row r="775" spans="1:11" ht="60" customHeight="1" x14ac:dyDescent="0.25">
      <c r="A775" s="7" t="s">
        <v>997</v>
      </c>
      <c r="B775" s="7" t="s">
        <v>0</v>
      </c>
      <c r="C775" s="7" t="s">
        <v>1007</v>
      </c>
      <c r="D775" s="7" t="s">
        <v>4</v>
      </c>
      <c r="E775" s="7" t="s">
        <v>18</v>
      </c>
      <c r="F775" s="5">
        <v>84.93</v>
      </c>
      <c r="G775" s="7" t="s">
        <v>1008</v>
      </c>
      <c r="H775" s="7" t="s">
        <v>1007</v>
      </c>
      <c r="I775" s="7" t="s">
        <v>2633</v>
      </c>
      <c r="K775">
        <f>IF($A775="","",IF(ISNUMBER($A775),MONTH($A775),MONTH(DATEVALUE($A775))))</f>
        <v>8</v>
      </c>
    </row>
    <row r="776" spans="1:11" ht="60" customHeight="1" x14ac:dyDescent="0.25">
      <c r="A776" s="8" t="s">
        <v>1009</v>
      </c>
      <c r="B776" s="8" t="s">
        <v>0</v>
      </c>
      <c r="C776" s="8" t="s">
        <v>1010</v>
      </c>
      <c r="D776" s="8" t="s">
        <v>4</v>
      </c>
      <c r="E776" s="8" t="s">
        <v>18</v>
      </c>
      <c r="F776" s="6">
        <v>3.24</v>
      </c>
      <c r="G776" s="8" t="s">
        <v>1011</v>
      </c>
      <c r="H776" s="8" t="s">
        <v>1010</v>
      </c>
      <c r="I776" s="8" t="s">
        <v>2647</v>
      </c>
      <c r="K776">
        <f>IF($A776="","",IF(ISNUMBER($A776),MONTH($A776),MONTH(DATEVALUE($A776))))</f>
        <v>8</v>
      </c>
    </row>
    <row r="777" spans="1:11" ht="60" customHeight="1" x14ac:dyDescent="0.25">
      <c r="A777" s="7" t="s">
        <v>1009</v>
      </c>
      <c r="B777" s="7" t="s">
        <v>0</v>
      </c>
      <c r="C777" s="7" t="s">
        <v>124</v>
      </c>
      <c r="D777" s="7" t="s">
        <v>4</v>
      </c>
      <c r="E777" s="7" t="s">
        <v>18</v>
      </c>
      <c r="F777" s="5">
        <v>25.23</v>
      </c>
      <c r="G777" s="7" t="s">
        <v>1012</v>
      </c>
      <c r="H777" s="7" t="s">
        <v>124</v>
      </c>
      <c r="I777" s="7" t="s">
        <v>2653</v>
      </c>
      <c r="K777">
        <f>IF($A777="","",IF(ISNUMBER($A777),MONTH($A777),MONTH(DATEVALUE($A777))))</f>
        <v>8</v>
      </c>
    </row>
    <row r="778" spans="1:11" ht="60" customHeight="1" x14ac:dyDescent="0.25">
      <c r="A778" s="8" t="s">
        <v>1009</v>
      </c>
      <c r="B778" s="8" t="s">
        <v>0</v>
      </c>
      <c r="C778" s="8" t="s">
        <v>124</v>
      </c>
      <c r="D778" s="8" t="s">
        <v>4</v>
      </c>
      <c r="E778" s="8" t="s">
        <v>18</v>
      </c>
      <c r="F778" s="6">
        <v>684.96</v>
      </c>
      <c r="G778" s="8" t="s">
        <v>1013</v>
      </c>
      <c r="H778" s="8" t="s">
        <v>124</v>
      </c>
      <c r="I778" s="8" t="s">
        <v>2653</v>
      </c>
      <c r="K778">
        <f>IF($A778="","",IF(ISNUMBER($A778),MONTH($A778),MONTH(DATEVALUE($A778))))</f>
        <v>8</v>
      </c>
    </row>
    <row r="779" spans="1:11" ht="60" customHeight="1" x14ac:dyDescent="0.25">
      <c r="A779" s="7" t="s">
        <v>1009</v>
      </c>
      <c r="B779" s="7" t="s">
        <v>0</v>
      </c>
      <c r="C779" s="7" t="s">
        <v>567</v>
      </c>
      <c r="D779" s="7" t="s">
        <v>4</v>
      </c>
      <c r="E779" s="7" t="s">
        <v>18</v>
      </c>
      <c r="F779" s="5">
        <v>16.23</v>
      </c>
      <c r="G779" s="7" t="s">
        <v>1014</v>
      </c>
      <c r="H779" s="7" t="s">
        <v>567</v>
      </c>
      <c r="I779" s="7" t="s">
        <v>2647</v>
      </c>
      <c r="K779">
        <f>IF($A779="","",IF(ISNUMBER($A779),MONTH($A779),MONTH(DATEVALUE($A779))))</f>
        <v>8</v>
      </c>
    </row>
    <row r="780" spans="1:11" ht="60" customHeight="1" x14ac:dyDescent="0.25">
      <c r="A780" s="8" t="s">
        <v>1009</v>
      </c>
      <c r="B780" s="8" t="s">
        <v>0</v>
      </c>
      <c r="C780" s="8" t="s">
        <v>176</v>
      </c>
      <c r="D780" s="8" t="s">
        <v>4</v>
      </c>
      <c r="E780" s="8" t="s">
        <v>18</v>
      </c>
      <c r="F780" s="6">
        <v>9.99</v>
      </c>
      <c r="G780" s="8" t="s">
        <v>1015</v>
      </c>
      <c r="H780" s="8" t="s">
        <v>176</v>
      </c>
      <c r="I780" s="8" t="s">
        <v>2630</v>
      </c>
      <c r="K780">
        <f>IF($A780="","",IF(ISNUMBER($A780),MONTH($A780),MONTH(DATEVALUE($A780))))</f>
        <v>8</v>
      </c>
    </row>
    <row r="781" spans="1:11" ht="60" customHeight="1" x14ac:dyDescent="0.25">
      <c r="A781" s="7" t="s">
        <v>1009</v>
      </c>
      <c r="B781" s="7" t="s">
        <v>0</v>
      </c>
      <c r="C781" s="7" t="s">
        <v>178</v>
      </c>
      <c r="D781" s="7" t="s">
        <v>4</v>
      </c>
      <c r="E781" s="7" t="s">
        <v>18</v>
      </c>
      <c r="F781" s="5">
        <v>260</v>
      </c>
      <c r="G781" s="7" t="s">
        <v>1016</v>
      </c>
      <c r="H781" s="7" t="s">
        <v>178</v>
      </c>
      <c r="I781" s="7" t="s">
        <v>2638</v>
      </c>
      <c r="K781">
        <f>IF($A781="","",IF(ISNUMBER($A781),MONTH($A781),MONTH(DATEVALUE($A781))))</f>
        <v>8</v>
      </c>
    </row>
    <row r="782" spans="1:11" ht="60" customHeight="1" x14ac:dyDescent="0.25">
      <c r="A782" s="8" t="s">
        <v>1009</v>
      </c>
      <c r="B782" s="8" t="s">
        <v>0</v>
      </c>
      <c r="C782" s="8" t="s">
        <v>1017</v>
      </c>
      <c r="D782" s="8" t="s">
        <v>4</v>
      </c>
      <c r="E782" s="8" t="s">
        <v>18</v>
      </c>
      <c r="F782" s="6">
        <v>2485.27</v>
      </c>
      <c r="G782" s="8" t="s">
        <v>1018</v>
      </c>
      <c r="H782" s="8" t="s">
        <v>1017</v>
      </c>
      <c r="I782" s="8" t="s">
        <v>2653</v>
      </c>
      <c r="K782">
        <f>IF($A782="","",IF(ISNUMBER($A782),MONTH($A782),MONTH(DATEVALUE($A782))))</f>
        <v>8</v>
      </c>
    </row>
    <row r="783" spans="1:11" ht="60" customHeight="1" x14ac:dyDescent="0.25">
      <c r="A783" s="7" t="s">
        <v>1009</v>
      </c>
      <c r="B783" s="7" t="s">
        <v>0</v>
      </c>
      <c r="C783" s="7" t="s">
        <v>1019</v>
      </c>
      <c r="D783" s="7" t="s">
        <v>4</v>
      </c>
      <c r="E783" s="7" t="s">
        <v>18</v>
      </c>
      <c r="F783" s="5">
        <v>-349.18</v>
      </c>
      <c r="G783" s="7" t="s">
        <v>1020</v>
      </c>
      <c r="H783" s="7" t="s">
        <v>1019</v>
      </c>
      <c r="I783" s="7" t="s">
        <v>551</v>
      </c>
      <c r="K783">
        <f>IF($A783="","",IF(ISNUMBER($A783),MONTH($A783),MONTH(DATEVALUE($A783))))</f>
        <v>8</v>
      </c>
    </row>
    <row r="784" spans="1:11" ht="60" customHeight="1" x14ac:dyDescent="0.25">
      <c r="A784" s="8" t="s">
        <v>1009</v>
      </c>
      <c r="B784" s="8" t="s">
        <v>0</v>
      </c>
      <c r="C784" s="8" t="s">
        <v>1021</v>
      </c>
      <c r="D784" s="8" t="s">
        <v>4</v>
      </c>
      <c r="E784" s="8" t="s">
        <v>18</v>
      </c>
      <c r="F784" s="6">
        <v>349.18</v>
      </c>
      <c r="G784" s="8" t="s">
        <v>1022</v>
      </c>
      <c r="H784" s="8" t="s">
        <v>1021</v>
      </c>
      <c r="I784" s="8" t="s">
        <v>2700</v>
      </c>
      <c r="K784">
        <f>IF($A784="","",IF(ISNUMBER($A784),MONTH($A784),MONTH(DATEVALUE($A784))))</f>
        <v>8</v>
      </c>
    </row>
    <row r="785" spans="1:11" ht="60" customHeight="1" x14ac:dyDescent="0.25">
      <c r="A785" s="7" t="s">
        <v>1009</v>
      </c>
      <c r="B785" s="7" t="s">
        <v>0</v>
      </c>
      <c r="C785" s="7" t="s">
        <v>63</v>
      </c>
      <c r="D785" s="7" t="s">
        <v>4</v>
      </c>
      <c r="E785" s="7" t="s">
        <v>18</v>
      </c>
      <c r="F785" s="5">
        <v>6.59</v>
      </c>
      <c r="G785" s="7" t="s">
        <v>1023</v>
      </c>
      <c r="H785" s="7" t="s">
        <v>63</v>
      </c>
      <c r="I785" s="7" t="s">
        <v>2633</v>
      </c>
      <c r="K785">
        <f>IF($A785="","",IF(ISNUMBER($A785),MONTH($A785),MONTH(DATEVALUE($A785))))</f>
        <v>8</v>
      </c>
    </row>
    <row r="786" spans="1:11" ht="60" customHeight="1" x14ac:dyDescent="0.25">
      <c r="A786" s="8" t="s">
        <v>1009</v>
      </c>
      <c r="B786" s="8" t="s">
        <v>0</v>
      </c>
      <c r="C786" s="8" t="s">
        <v>63</v>
      </c>
      <c r="D786" s="8" t="s">
        <v>4</v>
      </c>
      <c r="E786" s="8" t="s">
        <v>18</v>
      </c>
      <c r="F786" s="6">
        <v>83.67</v>
      </c>
      <c r="G786" s="8" t="s">
        <v>1023</v>
      </c>
      <c r="H786" s="8" t="s">
        <v>63</v>
      </c>
      <c r="I786" s="8" t="s">
        <v>2633</v>
      </c>
      <c r="K786">
        <f>IF($A786="","",IF(ISNUMBER($A786),MONTH($A786),MONTH(DATEVALUE($A786))))</f>
        <v>8</v>
      </c>
    </row>
    <row r="787" spans="1:11" ht="60" customHeight="1" x14ac:dyDescent="0.25">
      <c r="A787" s="7" t="s">
        <v>1024</v>
      </c>
      <c r="B787" s="7" t="s">
        <v>0</v>
      </c>
      <c r="C787" s="7" t="s">
        <v>1025</v>
      </c>
      <c r="D787" s="7" t="s">
        <v>4</v>
      </c>
      <c r="E787" s="7" t="s">
        <v>18</v>
      </c>
      <c r="F787" s="5">
        <v>17.97</v>
      </c>
      <c r="G787" s="7" t="s">
        <v>1026</v>
      </c>
      <c r="H787" s="7" t="s">
        <v>1025</v>
      </c>
      <c r="I787" s="7" t="s">
        <v>2627</v>
      </c>
      <c r="K787">
        <f>IF($A787="","",IF(ISNUMBER($A787),MONTH($A787),MONTH(DATEVALUE($A787))))</f>
        <v>8</v>
      </c>
    </row>
    <row r="788" spans="1:11" ht="60" customHeight="1" x14ac:dyDescent="0.25">
      <c r="A788" s="8" t="s">
        <v>1024</v>
      </c>
      <c r="B788" s="8" t="s">
        <v>0</v>
      </c>
      <c r="C788" s="8" t="s">
        <v>1027</v>
      </c>
      <c r="D788" s="8" t="s">
        <v>4</v>
      </c>
      <c r="E788" s="8" t="s">
        <v>18</v>
      </c>
      <c r="F788" s="6">
        <v>288.48</v>
      </c>
      <c r="G788" s="8" t="s">
        <v>1028</v>
      </c>
      <c r="H788" s="8" t="s">
        <v>1027</v>
      </c>
      <c r="I788" s="8" t="s">
        <v>2653</v>
      </c>
      <c r="K788">
        <f>IF($A788="","",IF(ISNUMBER($A788),MONTH($A788),MONTH(DATEVALUE($A788))))</f>
        <v>8</v>
      </c>
    </row>
    <row r="789" spans="1:11" ht="60" customHeight="1" x14ac:dyDescent="0.25">
      <c r="A789" s="7" t="s">
        <v>1024</v>
      </c>
      <c r="B789" s="7" t="s">
        <v>0</v>
      </c>
      <c r="C789" s="7" t="s">
        <v>1027</v>
      </c>
      <c r="D789" s="7" t="s">
        <v>4</v>
      </c>
      <c r="E789" s="7" t="s">
        <v>18</v>
      </c>
      <c r="F789" s="5">
        <v>288.48</v>
      </c>
      <c r="G789" s="7" t="s">
        <v>1029</v>
      </c>
      <c r="H789" s="7" t="s">
        <v>1027</v>
      </c>
      <c r="I789" s="8" t="s">
        <v>2653</v>
      </c>
      <c r="K789">
        <f>IF($A789="","",IF(ISNUMBER($A789),MONTH($A789),MONTH(DATEVALUE($A789))))</f>
        <v>8</v>
      </c>
    </row>
    <row r="790" spans="1:11" ht="60" customHeight="1" x14ac:dyDescent="0.25">
      <c r="A790" s="8" t="s">
        <v>1030</v>
      </c>
      <c r="B790" s="8" t="s">
        <v>0</v>
      </c>
      <c r="C790" s="8" t="s">
        <v>1031</v>
      </c>
      <c r="D790" s="8" t="s">
        <v>4</v>
      </c>
      <c r="E790" s="8" t="s">
        <v>18</v>
      </c>
      <c r="F790" s="6">
        <v>11081.94</v>
      </c>
      <c r="G790" s="8" t="s">
        <v>1032</v>
      </c>
      <c r="H790" s="8" t="s">
        <v>1031</v>
      </c>
      <c r="I790" s="8" t="s">
        <v>2639</v>
      </c>
      <c r="K790">
        <f>IF($A790="","",IF(ISNUMBER($A790),MONTH($A790),MONTH(DATEVALUE($A790))))</f>
        <v>8</v>
      </c>
    </row>
    <row r="791" spans="1:11" ht="60" customHeight="1" x14ac:dyDescent="0.25">
      <c r="A791" s="7" t="s">
        <v>1030</v>
      </c>
      <c r="B791" s="7" t="s">
        <v>0</v>
      </c>
      <c r="C791" s="7" t="s">
        <v>52</v>
      </c>
      <c r="D791" s="7" t="s">
        <v>4</v>
      </c>
      <c r="E791" s="7" t="s">
        <v>18</v>
      </c>
      <c r="F791" s="5">
        <v>25.19</v>
      </c>
      <c r="G791" s="7" t="s">
        <v>1033</v>
      </c>
      <c r="H791" s="7" t="s">
        <v>52</v>
      </c>
      <c r="I791" s="7" t="s">
        <v>2632</v>
      </c>
      <c r="K791">
        <f>IF($A791="","",IF(ISNUMBER($A791),MONTH($A791),MONTH(DATEVALUE($A791))))</f>
        <v>8</v>
      </c>
    </row>
    <row r="792" spans="1:11" ht="60" customHeight="1" x14ac:dyDescent="0.25">
      <c r="A792" s="8" t="s">
        <v>1034</v>
      </c>
      <c r="B792" s="8" t="s">
        <v>0</v>
      </c>
      <c r="C792" s="8" t="s">
        <v>591</v>
      </c>
      <c r="D792" s="8" t="s">
        <v>4</v>
      </c>
      <c r="E792" s="8" t="s">
        <v>18</v>
      </c>
      <c r="F792" s="6">
        <v>-9614.51</v>
      </c>
      <c r="G792" s="8" t="s">
        <v>592</v>
      </c>
      <c r="H792" s="8" t="s">
        <v>591</v>
      </c>
      <c r="I792" s="8" t="s">
        <v>591</v>
      </c>
      <c r="K792">
        <f>IF($A792="","",IF(ISNUMBER($A792),MONTH($A792),MONTH(DATEVALUE($A792))))</f>
        <v>8</v>
      </c>
    </row>
    <row r="793" spans="1:11" ht="60" customHeight="1" x14ac:dyDescent="0.25">
      <c r="A793" s="7" t="s">
        <v>1034</v>
      </c>
      <c r="B793" s="7" t="s">
        <v>0</v>
      </c>
      <c r="C793" s="7" t="s">
        <v>104</v>
      </c>
      <c r="D793" s="7" t="s">
        <v>4</v>
      </c>
      <c r="E793" s="7" t="s">
        <v>18</v>
      </c>
      <c r="F793" s="5">
        <v>13.99</v>
      </c>
      <c r="G793" s="7" t="s">
        <v>1035</v>
      </c>
      <c r="H793" s="7" t="s">
        <v>104</v>
      </c>
      <c r="I793" s="7" t="s">
        <v>2632</v>
      </c>
      <c r="K793">
        <f>IF($A793="","",IF(ISNUMBER($A793),MONTH($A793),MONTH(DATEVALUE($A793))))</f>
        <v>8</v>
      </c>
    </row>
    <row r="794" spans="1:11" ht="60" customHeight="1" x14ac:dyDescent="0.25">
      <c r="A794" s="8" t="s">
        <v>1034</v>
      </c>
      <c r="B794" s="8" t="s">
        <v>0</v>
      </c>
      <c r="C794" s="8" t="s">
        <v>1036</v>
      </c>
      <c r="D794" s="8" t="s">
        <v>4</v>
      </c>
      <c r="E794" s="8" t="s">
        <v>18</v>
      </c>
      <c r="F794" s="6">
        <v>-26819.93</v>
      </c>
      <c r="G794" s="8" t="s">
        <v>1037</v>
      </c>
      <c r="H794" s="8" t="s">
        <v>1036</v>
      </c>
      <c r="I794" s="8" t="s">
        <v>1036</v>
      </c>
      <c r="K794">
        <f>IF($A794="","",IF(ISNUMBER($A794),MONTH($A794),MONTH(DATEVALUE($A794))))</f>
        <v>8</v>
      </c>
    </row>
    <row r="795" spans="1:11" ht="60" customHeight="1" x14ac:dyDescent="0.25">
      <c r="A795" s="7" t="s">
        <v>1034</v>
      </c>
      <c r="B795" s="7" t="s">
        <v>0</v>
      </c>
      <c r="C795" s="7" t="s">
        <v>1038</v>
      </c>
      <c r="D795" s="7" t="s">
        <v>4</v>
      </c>
      <c r="E795" s="7" t="s">
        <v>18</v>
      </c>
      <c r="F795" s="5">
        <v>26819.93</v>
      </c>
      <c r="G795" s="7" t="s">
        <v>1039</v>
      </c>
      <c r="H795" s="7" t="s">
        <v>1038</v>
      </c>
      <c r="I795" s="7" t="s">
        <v>1038</v>
      </c>
      <c r="K795">
        <f>IF($A795="","",IF(ISNUMBER($A795),MONTH($A795),MONTH(DATEVALUE($A795))))</f>
        <v>8</v>
      </c>
    </row>
    <row r="796" spans="1:11" ht="60" customHeight="1" x14ac:dyDescent="0.25">
      <c r="A796" s="8" t="s">
        <v>1034</v>
      </c>
      <c r="B796" s="8" t="s">
        <v>0</v>
      </c>
      <c r="C796" s="8" t="s">
        <v>594</v>
      </c>
      <c r="D796" s="8" t="s">
        <v>4</v>
      </c>
      <c r="E796" s="8" t="s">
        <v>18</v>
      </c>
      <c r="F796" s="6">
        <v>9614.51</v>
      </c>
      <c r="G796" s="8" t="s">
        <v>595</v>
      </c>
      <c r="H796" s="8" t="s">
        <v>594</v>
      </c>
      <c r="I796" s="8" t="s">
        <v>594</v>
      </c>
      <c r="K796">
        <f>IF($A796="","",IF(ISNUMBER($A796),MONTH($A796),MONTH(DATEVALUE($A796))))</f>
        <v>8</v>
      </c>
    </row>
    <row r="797" spans="1:11" ht="60" customHeight="1" x14ac:dyDescent="0.25">
      <c r="A797" s="7" t="s">
        <v>1034</v>
      </c>
      <c r="B797" s="7" t="s">
        <v>0</v>
      </c>
      <c r="C797" s="7" t="s">
        <v>1040</v>
      </c>
      <c r="D797" s="7" t="s">
        <v>4</v>
      </c>
      <c r="E797" s="7" t="s">
        <v>18</v>
      </c>
      <c r="F797" s="5">
        <v>269.47000000000003</v>
      </c>
      <c r="G797" s="7" t="s">
        <v>1041</v>
      </c>
      <c r="H797" s="7" t="s">
        <v>1040</v>
      </c>
      <c r="I797" s="7" t="s">
        <v>2636</v>
      </c>
      <c r="K797">
        <f>IF($A797="","",IF(ISNUMBER($A797),MONTH($A797),MONTH(DATEVALUE($A797))))</f>
        <v>8</v>
      </c>
    </row>
    <row r="798" spans="1:11" ht="60" customHeight="1" x14ac:dyDescent="0.25">
      <c r="A798" s="8" t="s">
        <v>1034</v>
      </c>
      <c r="B798" s="8" t="s">
        <v>0</v>
      </c>
      <c r="C798" s="8" t="s">
        <v>1042</v>
      </c>
      <c r="D798" s="8" t="s">
        <v>4</v>
      </c>
      <c r="E798" s="8" t="s">
        <v>18</v>
      </c>
      <c r="F798" s="6">
        <v>695</v>
      </c>
      <c r="G798" s="8" t="s">
        <v>1043</v>
      </c>
      <c r="H798" s="8" t="s">
        <v>1042</v>
      </c>
      <c r="I798" s="8" t="s">
        <v>1042</v>
      </c>
      <c r="K798">
        <f>IF($A798="","",IF(ISNUMBER($A798),MONTH($A798),MONTH(DATEVALUE($A798))))</f>
        <v>8</v>
      </c>
    </row>
    <row r="799" spans="1:11" ht="60" customHeight="1" x14ac:dyDescent="0.25">
      <c r="A799" s="7" t="s">
        <v>1034</v>
      </c>
      <c r="B799" s="7" t="s">
        <v>0</v>
      </c>
      <c r="C799" s="7" t="s">
        <v>211</v>
      </c>
      <c r="D799" s="7" t="s">
        <v>4</v>
      </c>
      <c r="E799" s="7" t="s">
        <v>18</v>
      </c>
      <c r="F799" s="5">
        <v>52.14</v>
      </c>
      <c r="G799" s="7" t="s">
        <v>1044</v>
      </c>
      <c r="H799" s="7" t="s">
        <v>211</v>
      </c>
      <c r="I799" s="7" t="s">
        <v>2630</v>
      </c>
      <c r="K799">
        <f>IF($A799="","",IF(ISNUMBER($A799),MONTH($A799),MONTH(DATEVALUE($A799))))</f>
        <v>8</v>
      </c>
    </row>
    <row r="800" spans="1:11" ht="60" customHeight="1" x14ac:dyDescent="0.25">
      <c r="A800" s="8" t="s">
        <v>1045</v>
      </c>
      <c r="B800" s="8" t="s">
        <v>0</v>
      </c>
      <c r="C800" s="8" t="s">
        <v>1046</v>
      </c>
      <c r="D800" s="8" t="s">
        <v>4</v>
      </c>
      <c r="E800" s="8" t="s">
        <v>18</v>
      </c>
      <c r="F800" s="6">
        <v>13.98</v>
      </c>
      <c r="G800" s="8" t="s">
        <v>1047</v>
      </c>
      <c r="H800" s="8" t="s">
        <v>1046</v>
      </c>
      <c r="I800" s="8" t="s">
        <v>2627</v>
      </c>
      <c r="K800">
        <f>IF($A800="","",IF(ISNUMBER($A800),MONTH($A800),MONTH(DATEVALUE($A800))))</f>
        <v>8</v>
      </c>
    </row>
    <row r="801" spans="1:11" ht="60" customHeight="1" x14ac:dyDescent="0.25">
      <c r="A801" s="7" t="s">
        <v>1048</v>
      </c>
      <c r="B801" s="7" t="s">
        <v>0</v>
      </c>
      <c r="C801" s="7" t="s">
        <v>217</v>
      </c>
      <c r="D801" s="7" t="s">
        <v>4</v>
      </c>
      <c r="E801" s="7" t="s">
        <v>18</v>
      </c>
      <c r="F801" s="5">
        <v>119.52</v>
      </c>
      <c r="G801" s="7" t="s">
        <v>1049</v>
      </c>
      <c r="H801" s="7" t="s">
        <v>217</v>
      </c>
      <c r="I801" s="7" t="s">
        <v>2632</v>
      </c>
      <c r="K801">
        <f>IF($A801="","",IF(ISNUMBER($A801),MONTH($A801),MONTH(DATEVALUE($A801))))</f>
        <v>8</v>
      </c>
    </row>
    <row r="802" spans="1:11" ht="60" customHeight="1" x14ac:dyDescent="0.25">
      <c r="A802" s="8" t="s">
        <v>1048</v>
      </c>
      <c r="B802" s="8" t="s">
        <v>0</v>
      </c>
      <c r="C802" s="8" t="s">
        <v>1050</v>
      </c>
      <c r="D802" s="8" t="s">
        <v>4</v>
      </c>
      <c r="E802" s="8" t="s">
        <v>18</v>
      </c>
      <c r="F802" s="6">
        <v>30.97</v>
      </c>
      <c r="G802" s="8" t="s">
        <v>1051</v>
      </c>
      <c r="H802" s="8" t="s">
        <v>1050</v>
      </c>
      <c r="I802" s="8" t="s">
        <v>2627</v>
      </c>
      <c r="K802">
        <f>IF($A802="","",IF(ISNUMBER($A802),MONTH($A802),MONTH(DATEVALUE($A802))))</f>
        <v>8</v>
      </c>
    </row>
    <row r="803" spans="1:11" ht="60" customHeight="1" x14ac:dyDescent="0.25">
      <c r="A803" s="7" t="s">
        <v>1048</v>
      </c>
      <c r="B803" s="7" t="s">
        <v>0</v>
      </c>
      <c r="C803" s="7" t="s">
        <v>221</v>
      </c>
      <c r="D803" s="7" t="s">
        <v>4</v>
      </c>
      <c r="E803" s="7" t="s">
        <v>18</v>
      </c>
      <c r="F803" s="5">
        <v>20</v>
      </c>
      <c r="G803" s="7" t="s">
        <v>1052</v>
      </c>
      <c r="H803" s="7" t="s">
        <v>221</v>
      </c>
      <c r="I803" s="7" t="s">
        <v>2630</v>
      </c>
      <c r="K803">
        <f>IF($A803="","",IF(ISNUMBER($A803),MONTH($A803),MONTH(DATEVALUE($A803))))</f>
        <v>8</v>
      </c>
    </row>
    <row r="804" spans="1:11" ht="60" customHeight="1" x14ac:dyDescent="0.25">
      <c r="A804" s="8" t="s">
        <v>1053</v>
      </c>
      <c r="B804" s="8" t="s">
        <v>0</v>
      </c>
      <c r="C804" s="8" t="s">
        <v>52</v>
      </c>
      <c r="D804" s="8" t="s">
        <v>4</v>
      </c>
      <c r="E804" s="8" t="s">
        <v>18</v>
      </c>
      <c r="F804" s="6">
        <v>21.94</v>
      </c>
      <c r="G804" s="8" t="s">
        <v>1054</v>
      </c>
      <c r="H804" s="8" t="s">
        <v>52</v>
      </c>
      <c r="I804" s="8" t="s">
        <v>2632</v>
      </c>
      <c r="K804">
        <f>IF($A804="","",IF(ISNUMBER($A804),MONTH($A804),MONTH(DATEVALUE($A804))))</f>
        <v>7</v>
      </c>
    </row>
    <row r="805" spans="1:11" ht="60" customHeight="1" x14ac:dyDescent="0.25">
      <c r="A805" s="7" t="s">
        <v>1053</v>
      </c>
      <c r="B805" s="7" t="s">
        <v>0</v>
      </c>
      <c r="C805" s="7" t="s">
        <v>738</v>
      </c>
      <c r="D805" s="7" t="s">
        <v>4</v>
      </c>
      <c r="E805" s="7" t="s">
        <v>18</v>
      </c>
      <c r="F805" s="5">
        <v>217.86</v>
      </c>
      <c r="G805" s="7" t="s">
        <v>1055</v>
      </c>
      <c r="H805" s="7" t="s">
        <v>738</v>
      </c>
      <c r="I805" s="7" t="s">
        <v>2639</v>
      </c>
      <c r="K805">
        <f>IF($A805="","",IF(ISNUMBER($A805),MONTH($A805),MONTH(DATEVALUE($A805))))</f>
        <v>7</v>
      </c>
    </row>
    <row r="806" spans="1:11" ht="60" customHeight="1" x14ac:dyDescent="0.25">
      <c r="A806" s="8" t="s">
        <v>1053</v>
      </c>
      <c r="B806" s="8" t="s">
        <v>0</v>
      </c>
      <c r="C806" s="8" t="s">
        <v>22</v>
      </c>
      <c r="D806" s="8" t="s">
        <v>4</v>
      </c>
      <c r="E806" s="8" t="s">
        <v>18</v>
      </c>
      <c r="F806" s="6">
        <v>164.95</v>
      </c>
      <c r="G806" s="8" t="s">
        <v>1056</v>
      </c>
      <c r="H806" s="8" t="s">
        <v>22</v>
      </c>
      <c r="I806" s="8" t="s">
        <v>2626</v>
      </c>
      <c r="K806">
        <f>IF($A806="","",IF(ISNUMBER($A806),MONTH($A806),MONTH(DATEVALUE($A806))))</f>
        <v>7</v>
      </c>
    </row>
    <row r="807" spans="1:11" ht="60" customHeight="1" x14ac:dyDescent="0.25">
      <c r="A807" s="7" t="s">
        <v>1053</v>
      </c>
      <c r="B807" s="7" t="s">
        <v>0</v>
      </c>
      <c r="C807" s="7" t="s">
        <v>1057</v>
      </c>
      <c r="D807" s="7" t="s">
        <v>4</v>
      </c>
      <c r="E807" s="7" t="s">
        <v>18</v>
      </c>
      <c r="F807" s="5">
        <v>131.66999999999999</v>
      </c>
      <c r="G807" s="7" t="s">
        <v>1058</v>
      </c>
      <c r="H807" s="7" t="s">
        <v>1057</v>
      </c>
      <c r="I807" s="7" t="s">
        <v>2633</v>
      </c>
      <c r="K807">
        <f>IF($A807="","",IF(ISNUMBER($A807),MONTH($A807),MONTH(DATEVALUE($A807))))</f>
        <v>7</v>
      </c>
    </row>
    <row r="808" spans="1:11" ht="60" customHeight="1" x14ac:dyDescent="0.25">
      <c r="A808" s="8" t="s">
        <v>1059</v>
      </c>
      <c r="B808" s="8" t="s">
        <v>0</v>
      </c>
      <c r="C808" s="8" t="s">
        <v>63</v>
      </c>
      <c r="D808" s="8" t="s">
        <v>4</v>
      </c>
      <c r="E808" s="8" t="s">
        <v>18</v>
      </c>
      <c r="F808" s="6">
        <v>85.33</v>
      </c>
      <c r="G808" s="8" t="s">
        <v>1060</v>
      </c>
      <c r="H808" s="8" t="s">
        <v>63</v>
      </c>
      <c r="I808" s="8" t="s">
        <v>2633</v>
      </c>
      <c r="K808">
        <f>IF($A808="","",IF(ISNUMBER($A808),MONTH($A808),MONTH(DATEVALUE($A808))))</f>
        <v>7</v>
      </c>
    </row>
    <row r="809" spans="1:11" ht="60" customHeight="1" x14ac:dyDescent="0.25">
      <c r="A809" s="7" t="s">
        <v>1061</v>
      </c>
      <c r="B809" s="7" t="s">
        <v>0</v>
      </c>
      <c r="C809" s="7" t="s">
        <v>1062</v>
      </c>
      <c r="D809" s="7" t="s">
        <v>4</v>
      </c>
      <c r="E809" s="7" t="s">
        <v>18</v>
      </c>
      <c r="F809" s="5">
        <v>1582.7</v>
      </c>
      <c r="G809" s="7" t="s">
        <v>1063</v>
      </c>
      <c r="H809" s="7" t="s">
        <v>1062</v>
      </c>
      <c r="I809" s="7" t="s">
        <v>2639</v>
      </c>
      <c r="K809">
        <f>IF($A809="","",IF(ISNUMBER($A809),MONTH($A809),MONTH(DATEVALUE($A809))))</f>
        <v>7</v>
      </c>
    </row>
    <row r="810" spans="1:11" ht="60" customHeight="1" x14ac:dyDescent="0.25">
      <c r="A810" s="8" t="s">
        <v>1061</v>
      </c>
      <c r="B810" s="8" t="s">
        <v>0</v>
      </c>
      <c r="C810" s="8" t="s">
        <v>1064</v>
      </c>
      <c r="D810" s="8" t="s">
        <v>4</v>
      </c>
      <c r="E810" s="8" t="s">
        <v>18</v>
      </c>
      <c r="F810" s="6">
        <v>47.59</v>
      </c>
      <c r="G810" s="8" t="s">
        <v>1065</v>
      </c>
      <c r="H810" s="8" t="s">
        <v>1064</v>
      </c>
      <c r="I810" s="8" t="s">
        <v>2634</v>
      </c>
      <c r="K810">
        <f>IF($A810="","",IF(ISNUMBER($A810),MONTH($A810),MONTH(DATEVALUE($A810))))</f>
        <v>7</v>
      </c>
    </row>
    <row r="811" spans="1:11" ht="60" customHeight="1" x14ac:dyDescent="0.25">
      <c r="A811" s="7" t="s">
        <v>1061</v>
      </c>
      <c r="B811" s="7" t="s">
        <v>0</v>
      </c>
      <c r="C811" s="7" t="s">
        <v>27</v>
      </c>
      <c r="D811" s="7" t="s">
        <v>4</v>
      </c>
      <c r="E811" s="7" t="s">
        <v>18</v>
      </c>
      <c r="F811" s="5">
        <v>20</v>
      </c>
      <c r="G811" s="7" t="s">
        <v>1066</v>
      </c>
      <c r="H811" s="7" t="s">
        <v>27</v>
      </c>
      <c r="I811" s="7" t="s">
        <v>2628</v>
      </c>
      <c r="K811">
        <f>IF($A811="","",IF(ISNUMBER($A811),MONTH($A811),MONTH(DATEVALUE($A811))))</f>
        <v>7</v>
      </c>
    </row>
    <row r="812" spans="1:11" ht="60" customHeight="1" x14ac:dyDescent="0.25">
      <c r="A812" s="8" t="s">
        <v>1067</v>
      </c>
      <c r="B812" s="8" t="s">
        <v>0</v>
      </c>
      <c r="C812" s="8" t="s">
        <v>35</v>
      </c>
      <c r="D812" s="8" t="s">
        <v>4</v>
      </c>
      <c r="E812" s="8" t="s">
        <v>18</v>
      </c>
      <c r="F812" s="6">
        <v>39.99</v>
      </c>
      <c r="G812" s="8" t="s">
        <v>1068</v>
      </c>
      <c r="H812" s="8" t="s">
        <v>35</v>
      </c>
      <c r="I812" s="8" t="s">
        <v>2630</v>
      </c>
      <c r="K812">
        <f>IF($A812="","",IF(ISNUMBER($A812),MONTH($A812),MONTH(DATEVALUE($A812))))</f>
        <v>7</v>
      </c>
    </row>
    <row r="813" spans="1:11" ht="60" customHeight="1" x14ac:dyDescent="0.25">
      <c r="A813" s="7" t="s">
        <v>1069</v>
      </c>
      <c r="B813" s="7" t="s">
        <v>0</v>
      </c>
      <c r="C813" s="7" t="s">
        <v>672</v>
      </c>
      <c r="D813" s="7" t="s">
        <v>4</v>
      </c>
      <c r="E813" s="7" t="s">
        <v>18</v>
      </c>
      <c r="F813" s="5">
        <v>14.06</v>
      </c>
      <c r="G813" s="7" t="s">
        <v>1070</v>
      </c>
      <c r="H813" s="7" t="s">
        <v>672</v>
      </c>
      <c r="I813" s="7" t="s">
        <v>2647</v>
      </c>
      <c r="K813">
        <f>IF($A813="","",IF(ISNUMBER($A813),MONTH($A813),MONTH(DATEVALUE($A813))))</f>
        <v>7</v>
      </c>
    </row>
    <row r="814" spans="1:11" ht="60" customHeight="1" x14ac:dyDescent="0.25">
      <c r="A814" s="8" t="s">
        <v>1071</v>
      </c>
      <c r="B814" s="8" t="s">
        <v>0</v>
      </c>
      <c r="C814" s="8" t="s">
        <v>52</v>
      </c>
      <c r="D814" s="8" t="s">
        <v>4</v>
      </c>
      <c r="E814" s="8" t="s">
        <v>18</v>
      </c>
      <c r="F814" s="6">
        <v>47.02</v>
      </c>
      <c r="G814" s="8" t="s">
        <v>1072</v>
      </c>
      <c r="H814" s="8" t="s">
        <v>52</v>
      </c>
      <c r="I814" s="8" t="s">
        <v>2632</v>
      </c>
      <c r="K814">
        <f>IF($A814="","",IF(ISNUMBER($A814),MONTH($A814),MONTH(DATEVALUE($A814))))</f>
        <v>7</v>
      </c>
    </row>
    <row r="815" spans="1:11" ht="60" customHeight="1" x14ac:dyDescent="0.25">
      <c r="A815" s="7" t="s">
        <v>1071</v>
      </c>
      <c r="B815" s="7" t="s">
        <v>0</v>
      </c>
      <c r="C815" s="7" t="s">
        <v>1073</v>
      </c>
      <c r="D815" s="7" t="s">
        <v>4</v>
      </c>
      <c r="E815" s="7" t="s">
        <v>18</v>
      </c>
      <c r="F815" s="5">
        <v>13</v>
      </c>
      <c r="G815" s="7" t="s">
        <v>1074</v>
      </c>
      <c r="H815" s="7" t="s">
        <v>1073</v>
      </c>
      <c r="I815" s="7" t="s">
        <v>2634</v>
      </c>
      <c r="K815">
        <f>IF($A815="","",IF(ISNUMBER($A815),MONTH($A815),MONTH(DATEVALUE($A815))))</f>
        <v>7</v>
      </c>
    </row>
    <row r="816" spans="1:11" ht="60" customHeight="1" x14ac:dyDescent="0.25">
      <c r="A816" s="8" t="s">
        <v>1075</v>
      </c>
      <c r="B816" s="8" t="s">
        <v>0</v>
      </c>
      <c r="C816" s="8" t="s">
        <v>1076</v>
      </c>
      <c r="D816" s="8" t="s">
        <v>4</v>
      </c>
      <c r="E816" s="8" t="s">
        <v>18</v>
      </c>
      <c r="F816" s="6">
        <v>41.17</v>
      </c>
      <c r="G816" s="8" t="s">
        <v>1077</v>
      </c>
      <c r="H816" s="8" t="s">
        <v>1076</v>
      </c>
      <c r="I816" s="8" t="s">
        <v>2634</v>
      </c>
      <c r="K816">
        <f>IF($A816="","",IF(ISNUMBER($A816),MONTH($A816),MONTH(DATEVALUE($A816))))</f>
        <v>7</v>
      </c>
    </row>
    <row r="817" spans="1:11" ht="60" customHeight="1" x14ac:dyDescent="0.25">
      <c r="A817" s="7" t="s">
        <v>1075</v>
      </c>
      <c r="B817" s="7" t="s">
        <v>0</v>
      </c>
      <c r="C817" s="7" t="s">
        <v>44</v>
      </c>
      <c r="D817" s="7" t="s">
        <v>4</v>
      </c>
      <c r="E817" s="7" t="s">
        <v>18</v>
      </c>
      <c r="F817" s="5">
        <v>584</v>
      </c>
      <c r="G817" s="7" t="s">
        <v>1078</v>
      </c>
      <c r="H817" s="7" t="s">
        <v>44</v>
      </c>
      <c r="I817" s="7" t="s">
        <v>2630</v>
      </c>
      <c r="K817">
        <f>IF($A817="","",IF(ISNUMBER($A817),MONTH($A817),MONTH(DATEVALUE($A817))))</f>
        <v>7</v>
      </c>
    </row>
    <row r="818" spans="1:11" ht="60" customHeight="1" x14ac:dyDescent="0.25">
      <c r="A818" s="8" t="s">
        <v>1075</v>
      </c>
      <c r="B818" s="8" t="s">
        <v>0</v>
      </c>
      <c r="C818" s="8" t="s">
        <v>1079</v>
      </c>
      <c r="D818" s="8" t="s">
        <v>4</v>
      </c>
      <c r="E818" s="8" t="s">
        <v>18</v>
      </c>
      <c r="F818" s="6">
        <v>419.01</v>
      </c>
      <c r="G818" s="8" t="s">
        <v>1080</v>
      </c>
      <c r="H818" s="8" t="s">
        <v>1079</v>
      </c>
      <c r="I818" s="8" t="s">
        <v>2645</v>
      </c>
      <c r="K818">
        <f>IF($A818="","",IF(ISNUMBER($A818),MONTH($A818),MONTH(DATEVALUE($A818))))</f>
        <v>7</v>
      </c>
    </row>
    <row r="819" spans="1:11" ht="60" customHeight="1" x14ac:dyDescent="0.25">
      <c r="A819" s="7" t="s">
        <v>1081</v>
      </c>
      <c r="B819" s="7" t="s">
        <v>0</v>
      </c>
      <c r="C819" s="7" t="s">
        <v>589</v>
      </c>
      <c r="D819" s="7" t="s">
        <v>4</v>
      </c>
      <c r="E819" s="7" t="s">
        <v>18</v>
      </c>
      <c r="F819" s="5">
        <v>42.75</v>
      </c>
      <c r="G819" s="7" t="s">
        <v>1082</v>
      </c>
      <c r="H819" s="7" t="s">
        <v>589</v>
      </c>
      <c r="I819" s="7" t="s">
        <v>2635</v>
      </c>
      <c r="K819">
        <f>IF($A819="","",IF(ISNUMBER($A819),MONTH($A819),MONTH(DATEVALUE($A819))))</f>
        <v>7</v>
      </c>
    </row>
    <row r="820" spans="1:11" ht="60" customHeight="1" x14ac:dyDescent="0.25">
      <c r="A820" s="8" t="s">
        <v>1081</v>
      </c>
      <c r="B820" s="8" t="s">
        <v>0</v>
      </c>
      <c r="C820" s="8" t="s">
        <v>242</v>
      </c>
      <c r="D820" s="8" t="s">
        <v>4</v>
      </c>
      <c r="E820" s="8" t="s">
        <v>18</v>
      </c>
      <c r="F820" s="6">
        <v>234.68</v>
      </c>
      <c r="G820" s="8" t="s">
        <v>243</v>
      </c>
      <c r="H820" s="8" t="s">
        <v>242</v>
      </c>
      <c r="I820" s="8" t="s">
        <v>2635</v>
      </c>
      <c r="K820">
        <f>IF($A820="","",IF(ISNUMBER($A820),MONTH($A820),MONTH(DATEVALUE($A820))))</f>
        <v>7</v>
      </c>
    </row>
    <row r="821" spans="1:11" ht="60" customHeight="1" x14ac:dyDescent="0.25">
      <c r="A821" s="7" t="s">
        <v>1083</v>
      </c>
      <c r="B821" s="7" t="s">
        <v>0</v>
      </c>
      <c r="C821" s="7" t="s">
        <v>1084</v>
      </c>
      <c r="D821" s="7" t="s">
        <v>4</v>
      </c>
      <c r="E821" s="7" t="s">
        <v>18</v>
      </c>
      <c r="F821" s="5">
        <v>492.71</v>
      </c>
      <c r="G821" s="7" t="s">
        <v>1085</v>
      </c>
      <c r="H821" s="7" t="s">
        <v>1084</v>
      </c>
      <c r="I821" s="7" t="s">
        <v>2633</v>
      </c>
      <c r="K821">
        <f>IF($A821="","",IF(ISNUMBER($A821),MONTH($A821),MONTH(DATEVALUE($A821))))</f>
        <v>7</v>
      </c>
    </row>
    <row r="822" spans="1:11" ht="60" customHeight="1" x14ac:dyDescent="0.25">
      <c r="A822" s="8" t="s">
        <v>1083</v>
      </c>
      <c r="B822" s="8" t="s">
        <v>0</v>
      </c>
      <c r="C822" s="8" t="s">
        <v>63</v>
      </c>
      <c r="D822" s="8" t="s">
        <v>4</v>
      </c>
      <c r="E822" s="8" t="s">
        <v>18</v>
      </c>
      <c r="F822" s="6">
        <v>45.48</v>
      </c>
      <c r="G822" s="8" t="s">
        <v>1086</v>
      </c>
      <c r="H822" s="8" t="s">
        <v>63</v>
      </c>
      <c r="I822" s="8" t="s">
        <v>2633</v>
      </c>
      <c r="K822">
        <f>IF($A822="","",IF(ISNUMBER($A822),MONTH($A822),MONTH(DATEVALUE($A822))))</f>
        <v>7</v>
      </c>
    </row>
    <row r="823" spans="1:11" ht="60" customHeight="1" x14ac:dyDescent="0.25">
      <c r="A823" s="7" t="s">
        <v>1083</v>
      </c>
      <c r="B823" s="7" t="s">
        <v>227</v>
      </c>
      <c r="C823" s="7" t="s">
        <v>1087</v>
      </c>
      <c r="D823" s="7" t="s">
        <v>4</v>
      </c>
      <c r="E823" s="7" t="s">
        <v>18</v>
      </c>
      <c r="F823" s="5">
        <v>30</v>
      </c>
      <c r="G823" s="7" t="s">
        <v>1088</v>
      </c>
      <c r="H823" s="7" t="s">
        <v>1087</v>
      </c>
      <c r="I823" s="7" t="s">
        <v>2634</v>
      </c>
      <c r="K823">
        <f>IF($A823="","",IF(ISNUMBER($A823),MONTH($A823),MONTH(DATEVALUE($A823))))</f>
        <v>7</v>
      </c>
    </row>
    <row r="824" spans="1:11" ht="60" customHeight="1" x14ac:dyDescent="0.25">
      <c r="A824" s="8" t="s">
        <v>1089</v>
      </c>
      <c r="B824" s="8" t="s">
        <v>0</v>
      </c>
      <c r="C824" s="8" t="s">
        <v>1002</v>
      </c>
      <c r="D824" s="8" t="s">
        <v>4</v>
      </c>
      <c r="E824" s="8" t="s">
        <v>18</v>
      </c>
      <c r="F824" s="6">
        <v>270</v>
      </c>
      <c r="G824" s="8" t="s">
        <v>1090</v>
      </c>
      <c r="H824" s="8" t="s">
        <v>1002</v>
      </c>
      <c r="I824" s="8" t="s">
        <v>2632</v>
      </c>
      <c r="K824">
        <f>IF($A824="","",IF(ISNUMBER($A824),MONTH($A824),MONTH(DATEVALUE($A824))))</f>
        <v>7</v>
      </c>
    </row>
    <row r="825" spans="1:11" ht="60" customHeight="1" x14ac:dyDescent="0.25">
      <c r="A825" s="7" t="s">
        <v>1091</v>
      </c>
      <c r="B825" s="7" t="s">
        <v>0</v>
      </c>
      <c r="C825" s="7" t="s">
        <v>609</v>
      </c>
      <c r="D825" s="7" t="s">
        <v>4</v>
      </c>
      <c r="E825" s="7" t="s">
        <v>18</v>
      </c>
      <c r="F825" s="5">
        <v>247.58</v>
      </c>
      <c r="G825" s="7" t="s">
        <v>1092</v>
      </c>
      <c r="H825" s="7" t="s">
        <v>609</v>
      </c>
      <c r="I825" s="7" t="s">
        <v>2650</v>
      </c>
      <c r="K825">
        <f>IF($A825="","",IF(ISNUMBER($A825),MONTH($A825),MONTH(DATEVALUE($A825))))</f>
        <v>7</v>
      </c>
    </row>
    <row r="826" spans="1:11" ht="60" customHeight="1" x14ac:dyDescent="0.25">
      <c r="A826" s="8" t="s">
        <v>1091</v>
      </c>
      <c r="B826" s="8" t="s">
        <v>0</v>
      </c>
      <c r="C826" s="8" t="s">
        <v>492</v>
      </c>
      <c r="D826" s="8" t="s">
        <v>4</v>
      </c>
      <c r="E826" s="8" t="s">
        <v>18</v>
      </c>
      <c r="F826" s="6">
        <v>2000</v>
      </c>
      <c r="G826" s="8" t="s">
        <v>1093</v>
      </c>
      <c r="H826" s="8" t="s">
        <v>492</v>
      </c>
      <c r="I826" s="8" t="s">
        <v>2638</v>
      </c>
      <c r="K826">
        <f>IF($A826="","",IF(ISNUMBER($A826),MONTH($A826),MONTH(DATEVALUE($A826))))</f>
        <v>7</v>
      </c>
    </row>
    <row r="827" spans="1:11" ht="60" customHeight="1" x14ac:dyDescent="0.25">
      <c r="A827" s="7" t="s">
        <v>1091</v>
      </c>
      <c r="B827" s="7" t="s">
        <v>0</v>
      </c>
      <c r="C827" s="7" t="s">
        <v>61</v>
      </c>
      <c r="D827" s="7" t="s">
        <v>4</v>
      </c>
      <c r="E827" s="7" t="s">
        <v>18</v>
      </c>
      <c r="F827" s="5">
        <v>50</v>
      </c>
      <c r="G827" s="7" t="s">
        <v>1094</v>
      </c>
      <c r="H827" s="7" t="s">
        <v>61</v>
      </c>
      <c r="I827" s="7" t="s">
        <v>2630</v>
      </c>
      <c r="K827">
        <f>IF($A827="","",IF(ISNUMBER($A827),MONTH($A827),MONTH(DATEVALUE($A827))))</f>
        <v>7</v>
      </c>
    </row>
    <row r="828" spans="1:11" ht="60" customHeight="1" x14ac:dyDescent="0.25">
      <c r="A828" s="8" t="s">
        <v>1095</v>
      </c>
      <c r="B828" s="8" t="s">
        <v>0</v>
      </c>
      <c r="C828" s="8" t="s">
        <v>1096</v>
      </c>
      <c r="D828" s="8" t="s">
        <v>4</v>
      </c>
      <c r="E828" s="8" t="s">
        <v>18</v>
      </c>
      <c r="F828" s="6">
        <v>-174.1</v>
      </c>
      <c r="G828" s="8" t="s">
        <v>1097</v>
      </c>
      <c r="H828" s="8" t="s">
        <v>1096</v>
      </c>
      <c r="I828" s="8" t="s">
        <v>2647</v>
      </c>
      <c r="K828">
        <f>IF($A828="","",IF(ISNUMBER($A828),MONTH($A828),MONTH(DATEVALUE($A828))))</f>
        <v>7</v>
      </c>
    </row>
    <row r="829" spans="1:11" ht="60" customHeight="1" x14ac:dyDescent="0.25">
      <c r="A829" s="7" t="s">
        <v>1098</v>
      </c>
      <c r="B829" s="7" t="s">
        <v>0</v>
      </c>
      <c r="C829" s="7" t="s">
        <v>522</v>
      </c>
      <c r="D829" s="7" t="s">
        <v>4</v>
      </c>
      <c r="E829" s="7" t="s">
        <v>18</v>
      </c>
      <c r="F829" s="5">
        <v>20.73</v>
      </c>
      <c r="G829" s="7" t="s">
        <v>1099</v>
      </c>
      <c r="H829" s="7" t="s">
        <v>522</v>
      </c>
      <c r="I829" s="7" t="s">
        <v>2647</v>
      </c>
      <c r="K829">
        <f>IF($A829="","",IF(ISNUMBER($A829),MONTH($A829),MONTH(DATEVALUE($A829))))</f>
        <v>7</v>
      </c>
    </row>
    <row r="830" spans="1:11" ht="60" customHeight="1" x14ac:dyDescent="0.25">
      <c r="A830" s="8" t="s">
        <v>1100</v>
      </c>
      <c r="B830" s="8" t="s">
        <v>0</v>
      </c>
      <c r="C830" s="8" t="s">
        <v>1096</v>
      </c>
      <c r="D830" s="8" t="s">
        <v>4</v>
      </c>
      <c r="E830" s="8" t="s">
        <v>18</v>
      </c>
      <c r="F830" s="6">
        <v>-413.9</v>
      </c>
      <c r="G830" s="8" t="s">
        <v>1101</v>
      </c>
      <c r="H830" s="8" t="s">
        <v>1096</v>
      </c>
      <c r="I830" s="8" t="s">
        <v>2647</v>
      </c>
      <c r="K830">
        <f>IF($A830="","",IF(ISNUMBER($A830),MONTH($A830),MONTH(DATEVALUE($A830))))</f>
        <v>7</v>
      </c>
    </row>
    <row r="831" spans="1:11" ht="60" customHeight="1" x14ac:dyDescent="0.25">
      <c r="A831" s="7" t="s">
        <v>1100</v>
      </c>
      <c r="B831" s="7" t="s">
        <v>0</v>
      </c>
      <c r="C831" s="7" t="s">
        <v>1102</v>
      </c>
      <c r="D831" s="7" t="s">
        <v>4</v>
      </c>
      <c r="E831" s="7" t="s">
        <v>18</v>
      </c>
      <c r="F831" s="5">
        <v>413.9</v>
      </c>
      <c r="G831" s="7" t="s">
        <v>1103</v>
      </c>
      <c r="H831" s="7" t="s">
        <v>1096</v>
      </c>
      <c r="I831" s="7" t="s">
        <v>2647</v>
      </c>
      <c r="K831">
        <f>IF($A831="","",IF(ISNUMBER($A831),MONTH($A831),MONTH(DATEVALUE($A831))))</f>
        <v>7</v>
      </c>
    </row>
    <row r="832" spans="1:11" ht="60" customHeight="1" x14ac:dyDescent="0.25">
      <c r="A832" s="8" t="s">
        <v>1100</v>
      </c>
      <c r="B832" s="8" t="s">
        <v>0</v>
      </c>
      <c r="C832" s="8" t="s">
        <v>108</v>
      </c>
      <c r="D832" s="8" t="s">
        <v>4</v>
      </c>
      <c r="E832" s="8" t="s">
        <v>18</v>
      </c>
      <c r="F832" s="6">
        <v>12.98</v>
      </c>
      <c r="G832" s="8" t="s">
        <v>1104</v>
      </c>
      <c r="H832" s="8" t="s">
        <v>108</v>
      </c>
      <c r="I832" s="8" t="s">
        <v>2630</v>
      </c>
      <c r="K832">
        <f>IF($A832="","",IF(ISNUMBER($A832),MONTH($A832),MONTH(DATEVALUE($A832))))</f>
        <v>7</v>
      </c>
    </row>
    <row r="833" spans="1:11" ht="60" customHeight="1" x14ac:dyDescent="0.25">
      <c r="A833" s="7" t="s">
        <v>1105</v>
      </c>
      <c r="B833" s="7" t="s">
        <v>0</v>
      </c>
      <c r="C833" s="7" t="s">
        <v>1096</v>
      </c>
      <c r="D833" s="7" t="s">
        <v>4</v>
      </c>
      <c r="E833" s="7" t="s">
        <v>18</v>
      </c>
      <c r="F833" s="5">
        <v>-413.9</v>
      </c>
      <c r="G833" s="7" t="s">
        <v>1101</v>
      </c>
      <c r="H833" s="7" t="s">
        <v>1096</v>
      </c>
      <c r="I833" s="7" t="s">
        <v>2647</v>
      </c>
      <c r="K833">
        <f>IF($A833="","",IF(ISNUMBER($A833),MONTH($A833),MONTH(DATEVALUE($A833))))</f>
        <v>7</v>
      </c>
    </row>
    <row r="834" spans="1:11" ht="60" customHeight="1" x14ac:dyDescent="0.25">
      <c r="A834" s="8" t="s">
        <v>1105</v>
      </c>
      <c r="B834" s="8" t="s">
        <v>0</v>
      </c>
      <c r="C834" s="8" t="s">
        <v>1096</v>
      </c>
      <c r="D834" s="8" t="s">
        <v>4</v>
      </c>
      <c r="E834" s="8" t="s">
        <v>18</v>
      </c>
      <c r="F834" s="6">
        <v>-56.16</v>
      </c>
      <c r="G834" s="8" t="s">
        <v>1101</v>
      </c>
      <c r="H834" s="8" t="s">
        <v>1096</v>
      </c>
      <c r="I834" s="8" t="s">
        <v>2647</v>
      </c>
      <c r="K834">
        <f>IF($A834="","",IF(ISNUMBER($A834),MONTH($A834),MONTH(DATEVALUE($A834))))</f>
        <v>7</v>
      </c>
    </row>
    <row r="835" spans="1:11" ht="60" customHeight="1" x14ac:dyDescent="0.25">
      <c r="A835" s="7" t="s">
        <v>1105</v>
      </c>
      <c r="B835" s="7" t="s">
        <v>0</v>
      </c>
      <c r="C835" s="7" t="s">
        <v>1102</v>
      </c>
      <c r="D835" s="7" t="s">
        <v>4</v>
      </c>
      <c r="E835" s="7" t="s">
        <v>18</v>
      </c>
      <c r="F835" s="5">
        <v>56.16</v>
      </c>
      <c r="G835" s="7" t="s">
        <v>1106</v>
      </c>
      <c r="H835" s="7" t="s">
        <v>1096</v>
      </c>
      <c r="I835" s="7" t="s">
        <v>2647</v>
      </c>
      <c r="K835">
        <f>IF($A835="","",IF(ISNUMBER($A835),MONTH($A835),MONTH(DATEVALUE($A835))))</f>
        <v>7</v>
      </c>
    </row>
    <row r="836" spans="1:11" ht="60" customHeight="1" x14ac:dyDescent="0.25">
      <c r="A836" s="8" t="s">
        <v>1105</v>
      </c>
      <c r="B836" s="8" t="s">
        <v>0</v>
      </c>
      <c r="C836" s="8" t="s">
        <v>1102</v>
      </c>
      <c r="D836" s="8" t="s">
        <v>4</v>
      </c>
      <c r="E836" s="8" t="s">
        <v>18</v>
      </c>
      <c r="F836" s="6">
        <v>413.9</v>
      </c>
      <c r="G836" s="8" t="s">
        <v>1107</v>
      </c>
      <c r="H836" s="8" t="s">
        <v>1096</v>
      </c>
      <c r="I836" s="8" t="s">
        <v>2647</v>
      </c>
      <c r="K836">
        <f>IF($A836="","",IF(ISNUMBER($A836),MONTH($A836),MONTH(DATEVALUE($A836))))</f>
        <v>7</v>
      </c>
    </row>
    <row r="837" spans="1:11" ht="60" customHeight="1" x14ac:dyDescent="0.25">
      <c r="A837" s="7" t="s">
        <v>1105</v>
      </c>
      <c r="B837" s="7" t="s">
        <v>0</v>
      </c>
      <c r="C837" s="7" t="s">
        <v>1108</v>
      </c>
      <c r="D837" s="7" t="s">
        <v>4</v>
      </c>
      <c r="E837" s="7" t="s">
        <v>18</v>
      </c>
      <c r="F837" s="5">
        <v>21.98</v>
      </c>
      <c r="G837" s="7" t="s">
        <v>1109</v>
      </c>
      <c r="H837" s="7" t="s">
        <v>1108</v>
      </c>
      <c r="I837" s="7" t="s">
        <v>2627</v>
      </c>
      <c r="K837">
        <f>IF($A837="","",IF(ISNUMBER($A837),MONTH($A837),MONTH(DATEVALUE($A837))))</f>
        <v>7</v>
      </c>
    </row>
    <row r="838" spans="1:11" ht="60" customHeight="1" x14ac:dyDescent="0.25">
      <c r="A838" s="8" t="s">
        <v>1105</v>
      </c>
      <c r="B838" s="8" t="s">
        <v>0</v>
      </c>
      <c r="C838" s="8" t="s">
        <v>1110</v>
      </c>
      <c r="D838" s="8" t="s">
        <v>4</v>
      </c>
      <c r="E838" s="8" t="s">
        <v>18</v>
      </c>
      <c r="F838" s="6">
        <v>57.73</v>
      </c>
      <c r="G838" s="8" t="s">
        <v>1111</v>
      </c>
      <c r="H838" s="8" t="s">
        <v>1110</v>
      </c>
      <c r="I838" s="8" t="s">
        <v>2627</v>
      </c>
      <c r="K838">
        <f>IF($A838="","",IF(ISNUMBER($A838),MONTH($A838),MONTH(DATEVALUE($A838))))</f>
        <v>7</v>
      </c>
    </row>
    <row r="839" spans="1:11" ht="60" customHeight="1" x14ac:dyDescent="0.25">
      <c r="A839" s="7" t="s">
        <v>1105</v>
      </c>
      <c r="B839" s="7" t="s">
        <v>0</v>
      </c>
      <c r="C839" s="7" t="s">
        <v>1112</v>
      </c>
      <c r="D839" s="7" t="s">
        <v>1113</v>
      </c>
      <c r="E839" s="7" t="s">
        <v>1114</v>
      </c>
      <c r="F839" s="5">
        <v>34.1</v>
      </c>
      <c r="G839" s="7" t="s">
        <v>1115</v>
      </c>
      <c r="H839" s="7" t="s">
        <v>1112</v>
      </c>
      <c r="I839" s="7" t="s">
        <v>2634</v>
      </c>
      <c r="K839">
        <f>IF($A839="","",IF(ISNUMBER($A839),MONTH($A839),MONTH(DATEVALUE($A839))))</f>
        <v>7</v>
      </c>
    </row>
    <row r="840" spans="1:11" ht="60" customHeight="1" x14ac:dyDescent="0.25">
      <c r="A840" s="8" t="s">
        <v>1116</v>
      </c>
      <c r="B840" s="8" t="s">
        <v>0</v>
      </c>
      <c r="C840" s="8" t="s">
        <v>1096</v>
      </c>
      <c r="D840" s="8" t="s">
        <v>4</v>
      </c>
      <c r="E840" s="8" t="s">
        <v>18</v>
      </c>
      <c r="F840" s="6">
        <v>-65.319999999999993</v>
      </c>
      <c r="G840" s="8" t="s">
        <v>1101</v>
      </c>
      <c r="H840" s="8" t="s">
        <v>1096</v>
      </c>
      <c r="I840" s="8" t="s">
        <v>2647</v>
      </c>
      <c r="K840">
        <f>IF($A840="","",IF(ISNUMBER($A840),MONTH($A840),MONTH(DATEVALUE($A840))))</f>
        <v>7</v>
      </c>
    </row>
    <row r="841" spans="1:11" ht="60" customHeight="1" x14ac:dyDescent="0.25">
      <c r="A841" s="7" t="s">
        <v>1116</v>
      </c>
      <c r="B841" s="7" t="s">
        <v>0</v>
      </c>
      <c r="C841" s="7" t="s">
        <v>1096</v>
      </c>
      <c r="D841" s="7" t="s">
        <v>4</v>
      </c>
      <c r="E841" s="7" t="s">
        <v>18</v>
      </c>
      <c r="F841" s="5">
        <v>-12.67</v>
      </c>
      <c r="G841" s="7" t="s">
        <v>1101</v>
      </c>
      <c r="H841" s="7" t="s">
        <v>1096</v>
      </c>
      <c r="I841" s="7" t="s">
        <v>2647</v>
      </c>
      <c r="K841">
        <f>IF($A841="","",IF(ISNUMBER($A841),MONTH($A841),MONTH(DATEVALUE($A841))))</f>
        <v>7</v>
      </c>
    </row>
    <row r="842" spans="1:11" ht="60" customHeight="1" x14ac:dyDescent="0.25">
      <c r="A842" s="8" t="s">
        <v>1116</v>
      </c>
      <c r="B842" s="8" t="s">
        <v>0</v>
      </c>
      <c r="C842" s="8" t="s">
        <v>1102</v>
      </c>
      <c r="D842" s="8" t="s">
        <v>4</v>
      </c>
      <c r="E842" s="8" t="s">
        <v>18</v>
      </c>
      <c r="F842" s="6">
        <v>12.67</v>
      </c>
      <c r="G842" s="8" t="s">
        <v>1117</v>
      </c>
      <c r="H842" s="8" t="s">
        <v>1096</v>
      </c>
      <c r="I842" s="8" t="s">
        <v>2647</v>
      </c>
      <c r="K842">
        <f>IF($A842="","",IF(ISNUMBER($A842),MONTH($A842),MONTH(DATEVALUE($A842))))</f>
        <v>7</v>
      </c>
    </row>
    <row r="843" spans="1:11" ht="60" customHeight="1" x14ac:dyDescent="0.25">
      <c r="A843" s="7" t="s">
        <v>1116</v>
      </c>
      <c r="B843" s="7" t="s">
        <v>0</v>
      </c>
      <c r="C843" s="7" t="s">
        <v>1102</v>
      </c>
      <c r="D843" s="7" t="s">
        <v>4</v>
      </c>
      <c r="E843" s="7" t="s">
        <v>18</v>
      </c>
      <c r="F843" s="5">
        <v>65.319999999999993</v>
      </c>
      <c r="G843" s="7" t="s">
        <v>1118</v>
      </c>
      <c r="H843" s="7" t="s">
        <v>1096</v>
      </c>
      <c r="I843" s="7" t="s">
        <v>2647</v>
      </c>
      <c r="K843">
        <f>IF($A843="","",IF(ISNUMBER($A843),MONTH($A843),MONTH(DATEVALUE($A843))))</f>
        <v>7</v>
      </c>
    </row>
    <row r="844" spans="1:11" ht="60" customHeight="1" x14ac:dyDescent="0.25">
      <c r="A844" s="8" t="s">
        <v>1116</v>
      </c>
      <c r="B844" s="8" t="s">
        <v>0</v>
      </c>
      <c r="C844" s="8" t="s">
        <v>1102</v>
      </c>
      <c r="D844" s="8" t="s">
        <v>4</v>
      </c>
      <c r="E844" s="8" t="s">
        <v>18</v>
      </c>
      <c r="F844" s="6">
        <v>84.56</v>
      </c>
      <c r="G844" s="8" t="s">
        <v>1119</v>
      </c>
      <c r="H844" s="8" t="s">
        <v>1096</v>
      </c>
      <c r="I844" s="8" t="s">
        <v>2647</v>
      </c>
      <c r="K844">
        <f>IF($A844="","",IF(ISNUMBER($A844),MONTH($A844),MONTH(DATEVALUE($A844))))</f>
        <v>7</v>
      </c>
    </row>
    <row r="845" spans="1:11" ht="60" customHeight="1" x14ac:dyDescent="0.25">
      <c r="A845" s="7" t="s">
        <v>1116</v>
      </c>
      <c r="B845" s="7" t="s">
        <v>0</v>
      </c>
      <c r="C845" s="7" t="s">
        <v>1120</v>
      </c>
      <c r="D845" s="7" t="s">
        <v>1113</v>
      </c>
      <c r="E845" s="7" t="s">
        <v>1114</v>
      </c>
      <c r="F845" s="5">
        <v>317.49</v>
      </c>
      <c r="G845" s="7" t="s">
        <v>1121</v>
      </c>
      <c r="H845" s="7" t="s">
        <v>1120</v>
      </c>
      <c r="I845" s="7" t="s">
        <v>2654</v>
      </c>
      <c r="K845">
        <f>IF($A845="","",IF(ISNUMBER($A845),MONTH($A845),MONTH(DATEVALUE($A845))))</f>
        <v>7</v>
      </c>
    </row>
    <row r="846" spans="1:11" ht="60" customHeight="1" x14ac:dyDescent="0.25">
      <c r="A846" s="8" t="s">
        <v>1116</v>
      </c>
      <c r="B846" s="8" t="s">
        <v>0</v>
      </c>
      <c r="C846" s="8" t="s">
        <v>1122</v>
      </c>
      <c r="D846" s="8" t="s">
        <v>1113</v>
      </c>
      <c r="E846" s="8" t="s">
        <v>1114</v>
      </c>
      <c r="F846" s="6">
        <v>118.31</v>
      </c>
      <c r="G846" s="8" t="s">
        <v>1123</v>
      </c>
      <c r="H846" s="8" t="s">
        <v>1122</v>
      </c>
      <c r="I846" s="7" t="s">
        <v>2654</v>
      </c>
      <c r="K846">
        <f>IF($A846="","",IF(ISNUMBER($A846),MONTH($A846),MONTH(DATEVALUE($A846))))</f>
        <v>7</v>
      </c>
    </row>
    <row r="847" spans="1:11" ht="60" customHeight="1" x14ac:dyDescent="0.25">
      <c r="A847" s="7" t="s">
        <v>1116</v>
      </c>
      <c r="B847" s="7" t="s">
        <v>0</v>
      </c>
      <c r="C847" s="7" t="s">
        <v>1124</v>
      </c>
      <c r="D847" s="7" t="s">
        <v>4</v>
      </c>
      <c r="E847" s="7" t="s">
        <v>18</v>
      </c>
      <c r="F847" s="5">
        <v>62.11</v>
      </c>
      <c r="G847" s="7" t="s">
        <v>1125</v>
      </c>
      <c r="H847" s="7" t="s">
        <v>1124</v>
      </c>
      <c r="I847" s="7" t="s">
        <v>2654</v>
      </c>
      <c r="K847">
        <f>IF($A847="","",IF(ISNUMBER($A847),MONTH($A847),MONTH(DATEVALUE($A847))))</f>
        <v>7</v>
      </c>
    </row>
    <row r="848" spans="1:11" ht="60" customHeight="1" x14ac:dyDescent="0.25">
      <c r="A848" s="8" t="s">
        <v>1116</v>
      </c>
      <c r="B848" s="8" t="s">
        <v>0</v>
      </c>
      <c r="C848" s="8" t="s">
        <v>132</v>
      </c>
      <c r="D848" s="8" t="s">
        <v>4</v>
      </c>
      <c r="E848" s="8" t="s">
        <v>18</v>
      </c>
      <c r="F848" s="6">
        <v>24</v>
      </c>
      <c r="G848" s="8" t="s">
        <v>1126</v>
      </c>
      <c r="H848" s="8" t="s">
        <v>132</v>
      </c>
      <c r="I848" s="8" t="s">
        <v>2630</v>
      </c>
      <c r="K848">
        <f>IF($A848="","",IF(ISNUMBER($A848),MONTH($A848),MONTH(DATEVALUE($A848))))</f>
        <v>7</v>
      </c>
    </row>
    <row r="849" spans="1:11" ht="60" customHeight="1" x14ac:dyDescent="0.25">
      <c r="A849" s="7" t="s">
        <v>1127</v>
      </c>
      <c r="B849" s="7" t="s">
        <v>0</v>
      </c>
      <c r="C849" s="7" t="s">
        <v>1096</v>
      </c>
      <c r="D849" s="7" t="s">
        <v>4</v>
      </c>
      <c r="E849" s="7" t="s">
        <v>18</v>
      </c>
      <c r="F849" s="5">
        <v>-317.85000000000002</v>
      </c>
      <c r="G849" s="7" t="s">
        <v>1101</v>
      </c>
      <c r="H849" s="7" t="s">
        <v>1096</v>
      </c>
      <c r="I849" s="7" t="s">
        <v>2647</v>
      </c>
      <c r="K849">
        <f>IF($A849="","",IF(ISNUMBER($A849),MONTH($A849),MONTH(DATEVALUE($A849))))</f>
        <v>7</v>
      </c>
    </row>
    <row r="850" spans="1:11" ht="60" customHeight="1" x14ac:dyDescent="0.25">
      <c r="A850" s="8" t="s">
        <v>1127</v>
      </c>
      <c r="B850" s="8" t="s">
        <v>0</v>
      </c>
      <c r="C850" s="8" t="s">
        <v>1102</v>
      </c>
      <c r="D850" s="8" t="s">
        <v>4</v>
      </c>
      <c r="E850" s="8" t="s">
        <v>18</v>
      </c>
      <c r="F850" s="6">
        <v>317.85000000000002</v>
      </c>
      <c r="G850" s="8" t="s">
        <v>1128</v>
      </c>
      <c r="H850" s="8" t="s">
        <v>1096</v>
      </c>
      <c r="I850" s="8" t="s">
        <v>2647</v>
      </c>
      <c r="K850">
        <f>IF($A850="","",IF(ISNUMBER($A850),MONTH($A850),MONTH(DATEVALUE($A850))))</f>
        <v>7</v>
      </c>
    </row>
    <row r="851" spans="1:11" ht="60" customHeight="1" x14ac:dyDescent="0.25">
      <c r="A851" s="7" t="s">
        <v>1127</v>
      </c>
      <c r="B851" s="7" t="s">
        <v>0</v>
      </c>
      <c r="C851" s="7" t="s">
        <v>1129</v>
      </c>
      <c r="D851" s="7" t="s">
        <v>4</v>
      </c>
      <c r="E851" s="7" t="s">
        <v>18</v>
      </c>
      <c r="F851" s="5">
        <v>10.34</v>
      </c>
      <c r="G851" s="7" t="s">
        <v>1130</v>
      </c>
      <c r="H851" s="7" t="s">
        <v>1129</v>
      </c>
      <c r="I851" s="7" t="s">
        <v>2654</v>
      </c>
      <c r="K851">
        <f>IF($A851="","",IF(ISNUMBER($A851),MONTH($A851),MONTH(DATEVALUE($A851))))</f>
        <v>7</v>
      </c>
    </row>
    <row r="852" spans="1:11" ht="60" customHeight="1" x14ac:dyDescent="0.25">
      <c r="A852" s="8" t="s">
        <v>1127</v>
      </c>
      <c r="B852" s="8" t="s">
        <v>0</v>
      </c>
      <c r="C852" s="8" t="s">
        <v>1131</v>
      </c>
      <c r="D852" s="8" t="s">
        <v>4</v>
      </c>
      <c r="E852" s="8" t="s">
        <v>18</v>
      </c>
      <c r="F852" s="6">
        <v>191.28</v>
      </c>
      <c r="G852" s="8" t="s">
        <v>1132</v>
      </c>
      <c r="H852" s="8" t="s">
        <v>1131</v>
      </c>
      <c r="I852" s="7" t="s">
        <v>2654</v>
      </c>
      <c r="K852">
        <f>IF($A852="","",IF(ISNUMBER($A852),MONTH($A852),MONTH(DATEVALUE($A852))))</f>
        <v>7</v>
      </c>
    </row>
    <row r="853" spans="1:11" ht="60" customHeight="1" x14ac:dyDescent="0.25">
      <c r="A853" s="7" t="s">
        <v>1127</v>
      </c>
      <c r="B853" s="7" t="s">
        <v>0</v>
      </c>
      <c r="C853" s="7" t="s">
        <v>654</v>
      </c>
      <c r="D853" s="7" t="s">
        <v>4</v>
      </c>
      <c r="E853" s="7" t="s">
        <v>18</v>
      </c>
      <c r="F853" s="5">
        <v>56.33</v>
      </c>
      <c r="G853" s="7" t="s">
        <v>1133</v>
      </c>
      <c r="H853" s="7" t="s">
        <v>654</v>
      </c>
      <c r="I853" s="7" t="s">
        <v>2654</v>
      </c>
      <c r="K853">
        <f>IF($A853="","",IF(ISNUMBER($A853),MONTH($A853),MONTH(DATEVALUE($A853))))</f>
        <v>7</v>
      </c>
    </row>
    <row r="854" spans="1:11" ht="60" customHeight="1" x14ac:dyDescent="0.25">
      <c r="A854" s="8" t="s">
        <v>1127</v>
      </c>
      <c r="B854" s="8" t="s">
        <v>0</v>
      </c>
      <c r="C854" s="8" t="s">
        <v>1002</v>
      </c>
      <c r="D854" s="8" t="s">
        <v>4</v>
      </c>
      <c r="E854" s="8" t="s">
        <v>18</v>
      </c>
      <c r="F854" s="6">
        <v>270</v>
      </c>
      <c r="G854" s="8" t="s">
        <v>1134</v>
      </c>
      <c r="H854" s="8" t="s">
        <v>1002</v>
      </c>
      <c r="I854" s="8" t="s">
        <v>2632</v>
      </c>
      <c r="K854">
        <f>IF($A854="","",IF(ISNUMBER($A854),MONTH($A854),MONTH(DATEVALUE($A854))))</f>
        <v>7</v>
      </c>
    </row>
    <row r="855" spans="1:11" ht="60" customHeight="1" x14ac:dyDescent="0.25">
      <c r="A855" s="7" t="s">
        <v>1127</v>
      </c>
      <c r="B855" s="7" t="s">
        <v>0</v>
      </c>
      <c r="C855" s="7" t="s">
        <v>1135</v>
      </c>
      <c r="D855" s="7" t="s">
        <v>4</v>
      </c>
      <c r="E855" s="7" t="s">
        <v>18</v>
      </c>
      <c r="F855" s="5">
        <v>2</v>
      </c>
      <c r="G855" s="7" t="s">
        <v>1136</v>
      </c>
      <c r="H855" s="7" t="s">
        <v>1135</v>
      </c>
      <c r="I855" s="7" t="s">
        <v>2640</v>
      </c>
      <c r="K855">
        <f>IF($A855="","",IF(ISNUMBER($A855),MONTH($A855),MONTH(DATEVALUE($A855))))</f>
        <v>7</v>
      </c>
    </row>
    <row r="856" spans="1:11" ht="60" customHeight="1" x14ac:dyDescent="0.25">
      <c r="A856" s="8" t="s">
        <v>1127</v>
      </c>
      <c r="B856" s="8" t="s">
        <v>0</v>
      </c>
      <c r="C856" s="8" t="s">
        <v>1137</v>
      </c>
      <c r="D856" s="8" t="s">
        <v>4</v>
      </c>
      <c r="E856" s="8" t="s">
        <v>18</v>
      </c>
      <c r="F856" s="6">
        <v>32</v>
      </c>
      <c r="G856" s="8" t="s">
        <v>1138</v>
      </c>
      <c r="H856" s="8" t="s">
        <v>1137</v>
      </c>
      <c r="I856" s="8" t="s">
        <v>2655</v>
      </c>
      <c r="K856">
        <f>IF($A856="","",IF(ISNUMBER($A856),MONTH($A856),MONTH(DATEVALUE($A856))))</f>
        <v>7</v>
      </c>
    </row>
    <row r="857" spans="1:11" ht="60" customHeight="1" x14ac:dyDescent="0.25">
      <c r="A857" s="7" t="s">
        <v>1127</v>
      </c>
      <c r="B857" s="7" t="s">
        <v>0</v>
      </c>
      <c r="C857" s="7" t="s">
        <v>1139</v>
      </c>
      <c r="D857" s="7" t="s">
        <v>4</v>
      </c>
      <c r="E857" s="7" t="s">
        <v>18</v>
      </c>
      <c r="F857" s="5">
        <v>716.79</v>
      </c>
      <c r="G857" s="7" t="s">
        <v>1140</v>
      </c>
      <c r="H857" s="7" t="s">
        <v>1139</v>
      </c>
      <c r="I857" s="7" t="s">
        <v>2654</v>
      </c>
      <c r="K857">
        <f>IF($A857="","",IF(ISNUMBER($A857),MONTH($A857),MONTH(DATEVALUE($A857))))</f>
        <v>7</v>
      </c>
    </row>
    <row r="858" spans="1:11" ht="60" customHeight="1" x14ac:dyDescent="0.25">
      <c r="A858" s="8" t="s">
        <v>1127</v>
      </c>
      <c r="B858" s="8" t="s">
        <v>0</v>
      </c>
      <c r="C858" s="8" t="s">
        <v>1141</v>
      </c>
      <c r="D858" s="8" t="s">
        <v>4</v>
      </c>
      <c r="E858" s="8" t="s">
        <v>18</v>
      </c>
      <c r="F858" s="6">
        <v>51.2</v>
      </c>
      <c r="G858" s="8" t="s">
        <v>1142</v>
      </c>
      <c r="H858" s="8" t="s">
        <v>1141</v>
      </c>
      <c r="I858" s="7" t="s">
        <v>2654</v>
      </c>
      <c r="K858">
        <f>IF($A858="","",IF(ISNUMBER($A858),MONTH($A858),MONTH(DATEVALUE($A858))))</f>
        <v>7</v>
      </c>
    </row>
    <row r="859" spans="1:11" ht="60" customHeight="1" x14ac:dyDescent="0.25">
      <c r="A859" s="7" t="s">
        <v>1143</v>
      </c>
      <c r="B859" s="7" t="s">
        <v>0</v>
      </c>
      <c r="C859" s="7" t="s">
        <v>1096</v>
      </c>
      <c r="D859" s="7" t="s">
        <v>4</v>
      </c>
      <c r="E859" s="7" t="s">
        <v>18</v>
      </c>
      <c r="F859" s="5">
        <v>-620.85</v>
      </c>
      <c r="G859" s="7" t="s">
        <v>1101</v>
      </c>
      <c r="H859" s="7" t="s">
        <v>1096</v>
      </c>
      <c r="I859" s="7" t="s">
        <v>2647</v>
      </c>
      <c r="K859">
        <f>IF($A859="","",IF(ISNUMBER($A859),MONTH($A859),MONTH(DATEVALUE($A859))))</f>
        <v>7</v>
      </c>
    </row>
    <row r="860" spans="1:11" ht="60" customHeight="1" x14ac:dyDescent="0.25">
      <c r="A860" s="8" t="s">
        <v>1143</v>
      </c>
      <c r="B860" s="8" t="s">
        <v>0</v>
      </c>
      <c r="C860" s="8" t="s">
        <v>1102</v>
      </c>
      <c r="D860" s="8" t="s">
        <v>4</v>
      </c>
      <c r="E860" s="8" t="s">
        <v>18</v>
      </c>
      <c r="F860" s="6">
        <v>620.85</v>
      </c>
      <c r="G860" s="8" t="s">
        <v>1144</v>
      </c>
      <c r="H860" s="8" t="s">
        <v>1096</v>
      </c>
      <c r="I860" s="8" t="s">
        <v>2647</v>
      </c>
      <c r="K860">
        <f>IF($A860="","",IF(ISNUMBER($A860),MONTH($A860),MONTH(DATEVALUE($A860))))</f>
        <v>7</v>
      </c>
    </row>
    <row r="861" spans="1:11" ht="60" customHeight="1" x14ac:dyDescent="0.25">
      <c r="A861" s="7" t="s">
        <v>1143</v>
      </c>
      <c r="B861" s="7" t="s">
        <v>0</v>
      </c>
      <c r="C861" s="7" t="s">
        <v>522</v>
      </c>
      <c r="D861" s="7" t="s">
        <v>4</v>
      </c>
      <c r="E861" s="7" t="s">
        <v>18</v>
      </c>
      <c r="F861" s="5">
        <v>264.94</v>
      </c>
      <c r="G861" s="7" t="s">
        <v>1145</v>
      </c>
      <c r="H861" s="7" t="s">
        <v>522</v>
      </c>
      <c r="I861" s="7" t="s">
        <v>2647</v>
      </c>
      <c r="K861">
        <f>IF($A861="","",IF(ISNUMBER($A861),MONTH($A861),MONTH(DATEVALUE($A861))))</f>
        <v>7</v>
      </c>
    </row>
    <row r="862" spans="1:11" ht="60" customHeight="1" x14ac:dyDescent="0.25">
      <c r="A862" s="8" t="s">
        <v>1143</v>
      </c>
      <c r="B862" s="8" t="s">
        <v>0</v>
      </c>
      <c r="C862" s="8" t="s">
        <v>1146</v>
      </c>
      <c r="D862" s="8" t="s">
        <v>4</v>
      </c>
      <c r="E862" s="8" t="s">
        <v>18</v>
      </c>
      <c r="F862" s="6">
        <v>125</v>
      </c>
      <c r="G862" s="8" t="s">
        <v>1147</v>
      </c>
      <c r="H862" s="8" t="s">
        <v>1146</v>
      </c>
      <c r="I862" s="8" t="s">
        <v>2638</v>
      </c>
      <c r="K862">
        <f>IF($A862="","",IF(ISNUMBER($A862),MONTH($A862),MONTH(DATEVALUE($A862))))</f>
        <v>7</v>
      </c>
    </row>
    <row r="863" spans="1:11" ht="60" customHeight="1" x14ac:dyDescent="0.25">
      <c r="A863" s="7" t="s">
        <v>1143</v>
      </c>
      <c r="B863" s="7" t="s">
        <v>0</v>
      </c>
      <c r="C863" s="7" t="s">
        <v>27</v>
      </c>
      <c r="D863" s="7" t="s">
        <v>4</v>
      </c>
      <c r="E863" s="7" t="s">
        <v>18</v>
      </c>
      <c r="F863" s="5">
        <v>20</v>
      </c>
      <c r="G863" s="7" t="s">
        <v>1148</v>
      </c>
      <c r="H863" s="7" t="s">
        <v>27</v>
      </c>
      <c r="I863" s="7" t="s">
        <v>2628</v>
      </c>
      <c r="K863">
        <f>IF($A863="","",IF(ISNUMBER($A863),MONTH($A863),MONTH(DATEVALUE($A863))))</f>
        <v>7</v>
      </c>
    </row>
    <row r="864" spans="1:11" ht="60" customHeight="1" x14ac:dyDescent="0.25">
      <c r="A864" s="8" t="s">
        <v>1143</v>
      </c>
      <c r="B864" s="8" t="s">
        <v>0</v>
      </c>
      <c r="C864" s="8" t="s">
        <v>1149</v>
      </c>
      <c r="D864" s="8" t="s">
        <v>4</v>
      </c>
      <c r="E864" s="8" t="s">
        <v>18</v>
      </c>
      <c r="F864" s="6">
        <v>50</v>
      </c>
      <c r="G864" s="8" t="s">
        <v>1150</v>
      </c>
      <c r="H864" s="8" t="s">
        <v>1149</v>
      </c>
      <c r="I864" s="8" t="s">
        <v>2634</v>
      </c>
      <c r="K864">
        <f>IF($A864="","",IF(ISNUMBER($A864),MONTH($A864),MONTH(DATEVALUE($A864))))</f>
        <v>7</v>
      </c>
    </row>
    <row r="865" spans="1:11" ht="60" customHeight="1" x14ac:dyDescent="0.25">
      <c r="A865" s="7" t="s">
        <v>1143</v>
      </c>
      <c r="B865" s="7" t="s">
        <v>0</v>
      </c>
      <c r="C865" s="7" t="s">
        <v>1151</v>
      </c>
      <c r="D865" s="7" t="s">
        <v>4</v>
      </c>
      <c r="E865" s="7" t="s">
        <v>18</v>
      </c>
      <c r="F865" s="5">
        <v>49</v>
      </c>
      <c r="G865" s="7" t="s">
        <v>1152</v>
      </c>
      <c r="H865" s="7" t="s">
        <v>1151</v>
      </c>
      <c r="I865" s="7" t="s">
        <v>2628</v>
      </c>
      <c r="K865">
        <f>IF($A865="","",IF(ISNUMBER($A865),MONTH($A865),MONTH(DATEVALUE($A865))))</f>
        <v>7</v>
      </c>
    </row>
    <row r="866" spans="1:11" ht="60" customHeight="1" x14ac:dyDescent="0.25">
      <c r="A866" s="8" t="s">
        <v>1153</v>
      </c>
      <c r="B866" s="8" t="s">
        <v>0</v>
      </c>
      <c r="C866" s="8" t="s">
        <v>1154</v>
      </c>
      <c r="D866" s="8" t="s">
        <v>4</v>
      </c>
      <c r="E866" s="8" t="s">
        <v>18</v>
      </c>
      <c r="F866" s="6">
        <v>10.99</v>
      </c>
      <c r="G866" s="8" t="s">
        <v>1155</v>
      </c>
      <c r="H866" s="8" t="s">
        <v>1154</v>
      </c>
      <c r="I866" s="8" t="s">
        <v>2627</v>
      </c>
      <c r="K866">
        <f>IF($A866="","",IF(ISNUMBER($A866),MONTH($A866),MONTH(DATEVALUE($A866))))</f>
        <v>7</v>
      </c>
    </row>
    <row r="867" spans="1:11" ht="60" customHeight="1" x14ac:dyDescent="0.25">
      <c r="A867" s="7" t="s">
        <v>1153</v>
      </c>
      <c r="B867" s="7" t="s">
        <v>0</v>
      </c>
      <c r="C867" s="7" t="s">
        <v>750</v>
      </c>
      <c r="D867" s="7" t="s">
        <v>4</v>
      </c>
      <c r="E867" s="7" t="s">
        <v>18</v>
      </c>
      <c r="F867" s="5">
        <v>152.22</v>
      </c>
      <c r="G867" s="7" t="s">
        <v>1156</v>
      </c>
      <c r="H867" s="7" t="s">
        <v>750</v>
      </c>
      <c r="I867" s="7" t="s">
        <v>2645</v>
      </c>
      <c r="K867">
        <f>IF($A867="","",IF(ISNUMBER($A867),MONTH($A867),MONTH(DATEVALUE($A867))))</f>
        <v>7</v>
      </c>
    </row>
    <row r="868" spans="1:11" ht="60" customHeight="1" x14ac:dyDescent="0.25">
      <c r="A868" s="8" t="s">
        <v>1153</v>
      </c>
      <c r="B868" s="8" t="s">
        <v>0</v>
      </c>
      <c r="C868" s="8" t="s">
        <v>762</v>
      </c>
      <c r="D868" s="8" t="s">
        <v>4</v>
      </c>
      <c r="E868" s="8" t="s">
        <v>18</v>
      </c>
      <c r="F868" s="6">
        <v>59.5</v>
      </c>
      <c r="G868" s="8" t="s">
        <v>1157</v>
      </c>
      <c r="H868" s="8" t="s">
        <v>762</v>
      </c>
      <c r="I868" s="8" t="s">
        <v>2650</v>
      </c>
      <c r="K868">
        <f>IF($A868="","",IF(ISNUMBER($A868),MONTH($A868),MONTH(DATEVALUE($A868))))</f>
        <v>7</v>
      </c>
    </row>
    <row r="869" spans="1:11" ht="60" customHeight="1" x14ac:dyDescent="0.25">
      <c r="A869" s="7" t="s">
        <v>1153</v>
      </c>
      <c r="B869" s="7" t="s">
        <v>0</v>
      </c>
      <c r="C869" s="7" t="s">
        <v>1158</v>
      </c>
      <c r="D869" s="7" t="s">
        <v>4</v>
      </c>
      <c r="E869" s="7" t="s">
        <v>18</v>
      </c>
      <c r="F869" s="5">
        <v>29.96</v>
      </c>
      <c r="G869" s="7" t="s">
        <v>1159</v>
      </c>
      <c r="H869" s="7" t="s">
        <v>1158</v>
      </c>
      <c r="I869" s="7" t="s">
        <v>2633</v>
      </c>
      <c r="K869">
        <f>IF($A869="","",IF(ISNUMBER($A869),MONTH($A869),MONTH(DATEVALUE($A869))))</f>
        <v>7</v>
      </c>
    </row>
    <row r="870" spans="1:11" ht="60" customHeight="1" x14ac:dyDescent="0.25">
      <c r="A870" s="8" t="s">
        <v>1160</v>
      </c>
      <c r="B870" s="8" t="s">
        <v>0</v>
      </c>
      <c r="C870" s="8" t="s">
        <v>1096</v>
      </c>
      <c r="D870" s="8" t="s">
        <v>4</v>
      </c>
      <c r="E870" s="8" t="s">
        <v>18</v>
      </c>
      <c r="F870" s="6">
        <v>-529.75</v>
      </c>
      <c r="G870" s="8" t="s">
        <v>1101</v>
      </c>
      <c r="H870" s="8" t="s">
        <v>1096</v>
      </c>
      <c r="I870" s="8" t="s">
        <v>2647</v>
      </c>
      <c r="K870">
        <f>IF($A870="","",IF(ISNUMBER($A870),MONTH($A870),MONTH(DATEVALUE($A870))))</f>
        <v>7</v>
      </c>
    </row>
    <row r="871" spans="1:11" ht="60" customHeight="1" x14ac:dyDescent="0.25">
      <c r="A871" s="7" t="s">
        <v>1160</v>
      </c>
      <c r="B871" s="7" t="s">
        <v>0</v>
      </c>
      <c r="C871" s="7" t="s">
        <v>1096</v>
      </c>
      <c r="D871" s="7" t="s">
        <v>4</v>
      </c>
      <c r="E871" s="7" t="s">
        <v>18</v>
      </c>
      <c r="F871" s="5">
        <v>-181.41</v>
      </c>
      <c r="G871" s="7" t="s">
        <v>1101</v>
      </c>
      <c r="H871" s="7" t="s">
        <v>1096</v>
      </c>
      <c r="I871" s="7" t="s">
        <v>2647</v>
      </c>
      <c r="K871">
        <f>IF($A871="","",IF(ISNUMBER($A871),MONTH($A871),MONTH(DATEVALUE($A871))))</f>
        <v>7</v>
      </c>
    </row>
    <row r="872" spans="1:11" ht="60" customHeight="1" x14ac:dyDescent="0.25">
      <c r="A872" s="8" t="s">
        <v>1160</v>
      </c>
      <c r="B872" s="8" t="s">
        <v>0</v>
      </c>
      <c r="C872" s="8" t="s">
        <v>1096</v>
      </c>
      <c r="D872" s="8" t="s">
        <v>4</v>
      </c>
      <c r="E872" s="8" t="s">
        <v>18</v>
      </c>
      <c r="F872" s="6">
        <v>-158.32</v>
      </c>
      <c r="G872" s="8" t="s">
        <v>1101</v>
      </c>
      <c r="H872" s="8" t="s">
        <v>1096</v>
      </c>
      <c r="I872" s="8" t="s">
        <v>2647</v>
      </c>
      <c r="K872">
        <f>IF($A872="","",IF(ISNUMBER($A872),MONTH($A872),MONTH(DATEVALUE($A872))))</f>
        <v>7</v>
      </c>
    </row>
    <row r="873" spans="1:11" ht="60" customHeight="1" x14ac:dyDescent="0.25">
      <c r="A873" s="7" t="s">
        <v>1160</v>
      </c>
      <c r="B873" s="7" t="s">
        <v>0</v>
      </c>
      <c r="C873" s="7" t="s">
        <v>1102</v>
      </c>
      <c r="D873" s="7" t="s">
        <v>4</v>
      </c>
      <c r="E873" s="7" t="s">
        <v>18</v>
      </c>
      <c r="F873" s="5">
        <v>158.32</v>
      </c>
      <c r="G873" s="7" t="s">
        <v>1161</v>
      </c>
      <c r="H873" s="7" t="s">
        <v>1096</v>
      </c>
      <c r="I873" s="7" t="s">
        <v>2647</v>
      </c>
      <c r="K873">
        <f>IF($A873="","",IF(ISNUMBER($A873),MONTH($A873),MONTH(DATEVALUE($A873))))</f>
        <v>7</v>
      </c>
    </row>
    <row r="874" spans="1:11" ht="60" customHeight="1" x14ac:dyDescent="0.25">
      <c r="A874" s="8" t="s">
        <v>1160</v>
      </c>
      <c r="B874" s="8" t="s">
        <v>0</v>
      </c>
      <c r="C874" s="8" t="s">
        <v>1102</v>
      </c>
      <c r="D874" s="8" t="s">
        <v>4</v>
      </c>
      <c r="E874" s="8" t="s">
        <v>18</v>
      </c>
      <c r="F874" s="6">
        <v>181.41</v>
      </c>
      <c r="G874" s="8" t="s">
        <v>1162</v>
      </c>
      <c r="H874" s="8" t="s">
        <v>1096</v>
      </c>
      <c r="I874" s="8" t="s">
        <v>2647</v>
      </c>
      <c r="K874">
        <f>IF($A874="","",IF(ISNUMBER($A874),MONTH($A874),MONTH(DATEVALUE($A874))))</f>
        <v>7</v>
      </c>
    </row>
    <row r="875" spans="1:11" ht="60" customHeight="1" x14ac:dyDescent="0.25">
      <c r="A875" s="7" t="s">
        <v>1160</v>
      </c>
      <c r="B875" s="7" t="s">
        <v>0</v>
      </c>
      <c r="C875" s="7" t="s">
        <v>1102</v>
      </c>
      <c r="D875" s="7" t="s">
        <v>4</v>
      </c>
      <c r="E875" s="7" t="s">
        <v>18</v>
      </c>
      <c r="F875" s="5">
        <v>529.75</v>
      </c>
      <c r="G875" s="7" t="s">
        <v>1163</v>
      </c>
      <c r="H875" s="7" t="s">
        <v>1096</v>
      </c>
      <c r="I875" s="7" t="s">
        <v>2647</v>
      </c>
      <c r="K875">
        <f>IF($A875="","",IF(ISNUMBER($A875),MONTH($A875),MONTH(DATEVALUE($A875))))</f>
        <v>7</v>
      </c>
    </row>
    <row r="876" spans="1:11" ht="60" customHeight="1" x14ac:dyDescent="0.25">
      <c r="A876" s="8" t="s">
        <v>1160</v>
      </c>
      <c r="B876" s="8" t="s">
        <v>0</v>
      </c>
      <c r="C876" s="8" t="s">
        <v>1164</v>
      </c>
      <c r="D876" s="8" t="s">
        <v>4</v>
      </c>
      <c r="E876" s="8" t="s">
        <v>18</v>
      </c>
      <c r="F876" s="6">
        <v>3.24</v>
      </c>
      <c r="G876" s="8" t="s">
        <v>1165</v>
      </c>
      <c r="H876" s="8" t="s">
        <v>1164</v>
      </c>
      <c r="I876" s="8" t="s">
        <v>2647</v>
      </c>
      <c r="K876">
        <f>IF($A876="","",IF(ISNUMBER($A876),MONTH($A876),MONTH(DATEVALUE($A876))))</f>
        <v>7</v>
      </c>
    </row>
    <row r="877" spans="1:11" ht="60" customHeight="1" x14ac:dyDescent="0.25">
      <c r="A877" s="7" t="s">
        <v>1160</v>
      </c>
      <c r="B877" s="7" t="s">
        <v>0</v>
      </c>
      <c r="C877" s="7" t="s">
        <v>522</v>
      </c>
      <c r="D877" s="7" t="s">
        <v>4</v>
      </c>
      <c r="E877" s="7" t="s">
        <v>18</v>
      </c>
      <c r="F877" s="5">
        <v>165.62</v>
      </c>
      <c r="G877" s="7" t="s">
        <v>1166</v>
      </c>
      <c r="H877" s="7" t="s">
        <v>522</v>
      </c>
      <c r="I877" s="7" t="s">
        <v>2647</v>
      </c>
      <c r="K877">
        <f>IF($A877="","",IF(ISNUMBER($A877),MONTH($A877),MONTH(DATEVALUE($A877))))</f>
        <v>7</v>
      </c>
    </row>
    <row r="878" spans="1:11" ht="60" customHeight="1" x14ac:dyDescent="0.25">
      <c r="A878" s="8" t="s">
        <v>1160</v>
      </c>
      <c r="B878" s="8" t="s">
        <v>0</v>
      </c>
      <c r="C878" s="8" t="s">
        <v>567</v>
      </c>
      <c r="D878" s="8" t="s">
        <v>4</v>
      </c>
      <c r="E878" s="8" t="s">
        <v>18</v>
      </c>
      <c r="F878" s="6">
        <v>16.23</v>
      </c>
      <c r="G878" s="8" t="s">
        <v>1167</v>
      </c>
      <c r="H878" s="8" t="s">
        <v>567</v>
      </c>
      <c r="I878" s="8" t="s">
        <v>2647</v>
      </c>
      <c r="K878">
        <f>IF($A878="","",IF(ISNUMBER($A878),MONTH($A878),MONTH(DATEVALUE($A878))))</f>
        <v>7</v>
      </c>
    </row>
    <row r="879" spans="1:11" ht="60" customHeight="1" x14ac:dyDescent="0.25">
      <c r="A879" s="7" t="s">
        <v>1160</v>
      </c>
      <c r="B879" s="7" t="s">
        <v>0</v>
      </c>
      <c r="C879" s="7" t="s">
        <v>176</v>
      </c>
      <c r="D879" s="7" t="s">
        <v>4</v>
      </c>
      <c r="E879" s="7" t="s">
        <v>18</v>
      </c>
      <c r="F879" s="5">
        <v>9.99</v>
      </c>
      <c r="G879" s="7" t="s">
        <v>1168</v>
      </c>
      <c r="H879" s="7" t="s">
        <v>176</v>
      </c>
      <c r="I879" s="7" t="s">
        <v>2630</v>
      </c>
      <c r="K879">
        <f>IF($A879="","",IF(ISNUMBER($A879),MONTH($A879),MONTH(DATEVALUE($A879))))</f>
        <v>7</v>
      </c>
    </row>
    <row r="880" spans="1:11" ht="60" customHeight="1" x14ac:dyDescent="0.25">
      <c r="A880" s="8" t="s">
        <v>1160</v>
      </c>
      <c r="B880" s="8" t="s">
        <v>0</v>
      </c>
      <c r="C880" s="8" t="s">
        <v>178</v>
      </c>
      <c r="D880" s="8" t="s">
        <v>4</v>
      </c>
      <c r="E880" s="8" t="s">
        <v>18</v>
      </c>
      <c r="F880" s="6">
        <v>260</v>
      </c>
      <c r="G880" s="8" t="s">
        <v>1169</v>
      </c>
      <c r="H880" s="8" t="s">
        <v>178</v>
      </c>
      <c r="I880" s="8" t="s">
        <v>2638</v>
      </c>
      <c r="K880">
        <f>IF($A880="","",IF(ISNUMBER($A880),MONTH($A880),MONTH(DATEVALUE($A880))))</f>
        <v>7</v>
      </c>
    </row>
    <row r="881" spans="1:11" ht="60" customHeight="1" x14ac:dyDescent="0.25">
      <c r="A881" s="7" t="s">
        <v>1160</v>
      </c>
      <c r="B881" s="7" t="s">
        <v>0</v>
      </c>
      <c r="C881" s="7" t="s">
        <v>1170</v>
      </c>
      <c r="D881" s="7" t="s">
        <v>4</v>
      </c>
      <c r="E881" s="7" t="s">
        <v>18</v>
      </c>
      <c r="F881" s="5">
        <v>30.97</v>
      </c>
      <c r="G881" s="7" t="s">
        <v>1171</v>
      </c>
      <c r="H881" s="7" t="s">
        <v>1170</v>
      </c>
      <c r="I881" s="7" t="s">
        <v>2627</v>
      </c>
      <c r="K881">
        <f>IF($A881="","",IF(ISNUMBER($A881),MONTH($A881),MONTH(DATEVALUE($A881))))</f>
        <v>7</v>
      </c>
    </row>
    <row r="882" spans="1:11" ht="60" customHeight="1" x14ac:dyDescent="0.25">
      <c r="A882" s="8" t="s">
        <v>1160</v>
      </c>
      <c r="B882" s="8" t="s">
        <v>0</v>
      </c>
      <c r="C882" s="8" t="s">
        <v>1172</v>
      </c>
      <c r="D882" s="8" t="s">
        <v>4</v>
      </c>
      <c r="E882" s="8" t="s">
        <v>18</v>
      </c>
      <c r="F882" s="6">
        <v>147.54</v>
      </c>
      <c r="G882" s="8" t="s">
        <v>1173</v>
      </c>
      <c r="H882" s="8" t="s">
        <v>1172</v>
      </c>
      <c r="I882" s="8" t="s">
        <v>2633</v>
      </c>
      <c r="K882">
        <f>IF($A882="","",IF(ISNUMBER($A882),MONTH($A882),MONTH(DATEVALUE($A882))))</f>
        <v>7</v>
      </c>
    </row>
    <row r="883" spans="1:11" ht="60" customHeight="1" x14ac:dyDescent="0.25">
      <c r="A883" s="7" t="s">
        <v>1160</v>
      </c>
      <c r="B883" s="7" t="s">
        <v>0</v>
      </c>
      <c r="C883" s="7" t="s">
        <v>63</v>
      </c>
      <c r="D883" s="7" t="s">
        <v>4</v>
      </c>
      <c r="E883" s="7" t="s">
        <v>18</v>
      </c>
      <c r="F883" s="5">
        <v>32.950000000000003</v>
      </c>
      <c r="G883" s="7" t="s">
        <v>1174</v>
      </c>
      <c r="H883" s="7" t="s">
        <v>63</v>
      </c>
      <c r="I883" s="7" t="s">
        <v>2633</v>
      </c>
      <c r="K883">
        <f>IF($A883="","",IF(ISNUMBER($A883),MONTH($A883),MONTH(DATEVALUE($A883))))</f>
        <v>7</v>
      </c>
    </row>
    <row r="884" spans="1:11" ht="60" customHeight="1" x14ac:dyDescent="0.25">
      <c r="A884" s="8" t="s">
        <v>1175</v>
      </c>
      <c r="B884" s="8" t="s">
        <v>0</v>
      </c>
      <c r="C884" s="8" t="s">
        <v>1096</v>
      </c>
      <c r="D884" s="8" t="s">
        <v>4</v>
      </c>
      <c r="E884" s="8" t="s">
        <v>18</v>
      </c>
      <c r="F884" s="6">
        <v>-511.91</v>
      </c>
      <c r="G884" s="8" t="s">
        <v>1101</v>
      </c>
      <c r="H884" s="8" t="s">
        <v>1096</v>
      </c>
      <c r="I884" s="8" t="s">
        <v>2647</v>
      </c>
      <c r="K884">
        <f>IF($A884="","",IF(ISNUMBER($A884),MONTH($A884),MONTH(DATEVALUE($A884))))</f>
        <v>7</v>
      </c>
    </row>
    <row r="885" spans="1:11" ht="60" customHeight="1" x14ac:dyDescent="0.25">
      <c r="A885" s="7" t="s">
        <v>1175</v>
      </c>
      <c r="B885" s="7" t="s">
        <v>0</v>
      </c>
      <c r="C885" s="7" t="s">
        <v>1102</v>
      </c>
      <c r="D885" s="7" t="s">
        <v>4</v>
      </c>
      <c r="E885" s="7" t="s">
        <v>18</v>
      </c>
      <c r="F885" s="5">
        <v>511.91</v>
      </c>
      <c r="G885" s="7" t="s">
        <v>1176</v>
      </c>
      <c r="H885" s="7" t="s">
        <v>1096</v>
      </c>
      <c r="I885" s="7" t="s">
        <v>2647</v>
      </c>
      <c r="K885">
        <f>IF($A885="","",IF(ISNUMBER($A885),MONTH($A885),MONTH(DATEVALUE($A885))))</f>
        <v>7</v>
      </c>
    </row>
    <row r="886" spans="1:11" ht="60" customHeight="1" x14ac:dyDescent="0.25">
      <c r="A886" s="8" t="s">
        <v>1175</v>
      </c>
      <c r="B886" s="8" t="s">
        <v>0</v>
      </c>
      <c r="C886" s="8" t="s">
        <v>1177</v>
      </c>
      <c r="D886" s="8" t="s">
        <v>4</v>
      </c>
      <c r="E886" s="8" t="s">
        <v>18</v>
      </c>
      <c r="F886" s="6">
        <v>17.97</v>
      </c>
      <c r="G886" s="8" t="s">
        <v>1178</v>
      </c>
      <c r="H886" s="8" t="s">
        <v>1177</v>
      </c>
      <c r="I886" s="8" t="s">
        <v>2627</v>
      </c>
      <c r="K886">
        <f>IF($A886="","",IF(ISNUMBER($A886),MONTH($A886),MONTH(DATEVALUE($A886))))</f>
        <v>7</v>
      </c>
    </row>
    <row r="887" spans="1:11" ht="60" customHeight="1" x14ac:dyDescent="0.25">
      <c r="A887" s="7" t="s">
        <v>1175</v>
      </c>
      <c r="B887" s="7" t="s">
        <v>0</v>
      </c>
      <c r="C887" s="7" t="s">
        <v>656</v>
      </c>
      <c r="D887" s="7" t="s">
        <v>4</v>
      </c>
      <c r="E887" s="7" t="s">
        <v>18</v>
      </c>
      <c r="F887" s="5">
        <v>19.760000000000002</v>
      </c>
      <c r="G887" s="7" t="s">
        <v>1179</v>
      </c>
      <c r="H887" s="7" t="s">
        <v>656</v>
      </c>
      <c r="I887" s="7" t="s">
        <v>2635</v>
      </c>
      <c r="K887">
        <f>IF($A887="","",IF(ISNUMBER($A887),MONTH($A887),MONTH(DATEVALUE($A887))))</f>
        <v>7</v>
      </c>
    </row>
    <row r="888" spans="1:11" ht="60" customHeight="1" x14ac:dyDescent="0.25">
      <c r="A888" s="8" t="s">
        <v>1175</v>
      </c>
      <c r="B888" s="8" t="s">
        <v>0</v>
      </c>
      <c r="C888" s="8" t="s">
        <v>656</v>
      </c>
      <c r="D888" s="8" t="s">
        <v>4</v>
      </c>
      <c r="E888" s="8" t="s">
        <v>18</v>
      </c>
      <c r="F888" s="6">
        <v>62.01</v>
      </c>
      <c r="G888" s="8" t="s">
        <v>1180</v>
      </c>
      <c r="H888" s="8" t="s">
        <v>656</v>
      </c>
      <c r="I888" s="7" t="s">
        <v>2635</v>
      </c>
      <c r="K888">
        <f>IF($A888="","",IF(ISNUMBER($A888),MONTH($A888),MONTH(DATEVALUE($A888))))</f>
        <v>7</v>
      </c>
    </row>
    <row r="889" spans="1:11" ht="60" customHeight="1" x14ac:dyDescent="0.25">
      <c r="A889" s="7" t="s">
        <v>1175</v>
      </c>
      <c r="B889" s="7" t="s">
        <v>0</v>
      </c>
      <c r="C889" s="7" t="s">
        <v>279</v>
      </c>
      <c r="D889" s="7" t="s">
        <v>4</v>
      </c>
      <c r="E889" s="7" t="s">
        <v>18</v>
      </c>
      <c r="F889" s="5">
        <v>1</v>
      </c>
      <c r="G889" s="7" t="s">
        <v>1181</v>
      </c>
      <c r="H889" s="7" t="s">
        <v>279</v>
      </c>
      <c r="I889" s="7" t="s">
        <v>2634</v>
      </c>
      <c r="K889">
        <f>IF($A889="","",IF(ISNUMBER($A889),MONTH($A889),MONTH(DATEVALUE($A889))))</f>
        <v>7</v>
      </c>
    </row>
    <row r="890" spans="1:11" ht="60" customHeight="1" x14ac:dyDescent="0.25">
      <c r="A890" s="8" t="s">
        <v>1182</v>
      </c>
      <c r="B890" s="8" t="s">
        <v>0</v>
      </c>
      <c r="C890" s="8" t="s">
        <v>1096</v>
      </c>
      <c r="D890" s="8" t="s">
        <v>4</v>
      </c>
      <c r="E890" s="8" t="s">
        <v>18</v>
      </c>
      <c r="F890" s="6">
        <v>-41.11</v>
      </c>
      <c r="G890" s="8" t="s">
        <v>1101</v>
      </c>
      <c r="H890" s="8" t="s">
        <v>1096</v>
      </c>
      <c r="I890" s="8" t="s">
        <v>2647</v>
      </c>
      <c r="K890">
        <f>IF($A890="","",IF(ISNUMBER($A890),MONTH($A890),MONTH(DATEVALUE($A890))))</f>
        <v>7</v>
      </c>
    </row>
    <row r="891" spans="1:11" ht="60" customHeight="1" x14ac:dyDescent="0.25">
      <c r="A891" s="7" t="s">
        <v>1182</v>
      </c>
      <c r="B891" s="7" t="s">
        <v>0</v>
      </c>
      <c r="C891" s="7" t="s">
        <v>1102</v>
      </c>
      <c r="D891" s="7" t="s">
        <v>4</v>
      </c>
      <c r="E891" s="7" t="s">
        <v>18</v>
      </c>
      <c r="F891" s="5">
        <v>41.11</v>
      </c>
      <c r="G891" s="7" t="s">
        <v>1183</v>
      </c>
      <c r="H891" s="7" t="s">
        <v>1096</v>
      </c>
      <c r="I891" s="7" t="s">
        <v>2647</v>
      </c>
      <c r="K891">
        <f>IF($A891="","",IF(ISNUMBER($A891),MONTH($A891),MONTH(DATEVALUE($A891))))</f>
        <v>7</v>
      </c>
    </row>
    <row r="892" spans="1:11" ht="60" customHeight="1" x14ac:dyDescent="0.25">
      <c r="A892" s="8" t="s">
        <v>1182</v>
      </c>
      <c r="B892" s="8" t="s">
        <v>0</v>
      </c>
      <c r="C892" s="8" t="s">
        <v>1184</v>
      </c>
      <c r="D892" s="8" t="s">
        <v>4</v>
      </c>
      <c r="E892" s="8" t="s">
        <v>18</v>
      </c>
      <c r="F892" s="6">
        <v>40.97</v>
      </c>
      <c r="G892" s="8" t="s">
        <v>1185</v>
      </c>
      <c r="H892" s="8" t="s">
        <v>1184</v>
      </c>
      <c r="I892" s="8" t="s">
        <v>2627</v>
      </c>
      <c r="K892">
        <f>IF($A892="","",IF(ISNUMBER($A892),MONTH($A892),MONTH(DATEVALUE($A892))))</f>
        <v>7</v>
      </c>
    </row>
    <row r="893" spans="1:11" ht="60" customHeight="1" x14ac:dyDescent="0.25">
      <c r="A893" s="7" t="s">
        <v>1182</v>
      </c>
      <c r="B893" s="7" t="s">
        <v>0</v>
      </c>
      <c r="C893" s="7" t="s">
        <v>1186</v>
      </c>
      <c r="D893" s="7" t="s">
        <v>4</v>
      </c>
      <c r="E893" s="7" t="s">
        <v>18</v>
      </c>
      <c r="F893" s="5">
        <v>106.58</v>
      </c>
      <c r="G893" s="7" t="s">
        <v>1187</v>
      </c>
      <c r="H893" s="7" t="s">
        <v>1186</v>
      </c>
      <c r="I893" s="7" t="s">
        <v>2654</v>
      </c>
      <c r="K893">
        <f>IF($A893="","",IF(ISNUMBER($A893),MONTH($A893),MONTH(DATEVALUE($A893))))</f>
        <v>7</v>
      </c>
    </row>
    <row r="894" spans="1:11" ht="60" customHeight="1" x14ac:dyDescent="0.25">
      <c r="A894" s="8" t="s">
        <v>1182</v>
      </c>
      <c r="B894" s="8" t="s">
        <v>0</v>
      </c>
      <c r="C894" s="8" t="s">
        <v>92</v>
      </c>
      <c r="D894" s="8" t="s">
        <v>4</v>
      </c>
      <c r="E894" s="8" t="s">
        <v>18</v>
      </c>
      <c r="F894" s="6">
        <v>137.1</v>
      </c>
      <c r="G894" s="8" t="s">
        <v>1188</v>
      </c>
      <c r="H894" s="8" t="s">
        <v>92</v>
      </c>
      <c r="I894" s="8" t="s">
        <v>2633</v>
      </c>
      <c r="K894">
        <f>IF($A894="","",IF(ISNUMBER($A894),MONTH($A894),MONTH(DATEVALUE($A894))))</f>
        <v>7</v>
      </c>
    </row>
    <row r="895" spans="1:11" ht="60" customHeight="1" x14ac:dyDescent="0.25">
      <c r="A895" s="7" t="s">
        <v>1182</v>
      </c>
      <c r="B895" s="7" t="s">
        <v>0</v>
      </c>
      <c r="C895" s="7" t="s">
        <v>171</v>
      </c>
      <c r="D895" s="7" t="s">
        <v>4</v>
      </c>
      <c r="E895" s="7" t="s">
        <v>18</v>
      </c>
      <c r="F895" s="5">
        <v>56.28</v>
      </c>
      <c r="G895" s="7" t="s">
        <v>1189</v>
      </c>
      <c r="H895" s="7" t="s">
        <v>171</v>
      </c>
      <c r="I895" s="7" t="s">
        <v>2633</v>
      </c>
      <c r="K895">
        <f>IF($A895="","",IF(ISNUMBER($A895),MONTH($A895),MONTH(DATEVALUE($A895))))</f>
        <v>7</v>
      </c>
    </row>
    <row r="896" spans="1:11" ht="60" customHeight="1" x14ac:dyDescent="0.25">
      <c r="A896" s="8" t="s">
        <v>1190</v>
      </c>
      <c r="B896" s="8" t="s">
        <v>0</v>
      </c>
      <c r="C896" s="8" t="s">
        <v>1096</v>
      </c>
      <c r="D896" s="8" t="s">
        <v>4</v>
      </c>
      <c r="E896" s="8" t="s">
        <v>18</v>
      </c>
      <c r="F896" s="6">
        <v>-413.9</v>
      </c>
      <c r="G896" s="8" t="s">
        <v>1101</v>
      </c>
      <c r="H896" s="8" t="s">
        <v>1096</v>
      </c>
      <c r="I896" s="8" t="s">
        <v>2647</v>
      </c>
      <c r="K896">
        <f>IF($A896="","",IF(ISNUMBER($A896),MONTH($A896),MONTH(DATEVALUE($A896))))</f>
        <v>7</v>
      </c>
    </row>
    <row r="897" spans="1:11" ht="60" customHeight="1" x14ac:dyDescent="0.25">
      <c r="A897" s="7" t="s">
        <v>1190</v>
      </c>
      <c r="B897" s="7" t="s">
        <v>0</v>
      </c>
      <c r="C897" s="7" t="s">
        <v>1096</v>
      </c>
      <c r="D897" s="7" t="s">
        <v>4</v>
      </c>
      <c r="E897" s="7" t="s">
        <v>18</v>
      </c>
      <c r="F897" s="5">
        <v>-43.04</v>
      </c>
      <c r="G897" s="7" t="s">
        <v>1101</v>
      </c>
      <c r="H897" s="7" t="s">
        <v>1096</v>
      </c>
      <c r="I897" s="7" t="s">
        <v>2647</v>
      </c>
      <c r="K897">
        <f>IF($A897="","",IF(ISNUMBER($A897),MONTH($A897),MONTH(DATEVALUE($A897))))</f>
        <v>7</v>
      </c>
    </row>
    <row r="898" spans="1:11" ht="60" customHeight="1" x14ac:dyDescent="0.25">
      <c r="A898" s="8" t="s">
        <v>1190</v>
      </c>
      <c r="B898" s="8" t="s">
        <v>0</v>
      </c>
      <c r="C898" s="8" t="s">
        <v>1096</v>
      </c>
      <c r="D898" s="8" t="s">
        <v>4</v>
      </c>
      <c r="E898" s="8" t="s">
        <v>18</v>
      </c>
      <c r="F898" s="6">
        <v>-28.05</v>
      </c>
      <c r="G898" s="8" t="s">
        <v>1101</v>
      </c>
      <c r="H898" s="8" t="s">
        <v>1096</v>
      </c>
      <c r="I898" s="8" t="s">
        <v>2647</v>
      </c>
      <c r="K898">
        <f>IF($A898="","",IF(ISNUMBER($A898),MONTH($A898),MONTH(DATEVALUE($A898))))</f>
        <v>7</v>
      </c>
    </row>
    <row r="899" spans="1:11" ht="60" customHeight="1" x14ac:dyDescent="0.25">
      <c r="A899" s="7" t="s">
        <v>1190</v>
      </c>
      <c r="B899" s="7" t="s">
        <v>0</v>
      </c>
      <c r="C899" s="7" t="s">
        <v>1102</v>
      </c>
      <c r="D899" s="7" t="s">
        <v>4</v>
      </c>
      <c r="E899" s="7" t="s">
        <v>18</v>
      </c>
      <c r="F899" s="5">
        <v>28.05</v>
      </c>
      <c r="G899" s="7" t="s">
        <v>1191</v>
      </c>
      <c r="H899" s="7" t="s">
        <v>1096</v>
      </c>
      <c r="I899" s="7" t="s">
        <v>2647</v>
      </c>
      <c r="K899">
        <f>IF($A899="","",IF(ISNUMBER($A899),MONTH($A899),MONTH(DATEVALUE($A899))))</f>
        <v>7</v>
      </c>
    </row>
    <row r="900" spans="1:11" ht="60" customHeight="1" x14ac:dyDescent="0.25">
      <c r="A900" s="8" t="s">
        <v>1190</v>
      </c>
      <c r="B900" s="8" t="s">
        <v>0</v>
      </c>
      <c r="C900" s="8" t="s">
        <v>1102</v>
      </c>
      <c r="D900" s="8" t="s">
        <v>4</v>
      </c>
      <c r="E900" s="8" t="s">
        <v>18</v>
      </c>
      <c r="F900" s="6">
        <v>43.04</v>
      </c>
      <c r="G900" s="8" t="s">
        <v>1192</v>
      </c>
      <c r="H900" s="8" t="s">
        <v>1096</v>
      </c>
      <c r="I900" s="8" t="s">
        <v>2647</v>
      </c>
      <c r="K900">
        <f>IF($A900="","",IF(ISNUMBER($A900),MONTH($A900),MONTH(DATEVALUE($A900))))</f>
        <v>7</v>
      </c>
    </row>
    <row r="901" spans="1:11" ht="60" customHeight="1" x14ac:dyDescent="0.25">
      <c r="A901" s="7" t="s">
        <v>1190</v>
      </c>
      <c r="B901" s="7" t="s">
        <v>0</v>
      </c>
      <c r="C901" s="7" t="s">
        <v>1102</v>
      </c>
      <c r="D901" s="7" t="s">
        <v>4</v>
      </c>
      <c r="E901" s="7" t="s">
        <v>18</v>
      </c>
      <c r="F901" s="5">
        <v>413.9</v>
      </c>
      <c r="G901" s="7" t="s">
        <v>1193</v>
      </c>
      <c r="H901" s="7" t="s">
        <v>1096</v>
      </c>
      <c r="I901" s="7" t="s">
        <v>2647</v>
      </c>
      <c r="K901">
        <f>IF($A901="","",IF(ISNUMBER($A901),MONTH($A901),MONTH(DATEVALUE($A901))))</f>
        <v>7</v>
      </c>
    </row>
    <row r="902" spans="1:11" ht="60" customHeight="1" x14ac:dyDescent="0.25">
      <c r="A902" s="8" t="s">
        <v>1190</v>
      </c>
      <c r="B902" s="8" t="s">
        <v>0</v>
      </c>
      <c r="C902" s="8" t="s">
        <v>104</v>
      </c>
      <c r="D902" s="8" t="s">
        <v>4</v>
      </c>
      <c r="E902" s="8" t="s">
        <v>18</v>
      </c>
      <c r="F902" s="6">
        <v>13.99</v>
      </c>
      <c r="G902" s="8" t="s">
        <v>1194</v>
      </c>
      <c r="H902" s="8" t="s">
        <v>104</v>
      </c>
      <c r="I902" s="8" t="s">
        <v>2632</v>
      </c>
      <c r="K902">
        <f>IF($A902="","",IF(ISNUMBER($A902),MONTH($A902),MONTH(DATEVALUE($A902))))</f>
        <v>7</v>
      </c>
    </row>
    <row r="903" spans="1:11" ht="60" customHeight="1" x14ac:dyDescent="0.25">
      <c r="A903" s="7" t="s">
        <v>1190</v>
      </c>
      <c r="B903" s="7" t="s">
        <v>227</v>
      </c>
      <c r="C903" s="7" t="s">
        <v>874</v>
      </c>
      <c r="D903" s="7" t="s">
        <v>4</v>
      </c>
      <c r="E903" s="7" t="s">
        <v>18</v>
      </c>
      <c r="F903" s="5">
        <v>150</v>
      </c>
      <c r="G903" s="7" t="s">
        <v>1195</v>
      </c>
      <c r="H903" s="7" t="s">
        <v>874</v>
      </c>
      <c r="I903" s="7" t="s">
        <v>2632</v>
      </c>
      <c r="K903">
        <f>IF($A903="","",IF(ISNUMBER($A903),MONTH($A903),MONTH(DATEVALUE($A903))))</f>
        <v>7</v>
      </c>
    </row>
    <row r="904" spans="1:11" ht="60" customHeight="1" x14ac:dyDescent="0.25">
      <c r="A904" s="8" t="s">
        <v>1190</v>
      </c>
      <c r="B904" s="8" t="s">
        <v>0</v>
      </c>
      <c r="C904" s="8" t="s">
        <v>70</v>
      </c>
      <c r="D904" s="8" t="s">
        <v>4</v>
      </c>
      <c r="E904" s="8" t="s">
        <v>18</v>
      </c>
      <c r="F904" s="6">
        <v>179</v>
      </c>
      <c r="G904" s="8" t="s">
        <v>1196</v>
      </c>
      <c r="H904" s="8" t="s">
        <v>70</v>
      </c>
      <c r="I904" s="8" t="s">
        <v>2632</v>
      </c>
      <c r="K904">
        <f>IF($A904="","",IF(ISNUMBER($A904),MONTH($A904),MONTH(DATEVALUE($A904))))</f>
        <v>7</v>
      </c>
    </row>
    <row r="905" spans="1:11" ht="60" customHeight="1" x14ac:dyDescent="0.25">
      <c r="A905" s="7" t="s">
        <v>1190</v>
      </c>
      <c r="B905" s="7" t="s">
        <v>0</v>
      </c>
      <c r="C905" s="7" t="s">
        <v>211</v>
      </c>
      <c r="D905" s="7" t="s">
        <v>4</v>
      </c>
      <c r="E905" s="7" t="s">
        <v>18</v>
      </c>
      <c r="F905" s="5">
        <v>52.14</v>
      </c>
      <c r="G905" s="7" t="s">
        <v>1197</v>
      </c>
      <c r="H905" s="7" t="s">
        <v>211</v>
      </c>
      <c r="I905" s="7" t="s">
        <v>2630</v>
      </c>
      <c r="K905">
        <f>IF($A905="","",IF(ISNUMBER($A905),MONTH($A905),MONTH(DATEVALUE($A905))))</f>
        <v>7</v>
      </c>
    </row>
    <row r="906" spans="1:11" ht="60" customHeight="1" x14ac:dyDescent="0.25">
      <c r="A906" s="8" t="s">
        <v>1190</v>
      </c>
      <c r="B906" s="8" t="s">
        <v>0</v>
      </c>
      <c r="C906" s="8" t="s">
        <v>63</v>
      </c>
      <c r="D906" s="8" t="s">
        <v>4</v>
      </c>
      <c r="E906" s="8" t="s">
        <v>18</v>
      </c>
      <c r="F906" s="6">
        <v>135.18</v>
      </c>
      <c r="G906" s="8" t="s">
        <v>1198</v>
      </c>
      <c r="H906" s="8" t="s">
        <v>63</v>
      </c>
      <c r="I906" s="8" t="s">
        <v>2633</v>
      </c>
      <c r="K906">
        <f>IF($A906="","",IF(ISNUMBER($A906),MONTH($A906),MONTH(DATEVALUE($A906))))</f>
        <v>7</v>
      </c>
    </row>
    <row r="907" spans="1:11" ht="60" customHeight="1" x14ac:dyDescent="0.25">
      <c r="A907" s="7" t="s">
        <v>1199</v>
      </c>
      <c r="B907" s="7" t="s">
        <v>0</v>
      </c>
      <c r="C907" s="7" t="s">
        <v>214</v>
      </c>
      <c r="D907" s="7" t="s">
        <v>4</v>
      </c>
      <c r="E907" s="7" t="s">
        <v>18</v>
      </c>
      <c r="F907" s="5">
        <v>19.55</v>
      </c>
      <c r="G907" s="7" t="s">
        <v>1200</v>
      </c>
      <c r="H907" s="7" t="s">
        <v>214</v>
      </c>
      <c r="I907" s="7" t="s">
        <v>2633</v>
      </c>
      <c r="K907">
        <f>IF($A907="","",IF(ISNUMBER($A907),MONTH($A907),MONTH(DATEVALUE($A907))))</f>
        <v>7</v>
      </c>
    </row>
    <row r="908" spans="1:11" ht="60" customHeight="1" x14ac:dyDescent="0.25">
      <c r="A908" s="8" t="s">
        <v>1199</v>
      </c>
      <c r="B908" s="8" t="s">
        <v>0</v>
      </c>
      <c r="C908" s="8" t="s">
        <v>1096</v>
      </c>
      <c r="D908" s="8" t="s">
        <v>4</v>
      </c>
      <c r="E908" s="8" t="s">
        <v>18</v>
      </c>
      <c r="F908" s="6">
        <v>-620.85</v>
      </c>
      <c r="G908" s="8" t="s">
        <v>1101</v>
      </c>
      <c r="H908" s="8" t="s">
        <v>1096</v>
      </c>
      <c r="I908" s="8" t="s">
        <v>2647</v>
      </c>
      <c r="K908">
        <f>IF($A908="","",IF(ISNUMBER($A908),MONTH($A908),MONTH(DATEVALUE($A908))))</f>
        <v>7</v>
      </c>
    </row>
    <row r="909" spans="1:11" ht="60" customHeight="1" x14ac:dyDescent="0.25">
      <c r="A909" s="7" t="s">
        <v>1199</v>
      </c>
      <c r="B909" s="7" t="s">
        <v>0</v>
      </c>
      <c r="C909" s="7" t="s">
        <v>1096</v>
      </c>
      <c r="D909" s="7" t="s">
        <v>4</v>
      </c>
      <c r="E909" s="7" t="s">
        <v>18</v>
      </c>
      <c r="F909" s="5">
        <v>-286.52</v>
      </c>
      <c r="G909" s="7" t="s">
        <v>1101</v>
      </c>
      <c r="H909" s="7" t="s">
        <v>1096</v>
      </c>
      <c r="I909" s="7" t="s">
        <v>2647</v>
      </c>
      <c r="K909">
        <f>IF($A909="","",IF(ISNUMBER($A909),MONTH($A909),MONTH(DATEVALUE($A909))))</f>
        <v>7</v>
      </c>
    </row>
    <row r="910" spans="1:11" ht="60" customHeight="1" x14ac:dyDescent="0.25">
      <c r="A910" s="8" t="s">
        <v>1199</v>
      </c>
      <c r="B910" s="8" t="s">
        <v>0</v>
      </c>
      <c r="C910" s="8" t="s">
        <v>1096</v>
      </c>
      <c r="D910" s="8" t="s">
        <v>4</v>
      </c>
      <c r="E910" s="8" t="s">
        <v>18</v>
      </c>
      <c r="F910" s="6">
        <v>-19.47</v>
      </c>
      <c r="G910" s="8" t="s">
        <v>1101</v>
      </c>
      <c r="H910" s="8" t="s">
        <v>1096</v>
      </c>
      <c r="I910" s="8" t="s">
        <v>2647</v>
      </c>
      <c r="K910">
        <f>IF($A910="","",IF(ISNUMBER($A910),MONTH($A910),MONTH(DATEVALUE($A910))))</f>
        <v>7</v>
      </c>
    </row>
    <row r="911" spans="1:11" ht="60" customHeight="1" x14ac:dyDescent="0.25">
      <c r="A911" s="7" t="s">
        <v>1199</v>
      </c>
      <c r="B911" s="7" t="s">
        <v>0</v>
      </c>
      <c r="C911" s="7" t="s">
        <v>1102</v>
      </c>
      <c r="D911" s="7" t="s">
        <v>4</v>
      </c>
      <c r="E911" s="7" t="s">
        <v>18</v>
      </c>
      <c r="F911" s="5">
        <v>19.47</v>
      </c>
      <c r="G911" s="7" t="s">
        <v>1201</v>
      </c>
      <c r="H911" s="7" t="s">
        <v>1096</v>
      </c>
      <c r="I911" s="7" t="s">
        <v>2647</v>
      </c>
      <c r="K911">
        <f>IF($A911="","",IF(ISNUMBER($A911),MONTH($A911),MONTH(DATEVALUE($A911))))</f>
        <v>7</v>
      </c>
    </row>
    <row r="912" spans="1:11" ht="60" customHeight="1" x14ac:dyDescent="0.25">
      <c r="A912" s="8" t="s">
        <v>1199</v>
      </c>
      <c r="B912" s="8" t="s">
        <v>0</v>
      </c>
      <c r="C912" s="8" t="s">
        <v>1102</v>
      </c>
      <c r="D912" s="8" t="s">
        <v>4</v>
      </c>
      <c r="E912" s="8" t="s">
        <v>18</v>
      </c>
      <c r="F912" s="6">
        <v>286.52</v>
      </c>
      <c r="G912" s="8" t="s">
        <v>1202</v>
      </c>
      <c r="H912" s="8" t="s">
        <v>1096</v>
      </c>
      <c r="I912" s="8" t="s">
        <v>2647</v>
      </c>
      <c r="K912">
        <f>IF($A912="","",IF(ISNUMBER($A912),MONTH($A912),MONTH(DATEVALUE($A912))))</f>
        <v>7</v>
      </c>
    </row>
    <row r="913" spans="1:11" ht="60" customHeight="1" x14ac:dyDescent="0.25">
      <c r="A913" s="7" t="s">
        <v>1199</v>
      </c>
      <c r="B913" s="7" t="s">
        <v>0</v>
      </c>
      <c r="C913" s="7" t="s">
        <v>1102</v>
      </c>
      <c r="D913" s="7" t="s">
        <v>4</v>
      </c>
      <c r="E913" s="7" t="s">
        <v>18</v>
      </c>
      <c r="F913" s="5">
        <v>620.85</v>
      </c>
      <c r="G913" s="7" t="s">
        <v>1203</v>
      </c>
      <c r="H913" s="7" t="s">
        <v>1096</v>
      </c>
      <c r="I913" s="7" t="s">
        <v>2647</v>
      </c>
      <c r="K913">
        <f>IF($A913="","",IF(ISNUMBER($A913),MONTH($A913),MONTH(DATEVALUE($A913))))</f>
        <v>7</v>
      </c>
    </row>
    <row r="914" spans="1:11" ht="60" customHeight="1" x14ac:dyDescent="0.25">
      <c r="A914" s="8" t="s">
        <v>1199</v>
      </c>
      <c r="B914" s="8" t="s">
        <v>0</v>
      </c>
      <c r="C914" s="8" t="s">
        <v>522</v>
      </c>
      <c r="D914" s="8" t="s">
        <v>4</v>
      </c>
      <c r="E914" s="8" t="s">
        <v>18</v>
      </c>
      <c r="F914" s="6">
        <v>23.8</v>
      </c>
      <c r="G914" s="8" t="s">
        <v>1204</v>
      </c>
      <c r="H914" s="8" t="s">
        <v>522</v>
      </c>
      <c r="I914" s="8" t="s">
        <v>2647</v>
      </c>
      <c r="K914">
        <f>IF($A914="","",IF(ISNUMBER($A914),MONTH($A914),MONTH(DATEVALUE($A914))))</f>
        <v>7</v>
      </c>
    </row>
    <row r="915" spans="1:11" ht="60" customHeight="1" x14ac:dyDescent="0.25">
      <c r="A915" s="7" t="s">
        <v>1205</v>
      </c>
      <c r="B915" s="7" t="s">
        <v>0</v>
      </c>
      <c r="C915" s="7" t="s">
        <v>217</v>
      </c>
      <c r="D915" s="7" t="s">
        <v>4</v>
      </c>
      <c r="E915" s="7" t="s">
        <v>18</v>
      </c>
      <c r="F915" s="5">
        <v>119.52</v>
      </c>
      <c r="G915" s="7" t="s">
        <v>1206</v>
      </c>
      <c r="H915" s="7" t="s">
        <v>217</v>
      </c>
      <c r="I915" s="7" t="s">
        <v>2632</v>
      </c>
      <c r="K915">
        <f>IF($A915="","",IF(ISNUMBER($A915),MONTH($A915),MONTH(DATEVALUE($A915))))</f>
        <v>7</v>
      </c>
    </row>
    <row r="916" spans="1:11" ht="60" customHeight="1" x14ac:dyDescent="0.25">
      <c r="A916" s="8" t="s">
        <v>1205</v>
      </c>
      <c r="B916" s="8" t="s">
        <v>0</v>
      </c>
      <c r="C916" s="8" t="s">
        <v>214</v>
      </c>
      <c r="D916" s="8" t="s">
        <v>4</v>
      </c>
      <c r="E916" s="8" t="s">
        <v>18</v>
      </c>
      <c r="F916" s="6">
        <v>14.09</v>
      </c>
      <c r="G916" s="8" t="s">
        <v>1207</v>
      </c>
      <c r="H916" s="8" t="s">
        <v>214</v>
      </c>
      <c r="I916" s="8" t="s">
        <v>2633</v>
      </c>
      <c r="K916">
        <f>IF($A916="","",IF(ISNUMBER($A916),MONTH($A916),MONTH(DATEVALUE($A916))))</f>
        <v>7</v>
      </c>
    </row>
    <row r="917" spans="1:11" ht="60" customHeight="1" x14ac:dyDescent="0.25">
      <c r="A917" s="7" t="s">
        <v>1205</v>
      </c>
      <c r="B917" s="7" t="s">
        <v>0</v>
      </c>
      <c r="C917" s="7" t="s">
        <v>1208</v>
      </c>
      <c r="D917" s="7" t="s">
        <v>4</v>
      </c>
      <c r="E917" s="7" t="s">
        <v>18</v>
      </c>
      <c r="F917" s="5">
        <v>30.97</v>
      </c>
      <c r="G917" s="7" t="s">
        <v>1209</v>
      </c>
      <c r="H917" s="7" t="s">
        <v>1208</v>
      </c>
      <c r="I917" s="7" t="s">
        <v>2627</v>
      </c>
      <c r="K917">
        <f>IF($A917="","",IF(ISNUMBER($A917),MONTH($A917),MONTH(DATEVALUE($A917))))</f>
        <v>7</v>
      </c>
    </row>
    <row r="918" spans="1:11" ht="60" customHeight="1" x14ac:dyDescent="0.25">
      <c r="A918" s="8" t="s">
        <v>1205</v>
      </c>
      <c r="B918" s="8" t="s">
        <v>0</v>
      </c>
      <c r="C918" s="8" t="s">
        <v>1210</v>
      </c>
      <c r="D918" s="8" t="s">
        <v>4</v>
      </c>
      <c r="E918" s="8" t="s">
        <v>18</v>
      </c>
      <c r="F918" s="6">
        <v>34.729999999999997</v>
      </c>
      <c r="G918" s="8" t="s">
        <v>1211</v>
      </c>
      <c r="H918" s="8" t="s">
        <v>1210</v>
      </c>
      <c r="I918" s="8" t="s">
        <v>2654</v>
      </c>
      <c r="K918">
        <f>IF($A918="","",IF(ISNUMBER($A918),MONTH($A918),MONTH(DATEVALUE($A918))))</f>
        <v>7</v>
      </c>
    </row>
    <row r="919" spans="1:11" ht="60" customHeight="1" x14ac:dyDescent="0.25">
      <c r="A919" s="7" t="s">
        <v>1205</v>
      </c>
      <c r="B919" s="7" t="s">
        <v>0</v>
      </c>
      <c r="C919" s="7" t="s">
        <v>1027</v>
      </c>
      <c r="D919" s="7" t="s">
        <v>4</v>
      </c>
      <c r="E919" s="7" t="s">
        <v>18</v>
      </c>
      <c r="F919" s="5">
        <v>448.18</v>
      </c>
      <c r="G919" s="7" t="s">
        <v>1212</v>
      </c>
      <c r="H919" s="7" t="s">
        <v>1027</v>
      </c>
      <c r="I919" s="7" t="s">
        <v>2654</v>
      </c>
      <c r="K919">
        <f>IF($A919="","",IF(ISNUMBER($A919),MONTH($A919),MONTH(DATEVALUE($A919))))</f>
        <v>7</v>
      </c>
    </row>
    <row r="920" spans="1:11" ht="60" customHeight="1" x14ac:dyDescent="0.25">
      <c r="A920" s="8" t="s">
        <v>1205</v>
      </c>
      <c r="B920" s="8" t="s">
        <v>0</v>
      </c>
      <c r="C920" s="8" t="s">
        <v>221</v>
      </c>
      <c r="D920" s="8" t="s">
        <v>4</v>
      </c>
      <c r="E920" s="8" t="s">
        <v>18</v>
      </c>
      <c r="F920" s="6">
        <v>20</v>
      </c>
      <c r="G920" s="8" t="s">
        <v>1213</v>
      </c>
      <c r="H920" s="8" t="s">
        <v>221</v>
      </c>
      <c r="I920" s="8" t="s">
        <v>2630</v>
      </c>
      <c r="K920">
        <f>IF($A920="","",IF(ISNUMBER($A920),MONTH($A920),MONTH(DATEVALUE($A920))))</f>
        <v>7</v>
      </c>
    </row>
    <row r="921" spans="1:11" ht="60" customHeight="1" x14ac:dyDescent="0.25">
      <c r="A921" s="7" t="s">
        <v>1214</v>
      </c>
      <c r="B921" s="7" t="s">
        <v>0</v>
      </c>
      <c r="C921" s="7" t="s">
        <v>1096</v>
      </c>
      <c r="D921" s="7" t="s">
        <v>4</v>
      </c>
      <c r="E921" s="7" t="s">
        <v>18</v>
      </c>
      <c r="F921" s="5">
        <v>-317.85000000000002</v>
      </c>
      <c r="G921" s="7" t="s">
        <v>1101</v>
      </c>
      <c r="H921" s="7" t="s">
        <v>1096</v>
      </c>
      <c r="I921" s="7" t="s">
        <v>2647</v>
      </c>
      <c r="K921">
        <f>IF($A921="","",IF(ISNUMBER($A921),MONTH($A921),MONTH(DATEVALUE($A921))))</f>
        <v>6</v>
      </c>
    </row>
    <row r="922" spans="1:11" ht="60" customHeight="1" x14ac:dyDescent="0.25">
      <c r="A922" s="8" t="s">
        <v>1214</v>
      </c>
      <c r="B922" s="8" t="s">
        <v>0</v>
      </c>
      <c r="C922" s="8" t="s">
        <v>1102</v>
      </c>
      <c r="D922" s="8" t="s">
        <v>4</v>
      </c>
      <c r="E922" s="8" t="s">
        <v>18</v>
      </c>
      <c r="F922" s="6">
        <v>317.85000000000002</v>
      </c>
      <c r="G922" s="8" t="s">
        <v>1215</v>
      </c>
      <c r="H922" s="8" t="s">
        <v>1096</v>
      </c>
      <c r="I922" s="8" t="s">
        <v>2647</v>
      </c>
      <c r="K922">
        <f>IF($A922="","",IF(ISNUMBER($A922),MONTH($A922),MONTH(DATEVALUE($A922))))</f>
        <v>6</v>
      </c>
    </row>
    <row r="923" spans="1:11" ht="60" customHeight="1" x14ac:dyDescent="0.25">
      <c r="A923" s="7" t="s">
        <v>1214</v>
      </c>
      <c r="B923" s="7" t="s">
        <v>0</v>
      </c>
      <c r="C923" s="7" t="s">
        <v>22</v>
      </c>
      <c r="D923" s="7" t="s">
        <v>4</v>
      </c>
      <c r="E923" s="7" t="s">
        <v>18</v>
      </c>
      <c r="F923" s="5">
        <v>168.97</v>
      </c>
      <c r="G923" s="7" t="s">
        <v>1216</v>
      </c>
      <c r="H923" s="7" t="s">
        <v>22</v>
      </c>
      <c r="I923" s="7" t="s">
        <v>2626</v>
      </c>
      <c r="K923">
        <f>IF($A923="","",IF(ISNUMBER($A923),MONTH($A923),MONTH(DATEVALUE($A923))))</f>
        <v>6</v>
      </c>
    </row>
    <row r="924" spans="1:11" ht="60" customHeight="1" x14ac:dyDescent="0.25">
      <c r="A924" s="8" t="s">
        <v>1214</v>
      </c>
      <c r="B924" s="8" t="s">
        <v>0</v>
      </c>
      <c r="C924" s="8" t="s">
        <v>1217</v>
      </c>
      <c r="D924" s="8" t="s">
        <v>4</v>
      </c>
      <c r="E924" s="8" t="s">
        <v>18</v>
      </c>
      <c r="F924" s="6">
        <v>40.17</v>
      </c>
      <c r="G924" s="8" t="s">
        <v>1218</v>
      </c>
      <c r="H924" s="8" t="s">
        <v>1217</v>
      </c>
      <c r="I924" s="8" t="s">
        <v>2633</v>
      </c>
      <c r="K924">
        <f>IF($A924="","",IF(ISNUMBER($A924),MONTH($A924),MONTH(DATEVALUE($A924))))</f>
        <v>6</v>
      </c>
    </row>
    <row r="925" spans="1:11" ht="60" customHeight="1" x14ac:dyDescent="0.25">
      <c r="A925" s="7" t="s">
        <v>1219</v>
      </c>
      <c r="B925" s="7" t="s">
        <v>0</v>
      </c>
      <c r="C925" s="7" t="s">
        <v>1096</v>
      </c>
      <c r="D925" s="7" t="s">
        <v>4</v>
      </c>
      <c r="E925" s="7" t="s">
        <v>18</v>
      </c>
      <c r="F925" s="5">
        <v>-529.75</v>
      </c>
      <c r="G925" s="7" t="s">
        <v>1101</v>
      </c>
      <c r="H925" s="7" t="s">
        <v>1096</v>
      </c>
      <c r="I925" s="7" t="s">
        <v>2647</v>
      </c>
      <c r="K925">
        <f>IF($A925="","",IF(ISNUMBER($A925),MONTH($A925),MONTH(DATEVALUE($A925))))</f>
        <v>6</v>
      </c>
    </row>
    <row r="926" spans="1:11" ht="60" customHeight="1" x14ac:dyDescent="0.25">
      <c r="A926" s="8" t="s">
        <v>1219</v>
      </c>
      <c r="B926" s="8" t="s">
        <v>0</v>
      </c>
      <c r="C926" s="8" t="s">
        <v>1096</v>
      </c>
      <c r="D926" s="8" t="s">
        <v>4</v>
      </c>
      <c r="E926" s="8" t="s">
        <v>18</v>
      </c>
      <c r="F926" s="6">
        <v>-291.97000000000003</v>
      </c>
      <c r="G926" s="8" t="s">
        <v>1101</v>
      </c>
      <c r="H926" s="8" t="s">
        <v>1096</v>
      </c>
      <c r="I926" s="8" t="s">
        <v>2647</v>
      </c>
      <c r="K926">
        <f>IF($A926="","",IF(ISNUMBER($A926),MONTH($A926),MONTH(DATEVALUE($A926))))</f>
        <v>6</v>
      </c>
    </row>
    <row r="927" spans="1:11" ht="60" customHeight="1" x14ac:dyDescent="0.25">
      <c r="A927" s="7" t="s">
        <v>1219</v>
      </c>
      <c r="B927" s="7" t="s">
        <v>0</v>
      </c>
      <c r="C927" s="7" t="s">
        <v>1096</v>
      </c>
      <c r="D927" s="7" t="s">
        <v>4</v>
      </c>
      <c r="E927" s="7" t="s">
        <v>18</v>
      </c>
      <c r="F927" s="5">
        <v>-206.95</v>
      </c>
      <c r="G927" s="7" t="s">
        <v>1101</v>
      </c>
      <c r="H927" s="7" t="s">
        <v>1096</v>
      </c>
      <c r="I927" s="7" t="s">
        <v>2647</v>
      </c>
      <c r="K927">
        <f>IF($A927="","",IF(ISNUMBER($A927),MONTH($A927),MONTH(DATEVALUE($A927))))</f>
        <v>6</v>
      </c>
    </row>
    <row r="928" spans="1:11" ht="60" customHeight="1" x14ac:dyDescent="0.25">
      <c r="A928" s="8" t="s">
        <v>1219</v>
      </c>
      <c r="B928" s="8" t="s">
        <v>0</v>
      </c>
      <c r="C928" s="8" t="s">
        <v>1096</v>
      </c>
      <c r="D928" s="8" t="s">
        <v>4</v>
      </c>
      <c r="E928" s="8" t="s">
        <v>18</v>
      </c>
      <c r="F928" s="6">
        <v>-51.92</v>
      </c>
      <c r="G928" s="8" t="s">
        <v>1101</v>
      </c>
      <c r="H928" s="8" t="s">
        <v>1096</v>
      </c>
      <c r="I928" s="8" t="s">
        <v>2647</v>
      </c>
      <c r="K928">
        <f>IF($A928="","",IF(ISNUMBER($A928),MONTH($A928),MONTH(DATEVALUE($A928))))</f>
        <v>6</v>
      </c>
    </row>
    <row r="929" spans="1:11" ht="60" customHeight="1" x14ac:dyDescent="0.25">
      <c r="A929" s="7" t="s">
        <v>1219</v>
      </c>
      <c r="B929" s="7" t="s">
        <v>0</v>
      </c>
      <c r="C929" s="7" t="s">
        <v>1102</v>
      </c>
      <c r="D929" s="7" t="s">
        <v>4</v>
      </c>
      <c r="E929" s="7" t="s">
        <v>18</v>
      </c>
      <c r="F929" s="5">
        <v>51.92</v>
      </c>
      <c r="G929" s="7" t="s">
        <v>1220</v>
      </c>
      <c r="H929" s="7" t="s">
        <v>1096</v>
      </c>
      <c r="I929" s="7" t="s">
        <v>2647</v>
      </c>
      <c r="K929">
        <f>IF($A929="","",IF(ISNUMBER($A929),MONTH($A929),MONTH(DATEVALUE($A929))))</f>
        <v>6</v>
      </c>
    </row>
    <row r="930" spans="1:11" ht="60" customHeight="1" x14ac:dyDescent="0.25">
      <c r="A930" s="8" t="s">
        <v>1219</v>
      </c>
      <c r="B930" s="8" t="s">
        <v>0</v>
      </c>
      <c r="C930" s="8" t="s">
        <v>1102</v>
      </c>
      <c r="D930" s="8" t="s">
        <v>4</v>
      </c>
      <c r="E930" s="8" t="s">
        <v>18</v>
      </c>
      <c r="F930" s="6">
        <v>206.95</v>
      </c>
      <c r="G930" s="8" t="s">
        <v>1221</v>
      </c>
      <c r="H930" s="8" t="s">
        <v>1096</v>
      </c>
      <c r="I930" s="8" t="s">
        <v>2647</v>
      </c>
      <c r="K930">
        <f>IF($A930="","",IF(ISNUMBER($A930),MONTH($A930),MONTH(DATEVALUE($A930))))</f>
        <v>6</v>
      </c>
    </row>
    <row r="931" spans="1:11" ht="60" customHeight="1" x14ac:dyDescent="0.25">
      <c r="A931" s="7" t="s">
        <v>1219</v>
      </c>
      <c r="B931" s="7" t="s">
        <v>0</v>
      </c>
      <c r="C931" s="7" t="s">
        <v>1102</v>
      </c>
      <c r="D931" s="7" t="s">
        <v>4</v>
      </c>
      <c r="E931" s="7" t="s">
        <v>18</v>
      </c>
      <c r="F931" s="5">
        <v>291.97000000000003</v>
      </c>
      <c r="G931" s="7" t="s">
        <v>1222</v>
      </c>
      <c r="H931" s="7" t="s">
        <v>1096</v>
      </c>
      <c r="I931" s="7" t="s">
        <v>2647</v>
      </c>
      <c r="K931">
        <f>IF($A931="","",IF(ISNUMBER($A931),MONTH($A931),MONTH(DATEVALUE($A931))))</f>
        <v>6</v>
      </c>
    </row>
    <row r="932" spans="1:11" ht="60" customHeight="1" x14ac:dyDescent="0.25">
      <c r="A932" s="8" t="s">
        <v>1219</v>
      </c>
      <c r="B932" s="8" t="s">
        <v>0</v>
      </c>
      <c r="C932" s="8" t="s">
        <v>1102</v>
      </c>
      <c r="D932" s="8" t="s">
        <v>4</v>
      </c>
      <c r="E932" s="8" t="s">
        <v>18</v>
      </c>
      <c r="F932" s="6">
        <v>529.75</v>
      </c>
      <c r="G932" s="8" t="s">
        <v>1223</v>
      </c>
      <c r="H932" s="8" t="s">
        <v>1096</v>
      </c>
      <c r="I932" s="8" t="s">
        <v>2647</v>
      </c>
      <c r="K932">
        <f>IF($A932="","",IF(ISNUMBER($A932),MONTH($A932),MONTH(DATEVALUE($A932))))</f>
        <v>6</v>
      </c>
    </row>
    <row r="933" spans="1:11" ht="60" customHeight="1" x14ac:dyDescent="0.25">
      <c r="A933" s="7" t="s">
        <v>1219</v>
      </c>
      <c r="B933" s="7" t="s">
        <v>0</v>
      </c>
      <c r="C933" s="7" t="s">
        <v>1224</v>
      </c>
      <c r="D933" s="7" t="s">
        <v>4</v>
      </c>
      <c r="E933" s="7" t="s">
        <v>18</v>
      </c>
      <c r="F933" s="5">
        <v>124.98</v>
      </c>
      <c r="G933" s="7" t="s">
        <v>1225</v>
      </c>
      <c r="H933" s="7" t="s">
        <v>1224</v>
      </c>
      <c r="I933" s="7" t="s">
        <v>2656</v>
      </c>
      <c r="K933">
        <f>IF($A933="","",IF(ISNUMBER($A933),MONTH($A933),MONTH(DATEVALUE($A933))))</f>
        <v>6</v>
      </c>
    </row>
    <row r="934" spans="1:11" ht="60" customHeight="1" x14ac:dyDescent="0.25">
      <c r="A934" s="8" t="s">
        <v>1219</v>
      </c>
      <c r="B934" s="8" t="s">
        <v>0</v>
      </c>
      <c r="C934" s="8" t="s">
        <v>1226</v>
      </c>
      <c r="D934" s="8" t="s">
        <v>1113</v>
      </c>
      <c r="E934" s="8" t="s">
        <v>1114</v>
      </c>
      <c r="F934" s="6">
        <v>584.6</v>
      </c>
      <c r="G934" s="8" t="s">
        <v>1227</v>
      </c>
      <c r="H934" s="8" t="s">
        <v>1226</v>
      </c>
      <c r="I934" s="7" t="s">
        <v>2656</v>
      </c>
      <c r="K934">
        <f>IF($A934="","",IF(ISNUMBER($A934),MONTH($A934),MONTH(DATEVALUE($A934))))</f>
        <v>6</v>
      </c>
    </row>
    <row r="935" spans="1:11" ht="60" customHeight="1" x14ac:dyDescent="0.25">
      <c r="A935" s="7" t="s">
        <v>1219</v>
      </c>
      <c r="B935" s="7" t="s">
        <v>0</v>
      </c>
      <c r="C935" s="7" t="s">
        <v>1228</v>
      </c>
      <c r="D935" s="7" t="s">
        <v>4</v>
      </c>
      <c r="E935" s="7" t="s">
        <v>18</v>
      </c>
      <c r="F935" s="5">
        <v>247.25</v>
      </c>
      <c r="G935" s="7" t="s">
        <v>1229</v>
      </c>
      <c r="H935" s="7" t="s">
        <v>1228</v>
      </c>
      <c r="I935" s="7" t="s">
        <v>2656</v>
      </c>
      <c r="K935">
        <f>IF($A935="","",IF(ISNUMBER($A935),MONTH($A935),MONTH(DATEVALUE($A935))))</f>
        <v>6</v>
      </c>
    </row>
    <row r="936" spans="1:11" ht="60" customHeight="1" x14ac:dyDescent="0.25">
      <c r="A936" s="8" t="s">
        <v>1219</v>
      </c>
      <c r="B936" s="8" t="s">
        <v>0</v>
      </c>
      <c r="C936" s="8" t="s">
        <v>27</v>
      </c>
      <c r="D936" s="8" t="s">
        <v>4</v>
      </c>
      <c r="E936" s="8" t="s">
        <v>18</v>
      </c>
      <c r="F936" s="6">
        <v>20</v>
      </c>
      <c r="G936" s="8" t="s">
        <v>1230</v>
      </c>
      <c r="H936" s="8" t="s">
        <v>27</v>
      </c>
      <c r="I936" s="8" t="s">
        <v>2628</v>
      </c>
      <c r="K936">
        <f>IF($A936="","",IF(ISNUMBER($A936),MONTH($A936),MONTH(DATEVALUE($A936))))</f>
        <v>6</v>
      </c>
    </row>
    <row r="937" spans="1:11" ht="60" customHeight="1" x14ac:dyDescent="0.25">
      <c r="A937" s="7" t="s">
        <v>1219</v>
      </c>
      <c r="B937" s="7" t="s">
        <v>0</v>
      </c>
      <c r="C937" s="7" t="s">
        <v>1231</v>
      </c>
      <c r="D937" s="7" t="s">
        <v>4</v>
      </c>
      <c r="E937" s="7" t="s">
        <v>18</v>
      </c>
      <c r="F937" s="5">
        <v>68.290000000000006</v>
      </c>
      <c r="G937" s="7" t="s">
        <v>1232</v>
      </c>
      <c r="H937" s="7" t="s">
        <v>1231</v>
      </c>
      <c r="I937" s="7" t="s">
        <v>2656</v>
      </c>
      <c r="K937">
        <f>IF($A937="","",IF(ISNUMBER($A937),MONTH($A937),MONTH(DATEVALUE($A937))))</f>
        <v>6</v>
      </c>
    </row>
    <row r="938" spans="1:11" ht="60" customHeight="1" x14ac:dyDescent="0.25">
      <c r="A938" s="8" t="s">
        <v>1219</v>
      </c>
      <c r="B938" s="8" t="s">
        <v>0</v>
      </c>
      <c r="C938" s="8" t="s">
        <v>1233</v>
      </c>
      <c r="D938" s="8" t="s">
        <v>4</v>
      </c>
      <c r="E938" s="8" t="s">
        <v>18</v>
      </c>
      <c r="F938" s="6">
        <v>32.31</v>
      </c>
      <c r="G938" s="8" t="s">
        <v>1234</v>
      </c>
      <c r="H938" s="8" t="s">
        <v>1233</v>
      </c>
      <c r="I938" s="7" t="s">
        <v>2656</v>
      </c>
      <c r="K938">
        <f>IF($A938="","",IF(ISNUMBER($A938),MONTH($A938),MONTH(DATEVALUE($A938))))</f>
        <v>6</v>
      </c>
    </row>
    <row r="939" spans="1:11" ht="60" customHeight="1" x14ac:dyDescent="0.25">
      <c r="A939" s="7" t="s">
        <v>1219</v>
      </c>
      <c r="B939" s="7" t="s">
        <v>0</v>
      </c>
      <c r="C939" s="7" t="s">
        <v>1233</v>
      </c>
      <c r="D939" s="7" t="s">
        <v>1113</v>
      </c>
      <c r="E939" s="7" t="s">
        <v>1114</v>
      </c>
      <c r="F939" s="5">
        <v>262.91000000000003</v>
      </c>
      <c r="G939" s="7" t="s">
        <v>1235</v>
      </c>
      <c r="H939" s="7" t="s">
        <v>1233</v>
      </c>
      <c r="I939" s="7" t="s">
        <v>2656</v>
      </c>
      <c r="K939">
        <f>IF($A939="","",IF(ISNUMBER($A939),MONTH($A939),MONTH(DATEVALUE($A939))))</f>
        <v>6</v>
      </c>
    </row>
    <row r="940" spans="1:11" ht="60" customHeight="1" x14ac:dyDescent="0.25">
      <c r="A940" s="8" t="s">
        <v>1219</v>
      </c>
      <c r="B940" s="8" t="s">
        <v>227</v>
      </c>
      <c r="C940" s="8" t="s">
        <v>1236</v>
      </c>
      <c r="D940" s="8" t="s">
        <v>4</v>
      </c>
      <c r="E940" s="8" t="s">
        <v>18</v>
      </c>
      <c r="F940" s="6">
        <v>72</v>
      </c>
      <c r="G940" s="8" t="s">
        <v>1237</v>
      </c>
      <c r="H940" s="8" t="s">
        <v>1236</v>
      </c>
      <c r="I940" s="7" t="s">
        <v>2656</v>
      </c>
      <c r="K940">
        <f>IF($A940="","",IF(ISNUMBER($A940),MONTH($A940),MONTH(DATEVALUE($A940))))</f>
        <v>6</v>
      </c>
    </row>
    <row r="941" spans="1:11" ht="60" customHeight="1" x14ac:dyDescent="0.25">
      <c r="A941" s="7" t="s">
        <v>1219</v>
      </c>
      <c r="B941" s="7" t="s">
        <v>0</v>
      </c>
      <c r="C941" s="7" t="s">
        <v>1238</v>
      </c>
      <c r="D941" s="7" t="s">
        <v>4</v>
      </c>
      <c r="E941" s="7" t="s">
        <v>18</v>
      </c>
      <c r="F941" s="5">
        <v>28</v>
      </c>
      <c r="G941" s="7" t="s">
        <v>1239</v>
      </c>
      <c r="H941" s="7" t="s">
        <v>1238</v>
      </c>
      <c r="I941" s="7" t="s">
        <v>2656</v>
      </c>
      <c r="K941">
        <f>IF($A941="","",IF(ISNUMBER($A941),MONTH($A941),MONTH(DATEVALUE($A941))))</f>
        <v>6</v>
      </c>
    </row>
    <row r="942" spans="1:11" ht="60" customHeight="1" x14ac:dyDescent="0.25">
      <c r="A942" s="8" t="s">
        <v>1219</v>
      </c>
      <c r="B942" s="8" t="s">
        <v>0</v>
      </c>
      <c r="C942" s="8" t="s">
        <v>1238</v>
      </c>
      <c r="D942" s="8" t="s">
        <v>4</v>
      </c>
      <c r="E942" s="8" t="s">
        <v>18</v>
      </c>
      <c r="F942" s="6">
        <v>28</v>
      </c>
      <c r="G942" s="8" t="s">
        <v>1240</v>
      </c>
      <c r="H942" s="8" t="s">
        <v>1238</v>
      </c>
      <c r="I942" s="7" t="s">
        <v>2656</v>
      </c>
      <c r="K942">
        <f>IF($A942="","",IF(ISNUMBER($A942),MONTH($A942),MONTH(DATEVALUE($A942))))</f>
        <v>6</v>
      </c>
    </row>
    <row r="943" spans="1:11" ht="60" customHeight="1" x14ac:dyDescent="0.25">
      <c r="A943" s="7" t="s">
        <v>1219</v>
      </c>
      <c r="B943" s="7" t="s">
        <v>0</v>
      </c>
      <c r="C943" s="7" t="s">
        <v>1241</v>
      </c>
      <c r="D943" s="7" t="s">
        <v>4</v>
      </c>
      <c r="E943" s="7" t="s">
        <v>18</v>
      </c>
      <c r="F943" s="5">
        <v>17</v>
      </c>
      <c r="G943" s="7" t="s">
        <v>1242</v>
      </c>
      <c r="H943" s="7" t="s">
        <v>1241</v>
      </c>
      <c r="I943" s="7" t="s">
        <v>2656</v>
      </c>
      <c r="K943">
        <f>IF($A943="","",IF(ISNUMBER($A943),MONTH($A943),MONTH(DATEVALUE($A943))))</f>
        <v>6</v>
      </c>
    </row>
    <row r="944" spans="1:11" ht="60" customHeight="1" x14ac:dyDescent="0.25">
      <c r="A944" s="8" t="s">
        <v>1219</v>
      </c>
      <c r="B944" s="8" t="s">
        <v>0</v>
      </c>
      <c r="C944" s="8" t="s">
        <v>1241</v>
      </c>
      <c r="D944" s="8" t="s">
        <v>4</v>
      </c>
      <c r="E944" s="8" t="s">
        <v>18</v>
      </c>
      <c r="F944" s="6">
        <v>180.1</v>
      </c>
      <c r="G944" s="8" t="s">
        <v>1242</v>
      </c>
      <c r="H944" s="8" t="s">
        <v>1241</v>
      </c>
      <c r="I944" s="7" t="s">
        <v>2656</v>
      </c>
      <c r="K944">
        <f>IF($A944="","",IF(ISNUMBER($A944),MONTH($A944),MONTH(DATEVALUE($A944))))</f>
        <v>6</v>
      </c>
    </row>
    <row r="945" spans="1:11" ht="60" customHeight="1" x14ac:dyDescent="0.25">
      <c r="A945" s="7" t="s">
        <v>1243</v>
      </c>
      <c r="B945" s="7" t="s">
        <v>0</v>
      </c>
      <c r="C945" s="7" t="s">
        <v>321</v>
      </c>
      <c r="D945" s="7" t="s">
        <v>4</v>
      </c>
      <c r="E945" s="7" t="s">
        <v>18</v>
      </c>
      <c r="F945" s="5">
        <v>2.5</v>
      </c>
      <c r="G945" s="7" t="s">
        <v>1244</v>
      </c>
      <c r="H945" s="7" t="s">
        <v>321</v>
      </c>
      <c r="I945" s="7" t="s">
        <v>2634</v>
      </c>
      <c r="K945">
        <f>IF($A945="","",IF(ISNUMBER($A945),MONTH($A945),MONTH(DATEVALUE($A945))))</f>
        <v>6</v>
      </c>
    </row>
    <row r="946" spans="1:11" ht="60" customHeight="1" x14ac:dyDescent="0.25">
      <c r="A946" s="8" t="s">
        <v>1243</v>
      </c>
      <c r="B946" s="8" t="s">
        <v>0</v>
      </c>
      <c r="C946" s="8" t="s">
        <v>1245</v>
      </c>
      <c r="D946" s="8" t="s">
        <v>4</v>
      </c>
      <c r="E946" s="8" t="s">
        <v>18</v>
      </c>
      <c r="F946" s="6">
        <v>265</v>
      </c>
      <c r="G946" s="8" t="s">
        <v>1246</v>
      </c>
      <c r="H946" s="8" t="s">
        <v>1245</v>
      </c>
      <c r="I946" s="7" t="s">
        <v>2656</v>
      </c>
      <c r="K946">
        <f>IF($A946="","",IF(ISNUMBER($A946),MONTH($A946),MONTH(DATEVALUE($A946))))</f>
        <v>6</v>
      </c>
    </row>
    <row r="947" spans="1:11" ht="60" customHeight="1" x14ac:dyDescent="0.25">
      <c r="A947" s="7" t="s">
        <v>1247</v>
      </c>
      <c r="B947" s="7" t="s">
        <v>0</v>
      </c>
      <c r="C947" s="7" t="s">
        <v>1096</v>
      </c>
      <c r="D947" s="7" t="s">
        <v>4</v>
      </c>
      <c r="E947" s="7" t="s">
        <v>18</v>
      </c>
      <c r="F947" s="5">
        <v>-66.25</v>
      </c>
      <c r="G947" s="7" t="s">
        <v>1101</v>
      </c>
      <c r="H947" s="7" t="s">
        <v>1096</v>
      </c>
      <c r="I947" s="7" t="s">
        <v>2647</v>
      </c>
      <c r="K947">
        <f>IF($A947="","",IF(ISNUMBER($A947),MONTH($A947),MONTH(DATEVALUE($A947))))</f>
        <v>6</v>
      </c>
    </row>
    <row r="948" spans="1:11" ht="60" customHeight="1" x14ac:dyDescent="0.25">
      <c r="A948" s="8" t="s">
        <v>1247</v>
      </c>
      <c r="B948" s="8" t="s">
        <v>0</v>
      </c>
      <c r="C948" s="8" t="s">
        <v>1102</v>
      </c>
      <c r="D948" s="8" t="s">
        <v>4</v>
      </c>
      <c r="E948" s="8" t="s">
        <v>18</v>
      </c>
      <c r="F948" s="6">
        <v>66.25</v>
      </c>
      <c r="G948" s="8" t="s">
        <v>1248</v>
      </c>
      <c r="H948" s="8" t="s">
        <v>1096</v>
      </c>
      <c r="I948" s="8" t="s">
        <v>2647</v>
      </c>
      <c r="K948">
        <f>IF($A948="","",IF(ISNUMBER($A948),MONTH($A948),MONTH(DATEVALUE($A948))))</f>
        <v>6</v>
      </c>
    </row>
    <row r="949" spans="1:11" ht="60" customHeight="1" x14ac:dyDescent="0.25">
      <c r="A949" s="7" t="s">
        <v>1247</v>
      </c>
      <c r="B949" s="7" t="s">
        <v>0</v>
      </c>
      <c r="C949" s="7" t="s">
        <v>522</v>
      </c>
      <c r="D949" s="7" t="s">
        <v>4</v>
      </c>
      <c r="E949" s="7" t="s">
        <v>18</v>
      </c>
      <c r="F949" s="5">
        <v>16.440000000000001</v>
      </c>
      <c r="G949" s="7" t="s">
        <v>1249</v>
      </c>
      <c r="H949" s="7" t="s">
        <v>522</v>
      </c>
      <c r="I949" s="7" t="s">
        <v>2647</v>
      </c>
      <c r="K949">
        <f>IF($A949="","",IF(ISNUMBER($A949),MONTH($A949),MONTH(DATEVALUE($A949))))</f>
        <v>6</v>
      </c>
    </row>
    <row r="950" spans="1:11" ht="60" customHeight="1" x14ac:dyDescent="0.25">
      <c r="A950" s="8" t="s">
        <v>1247</v>
      </c>
      <c r="B950" s="8" t="s">
        <v>0</v>
      </c>
      <c r="C950" s="8" t="s">
        <v>188</v>
      </c>
      <c r="D950" s="8" t="s">
        <v>4</v>
      </c>
      <c r="E950" s="8" t="s">
        <v>18</v>
      </c>
      <c r="F950" s="6">
        <v>-37008.699999999997</v>
      </c>
      <c r="G950" s="8" t="s">
        <v>189</v>
      </c>
      <c r="H950" s="8" t="s">
        <v>188</v>
      </c>
      <c r="I950" s="8" t="s">
        <v>2629</v>
      </c>
      <c r="K950">
        <f>IF($A950="","",IF(ISNUMBER($A950),MONTH($A950),MONTH(DATEVALUE($A950))))</f>
        <v>6</v>
      </c>
    </row>
    <row r="951" spans="1:11" ht="60" customHeight="1" x14ac:dyDescent="0.25">
      <c r="A951" s="7" t="s">
        <v>1247</v>
      </c>
      <c r="B951" s="7" t="s">
        <v>0</v>
      </c>
      <c r="C951" s="7" t="s">
        <v>1250</v>
      </c>
      <c r="D951" s="7" t="s">
        <v>4</v>
      </c>
      <c r="E951" s="7" t="s">
        <v>18</v>
      </c>
      <c r="F951" s="5">
        <v>11.99</v>
      </c>
      <c r="G951" s="7" t="s">
        <v>1251</v>
      </c>
      <c r="H951" s="7" t="s">
        <v>1250</v>
      </c>
      <c r="I951" s="7" t="s">
        <v>2627</v>
      </c>
      <c r="K951">
        <f>IF($A951="","",IF(ISNUMBER($A951),MONTH($A951),MONTH(DATEVALUE($A951))))</f>
        <v>6</v>
      </c>
    </row>
    <row r="952" spans="1:11" ht="60" customHeight="1" x14ac:dyDescent="0.25">
      <c r="A952" s="8" t="s">
        <v>1247</v>
      </c>
      <c r="B952" s="8" t="s">
        <v>0</v>
      </c>
      <c r="C952" s="8" t="s">
        <v>1252</v>
      </c>
      <c r="D952" s="8" t="s">
        <v>4</v>
      </c>
      <c r="E952" s="8" t="s">
        <v>18</v>
      </c>
      <c r="F952" s="6">
        <v>3.99</v>
      </c>
      <c r="G952" s="8" t="s">
        <v>1253</v>
      </c>
      <c r="H952" s="8" t="s">
        <v>1252</v>
      </c>
      <c r="I952" s="8" t="s">
        <v>2634</v>
      </c>
      <c r="K952">
        <f>IF($A952="","",IF(ISNUMBER($A952),MONTH($A952),MONTH(DATEVALUE($A952))))</f>
        <v>6</v>
      </c>
    </row>
    <row r="953" spans="1:11" ht="60" customHeight="1" x14ac:dyDescent="0.25">
      <c r="A953" s="7" t="s">
        <v>1247</v>
      </c>
      <c r="B953" s="7" t="s">
        <v>0</v>
      </c>
      <c r="C953" s="7" t="s">
        <v>27</v>
      </c>
      <c r="D953" s="7" t="s">
        <v>4</v>
      </c>
      <c r="E953" s="7" t="s">
        <v>18</v>
      </c>
      <c r="F953" s="5">
        <v>20</v>
      </c>
      <c r="G953" s="7" t="s">
        <v>1254</v>
      </c>
      <c r="H953" s="7" t="s">
        <v>27</v>
      </c>
      <c r="I953" s="7" t="s">
        <v>2628</v>
      </c>
      <c r="K953">
        <f>IF($A953="","",IF(ISNUMBER($A953),MONTH($A953),MONTH(DATEVALUE($A953))))</f>
        <v>6</v>
      </c>
    </row>
    <row r="954" spans="1:11" ht="60" customHeight="1" x14ac:dyDescent="0.25">
      <c r="A954" s="8" t="s">
        <v>1247</v>
      </c>
      <c r="B954" s="8" t="s">
        <v>227</v>
      </c>
      <c r="C954" s="8" t="s">
        <v>1255</v>
      </c>
      <c r="D954" s="8" t="s">
        <v>4</v>
      </c>
      <c r="E954" s="8" t="s">
        <v>18</v>
      </c>
      <c r="F954" s="6">
        <v>57.23</v>
      </c>
      <c r="G954" s="8" t="s">
        <v>1256</v>
      </c>
      <c r="H954" s="8" t="s">
        <v>1255</v>
      </c>
      <c r="I954" s="8" t="s">
        <v>2634</v>
      </c>
      <c r="K954">
        <f>IF($A954="","",IF(ISNUMBER($A954),MONTH($A954),MONTH(DATEVALUE($A954))))</f>
        <v>6</v>
      </c>
    </row>
    <row r="955" spans="1:11" ht="60" customHeight="1" x14ac:dyDescent="0.25">
      <c r="A955" s="7" t="s">
        <v>1247</v>
      </c>
      <c r="B955" s="7" t="s">
        <v>0</v>
      </c>
      <c r="C955" s="7" t="s">
        <v>35</v>
      </c>
      <c r="D955" s="7" t="s">
        <v>4</v>
      </c>
      <c r="E955" s="7" t="s">
        <v>18</v>
      </c>
      <c r="F955" s="5">
        <v>39.99</v>
      </c>
      <c r="G955" s="7" t="s">
        <v>1257</v>
      </c>
      <c r="H955" s="7" t="s">
        <v>35</v>
      </c>
      <c r="I955" s="7" t="s">
        <v>2630</v>
      </c>
      <c r="K955">
        <f>IF($A955="","",IF(ISNUMBER($A955),MONTH($A955),MONTH(DATEVALUE($A955))))</f>
        <v>6</v>
      </c>
    </row>
    <row r="956" spans="1:11" ht="60" customHeight="1" x14ac:dyDescent="0.25">
      <c r="A956" s="8" t="s">
        <v>1247</v>
      </c>
      <c r="B956" s="8" t="s">
        <v>0</v>
      </c>
      <c r="C956" s="8" t="s">
        <v>63</v>
      </c>
      <c r="D956" s="8" t="s">
        <v>4</v>
      </c>
      <c r="E956" s="8" t="s">
        <v>18</v>
      </c>
      <c r="F956" s="6">
        <v>44.29</v>
      </c>
      <c r="G956" s="8" t="s">
        <v>1258</v>
      </c>
      <c r="H956" s="8" t="s">
        <v>63</v>
      </c>
      <c r="I956" s="8" t="s">
        <v>2633</v>
      </c>
      <c r="K956">
        <f>IF($A956="","",IF(ISNUMBER($A956),MONTH($A956),MONTH(DATEVALUE($A956))))</f>
        <v>6</v>
      </c>
    </row>
    <row r="957" spans="1:11" ht="60" customHeight="1" x14ac:dyDescent="0.25">
      <c r="A957" s="7" t="s">
        <v>1247</v>
      </c>
      <c r="B957" s="7" t="s">
        <v>0</v>
      </c>
      <c r="C957" s="7" t="s">
        <v>1259</v>
      </c>
      <c r="D957" s="7" t="s">
        <v>4</v>
      </c>
      <c r="E957" s="7" t="s">
        <v>18</v>
      </c>
      <c r="F957" s="5">
        <v>9.74</v>
      </c>
      <c r="G957" s="7" t="s">
        <v>1260</v>
      </c>
      <c r="H957" s="7" t="s">
        <v>1259</v>
      </c>
      <c r="I957" s="7" t="s">
        <v>2633</v>
      </c>
      <c r="K957">
        <f>IF($A957="","",IF(ISNUMBER($A957),MONTH($A957),MONTH(DATEVALUE($A957))))</f>
        <v>6</v>
      </c>
    </row>
    <row r="958" spans="1:11" ht="60" customHeight="1" x14ac:dyDescent="0.25">
      <c r="A958" s="8" t="s">
        <v>1261</v>
      </c>
      <c r="B958" s="8" t="s">
        <v>0</v>
      </c>
      <c r="C958" s="8" t="s">
        <v>1262</v>
      </c>
      <c r="D958" s="8" t="s">
        <v>1113</v>
      </c>
      <c r="E958" s="8" t="s">
        <v>1114</v>
      </c>
      <c r="F958" s="6">
        <v>1263.68</v>
      </c>
      <c r="G958" s="8" t="s">
        <v>1263</v>
      </c>
      <c r="H958" s="8" t="s">
        <v>1262</v>
      </c>
      <c r="I958" s="8" t="s">
        <v>2650</v>
      </c>
      <c r="K958">
        <f>IF($A958="","",IF(ISNUMBER($A958),MONTH($A958),MONTH(DATEVALUE($A958))))</f>
        <v>6</v>
      </c>
    </row>
    <row r="959" spans="1:11" ht="60" customHeight="1" x14ac:dyDescent="0.25">
      <c r="A959" s="7" t="s">
        <v>1261</v>
      </c>
      <c r="B959" s="7" t="s">
        <v>0</v>
      </c>
      <c r="C959" s="7" t="s">
        <v>1264</v>
      </c>
      <c r="D959" s="7" t="s">
        <v>4</v>
      </c>
      <c r="E959" s="7" t="s">
        <v>18</v>
      </c>
      <c r="F959" s="5">
        <v>525</v>
      </c>
      <c r="G959" s="7" t="s">
        <v>1265</v>
      </c>
      <c r="H959" s="7" t="s">
        <v>1264</v>
      </c>
      <c r="I959" s="7" t="s">
        <v>2650</v>
      </c>
      <c r="K959">
        <f>IF($A959="","",IF(ISNUMBER($A959),MONTH($A959),MONTH(DATEVALUE($A959))))</f>
        <v>6</v>
      </c>
    </row>
    <row r="960" spans="1:11" ht="60" customHeight="1" x14ac:dyDescent="0.25">
      <c r="A960" s="8" t="s">
        <v>1266</v>
      </c>
      <c r="B960" s="8" t="s">
        <v>0</v>
      </c>
      <c r="C960" s="8" t="s">
        <v>1096</v>
      </c>
      <c r="D960" s="8" t="s">
        <v>4</v>
      </c>
      <c r="E960" s="8" t="s">
        <v>18</v>
      </c>
      <c r="F960" s="6">
        <v>-620.85</v>
      </c>
      <c r="G960" s="8" t="s">
        <v>1101</v>
      </c>
      <c r="H960" s="8" t="s">
        <v>1096</v>
      </c>
      <c r="I960" s="8" t="s">
        <v>2647</v>
      </c>
      <c r="K960">
        <f>IF($A960="","",IF(ISNUMBER($A960),MONTH($A960),MONTH(DATEVALUE($A960))))</f>
        <v>6</v>
      </c>
    </row>
    <row r="961" spans="1:11" ht="60" customHeight="1" x14ac:dyDescent="0.25">
      <c r="A961" s="7" t="s">
        <v>1266</v>
      </c>
      <c r="B961" s="7" t="s">
        <v>0</v>
      </c>
      <c r="C961" s="7" t="s">
        <v>1096</v>
      </c>
      <c r="D961" s="7" t="s">
        <v>4</v>
      </c>
      <c r="E961" s="7" t="s">
        <v>18</v>
      </c>
      <c r="F961" s="5">
        <v>-124.4</v>
      </c>
      <c r="G961" s="7" t="s">
        <v>1101</v>
      </c>
      <c r="H961" s="7" t="s">
        <v>1096</v>
      </c>
      <c r="I961" s="7" t="s">
        <v>2647</v>
      </c>
      <c r="K961">
        <f>IF($A961="","",IF(ISNUMBER($A961),MONTH($A961),MONTH(DATEVALUE($A961))))</f>
        <v>6</v>
      </c>
    </row>
    <row r="962" spans="1:11" ht="60" customHeight="1" x14ac:dyDescent="0.25">
      <c r="A962" s="8" t="s">
        <v>1266</v>
      </c>
      <c r="B962" s="8" t="s">
        <v>0</v>
      </c>
      <c r="C962" s="8" t="s">
        <v>1102</v>
      </c>
      <c r="D962" s="8" t="s">
        <v>4</v>
      </c>
      <c r="E962" s="8" t="s">
        <v>18</v>
      </c>
      <c r="F962" s="6">
        <v>124.4</v>
      </c>
      <c r="G962" s="8" t="s">
        <v>1267</v>
      </c>
      <c r="H962" s="8" t="s">
        <v>1096</v>
      </c>
      <c r="I962" s="8" t="s">
        <v>2647</v>
      </c>
      <c r="K962">
        <f>IF($A962="","",IF(ISNUMBER($A962),MONTH($A962),MONTH(DATEVALUE($A962))))</f>
        <v>6</v>
      </c>
    </row>
    <row r="963" spans="1:11" ht="60" customHeight="1" x14ac:dyDescent="0.25">
      <c r="A963" s="7" t="s">
        <v>1266</v>
      </c>
      <c r="B963" s="7" t="s">
        <v>0</v>
      </c>
      <c r="C963" s="7" t="s">
        <v>1102</v>
      </c>
      <c r="D963" s="7" t="s">
        <v>4</v>
      </c>
      <c r="E963" s="7" t="s">
        <v>18</v>
      </c>
      <c r="F963" s="5">
        <v>620.85</v>
      </c>
      <c r="G963" s="7" t="s">
        <v>1268</v>
      </c>
      <c r="H963" s="7" t="s">
        <v>1096</v>
      </c>
      <c r="I963" s="7" t="s">
        <v>2647</v>
      </c>
      <c r="K963">
        <f>IF($A963="","",IF(ISNUMBER($A963),MONTH($A963),MONTH(DATEVALUE($A963))))</f>
        <v>6</v>
      </c>
    </row>
    <row r="964" spans="1:11" ht="60" customHeight="1" x14ac:dyDescent="0.25">
      <c r="A964" s="8" t="s">
        <v>1266</v>
      </c>
      <c r="B964" s="8" t="s">
        <v>0</v>
      </c>
      <c r="C964" s="8" t="s">
        <v>522</v>
      </c>
      <c r="D964" s="8" t="s">
        <v>4</v>
      </c>
      <c r="E964" s="8" t="s">
        <v>18</v>
      </c>
      <c r="F964" s="6">
        <v>101.16</v>
      </c>
      <c r="G964" s="8" t="s">
        <v>1269</v>
      </c>
      <c r="H964" s="8" t="s">
        <v>522</v>
      </c>
      <c r="I964" s="8" t="s">
        <v>2647</v>
      </c>
      <c r="K964">
        <f>IF($A964="","",IF(ISNUMBER($A964),MONTH($A964),MONTH(DATEVALUE($A964))))</f>
        <v>6</v>
      </c>
    </row>
    <row r="965" spans="1:11" ht="60" customHeight="1" x14ac:dyDescent="0.25">
      <c r="A965" s="7" t="s">
        <v>1266</v>
      </c>
      <c r="B965" s="7" t="s">
        <v>0</v>
      </c>
      <c r="C965" s="7" t="s">
        <v>124</v>
      </c>
      <c r="D965" s="7" t="s">
        <v>4</v>
      </c>
      <c r="E965" s="7" t="s">
        <v>18</v>
      </c>
      <c r="F965" s="5">
        <v>30.58</v>
      </c>
      <c r="G965" s="7" t="s">
        <v>1270</v>
      </c>
      <c r="H965" s="7" t="s">
        <v>124</v>
      </c>
      <c r="I965" s="7" t="s">
        <v>2636</v>
      </c>
      <c r="K965">
        <f>IF($A965="","",IF(ISNUMBER($A965),MONTH($A965),MONTH(DATEVALUE($A965))))</f>
        <v>6</v>
      </c>
    </row>
    <row r="966" spans="1:11" ht="60" customHeight="1" x14ac:dyDescent="0.25">
      <c r="A966" s="8" t="s">
        <v>1266</v>
      </c>
      <c r="B966" s="8" t="s">
        <v>0</v>
      </c>
      <c r="C966" s="8" t="s">
        <v>1271</v>
      </c>
      <c r="D966" s="8" t="s">
        <v>4</v>
      </c>
      <c r="E966" s="8" t="s">
        <v>18</v>
      </c>
      <c r="F966" s="6">
        <v>15.98</v>
      </c>
      <c r="G966" s="8" t="s">
        <v>1272</v>
      </c>
      <c r="H966" s="8" t="s">
        <v>1271</v>
      </c>
      <c r="I966" s="8" t="s">
        <v>2627</v>
      </c>
      <c r="K966">
        <f>IF($A966="","",IF(ISNUMBER($A966),MONTH($A966),MONTH(DATEVALUE($A966))))</f>
        <v>6</v>
      </c>
    </row>
    <row r="967" spans="1:11" ht="60" customHeight="1" x14ac:dyDescent="0.25">
      <c r="A967" s="7" t="s">
        <v>1266</v>
      </c>
      <c r="B967" s="7" t="s">
        <v>0</v>
      </c>
      <c r="C967" s="7" t="s">
        <v>672</v>
      </c>
      <c r="D967" s="7" t="s">
        <v>4</v>
      </c>
      <c r="E967" s="7" t="s">
        <v>18</v>
      </c>
      <c r="F967" s="5">
        <v>14.06</v>
      </c>
      <c r="G967" s="7" t="s">
        <v>1273</v>
      </c>
      <c r="H967" s="7" t="s">
        <v>672</v>
      </c>
      <c r="I967" s="7" t="s">
        <v>2647</v>
      </c>
      <c r="K967">
        <f>IF($A967="","",IF(ISNUMBER($A967),MONTH($A967),MONTH(DATEVALUE($A967))))</f>
        <v>6</v>
      </c>
    </row>
    <row r="968" spans="1:11" ht="60" customHeight="1" x14ac:dyDescent="0.25">
      <c r="A968" s="8" t="s">
        <v>1266</v>
      </c>
      <c r="B968" s="8" t="s">
        <v>0</v>
      </c>
      <c r="C968" s="8" t="s">
        <v>1274</v>
      </c>
      <c r="D968" s="8" t="s">
        <v>1113</v>
      </c>
      <c r="E968" s="8" t="s">
        <v>1114</v>
      </c>
      <c r="F968" s="6">
        <v>451.87</v>
      </c>
      <c r="G968" s="8" t="s">
        <v>1275</v>
      </c>
      <c r="H968" s="8" t="s">
        <v>1274</v>
      </c>
      <c r="I968" s="8" t="s">
        <v>2645</v>
      </c>
      <c r="K968">
        <f>IF($A968="","",IF(ISNUMBER($A968),MONTH($A968),MONTH(DATEVALUE($A968))))</f>
        <v>6</v>
      </c>
    </row>
    <row r="969" spans="1:11" ht="60" customHeight="1" x14ac:dyDescent="0.25">
      <c r="A969" s="7" t="s">
        <v>1276</v>
      </c>
      <c r="B969" s="7" t="s">
        <v>0</v>
      </c>
      <c r="C969" s="7" t="s">
        <v>551</v>
      </c>
      <c r="D969" s="7" t="s">
        <v>4</v>
      </c>
      <c r="E969" s="7" t="s">
        <v>18</v>
      </c>
      <c r="F969" s="5">
        <v>-50</v>
      </c>
      <c r="G969" s="7" t="s">
        <v>552</v>
      </c>
      <c r="H969" s="7" t="s">
        <v>551</v>
      </c>
      <c r="I969" s="7" t="s">
        <v>551</v>
      </c>
      <c r="K969">
        <f>IF($A969="","",IF(ISNUMBER($A969),MONTH($A969),MONTH(DATEVALUE($A969))))</f>
        <v>6</v>
      </c>
    </row>
    <row r="970" spans="1:11" ht="60" customHeight="1" x14ac:dyDescent="0.25">
      <c r="A970" s="8" t="s">
        <v>1276</v>
      </c>
      <c r="B970" s="8" t="s">
        <v>0</v>
      </c>
      <c r="C970" s="8" t="s">
        <v>553</v>
      </c>
      <c r="D970" s="8" t="s">
        <v>4</v>
      </c>
      <c r="E970" s="8" t="s">
        <v>18</v>
      </c>
      <c r="F970" s="6">
        <v>265.48</v>
      </c>
      <c r="G970" s="8" t="s">
        <v>1277</v>
      </c>
      <c r="H970" s="8" t="s">
        <v>553</v>
      </c>
      <c r="I970" s="8" t="s">
        <v>2636</v>
      </c>
      <c r="K970">
        <f>IF($A970="","",IF(ISNUMBER($A970),MONTH($A970),MONTH(DATEVALUE($A970))))</f>
        <v>6</v>
      </c>
    </row>
    <row r="971" spans="1:11" ht="60" customHeight="1" x14ac:dyDescent="0.25">
      <c r="A971" s="7" t="s">
        <v>1276</v>
      </c>
      <c r="B971" s="7" t="s">
        <v>0</v>
      </c>
      <c r="C971" s="7" t="s">
        <v>1278</v>
      </c>
      <c r="D971" s="7" t="s">
        <v>4</v>
      </c>
      <c r="E971" s="7" t="s">
        <v>18</v>
      </c>
      <c r="F971" s="5">
        <v>549</v>
      </c>
      <c r="G971" s="7" t="s">
        <v>1279</v>
      </c>
      <c r="H971" s="7" t="s">
        <v>1278</v>
      </c>
      <c r="I971" s="7" t="s">
        <v>2657</v>
      </c>
      <c r="K971">
        <f>IF($A971="","",IF(ISNUMBER($A971),MONTH($A971),MONTH(DATEVALUE($A971))))</f>
        <v>6</v>
      </c>
    </row>
    <row r="972" spans="1:11" ht="60" customHeight="1" x14ac:dyDescent="0.25">
      <c r="A972" s="8" t="s">
        <v>1280</v>
      </c>
      <c r="B972" s="8" t="s">
        <v>0</v>
      </c>
      <c r="C972" s="8" t="s">
        <v>1096</v>
      </c>
      <c r="D972" s="8" t="s">
        <v>4</v>
      </c>
      <c r="E972" s="8" t="s">
        <v>18</v>
      </c>
      <c r="F972" s="6">
        <v>-423.8</v>
      </c>
      <c r="G972" s="8" t="s">
        <v>1101</v>
      </c>
      <c r="H972" s="8" t="s">
        <v>1096</v>
      </c>
      <c r="I972" s="8" t="s">
        <v>2647</v>
      </c>
      <c r="K972">
        <f>IF($A972="","",IF(ISNUMBER($A972),MONTH($A972),MONTH(DATEVALUE($A972))))</f>
        <v>6</v>
      </c>
    </row>
    <row r="973" spans="1:11" ht="60" customHeight="1" x14ac:dyDescent="0.25">
      <c r="A973" s="7" t="s">
        <v>1280</v>
      </c>
      <c r="B973" s="7" t="s">
        <v>0</v>
      </c>
      <c r="C973" s="7" t="s">
        <v>1096</v>
      </c>
      <c r="D973" s="7" t="s">
        <v>4</v>
      </c>
      <c r="E973" s="7" t="s">
        <v>18</v>
      </c>
      <c r="F973" s="5">
        <v>-129.9</v>
      </c>
      <c r="G973" s="7" t="s">
        <v>1101</v>
      </c>
      <c r="H973" s="7" t="s">
        <v>1096</v>
      </c>
      <c r="I973" s="7" t="s">
        <v>2647</v>
      </c>
      <c r="K973">
        <f>IF($A973="","",IF(ISNUMBER($A973),MONTH($A973),MONTH(DATEVALUE($A973))))</f>
        <v>6</v>
      </c>
    </row>
    <row r="974" spans="1:11" ht="60" customHeight="1" x14ac:dyDescent="0.25">
      <c r="A974" s="8" t="s">
        <v>1280</v>
      </c>
      <c r="B974" s="8" t="s">
        <v>0</v>
      </c>
      <c r="C974" s="8" t="s">
        <v>1102</v>
      </c>
      <c r="D974" s="8" t="s">
        <v>4</v>
      </c>
      <c r="E974" s="8" t="s">
        <v>18</v>
      </c>
      <c r="F974" s="6">
        <v>129.9</v>
      </c>
      <c r="G974" s="8" t="s">
        <v>1281</v>
      </c>
      <c r="H974" s="8" t="s">
        <v>1096</v>
      </c>
      <c r="I974" s="8" t="s">
        <v>2647</v>
      </c>
      <c r="K974">
        <f>IF($A974="","",IF(ISNUMBER($A974),MONTH($A974),MONTH(DATEVALUE($A974))))</f>
        <v>6</v>
      </c>
    </row>
    <row r="975" spans="1:11" ht="60" customHeight="1" x14ac:dyDescent="0.25">
      <c r="A975" s="7" t="s">
        <v>1280</v>
      </c>
      <c r="B975" s="7" t="s">
        <v>0</v>
      </c>
      <c r="C975" s="7" t="s">
        <v>1102</v>
      </c>
      <c r="D975" s="7" t="s">
        <v>4</v>
      </c>
      <c r="E975" s="7" t="s">
        <v>18</v>
      </c>
      <c r="F975" s="5">
        <v>423.8</v>
      </c>
      <c r="G975" s="7" t="s">
        <v>1282</v>
      </c>
      <c r="H975" s="7" t="s">
        <v>1096</v>
      </c>
      <c r="I975" s="7" t="s">
        <v>2647</v>
      </c>
      <c r="K975">
        <f>IF($A975="","",IF(ISNUMBER($A975),MONTH($A975),MONTH(DATEVALUE($A975))))</f>
        <v>6</v>
      </c>
    </row>
    <row r="976" spans="1:11" ht="60" customHeight="1" x14ac:dyDescent="0.25">
      <c r="A976" s="8" t="s">
        <v>1280</v>
      </c>
      <c r="B976" s="8" t="s">
        <v>0</v>
      </c>
      <c r="C976" s="8" t="s">
        <v>1283</v>
      </c>
      <c r="D976" s="8" t="s">
        <v>4</v>
      </c>
      <c r="E976" s="8" t="s">
        <v>18</v>
      </c>
      <c r="F976" s="6">
        <v>35</v>
      </c>
      <c r="G976" s="8" t="s">
        <v>1284</v>
      </c>
      <c r="H976" s="8" t="s">
        <v>1283</v>
      </c>
      <c r="I976" s="8" t="s">
        <v>2650</v>
      </c>
      <c r="K976">
        <f>IF($A976="","",IF(ISNUMBER($A976),MONTH($A976),MONTH(DATEVALUE($A976))))</f>
        <v>6</v>
      </c>
    </row>
    <row r="977" spans="1:11" ht="60" customHeight="1" x14ac:dyDescent="0.25">
      <c r="A977" s="7" t="s">
        <v>1280</v>
      </c>
      <c r="B977" s="7" t="s">
        <v>0</v>
      </c>
      <c r="C977" s="7" t="s">
        <v>1285</v>
      </c>
      <c r="D977" s="7" t="s">
        <v>4</v>
      </c>
      <c r="E977" s="7" t="s">
        <v>18</v>
      </c>
      <c r="F977" s="5">
        <v>40.97</v>
      </c>
      <c r="G977" s="7" t="s">
        <v>1286</v>
      </c>
      <c r="H977" s="7" t="s">
        <v>1285</v>
      </c>
      <c r="I977" s="7" t="s">
        <v>2627</v>
      </c>
      <c r="K977">
        <f>IF($A977="","",IF(ISNUMBER($A977),MONTH($A977),MONTH(DATEVALUE($A977))))</f>
        <v>6</v>
      </c>
    </row>
    <row r="978" spans="1:11" ht="60" customHeight="1" x14ac:dyDescent="0.25">
      <c r="A978" s="8" t="s">
        <v>1287</v>
      </c>
      <c r="B978" s="8" t="s">
        <v>0</v>
      </c>
      <c r="C978" s="8" t="s">
        <v>1096</v>
      </c>
      <c r="D978" s="8" t="s">
        <v>4</v>
      </c>
      <c r="E978" s="8" t="s">
        <v>18</v>
      </c>
      <c r="F978" s="6">
        <v>-249.86</v>
      </c>
      <c r="G978" s="8" t="s">
        <v>1101</v>
      </c>
      <c r="H978" s="8" t="s">
        <v>1096</v>
      </c>
      <c r="I978" s="8" t="s">
        <v>2647</v>
      </c>
      <c r="K978">
        <f>IF($A978="","",IF(ISNUMBER($A978),MONTH($A978),MONTH(DATEVALUE($A978))))</f>
        <v>6</v>
      </c>
    </row>
    <row r="979" spans="1:11" ht="60" customHeight="1" x14ac:dyDescent="0.25">
      <c r="A979" s="7" t="s">
        <v>1287</v>
      </c>
      <c r="B979" s="7" t="s">
        <v>0</v>
      </c>
      <c r="C979" s="7" t="s">
        <v>1102</v>
      </c>
      <c r="D979" s="7" t="s">
        <v>4</v>
      </c>
      <c r="E979" s="7" t="s">
        <v>18</v>
      </c>
      <c r="F979" s="5">
        <v>249.86</v>
      </c>
      <c r="G979" s="7" t="s">
        <v>1288</v>
      </c>
      <c r="H979" s="7" t="s">
        <v>1096</v>
      </c>
      <c r="I979" s="7" t="s">
        <v>2647</v>
      </c>
      <c r="K979">
        <f>IF($A979="","",IF(ISNUMBER($A979),MONTH($A979),MONTH(DATEVALUE($A979))))</f>
        <v>6</v>
      </c>
    </row>
    <row r="980" spans="1:11" ht="60" customHeight="1" x14ac:dyDescent="0.25">
      <c r="A980" s="8" t="s">
        <v>1287</v>
      </c>
      <c r="B980" s="8" t="s">
        <v>0</v>
      </c>
      <c r="C980" s="8" t="s">
        <v>1289</v>
      </c>
      <c r="D980" s="8" t="s">
        <v>4</v>
      </c>
      <c r="E980" s="8" t="s">
        <v>18</v>
      </c>
      <c r="F980" s="6">
        <v>12.17</v>
      </c>
      <c r="G980" s="8" t="s">
        <v>1290</v>
      </c>
      <c r="H980" s="8" t="s">
        <v>1289</v>
      </c>
      <c r="I980" s="8" t="s">
        <v>2627</v>
      </c>
      <c r="K980">
        <f>IF($A980="","",IF(ISNUMBER($A980),MONTH($A980),MONTH(DATEVALUE($A980))))</f>
        <v>6</v>
      </c>
    </row>
    <row r="981" spans="1:11" ht="60" customHeight="1" x14ac:dyDescent="0.25">
      <c r="A981" s="7" t="s">
        <v>1291</v>
      </c>
      <c r="B981" s="7" t="s">
        <v>0</v>
      </c>
      <c r="C981" s="7" t="s">
        <v>1096</v>
      </c>
      <c r="D981" s="7" t="s">
        <v>4</v>
      </c>
      <c r="E981" s="7" t="s">
        <v>18</v>
      </c>
      <c r="F981" s="5">
        <v>-529.75</v>
      </c>
      <c r="G981" s="7" t="s">
        <v>1101</v>
      </c>
      <c r="H981" s="7" t="s">
        <v>1096</v>
      </c>
      <c r="I981" s="7" t="s">
        <v>2647</v>
      </c>
      <c r="K981">
        <f>IF($A981="","",IF(ISNUMBER($A981),MONTH($A981),MONTH(DATEVALUE($A981))))</f>
        <v>6</v>
      </c>
    </row>
    <row r="982" spans="1:11" ht="60" customHeight="1" x14ac:dyDescent="0.25">
      <c r="A982" s="8" t="s">
        <v>1291</v>
      </c>
      <c r="B982" s="8" t="s">
        <v>0</v>
      </c>
      <c r="C982" s="8" t="s">
        <v>1096</v>
      </c>
      <c r="D982" s="8" t="s">
        <v>4</v>
      </c>
      <c r="E982" s="8" t="s">
        <v>18</v>
      </c>
      <c r="F982" s="6">
        <v>-163.34</v>
      </c>
      <c r="G982" s="8" t="s">
        <v>1101</v>
      </c>
      <c r="H982" s="8" t="s">
        <v>1096</v>
      </c>
      <c r="I982" s="8" t="s">
        <v>2647</v>
      </c>
      <c r="K982">
        <f>IF($A982="","",IF(ISNUMBER($A982),MONTH($A982),MONTH(DATEVALUE($A982))))</f>
        <v>6</v>
      </c>
    </row>
    <row r="983" spans="1:11" ht="60" customHeight="1" x14ac:dyDescent="0.25">
      <c r="A983" s="7" t="s">
        <v>1291</v>
      </c>
      <c r="B983" s="7" t="s">
        <v>0</v>
      </c>
      <c r="C983" s="7" t="s">
        <v>1102</v>
      </c>
      <c r="D983" s="7" t="s">
        <v>4</v>
      </c>
      <c r="E983" s="7" t="s">
        <v>18</v>
      </c>
      <c r="F983" s="5">
        <v>163.34</v>
      </c>
      <c r="G983" s="7" t="s">
        <v>1292</v>
      </c>
      <c r="H983" s="7" t="s">
        <v>1096</v>
      </c>
      <c r="I983" s="7" t="s">
        <v>2647</v>
      </c>
      <c r="K983">
        <f>IF($A983="","",IF(ISNUMBER($A983),MONTH($A983),MONTH(DATEVALUE($A983))))</f>
        <v>6</v>
      </c>
    </row>
    <row r="984" spans="1:11" ht="60" customHeight="1" x14ac:dyDescent="0.25">
      <c r="A984" s="8" t="s">
        <v>1291</v>
      </c>
      <c r="B984" s="8" t="s">
        <v>0</v>
      </c>
      <c r="C984" s="8" t="s">
        <v>1102</v>
      </c>
      <c r="D984" s="8" t="s">
        <v>4</v>
      </c>
      <c r="E984" s="8" t="s">
        <v>18</v>
      </c>
      <c r="F984" s="6">
        <v>529.75</v>
      </c>
      <c r="G984" s="8" t="s">
        <v>1293</v>
      </c>
      <c r="H984" s="8" t="s">
        <v>1096</v>
      </c>
      <c r="I984" s="8" t="s">
        <v>2647</v>
      </c>
      <c r="K984">
        <f>IF($A984="","",IF(ISNUMBER($A984),MONTH($A984),MONTH(DATEVALUE($A984))))</f>
        <v>6</v>
      </c>
    </row>
    <row r="985" spans="1:11" ht="60" customHeight="1" x14ac:dyDescent="0.25">
      <c r="A985" s="7" t="s">
        <v>1291</v>
      </c>
      <c r="B985" s="7" t="s">
        <v>0</v>
      </c>
      <c r="C985" s="7" t="s">
        <v>522</v>
      </c>
      <c r="D985" s="7" t="s">
        <v>4</v>
      </c>
      <c r="E985" s="7" t="s">
        <v>18</v>
      </c>
      <c r="F985" s="5">
        <v>162.33000000000001</v>
      </c>
      <c r="G985" s="7" t="s">
        <v>1294</v>
      </c>
      <c r="H985" s="7" t="s">
        <v>522</v>
      </c>
      <c r="I985" s="7" t="s">
        <v>2647</v>
      </c>
      <c r="K985">
        <f>IF($A985="","",IF(ISNUMBER($A985),MONTH($A985),MONTH(DATEVALUE($A985))))</f>
        <v>6</v>
      </c>
    </row>
    <row r="986" spans="1:11" ht="60" customHeight="1" x14ac:dyDescent="0.25">
      <c r="A986" s="8" t="s">
        <v>1291</v>
      </c>
      <c r="B986" s="8" t="s">
        <v>0</v>
      </c>
      <c r="C986" s="8" t="s">
        <v>1295</v>
      </c>
      <c r="D986" s="8" t="s">
        <v>4</v>
      </c>
      <c r="E986" s="8" t="s">
        <v>18</v>
      </c>
      <c r="F986" s="6">
        <v>27.15</v>
      </c>
      <c r="G986" s="8" t="s">
        <v>1296</v>
      </c>
      <c r="H986" s="8" t="s">
        <v>1295</v>
      </c>
      <c r="I986" s="8" t="s">
        <v>2635</v>
      </c>
      <c r="K986">
        <f>IF($A986="","",IF(ISNUMBER($A986),MONTH($A986),MONTH(DATEVALUE($A986))))</f>
        <v>6</v>
      </c>
    </row>
    <row r="987" spans="1:11" ht="60" customHeight="1" x14ac:dyDescent="0.25">
      <c r="A987" s="7" t="s">
        <v>1291</v>
      </c>
      <c r="B987" s="7" t="s">
        <v>0</v>
      </c>
      <c r="C987" s="7" t="s">
        <v>1297</v>
      </c>
      <c r="D987" s="7" t="s">
        <v>4</v>
      </c>
      <c r="E987" s="7" t="s">
        <v>18</v>
      </c>
      <c r="F987" s="5">
        <v>3.02</v>
      </c>
      <c r="G987" s="7" t="s">
        <v>1298</v>
      </c>
      <c r="H987" s="7" t="s">
        <v>1297</v>
      </c>
      <c r="I987" s="7" t="s">
        <v>2635</v>
      </c>
      <c r="K987">
        <f>IF($A987="","",IF(ISNUMBER($A987),MONTH($A987),MONTH(DATEVALUE($A987))))</f>
        <v>6</v>
      </c>
    </row>
    <row r="988" spans="1:11" ht="60" customHeight="1" x14ac:dyDescent="0.25">
      <c r="A988" s="8" t="s">
        <v>1291</v>
      </c>
      <c r="B988" s="8" t="s">
        <v>0</v>
      </c>
      <c r="C988" s="8" t="s">
        <v>1299</v>
      </c>
      <c r="D988" s="8" t="s">
        <v>4</v>
      </c>
      <c r="E988" s="8" t="s">
        <v>18</v>
      </c>
      <c r="F988" s="6">
        <v>4.0999999999999996</v>
      </c>
      <c r="G988" s="8" t="s">
        <v>1300</v>
      </c>
      <c r="H988" s="8" t="s">
        <v>1299</v>
      </c>
      <c r="I988" s="8" t="s">
        <v>2635</v>
      </c>
      <c r="K988">
        <f>IF($A988="","",IF(ISNUMBER($A988),MONTH($A988),MONTH(DATEVALUE($A988))))</f>
        <v>6</v>
      </c>
    </row>
    <row r="989" spans="1:11" ht="60" customHeight="1" x14ac:dyDescent="0.25">
      <c r="A989" s="7" t="s">
        <v>1291</v>
      </c>
      <c r="B989" s="7" t="s">
        <v>0</v>
      </c>
      <c r="C989" s="7" t="s">
        <v>1301</v>
      </c>
      <c r="D989" s="7" t="s">
        <v>4</v>
      </c>
      <c r="E989" s="7" t="s">
        <v>18</v>
      </c>
      <c r="F989" s="5">
        <v>43.9</v>
      </c>
      <c r="G989" s="7" t="s">
        <v>1302</v>
      </c>
      <c r="H989" s="7" t="s">
        <v>1301</v>
      </c>
      <c r="I989" s="7" t="s">
        <v>2645</v>
      </c>
      <c r="K989">
        <f>IF($A989="","",IF(ISNUMBER($A989),MONTH($A989),MONTH(DATEVALUE($A989))))</f>
        <v>6</v>
      </c>
    </row>
    <row r="990" spans="1:11" ht="60" customHeight="1" x14ac:dyDescent="0.25">
      <c r="A990" s="8" t="s">
        <v>1303</v>
      </c>
      <c r="B990" s="8" t="s">
        <v>0</v>
      </c>
      <c r="C990" s="8" t="s">
        <v>1096</v>
      </c>
      <c r="D990" s="8" t="s">
        <v>4</v>
      </c>
      <c r="E990" s="8" t="s">
        <v>18</v>
      </c>
      <c r="F990" s="6">
        <v>-620.85</v>
      </c>
      <c r="G990" s="8" t="s">
        <v>1101</v>
      </c>
      <c r="H990" s="8" t="s">
        <v>1096</v>
      </c>
      <c r="I990" s="8" t="s">
        <v>2647</v>
      </c>
      <c r="K990">
        <f>IF($A990="","",IF(ISNUMBER($A990),MONTH($A990),MONTH(DATEVALUE($A990))))</f>
        <v>6</v>
      </c>
    </row>
    <row r="991" spans="1:11" ht="60" customHeight="1" x14ac:dyDescent="0.25">
      <c r="A991" s="7" t="s">
        <v>1303</v>
      </c>
      <c r="B991" s="7" t="s">
        <v>0</v>
      </c>
      <c r="C991" s="7" t="s">
        <v>1102</v>
      </c>
      <c r="D991" s="7" t="s">
        <v>4</v>
      </c>
      <c r="E991" s="7" t="s">
        <v>18</v>
      </c>
      <c r="F991" s="5">
        <v>620.85</v>
      </c>
      <c r="G991" s="7" t="s">
        <v>1304</v>
      </c>
      <c r="H991" s="7" t="s">
        <v>1096</v>
      </c>
      <c r="I991" s="7" t="s">
        <v>2647</v>
      </c>
      <c r="K991">
        <f>IF($A991="","",IF(ISNUMBER($A991),MONTH($A991),MONTH(DATEVALUE($A991))))</f>
        <v>6</v>
      </c>
    </row>
    <row r="992" spans="1:11" ht="60" customHeight="1" x14ac:dyDescent="0.25">
      <c r="A992" s="8" t="s">
        <v>1303</v>
      </c>
      <c r="B992" s="8" t="s">
        <v>0</v>
      </c>
      <c r="C992" s="8" t="s">
        <v>44</v>
      </c>
      <c r="D992" s="8" t="s">
        <v>4</v>
      </c>
      <c r="E992" s="8" t="s">
        <v>18</v>
      </c>
      <c r="F992" s="6">
        <v>584</v>
      </c>
      <c r="G992" s="8" t="s">
        <v>1305</v>
      </c>
      <c r="H992" s="8" t="s">
        <v>44</v>
      </c>
      <c r="I992" s="8" t="s">
        <v>2630</v>
      </c>
      <c r="K992">
        <f>IF($A992="","",IF(ISNUMBER($A992),MONTH($A992),MONTH(DATEVALUE($A992))))</f>
        <v>6</v>
      </c>
    </row>
    <row r="993" spans="1:11" ht="60" customHeight="1" x14ac:dyDescent="0.25">
      <c r="A993" s="7" t="s">
        <v>1303</v>
      </c>
      <c r="B993" s="7" t="s">
        <v>0</v>
      </c>
      <c r="C993" s="7" t="s">
        <v>1306</v>
      </c>
      <c r="D993" s="7" t="s">
        <v>4</v>
      </c>
      <c r="E993" s="7" t="s">
        <v>18</v>
      </c>
      <c r="F993" s="5">
        <v>17.97</v>
      </c>
      <c r="G993" s="7" t="s">
        <v>1307</v>
      </c>
      <c r="H993" s="7" t="s">
        <v>1306</v>
      </c>
      <c r="I993" s="7" t="s">
        <v>2627</v>
      </c>
      <c r="K993">
        <f>IF($A993="","",IF(ISNUMBER($A993),MONTH($A993),MONTH(DATEVALUE($A993))))</f>
        <v>6</v>
      </c>
    </row>
    <row r="994" spans="1:11" ht="60" customHeight="1" x14ac:dyDescent="0.25">
      <c r="A994" s="8" t="s">
        <v>1308</v>
      </c>
      <c r="B994" s="8" t="s">
        <v>0</v>
      </c>
      <c r="C994" s="8" t="s">
        <v>1096</v>
      </c>
      <c r="D994" s="8" t="s">
        <v>4</v>
      </c>
      <c r="E994" s="8" t="s">
        <v>18</v>
      </c>
      <c r="F994" s="6">
        <v>-317.85000000000002</v>
      </c>
      <c r="G994" s="8" t="s">
        <v>1101</v>
      </c>
      <c r="H994" s="8" t="s">
        <v>1096</v>
      </c>
      <c r="I994" s="8" t="s">
        <v>2647</v>
      </c>
      <c r="K994">
        <f>IF($A994="","",IF(ISNUMBER($A994),MONTH($A994),MONTH(DATEVALUE($A994))))</f>
        <v>6</v>
      </c>
    </row>
    <row r="995" spans="1:11" ht="60" customHeight="1" x14ac:dyDescent="0.25">
      <c r="A995" s="7" t="s">
        <v>1308</v>
      </c>
      <c r="B995" s="7" t="s">
        <v>0</v>
      </c>
      <c r="C995" s="7" t="s">
        <v>1096</v>
      </c>
      <c r="D995" s="7" t="s">
        <v>4</v>
      </c>
      <c r="E995" s="7" t="s">
        <v>18</v>
      </c>
      <c r="F995" s="5">
        <v>-92.11</v>
      </c>
      <c r="G995" s="7" t="s">
        <v>1101</v>
      </c>
      <c r="H995" s="7" t="s">
        <v>1096</v>
      </c>
      <c r="I995" s="7" t="s">
        <v>2647</v>
      </c>
      <c r="K995">
        <f>IF($A995="","",IF(ISNUMBER($A995),MONTH($A995),MONTH(DATEVALUE($A995))))</f>
        <v>6</v>
      </c>
    </row>
    <row r="996" spans="1:11" ht="60" customHeight="1" x14ac:dyDescent="0.25">
      <c r="A996" s="8" t="s">
        <v>1308</v>
      </c>
      <c r="B996" s="8" t="s">
        <v>0</v>
      </c>
      <c r="C996" s="8" t="s">
        <v>1096</v>
      </c>
      <c r="D996" s="8" t="s">
        <v>4</v>
      </c>
      <c r="E996" s="8" t="s">
        <v>18</v>
      </c>
      <c r="F996" s="6">
        <v>-45.71</v>
      </c>
      <c r="G996" s="8" t="s">
        <v>1101</v>
      </c>
      <c r="H996" s="8" t="s">
        <v>1096</v>
      </c>
      <c r="I996" s="8" t="s">
        <v>2647</v>
      </c>
      <c r="K996">
        <f>IF($A996="","",IF(ISNUMBER($A996),MONTH($A996),MONTH(DATEVALUE($A996))))</f>
        <v>6</v>
      </c>
    </row>
    <row r="997" spans="1:11" ht="60" customHeight="1" x14ac:dyDescent="0.25">
      <c r="A997" s="7" t="s">
        <v>1308</v>
      </c>
      <c r="B997" s="7" t="s">
        <v>0</v>
      </c>
      <c r="C997" s="7" t="s">
        <v>1096</v>
      </c>
      <c r="D997" s="7" t="s">
        <v>4</v>
      </c>
      <c r="E997" s="7" t="s">
        <v>18</v>
      </c>
      <c r="F997" s="5">
        <v>-32.33</v>
      </c>
      <c r="G997" s="7" t="s">
        <v>1101</v>
      </c>
      <c r="H997" s="7" t="s">
        <v>1096</v>
      </c>
      <c r="I997" s="7" t="s">
        <v>2647</v>
      </c>
      <c r="K997">
        <f>IF($A997="","",IF(ISNUMBER($A997),MONTH($A997),MONTH(DATEVALUE($A997))))</f>
        <v>6</v>
      </c>
    </row>
    <row r="998" spans="1:11" ht="60" customHeight="1" x14ac:dyDescent="0.25">
      <c r="A998" s="8" t="s">
        <v>1308</v>
      </c>
      <c r="B998" s="8" t="s">
        <v>0</v>
      </c>
      <c r="C998" s="8" t="s">
        <v>1102</v>
      </c>
      <c r="D998" s="8" t="s">
        <v>4</v>
      </c>
      <c r="E998" s="8" t="s">
        <v>18</v>
      </c>
      <c r="F998" s="6">
        <v>32.33</v>
      </c>
      <c r="G998" s="8" t="s">
        <v>1309</v>
      </c>
      <c r="H998" s="8" t="s">
        <v>1096</v>
      </c>
      <c r="I998" s="8" t="s">
        <v>2647</v>
      </c>
      <c r="K998">
        <f>IF($A998="","",IF(ISNUMBER($A998),MONTH($A998),MONTH(DATEVALUE($A998))))</f>
        <v>6</v>
      </c>
    </row>
    <row r="999" spans="1:11" ht="60" customHeight="1" x14ac:dyDescent="0.25">
      <c r="A999" s="7" t="s">
        <v>1308</v>
      </c>
      <c r="B999" s="7" t="s">
        <v>0</v>
      </c>
      <c r="C999" s="7" t="s">
        <v>1102</v>
      </c>
      <c r="D999" s="7" t="s">
        <v>4</v>
      </c>
      <c r="E999" s="7" t="s">
        <v>18</v>
      </c>
      <c r="F999" s="5">
        <v>45.71</v>
      </c>
      <c r="G999" s="7" t="s">
        <v>1310</v>
      </c>
      <c r="H999" s="7" t="s">
        <v>1096</v>
      </c>
      <c r="I999" s="7" t="s">
        <v>2647</v>
      </c>
      <c r="K999">
        <f>IF($A999="","",IF(ISNUMBER($A999),MONTH($A999),MONTH(DATEVALUE($A999))))</f>
        <v>6</v>
      </c>
    </row>
    <row r="1000" spans="1:11" ht="60" customHeight="1" x14ac:dyDescent="0.25">
      <c r="A1000" s="8" t="s">
        <v>1308</v>
      </c>
      <c r="B1000" s="8" t="s">
        <v>0</v>
      </c>
      <c r="C1000" s="8" t="s">
        <v>1102</v>
      </c>
      <c r="D1000" s="8" t="s">
        <v>4</v>
      </c>
      <c r="E1000" s="8" t="s">
        <v>18</v>
      </c>
      <c r="F1000" s="6">
        <v>92.11</v>
      </c>
      <c r="G1000" s="8" t="s">
        <v>1311</v>
      </c>
      <c r="H1000" s="8" t="s">
        <v>1096</v>
      </c>
      <c r="I1000" s="8" t="s">
        <v>2647</v>
      </c>
      <c r="K1000">
        <f>IF($A1000="","",IF(ISNUMBER($A1000),MONTH($A1000),MONTH(DATEVALUE($A1000))))</f>
        <v>6</v>
      </c>
    </row>
    <row r="1001" spans="1:11" ht="60" customHeight="1" x14ac:dyDescent="0.25">
      <c r="A1001" s="7" t="s">
        <v>1308</v>
      </c>
      <c r="B1001" s="7" t="s">
        <v>0</v>
      </c>
      <c r="C1001" s="7" t="s">
        <v>1102</v>
      </c>
      <c r="D1001" s="7" t="s">
        <v>4</v>
      </c>
      <c r="E1001" s="7" t="s">
        <v>18</v>
      </c>
      <c r="F1001" s="5">
        <v>317.85000000000002</v>
      </c>
      <c r="G1001" s="7" t="s">
        <v>1312</v>
      </c>
      <c r="H1001" s="7" t="s">
        <v>1096</v>
      </c>
      <c r="I1001" s="7" t="s">
        <v>2647</v>
      </c>
      <c r="K1001">
        <f>IF($A1001="","",IF(ISNUMBER($A1001),MONTH($A1001),MONTH(DATEVALUE($A1001))))</f>
        <v>6</v>
      </c>
    </row>
    <row r="1002" spans="1:11" ht="60" customHeight="1" x14ac:dyDescent="0.25">
      <c r="A1002" s="8" t="s">
        <v>1308</v>
      </c>
      <c r="B1002" s="8" t="s">
        <v>0</v>
      </c>
      <c r="C1002" s="8" t="s">
        <v>522</v>
      </c>
      <c r="D1002" s="8" t="s">
        <v>4</v>
      </c>
      <c r="E1002" s="8" t="s">
        <v>18</v>
      </c>
      <c r="F1002" s="6">
        <v>17.309999999999999</v>
      </c>
      <c r="G1002" s="8" t="s">
        <v>1313</v>
      </c>
      <c r="H1002" s="8" t="s">
        <v>522</v>
      </c>
      <c r="I1002" s="8" t="s">
        <v>2647</v>
      </c>
      <c r="K1002">
        <f>IF($A1002="","",IF(ISNUMBER($A1002),MONTH($A1002),MONTH(DATEVALUE($A1002))))</f>
        <v>6</v>
      </c>
    </row>
    <row r="1003" spans="1:11" ht="60" customHeight="1" x14ac:dyDescent="0.25">
      <c r="A1003" s="7" t="s">
        <v>1308</v>
      </c>
      <c r="B1003" s="7" t="s">
        <v>0</v>
      </c>
      <c r="C1003" s="7" t="s">
        <v>522</v>
      </c>
      <c r="D1003" s="7" t="s">
        <v>4</v>
      </c>
      <c r="E1003" s="7" t="s">
        <v>18</v>
      </c>
      <c r="F1003" s="5">
        <v>27.25</v>
      </c>
      <c r="G1003" s="7" t="s">
        <v>1314</v>
      </c>
      <c r="H1003" s="7" t="s">
        <v>522</v>
      </c>
      <c r="I1003" s="7" t="s">
        <v>2647</v>
      </c>
      <c r="K1003">
        <f>IF($A1003="","",IF(ISNUMBER($A1003),MONTH($A1003),MONTH(DATEVALUE($A1003))))</f>
        <v>6</v>
      </c>
    </row>
    <row r="1004" spans="1:11" ht="60" customHeight="1" x14ac:dyDescent="0.25">
      <c r="A1004" s="8" t="s">
        <v>1315</v>
      </c>
      <c r="B1004" s="8" t="s">
        <v>0</v>
      </c>
      <c r="C1004" s="8" t="s">
        <v>1316</v>
      </c>
      <c r="D1004" s="8" t="s">
        <v>4</v>
      </c>
      <c r="E1004" s="8" t="s">
        <v>18</v>
      </c>
      <c r="F1004" s="6">
        <v>1050.71</v>
      </c>
      <c r="G1004" s="8" t="s">
        <v>1317</v>
      </c>
      <c r="H1004" s="8" t="s">
        <v>1316</v>
      </c>
      <c r="I1004" s="8" t="s">
        <v>2640</v>
      </c>
      <c r="K1004">
        <f>IF($A1004="","",IF(ISNUMBER($A1004),MONTH($A1004),MONTH(DATEVALUE($A1004))))</f>
        <v>6</v>
      </c>
    </row>
    <row r="1005" spans="1:11" ht="60" customHeight="1" x14ac:dyDescent="0.25">
      <c r="A1005" s="7" t="s">
        <v>1315</v>
      </c>
      <c r="B1005" s="7" t="s">
        <v>0</v>
      </c>
      <c r="C1005" s="7" t="s">
        <v>1096</v>
      </c>
      <c r="D1005" s="7" t="s">
        <v>4</v>
      </c>
      <c r="E1005" s="7" t="s">
        <v>18</v>
      </c>
      <c r="F1005" s="5">
        <v>-529.75</v>
      </c>
      <c r="G1005" s="7" t="s">
        <v>1101</v>
      </c>
      <c r="H1005" s="7" t="s">
        <v>1096</v>
      </c>
      <c r="I1005" s="7" t="s">
        <v>2647</v>
      </c>
      <c r="K1005">
        <f>IF($A1005="","",IF(ISNUMBER($A1005),MONTH($A1005),MONTH(DATEVALUE($A1005))))</f>
        <v>6</v>
      </c>
    </row>
    <row r="1006" spans="1:11" ht="60" customHeight="1" x14ac:dyDescent="0.25">
      <c r="A1006" s="8" t="s">
        <v>1315</v>
      </c>
      <c r="B1006" s="8" t="s">
        <v>0</v>
      </c>
      <c r="C1006" s="8" t="s">
        <v>1102</v>
      </c>
      <c r="D1006" s="8" t="s">
        <v>4</v>
      </c>
      <c r="E1006" s="8" t="s">
        <v>18</v>
      </c>
      <c r="F1006" s="6">
        <v>529.75</v>
      </c>
      <c r="G1006" s="8" t="s">
        <v>1318</v>
      </c>
      <c r="H1006" s="8" t="s">
        <v>1096</v>
      </c>
      <c r="I1006" s="8" t="s">
        <v>2647</v>
      </c>
      <c r="K1006">
        <f>IF($A1006="","",IF(ISNUMBER($A1006),MONTH($A1006),MONTH(DATEVALUE($A1006))))</f>
        <v>6</v>
      </c>
    </row>
    <row r="1007" spans="1:11" ht="60" customHeight="1" x14ac:dyDescent="0.25">
      <c r="A1007" s="7" t="s">
        <v>1315</v>
      </c>
      <c r="B1007" s="7" t="s">
        <v>0</v>
      </c>
      <c r="C1007" s="7" t="s">
        <v>1319</v>
      </c>
      <c r="D1007" s="7" t="s">
        <v>4</v>
      </c>
      <c r="E1007" s="7" t="s">
        <v>18</v>
      </c>
      <c r="F1007" s="5">
        <v>1700</v>
      </c>
      <c r="G1007" s="7" t="s">
        <v>1320</v>
      </c>
      <c r="H1007" s="7" t="s">
        <v>1319</v>
      </c>
      <c r="I1007" s="7" t="s">
        <v>2649</v>
      </c>
      <c r="K1007">
        <f>IF($A1007="","",IF(ISNUMBER($A1007),MONTH($A1007),MONTH(DATEVALUE($A1007))))</f>
        <v>6</v>
      </c>
    </row>
    <row r="1008" spans="1:11" ht="60" customHeight="1" x14ac:dyDescent="0.25">
      <c r="A1008" s="8" t="s">
        <v>1315</v>
      </c>
      <c r="B1008" s="8" t="s">
        <v>0</v>
      </c>
      <c r="C1008" s="8" t="s">
        <v>1321</v>
      </c>
      <c r="D1008" s="8" t="s">
        <v>4</v>
      </c>
      <c r="E1008" s="8" t="s">
        <v>18</v>
      </c>
      <c r="F1008" s="6">
        <v>15.98</v>
      </c>
      <c r="G1008" s="8" t="s">
        <v>1322</v>
      </c>
      <c r="H1008" s="8" t="s">
        <v>1321</v>
      </c>
      <c r="I1008" s="8" t="s">
        <v>2627</v>
      </c>
      <c r="K1008">
        <f>IF($A1008="","",IF(ISNUMBER($A1008),MONTH($A1008),MONTH(DATEVALUE($A1008))))</f>
        <v>6</v>
      </c>
    </row>
    <row r="1009" spans="1:11" ht="60" customHeight="1" x14ac:dyDescent="0.25">
      <c r="A1009" s="7" t="s">
        <v>1323</v>
      </c>
      <c r="B1009" s="7" t="s">
        <v>0</v>
      </c>
      <c r="C1009" s="7" t="s">
        <v>1096</v>
      </c>
      <c r="D1009" s="7" t="s">
        <v>4</v>
      </c>
      <c r="E1009" s="7" t="s">
        <v>18</v>
      </c>
      <c r="F1009" s="5">
        <v>-33.299999999999997</v>
      </c>
      <c r="G1009" s="7" t="s">
        <v>1101</v>
      </c>
      <c r="H1009" s="7" t="s">
        <v>1096</v>
      </c>
      <c r="I1009" s="7" t="s">
        <v>2647</v>
      </c>
      <c r="K1009">
        <f>IF($A1009="","",IF(ISNUMBER($A1009),MONTH($A1009),MONTH(DATEVALUE($A1009))))</f>
        <v>6</v>
      </c>
    </row>
    <row r="1010" spans="1:11" ht="60" customHeight="1" x14ac:dyDescent="0.25">
      <c r="A1010" s="8" t="s">
        <v>1323</v>
      </c>
      <c r="B1010" s="8" t="s">
        <v>0</v>
      </c>
      <c r="C1010" s="8" t="s">
        <v>1096</v>
      </c>
      <c r="D1010" s="8" t="s">
        <v>4</v>
      </c>
      <c r="E1010" s="8" t="s">
        <v>18</v>
      </c>
      <c r="F1010" s="6">
        <v>-32.46</v>
      </c>
      <c r="G1010" s="8" t="s">
        <v>1101</v>
      </c>
      <c r="H1010" s="8" t="s">
        <v>1096</v>
      </c>
      <c r="I1010" s="8" t="s">
        <v>2647</v>
      </c>
      <c r="K1010">
        <f>IF($A1010="","",IF(ISNUMBER($A1010),MONTH($A1010),MONTH(DATEVALUE($A1010))))</f>
        <v>6</v>
      </c>
    </row>
    <row r="1011" spans="1:11" ht="60" customHeight="1" x14ac:dyDescent="0.25">
      <c r="A1011" s="7" t="s">
        <v>1323</v>
      </c>
      <c r="B1011" s="7" t="s">
        <v>0</v>
      </c>
      <c r="C1011" s="7" t="s">
        <v>1102</v>
      </c>
      <c r="D1011" s="7" t="s">
        <v>4</v>
      </c>
      <c r="E1011" s="7" t="s">
        <v>18</v>
      </c>
      <c r="F1011" s="5">
        <v>32.46</v>
      </c>
      <c r="G1011" s="7" t="s">
        <v>1324</v>
      </c>
      <c r="H1011" s="7" t="s">
        <v>1096</v>
      </c>
      <c r="I1011" s="7" t="s">
        <v>2647</v>
      </c>
      <c r="K1011">
        <f>IF($A1011="","",IF(ISNUMBER($A1011),MONTH($A1011),MONTH(DATEVALUE($A1011))))</f>
        <v>6</v>
      </c>
    </row>
    <row r="1012" spans="1:11" ht="60" customHeight="1" x14ac:dyDescent="0.25">
      <c r="A1012" s="8" t="s">
        <v>1323</v>
      </c>
      <c r="B1012" s="8" t="s">
        <v>0</v>
      </c>
      <c r="C1012" s="8" t="s">
        <v>1102</v>
      </c>
      <c r="D1012" s="8" t="s">
        <v>4</v>
      </c>
      <c r="E1012" s="8" t="s">
        <v>18</v>
      </c>
      <c r="F1012" s="6">
        <v>33.299999999999997</v>
      </c>
      <c r="G1012" s="8" t="s">
        <v>1325</v>
      </c>
      <c r="H1012" s="8" t="s">
        <v>1096</v>
      </c>
      <c r="I1012" s="8" t="s">
        <v>2647</v>
      </c>
      <c r="K1012">
        <f>IF($A1012="","",IF(ISNUMBER($A1012),MONTH($A1012),MONTH(DATEVALUE($A1012))))</f>
        <v>6</v>
      </c>
    </row>
    <row r="1013" spans="1:11" ht="60" customHeight="1" x14ac:dyDescent="0.25">
      <c r="A1013" s="7" t="s">
        <v>1323</v>
      </c>
      <c r="B1013" s="7" t="s">
        <v>0</v>
      </c>
      <c r="C1013" s="7" t="s">
        <v>522</v>
      </c>
      <c r="D1013" s="7" t="s">
        <v>4</v>
      </c>
      <c r="E1013" s="7" t="s">
        <v>18</v>
      </c>
      <c r="F1013" s="5">
        <v>30.4</v>
      </c>
      <c r="G1013" s="7" t="s">
        <v>1326</v>
      </c>
      <c r="H1013" s="7" t="s">
        <v>522</v>
      </c>
      <c r="I1013" s="7" t="s">
        <v>2647</v>
      </c>
      <c r="K1013">
        <f>IF($A1013="","",IF(ISNUMBER($A1013),MONTH($A1013),MONTH(DATEVALUE($A1013))))</f>
        <v>6</v>
      </c>
    </row>
    <row r="1014" spans="1:11" ht="60" customHeight="1" x14ac:dyDescent="0.25">
      <c r="A1014" s="8" t="s">
        <v>1323</v>
      </c>
      <c r="B1014" s="8" t="s">
        <v>0</v>
      </c>
      <c r="C1014" s="8" t="s">
        <v>522</v>
      </c>
      <c r="D1014" s="8" t="s">
        <v>4</v>
      </c>
      <c r="E1014" s="8" t="s">
        <v>18</v>
      </c>
      <c r="F1014" s="6">
        <v>63.73</v>
      </c>
      <c r="G1014" s="8" t="s">
        <v>1327</v>
      </c>
      <c r="H1014" s="8" t="s">
        <v>522</v>
      </c>
      <c r="I1014" s="8" t="s">
        <v>2647</v>
      </c>
      <c r="K1014">
        <f>IF($A1014="","",IF(ISNUMBER($A1014),MONTH($A1014),MONTH(DATEVALUE($A1014))))</f>
        <v>6</v>
      </c>
    </row>
    <row r="1015" spans="1:11" ht="60" customHeight="1" x14ac:dyDescent="0.25">
      <c r="A1015" s="7" t="s">
        <v>1323</v>
      </c>
      <c r="B1015" s="7" t="s">
        <v>0</v>
      </c>
      <c r="C1015" s="7" t="s">
        <v>1328</v>
      </c>
      <c r="D1015" s="7" t="s">
        <v>4</v>
      </c>
      <c r="E1015" s="7" t="s">
        <v>18</v>
      </c>
      <c r="F1015" s="5">
        <v>13.98</v>
      </c>
      <c r="G1015" s="7" t="s">
        <v>1329</v>
      </c>
      <c r="H1015" s="7" t="s">
        <v>1328</v>
      </c>
      <c r="I1015" s="7" t="s">
        <v>2627</v>
      </c>
      <c r="K1015">
        <f>IF($A1015="","",IF(ISNUMBER($A1015),MONTH($A1015),MONTH(DATEVALUE($A1015))))</f>
        <v>6</v>
      </c>
    </row>
    <row r="1016" spans="1:11" ht="60" customHeight="1" x14ac:dyDescent="0.25">
      <c r="A1016" s="8" t="s">
        <v>1330</v>
      </c>
      <c r="B1016" s="8" t="s">
        <v>0</v>
      </c>
      <c r="C1016" s="8" t="s">
        <v>1096</v>
      </c>
      <c r="D1016" s="8" t="s">
        <v>4</v>
      </c>
      <c r="E1016" s="8" t="s">
        <v>18</v>
      </c>
      <c r="F1016" s="6">
        <v>-218.55</v>
      </c>
      <c r="G1016" s="8" t="s">
        <v>1101</v>
      </c>
      <c r="H1016" s="8" t="s">
        <v>1096</v>
      </c>
      <c r="I1016" s="8" t="s">
        <v>2647</v>
      </c>
      <c r="K1016">
        <f>IF($A1016="","",IF(ISNUMBER($A1016),MONTH($A1016),MONTH(DATEVALUE($A1016))))</f>
        <v>6</v>
      </c>
    </row>
    <row r="1017" spans="1:11" ht="60" customHeight="1" x14ac:dyDescent="0.25">
      <c r="A1017" s="7" t="s">
        <v>1330</v>
      </c>
      <c r="B1017" s="7" t="s">
        <v>0</v>
      </c>
      <c r="C1017" s="7" t="s">
        <v>1096</v>
      </c>
      <c r="D1017" s="7" t="s">
        <v>4</v>
      </c>
      <c r="E1017" s="7" t="s">
        <v>18</v>
      </c>
      <c r="F1017" s="5">
        <v>-46.32</v>
      </c>
      <c r="G1017" s="7" t="s">
        <v>1101</v>
      </c>
      <c r="H1017" s="7" t="s">
        <v>1096</v>
      </c>
      <c r="I1017" s="7" t="s">
        <v>2647</v>
      </c>
      <c r="K1017">
        <f>IF($A1017="","",IF(ISNUMBER($A1017),MONTH($A1017),MONTH(DATEVALUE($A1017))))</f>
        <v>6</v>
      </c>
    </row>
    <row r="1018" spans="1:11" ht="60" customHeight="1" x14ac:dyDescent="0.25">
      <c r="A1018" s="8" t="s">
        <v>1330</v>
      </c>
      <c r="B1018" s="8" t="s">
        <v>0</v>
      </c>
      <c r="C1018" s="8" t="s">
        <v>1102</v>
      </c>
      <c r="D1018" s="8" t="s">
        <v>4</v>
      </c>
      <c r="E1018" s="8" t="s">
        <v>18</v>
      </c>
      <c r="F1018" s="6">
        <v>46.32</v>
      </c>
      <c r="G1018" s="8" t="s">
        <v>1331</v>
      </c>
      <c r="H1018" s="8" t="s">
        <v>1096</v>
      </c>
      <c r="I1018" s="8" t="s">
        <v>2647</v>
      </c>
      <c r="K1018">
        <f>IF($A1018="","",IF(ISNUMBER($A1018),MONTH($A1018),MONTH(DATEVALUE($A1018))))</f>
        <v>6</v>
      </c>
    </row>
    <row r="1019" spans="1:11" ht="60" customHeight="1" x14ac:dyDescent="0.25">
      <c r="A1019" s="7" t="s">
        <v>1330</v>
      </c>
      <c r="B1019" s="7" t="s">
        <v>0</v>
      </c>
      <c r="C1019" s="7" t="s">
        <v>1102</v>
      </c>
      <c r="D1019" s="7" t="s">
        <v>4</v>
      </c>
      <c r="E1019" s="7" t="s">
        <v>18</v>
      </c>
      <c r="F1019" s="5">
        <v>218.55</v>
      </c>
      <c r="G1019" s="7" t="s">
        <v>1332</v>
      </c>
      <c r="H1019" s="7" t="s">
        <v>1096</v>
      </c>
      <c r="I1019" s="7" t="s">
        <v>2647</v>
      </c>
      <c r="K1019">
        <f>IF($A1019="","",IF(ISNUMBER($A1019),MONTH($A1019),MONTH(DATEVALUE($A1019))))</f>
        <v>6</v>
      </c>
    </row>
    <row r="1020" spans="1:11" ht="60" customHeight="1" x14ac:dyDescent="0.25">
      <c r="A1020" s="8" t="s">
        <v>1330</v>
      </c>
      <c r="B1020" s="8" t="s">
        <v>0</v>
      </c>
      <c r="C1020" s="8" t="s">
        <v>522</v>
      </c>
      <c r="D1020" s="8" t="s">
        <v>4</v>
      </c>
      <c r="E1020" s="8" t="s">
        <v>18</v>
      </c>
      <c r="F1020" s="6">
        <v>59.53</v>
      </c>
      <c r="G1020" s="8" t="s">
        <v>1333</v>
      </c>
      <c r="H1020" s="8" t="s">
        <v>522</v>
      </c>
      <c r="I1020" s="8" t="s">
        <v>2647</v>
      </c>
      <c r="K1020">
        <f>IF($A1020="","",IF(ISNUMBER($A1020),MONTH($A1020),MONTH(DATEVALUE($A1020))))</f>
        <v>6</v>
      </c>
    </row>
    <row r="1021" spans="1:11" ht="60" customHeight="1" x14ac:dyDescent="0.25">
      <c r="A1021" s="7" t="s">
        <v>1330</v>
      </c>
      <c r="B1021" s="7" t="s">
        <v>0</v>
      </c>
      <c r="C1021" s="7" t="s">
        <v>522</v>
      </c>
      <c r="D1021" s="7" t="s">
        <v>4</v>
      </c>
      <c r="E1021" s="7" t="s">
        <v>18</v>
      </c>
      <c r="F1021" s="5">
        <v>225.66</v>
      </c>
      <c r="G1021" s="7" t="s">
        <v>1334</v>
      </c>
      <c r="H1021" s="7" t="s">
        <v>522</v>
      </c>
      <c r="I1021" s="7" t="s">
        <v>2647</v>
      </c>
      <c r="K1021">
        <f>IF($A1021="","",IF(ISNUMBER($A1021),MONTH($A1021),MONTH(DATEVALUE($A1021))))</f>
        <v>6</v>
      </c>
    </row>
    <row r="1022" spans="1:11" ht="60" customHeight="1" x14ac:dyDescent="0.25">
      <c r="A1022" s="8" t="s">
        <v>1330</v>
      </c>
      <c r="B1022" s="8" t="s">
        <v>0</v>
      </c>
      <c r="C1022" s="8" t="s">
        <v>522</v>
      </c>
      <c r="D1022" s="8" t="s">
        <v>4</v>
      </c>
      <c r="E1022" s="8" t="s">
        <v>18</v>
      </c>
      <c r="F1022" s="6">
        <v>321.49</v>
      </c>
      <c r="G1022" s="8" t="s">
        <v>1335</v>
      </c>
      <c r="H1022" s="8" t="s">
        <v>522</v>
      </c>
      <c r="I1022" s="8" t="s">
        <v>2647</v>
      </c>
      <c r="K1022">
        <f>IF($A1022="","",IF(ISNUMBER($A1022),MONTH($A1022),MONTH(DATEVALUE($A1022))))</f>
        <v>6</v>
      </c>
    </row>
    <row r="1023" spans="1:11" ht="60" customHeight="1" x14ac:dyDescent="0.25">
      <c r="A1023" s="7" t="s">
        <v>1330</v>
      </c>
      <c r="B1023" s="7" t="s">
        <v>0</v>
      </c>
      <c r="C1023" s="7" t="s">
        <v>492</v>
      </c>
      <c r="D1023" s="7" t="s">
        <v>4</v>
      </c>
      <c r="E1023" s="7" t="s">
        <v>18</v>
      </c>
      <c r="F1023" s="5">
        <v>2000</v>
      </c>
      <c r="G1023" s="7" t="s">
        <v>1336</v>
      </c>
      <c r="H1023" s="7" t="s">
        <v>492</v>
      </c>
      <c r="I1023" s="7" t="s">
        <v>2640</v>
      </c>
      <c r="K1023">
        <f>IF($A1023="","",IF(ISNUMBER($A1023),MONTH($A1023),MONTH(DATEVALUE($A1023))))</f>
        <v>6</v>
      </c>
    </row>
    <row r="1024" spans="1:11" ht="60" customHeight="1" x14ac:dyDescent="0.25">
      <c r="A1024" s="8" t="s">
        <v>1330</v>
      </c>
      <c r="B1024" s="8" t="s">
        <v>0</v>
      </c>
      <c r="C1024" s="8" t="s">
        <v>61</v>
      </c>
      <c r="D1024" s="8" t="s">
        <v>4</v>
      </c>
      <c r="E1024" s="8" t="s">
        <v>18</v>
      </c>
      <c r="F1024" s="6">
        <v>50</v>
      </c>
      <c r="G1024" s="8" t="s">
        <v>1337</v>
      </c>
      <c r="H1024" s="8" t="s">
        <v>61</v>
      </c>
      <c r="I1024" s="8" t="s">
        <v>2630</v>
      </c>
      <c r="K1024">
        <f>IF($A1024="","",IF(ISNUMBER($A1024),MONTH($A1024),MONTH(DATEVALUE($A1024))))</f>
        <v>6</v>
      </c>
    </row>
    <row r="1025" spans="1:11" ht="60" customHeight="1" x14ac:dyDescent="0.25">
      <c r="A1025" s="7" t="s">
        <v>1338</v>
      </c>
      <c r="B1025" s="7" t="s">
        <v>0</v>
      </c>
      <c r="C1025" s="7" t="s">
        <v>1096</v>
      </c>
      <c r="D1025" s="7" t="s">
        <v>4</v>
      </c>
      <c r="E1025" s="7" t="s">
        <v>18</v>
      </c>
      <c r="F1025" s="5">
        <v>-329.7</v>
      </c>
      <c r="G1025" s="7" t="s">
        <v>1101</v>
      </c>
      <c r="H1025" s="7" t="s">
        <v>1096</v>
      </c>
      <c r="I1025" s="7" t="s">
        <v>2647</v>
      </c>
      <c r="K1025">
        <f>IF($A1025="","",IF(ISNUMBER($A1025),MONTH($A1025),MONTH(DATEVALUE($A1025))))</f>
        <v>6</v>
      </c>
    </row>
    <row r="1026" spans="1:11" ht="60" customHeight="1" x14ac:dyDescent="0.25">
      <c r="A1026" s="8" t="s">
        <v>1338</v>
      </c>
      <c r="B1026" s="8" t="s">
        <v>0</v>
      </c>
      <c r="C1026" s="8" t="s">
        <v>1096</v>
      </c>
      <c r="D1026" s="8" t="s">
        <v>4</v>
      </c>
      <c r="E1026" s="8" t="s">
        <v>18</v>
      </c>
      <c r="F1026" s="6">
        <v>-87.96</v>
      </c>
      <c r="G1026" s="8" t="s">
        <v>1101</v>
      </c>
      <c r="H1026" s="8" t="s">
        <v>1096</v>
      </c>
      <c r="I1026" s="8" t="s">
        <v>2647</v>
      </c>
      <c r="K1026">
        <f>IF($A1026="","",IF(ISNUMBER($A1026),MONTH($A1026),MONTH(DATEVALUE($A1026))))</f>
        <v>6</v>
      </c>
    </row>
    <row r="1027" spans="1:11" ht="60" customHeight="1" x14ac:dyDescent="0.25">
      <c r="A1027" s="7" t="s">
        <v>1338</v>
      </c>
      <c r="B1027" s="7" t="s">
        <v>0</v>
      </c>
      <c r="C1027" s="7" t="s">
        <v>1102</v>
      </c>
      <c r="D1027" s="7" t="s">
        <v>4</v>
      </c>
      <c r="E1027" s="7" t="s">
        <v>18</v>
      </c>
      <c r="F1027" s="5">
        <v>87.96</v>
      </c>
      <c r="G1027" s="7" t="s">
        <v>1339</v>
      </c>
      <c r="H1027" s="7" t="s">
        <v>1096</v>
      </c>
      <c r="I1027" s="7" t="s">
        <v>2647</v>
      </c>
      <c r="K1027">
        <f>IF($A1027="","",IF(ISNUMBER($A1027),MONTH($A1027),MONTH(DATEVALUE($A1027))))</f>
        <v>6</v>
      </c>
    </row>
    <row r="1028" spans="1:11" ht="60" customHeight="1" x14ac:dyDescent="0.25">
      <c r="A1028" s="8" t="s">
        <v>1338</v>
      </c>
      <c r="B1028" s="8" t="s">
        <v>0</v>
      </c>
      <c r="C1028" s="8" t="s">
        <v>1102</v>
      </c>
      <c r="D1028" s="8" t="s">
        <v>4</v>
      </c>
      <c r="E1028" s="8" t="s">
        <v>18</v>
      </c>
      <c r="F1028" s="6">
        <v>329.7</v>
      </c>
      <c r="G1028" s="8" t="s">
        <v>1340</v>
      </c>
      <c r="H1028" s="8" t="s">
        <v>1096</v>
      </c>
      <c r="I1028" s="8" t="s">
        <v>2647</v>
      </c>
      <c r="K1028">
        <f>IF($A1028="","",IF(ISNUMBER($A1028),MONTH($A1028),MONTH(DATEVALUE($A1028))))</f>
        <v>6</v>
      </c>
    </row>
    <row r="1029" spans="1:11" ht="60" customHeight="1" x14ac:dyDescent="0.25">
      <c r="A1029" s="7" t="s">
        <v>1338</v>
      </c>
      <c r="B1029" s="7" t="s">
        <v>0</v>
      </c>
      <c r="C1029" s="7" t="s">
        <v>1341</v>
      </c>
      <c r="D1029" s="7" t="s">
        <v>4</v>
      </c>
      <c r="E1029" s="7" t="s">
        <v>18</v>
      </c>
      <c r="F1029" s="5">
        <v>8.99</v>
      </c>
      <c r="G1029" s="7" t="s">
        <v>1342</v>
      </c>
      <c r="H1029" s="7" t="s">
        <v>1341</v>
      </c>
      <c r="I1029" s="7" t="s">
        <v>2627</v>
      </c>
      <c r="K1029">
        <f>IF($A1029="","",IF(ISNUMBER($A1029),MONTH($A1029),MONTH(DATEVALUE($A1029))))</f>
        <v>6</v>
      </c>
    </row>
    <row r="1030" spans="1:11" ht="60" customHeight="1" x14ac:dyDescent="0.25">
      <c r="A1030" s="8" t="s">
        <v>1338</v>
      </c>
      <c r="B1030" s="8" t="s">
        <v>0</v>
      </c>
      <c r="C1030" s="8" t="s">
        <v>1343</v>
      </c>
      <c r="D1030" s="8" t="s">
        <v>4</v>
      </c>
      <c r="E1030" s="8" t="s">
        <v>18</v>
      </c>
      <c r="F1030" s="6">
        <v>462.7</v>
      </c>
      <c r="G1030" s="8" t="s">
        <v>1344</v>
      </c>
      <c r="H1030" s="8" t="s">
        <v>1343</v>
      </c>
      <c r="I1030" s="8" t="s">
        <v>2640</v>
      </c>
      <c r="K1030">
        <f>IF($A1030="","",IF(ISNUMBER($A1030),MONTH($A1030),MONTH(DATEVALUE($A1030))))</f>
        <v>6</v>
      </c>
    </row>
    <row r="1031" spans="1:11" ht="60" customHeight="1" x14ac:dyDescent="0.25">
      <c r="A1031" s="7" t="s">
        <v>1345</v>
      </c>
      <c r="B1031" s="7" t="s">
        <v>0</v>
      </c>
      <c r="C1031" s="7" t="s">
        <v>1096</v>
      </c>
      <c r="D1031" s="7" t="s">
        <v>4</v>
      </c>
      <c r="E1031" s="7" t="s">
        <v>18</v>
      </c>
      <c r="F1031" s="5">
        <v>-423.8</v>
      </c>
      <c r="G1031" s="7" t="s">
        <v>1101</v>
      </c>
      <c r="H1031" s="7" t="s">
        <v>1096</v>
      </c>
      <c r="I1031" s="7" t="s">
        <v>2647</v>
      </c>
      <c r="K1031">
        <f>IF($A1031="","",IF(ISNUMBER($A1031),MONTH($A1031),MONTH(DATEVALUE($A1031))))</f>
        <v>6</v>
      </c>
    </row>
    <row r="1032" spans="1:11" ht="60" customHeight="1" x14ac:dyDescent="0.25">
      <c r="A1032" s="8" t="s">
        <v>1345</v>
      </c>
      <c r="B1032" s="8" t="s">
        <v>0</v>
      </c>
      <c r="C1032" s="8" t="s">
        <v>1096</v>
      </c>
      <c r="D1032" s="8" t="s">
        <v>4</v>
      </c>
      <c r="E1032" s="8" t="s">
        <v>18</v>
      </c>
      <c r="F1032" s="6">
        <v>-413.9</v>
      </c>
      <c r="G1032" s="8" t="s">
        <v>1101</v>
      </c>
      <c r="H1032" s="8" t="s">
        <v>1096</v>
      </c>
      <c r="I1032" s="8" t="s">
        <v>2647</v>
      </c>
      <c r="K1032">
        <f>IF($A1032="","",IF(ISNUMBER($A1032),MONTH($A1032),MONTH(DATEVALUE($A1032))))</f>
        <v>6</v>
      </c>
    </row>
    <row r="1033" spans="1:11" ht="60" customHeight="1" x14ac:dyDescent="0.25">
      <c r="A1033" s="7" t="s">
        <v>1345</v>
      </c>
      <c r="B1033" s="7" t="s">
        <v>0</v>
      </c>
      <c r="C1033" s="7" t="s">
        <v>1096</v>
      </c>
      <c r="D1033" s="7" t="s">
        <v>4</v>
      </c>
      <c r="E1033" s="7" t="s">
        <v>18</v>
      </c>
      <c r="F1033" s="5">
        <v>-33.799999999999997</v>
      </c>
      <c r="G1033" s="7" t="s">
        <v>1101</v>
      </c>
      <c r="H1033" s="7" t="s">
        <v>1096</v>
      </c>
      <c r="I1033" s="7" t="s">
        <v>2647</v>
      </c>
      <c r="K1033">
        <f>IF($A1033="","",IF(ISNUMBER($A1033),MONTH($A1033),MONTH(DATEVALUE($A1033))))</f>
        <v>6</v>
      </c>
    </row>
    <row r="1034" spans="1:11" ht="60" customHeight="1" x14ac:dyDescent="0.25">
      <c r="A1034" s="8" t="s">
        <v>1345</v>
      </c>
      <c r="B1034" s="8" t="s">
        <v>0</v>
      </c>
      <c r="C1034" s="8" t="s">
        <v>1102</v>
      </c>
      <c r="D1034" s="8" t="s">
        <v>4</v>
      </c>
      <c r="E1034" s="8" t="s">
        <v>18</v>
      </c>
      <c r="F1034" s="6">
        <v>33.799999999999997</v>
      </c>
      <c r="G1034" s="8" t="s">
        <v>1346</v>
      </c>
      <c r="H1034" s="8" t="s">
        <v>1096</v>
      </c>
      <c r="I1034" s="8" t="s">
        <v>2647</v>
      </c>
      <c r="K1034">
        <f>IF($A1034="","",IF(ISNUMBER($A1034),MONTH($A1034),MONTH(DATEVALUE($A1034))))</f>
        <v>6</v>
      </c>
    </row>
    <row r="1035" spans="1:11" ht="60" customHeight="1" x14ac:dyDescent="0.25">
      <c r="A1035" s="7" t="s">
        <v>1345</v>
      </c>
      <c r="B1035" s="7" t="s">
        <v>0</v>
      </c>
      <c r="C1035" s="7" t="s">
        <v>1102</v>
      </c>
      <c r="D1035" s="7" t="s">
        <v>4</v>
      </c>
      <c r="E1035" s="7" t="s">
        <v>18</v>
      </c>
      <c r="F1035" s="5">
        <v>413.9</v>
      </c>
      <c r="G1035" s="7" t="s">
        <v>1347</v>
      </c>
      <c r="H1035" s="7" t="s">
        <v>1096</v>
      </c>
      <c r="I1035" s="7" t="s">
        <v>2647</v>
      </c>
      <c r="K1035">
        <f>IF($A1035="","",IF(ISNUMBER($A1035),MONTH($A1035),MONTH(DATEVALUE($A1035))))</f>
        <v>6</v>
      </c>
    </row>
    <row r="1036" spans="1:11" ht="60" customHeight="1" x14ac:dyDescent="0.25">
      <c r="A1036" s="8" t="s">
        <v>1345</v>
      </c>
      <c r="B1036" s="8" t="s">
        <v>0</v>
      </c>
      <c r="C1036" s="8" t="s">
        <v>1102</v>
      </c>
      <c r="D1036" s="8" t="s">
        <v>4</v>
      </c>
      <c r="E1036" s="8" t="s">
        <v>18</v>
      </c>
      <c r="F1036" s="6">
        <v>423.8</v>
      </c>
      <c r="G1036" s="8" t="s">
        <v>1348</v>
      </c>
      <c r="H1036" s="8" t="s">
        <v>1096</v>
      </c>
      <c r="I1036" s="8" t="s">
        <v>2647</v>
      </c>
      <c r="K1036">
        <f>IF($A1036="","",IF(ISNUMBER($A1036),MONTH($A1036),MONTH(DATEVALUE($A1036))))</f>
        <v>6</v>
      </c>
    </row>
    <row r="1037" spans="1:11" ht="60" customHeight="1" x14ac:dyDescent="0.25">
      <c r="A1037" s="7" t="s">
        <v>1345</v>
      </c>
      <c r="B1037" s="7" t="s">
        <v>0</v>
      </c>
      <c r="C1037" s="7" t="s">
        <v>522</v>
      </c>
      <c r="D1037" s="7" t="s">
        <v>4</v>
      </c>
      <c r="E1037" s="7" t="s">
        <v>18</v>
      </c>
      <c r="F1037" s="5">
        <v>40.25</v>
      </c>
      <c r="G1037" s="7" t="s">
        <v>1349</v>
      </c>
      <c r="H1037" s="7" t="s">
        <v>522</v>
      </c>
      <c r="I1037" s="7" t="s">
        <v>2647</v>
      </c>
      <c r="K1037">
        <f>IF($A1037="","",IF(ISNUMBER($A1037),MONTH($A1037),MONTH(DATEVALUE($A1037))))</f>
        <v>6</v>
      </c>
    </row>
    <row r="1038" spans="1:11" ht="60" customHeight="1" x14ac:dyDescent="0.25">
      <c r="A1038" s="8" t="s">
        <v>1345</v>
      </c>
      <c r="B1038" s="8" t="s">
        <v>0</v>
      </c>
      <c r="C1038" s="8" t="s">
        <v>1350</v>
      </c>
      <c r="D1038" s="8" t="s">
        <v>4</v>
      </c>
      <c r="E1038" s="8" t="s">
        <v>18</v>
      </c>
      <c r="F1038" s="6">
        <v>30.97</v>
      </c>
      <c r="G1038" s="8" t="s">
        <v>1351</v>
      </c>
      <c r="H1038" s="8" t="s">
        <v>1350</v>
      </c>
      <c r="I1038" s="8" t="s">
        <v>2627</v>
      </c>
      <c r="K1038">
        <f>IF($A1038="","",IF(ISNUMBER($A1038),MONTH($A1038),MONTH(DATEVALUE($A1038))))</f>
        <v>6</v>
      </c>
    </row>
    <row r="1039" spans="1:11" ht="60" customHeight="1" x14ac:dyDescent="0.25">
      <c r="A1039" s="7" t="s">
        <v>1345</v>
      </c>
      <c r="B1039" s="7" t="s">
        <v>0</v>
      </c>
      <c r="C1039" s="7" t="s">
        <v>1352</v>
      </c>
      <c r="D1039" s="7" t="s">
        <v>4</v>
      </c>
      <c r="E1039" s="7" t="s">
        <v>18</v>
      </c>
      <c r="F1039" s="5">
        <v>339.8</v>
      </c>
      <c r="G1039" s="7" t="s">
        <v>1353</v>
      </c>
      <c r="H1039" s="7" t="s">
        <v>1352</v>
      </c>
      <c r="I1039" s="7" t="s">
        <v>2635</v>
      </c>
      <c r="K1039">
        <f>IF($A1039="","",IF(ISNUMBER($A1039),MONTH($A1039),MONTH(DATEVALUE($A1039))))</f>
        <v>6</v>
      </c>
    </row>
    <row r="1040" spans="1:11" ht="60" customHeight="1" x14ac:dyDescent="0.25">
      <c r="A1040" s="8" t="s">
        <v>1345</v>
      </c>
      <c r="B1040" s="8" t="s">
        <v>0</v>
      </c>
      <c r="C1040" s="8" t="s">
        <v>1354</v>
      </c>
      <c r="D1040" s="8" t="s">
        <v>4</v>
      </c>
      <c r="E1040" s="8" t="s">
        <v>18</v>
      </c>
      <c r="F1040" s="6">
        <v>25</v>
      </c>
      <c r="G1040" s="8" t="s">
        <v>1355</v>
      </c>
      <c r="H1040" s="8" t="s">
        <v>1354</v>
      </c>
      <c r="I1040" s="8" t="s">
        <v>2632</v>
      </c>
      <c r="K1040">
        <f>IF($A1040="","",IF(ISNUMBER($A1040),MONTH($A1040),MONTH(DATEVALUE($A1040))))</f>
        <v>6</v>
      </c>
    </row>
    <row r="1041" spans="1:11" ht="60" customHeight="1" x14ac:dyDescent="0.25">
      <c r="A1041" s="7" t="s">
        <v>1345</v>
      </c>
      <c r="B1041" s="7" t="s">
        <v>0</v>
      </c>
      <c r="C1041" s="7" t="s">
        <v>1354</v>
      </c>
      <c r="D1041" s="7" t="s">
        <v>4</v>
      </c>
      <c r="E1041" s="7" t="s">
        <v>18</v>
      </c>
      <c r="F1041" s="5">
        <v>80</v>
      </c>
      <c r="G1041" s="7" t="s">
        <v>1355</v>
      </c>
      <c r="H1041" s="7" t="s">
        <v>1354</v>
      </c>
      <c r="I1041" s="7" t="s">
        <v>2632</v>
      </c>
      <c r="K1041">
        <f>IF($A1041="","",IF(ISNUMBER($A1041),MONTH($A1041),MONTH(DATEVALUE($A1041))))</f>
        <v>6</v>
      </c>
    </row>
    <row r="1042" spans="1:11" ht="60" customHeight="1" x14ac:dyDescent="0.25">
      <c r="A1042" s="8" t="s">
        <v>1345</v>
      </c>
      <c r="B1042" s="8" t="s">
        <v>0</v>
      </c>
      <c r="C1042" s="8" t="s">
        <v>1354</v>
      </c>
      <c r="D1042" s="8" t="s">
        <v>4</v>
      </c>
      <c r="E1042" s="8" t="s">
        <v>18</v>
      </c>
      <c r="F1042" s="6">
        <v>90</v>
      </c>
      <c r="G1042" s="8" t="s">
        <v>1355</v>
      </c>
      <c r="H1042" s="8" t="s">
        <v>1354</v>
      </c>
      <c r="I1042" s="8" t="s">
        <v>2632</v>
      </c>
      <c r="K1042">
        <f>IF($A1042="","",IF(ISNUMBER($A1042),MONTH($A1042),MONTH(DATEVALUE($A1042))))</f>
        <v>6</v>
      </c>
    </row>
    <row r="1043" spans="1:11" ht="60" customHeight="1" x14ac:dyDescent="0.25">
      <c r="A1043" s="7" t="s">
        <v>1356</v>
      </c>
      <c r="B1043" s="7" t="s">
        <v>0</v>
      </c>
      <c r="C1043" s="7" t="s">
        <v>1096</v>
      </c>
      <c r="D1043" s="7" t="s">
        <v>4</v>
      </c>
      <c r="E1043" s="7" t="s">
        <v>18</v>
      </c>
      <c r="F1043" s="5">
        <v>-60.15</v>
      </c>
      <c r="G1043" s="7" t="s">
        <v>1101</v>
      </c>
      <c r="H1043" s="7" t="s">
        <v>1096</v>
      </c>
      <c r="I1043" s="7" t="s">
        <v>2647</v>
      </c>
      <c r="K1043">
        <f>IF($A1043="","",IF(ISNUMBER($A1043),MONTH($A1043),MONTH(DATEVALUE($A1043))))</f>
        <v>6</v>
      </c>
    </row>
    <row r="1044" spans="1:11" ht="60" customHeight="1" x14ac:dyDescent="0.25">
      <c r="A1044" s="8" t="s">
        <v>1356</v>
      </c>
      <c r="B1044" s="8" t="s">
        <v>0</v>
      </c>
      <c r="C1044" s="8" t="s">
        <v>1102</v>
      </c>
      <c r="D1044" s="8" t="s">
        <v>4</v>
      </c>
      <c r="E1044" s="8" t="s">
        <v>18</v>
      </c>
      <c r="F1044" s="6">
        <v>60.15</v>
      </c>
      <c r="G1044" s="8" t="s">
        <v>1357</v>
      </c>
      <c r="H1044" s="8" t="s">
        <v>1096</v>
      </c>
      <c r="I1044" s="8" t="s">
        <v>2647</v>
      </c>
      <c r="K1044">
        <f>IF($A1044="","",IF(ISNUMBER($A1044),MONTH($A1044),MONTH(DATEVALUE($A1044))))</f>
        <v>6</v>
      </c>
    </row>
    <row r="1045" spans="1:11" ht="60" customHeight="1" x14ac:dyDescent="0.25">
      <c r="A1045" s="7" t="s">
        <v>1356</v>
      </c>
      <c r="B1045" s="7" t="s">
        <v>0</v>
      </c>
      <c r="C1045" s="7" t="s">
        <v>1358</v>
      </c>
      <c r="D1045" s="7" t="s">
        <v>4</v>
      </c>
      <c r="E1045" s="7" t="s">
        <v>18</v>
      </c>
      <c r="F1045" s="5">
        <v>30.97</v>
      </c>
      <c r="G1045" s="7" t="s">
        <v>1359</v>
      </c>
      <c r="H1045" s="7" t="s">
        <v>1358</v>
      </c>
      <c r="I1045" s="7" t="s">
        <v>2627</v>
      </c>
      <c r="K1045">
        <f>IF($A1045="","",IF(ISNUMBER($A1045),MONTH($A1045),MONTH(DATEVALUE($A1045))))</f>
        <v>6</v>
      </c>
    </row>
    <row r="1046" spans="1:11" ht="60" customHeight="1" x14ac:dyDescent="0.25">
      <c r="A1046" s="8" t="s">
        <v>1356</v>
      </c>
      <c r="B1046" s="8" t="s">
        <v>0</v>
      </c>
      <c r="C1046" s="8" t="s">
        <v>1360</v>
      </c>
      <c r="D1046" s="8" t="s">
        <v>4</v>
      </c>
      <c r="E1046" s="8" t="s">
        <v>18</v>
      </c>
      <c r="F1046" s="6">
        <v>760.4</v>
      </c>
      <c r="G1046" s="8" t="s">
        <v>1361</v>
      </c>
      <c r="H1046" s="8" t="s">
        <v>1360</v>
      </c>
      <c r="I1046" s="8" t="s">
        <v>2645</v>
      </c>
      <c r="K1046">
        <f>IF($A1046="","",IF(ISNUMBER($A1046),MONTH($A1046),MONTH(DATEVALUE($A1046))))</f>
        <v>6</v>
      </c>
    </row>
    <row r="1047" spans="1:11" ht="60" customHeight="1" x14ac:dyDescent="0.25">
      <c r="A1047" s="7" t="s">
        <v>1356</v>
      </c>
      <c r="B1047" s="7" t="s">
        <v>0</v>
      </c>
      <c r="C1047" s="7" t="s">
        <v>392</v>
      </c>
      <c r="D1047" s="7" t="s">
        <v>4</v>
      </c>
      <c r="E1047" s="7" t="s">
        <v>18</v>
      </c>
      <c r="F1047" s="5">
        <v>59</v>
      </c>
      <c r="G1047" s="7" t="s">
        <v>1362</v>
      </c>
      <c r="H1047" s="7" t="s">
        <v>392</v>
      </c>
      <c r="I1047" s="7" t="s">
        <v>2641</v>
      </c>
      <c r="K1047">
        <f>IF($A1047="","",IF(ISNUMBER($A1047),MONTH($A1047),MONTH(DATEVALUE($A1047))))</f>
        <v>6</v>
      </c>
    </row>
    <row r="1048" spans="1:11" ht="60" customHeight="1" x14ac:dyDescent="0.25">
      <c r="A1048" s="8" t="s">
        <v>1363</v>
      </c>
      <c r="B1048" s="8" t="s">
        <v>0</v>
      </c>
      <c r="C1048" s="8" t="s">
        <v>1096</v>
      </c>
      <c r="D1048" s="8" t="s">
        <v>4</v>
      </c>
      <c r="E1048" s="8" t="s">
        <v>18</v>
      </c>
      <c r="F1048" s="6">
        <v>-620.85</v>
      </c>
      <c r="G1048" s="8" t="s">
        <v>1101</v>
      </c>
      <c r="H1048" s="8" t="s">
        <v>1096</v>
      </c>
      <c r="I1048" s="8" t="s">
        <v>2647</v>
      </c>
      <c r="K1048">
        <f>IF($A1048="","",IF(ISNUMBER($A1048),MONTH($A1048),MONTH(DATEVALUE($A1048))))</f>
        <v>6</v>
      </c>
    </row>
    <row r="1049" spans="1:11" ht="60" customHeight="1" x14ac:dyDescent="0.25">
      <c r="A1049" s="7" t="s">
        <v>1363</v>
      </c>
      <c r="B1049" s="7" t="s">
        <v>0</v>
      </c>
      <c r="C1049" s="7" t="s">
        <v>1102</v>
      </c>
      <c r="D1049" s="7" t="s">
        <v>4</v>
      </c>
      <c r="E1049" s="7" t="s">
        <v>18</v>
      </c>
      <c r="F1049" s="5">
        <v>620.85</v>
      </c>
      <c r="G1049" s="7" t="s">
        <v>1364</v>
      </c>
      <c r="H1049" s="7" t="s">
        <v>1096</v>
      </c>
      <c r="I1049" s="7" t="s">
        <v>2647</v>
      </c>
      <c r="K1049">
        <f>IF($A1049="","",IF(ISNUMBER($A1049),MONTH($A1049),MONTH(DATEVALUE($A1049))))</f>
        <v>6</v>
      </c>
    </row>
    <row r="1050" spans="1:11" ht="60" customHeight="1" x14ac:dyDescent="0.25">
      <c r="A1050" s="8" t="s">
        <v>1363</v>
      </c>
      <c r="B1050" s="8" t="s">
        <v>0</v>
      </c>
      <c r="C1050" s="8" t="s">
        <v>108</v>
      </c>
      <c r="D1050" s="8" t="s">
        <v>4</v>
      </c>
      <c r="E1050" s="8" t="s">
        <v>18</v>
      </c>
      <c r="F1050" s="6">
        <v>12.98</v>
      </c>
      <c r="G1050" s="8" t="s">
        <v>1365</v>
      </c>
      <c r="H1050" s="8" t="s">
        <v>108</v>
      </c>
      <c r="I1050" s="8" t="s">
        <v>2630</v>
      </c>
      <c r="K1050">
        <f>IF($A1050="","",IF(ISNUMBER($A1050),MONTH($A1050),MONTH(DATEVALUE($A1050))))</f>
        <v>6</v>
      </c>
    </row>
    <row r="1051" spans="1:11" ht="60" customHeight="1" x14ac:dyDescent="0.25">
      <c r="A1051" s="7" t="s">
        <v>1366</v>
      </c>
      <c r="B1051" s="7" t="s">
        <v>0</v>
      </c>
      <c r="C1051" s="7" t="s">
        <v>1367</v>
      </c>
      <c r="D1051" s="7" t="s">
        <v>4</v>
      </c>
      <c r="E1051" s="7" t="s">
        <v>18</v>
      </c>
      <c r="F1051" s="5">
        <v>57.73</v>
      </c>
      <c r="G1051" s="7" t="s">
        <v>1368</v>
      </c>
      <c r="H1051" s="7" t="s">
        <v>1367</v>
      </c>
      <c r="I1051" s="7" t="s">
        <v>2627</v>
      </c>
      <c r="K1051">
        <f>IF($A1051="","",IF(ISNUMBER($A1051),MONTH($A1051),MONTH(DATEVALUE($A1051))))</f>
        <v>6</v>
      </c>
    </row>
    <row r="1052" spans="1:11" ht="60" customHeight="1" x14ac:dyDescent="0.25">
      <c r="A1052" s="8" t="s">
        <v>1366</v>
      </c>
      <c r="B1052" s="8" t="s">
        <v>0</v>
      </c>
      <c r="C1052" s="8" t="s">
        <v>1112</v>
      </c>
      <c r="D1052" s="8" t="s">
        <v>1113</v>
      </c>
      <c r="E1052" s="8" t="s">
        <v>1114</v>
      </c>
      <c r="F1052" s="6">
        <v>34.1</v>
      </c>
      <c r="G1052" s="8" t="s">
        <v>1369</v>
      </c>
      <c r="H1052" s="8" t="s">
        <v>1112</v>
      </c>
      <c r="I1052" s="8" t="s">
        <v>2634</v>
      </c>
      <c r="K1052">
        <f>IF($A1052="","",IF(ISNUMBER($A1052),MONTH($A1052),MONTH(DATEVALUE($A1052))))</f>
        <v>6</v>
      </c>
    </row>
    <row r="1053" spans="1:11" ht="60" customHeight="1" x14ac:dyDescent="0.25">
      <c r="A1053" s="7" t="s">
        <v>1370</v>
      </c>
      <c r="B1053" s="7" t="s">
        <v>0</v>
      </c>
      <c r="C1053" s="7" t="s">
        <v>837</v>
      </c>
      <c r="D1053" s="7" t="s">
        <v>4</v>
      </c>
      <c r="E1053" s="7" t="s">
        <v>18</v>
      </c>
      <c r="F1053" s="5">
        <v>127.4</v>
      </c>
      <c r="G1053" s="7" t="s">
        <v>1371</v>
      </c>
      <c r="H1053" s="7" t="s">
        <v>837</v>
      </c>
      <c r="I1053" s="7" t="s">
        <v>2633</v>
      </c>
      <c r="K1053">
        <f>IF($A1053="","",IF(ISNUMBER($A1053),MONTH($A1053),MONTH(DATEVALUE($A1053))))</f>
        <v>6</v>
      </c>
    </row>
    <row r="1054" spans="1:11" ht="60" customHeight="1" x14ac:dyDescent="0.25">
      <c r="A1054" s="8" t="s">
        <v>1370</v>
      </c>
      <c r="B1054" s="8" t="s">
        <v>0</v>
      </c>
      <c r="C1054" s="8" t="s">
        <v>132</v>
      </c>
      <c r="D1054" s="8" t="s">
        <v>4</v>
      </c>
      <c r="E1054" s="8" t="s">
        <v>18</v>
      </c>
      <c r="F1054" s="6">
        <v>24</v>
      </c>
      <c r="G1054" s="8" t="s">
        <v>1372</v>
      </c>
      <c r="H1054" s="8" t="s">
        <v>132</v>
      </c>
      <c r="I1054" s="8" t="s">
        <v>2630</v>
      </c>
      <c r="K1054">
        <f>IF($A1054="","",IF(ISNUMBER($A1054),MONTH($A1054),MONTH(DATEVALUE($A1054))))</f>
        <v>6</v>
      </c>
    </row>
    <row r="1055" spans="1:11" ht="60" customHeight="1" x14ac:dyDescent="0.25">
      <c r="A1055" s="7" t="s">
        <v>1373</v>
      </c>
      <c r="B1055" s="7" t="s">
        <v>0</v>
      </c>
      <c r="C1055" s="7" t="s">
        <v>1002</v>
      </c>
      <c r="D1055" s="7" t="s">
        <v>4</v>
      </c>
      <c r="E1055" s="7" t="s">
        <v>18</v>
      </c>
      <c r="F1055" s="5">
        <v>270</v>
      </c>
      <c r="G1055" s="7" t="s">
        <v>1374</v>
      </c>
      <c r="H1055" s="7" t="s">
        <v>1002</v>
      </c>
      <c r="I1055" s="7" t="s">
        <v>2632</v>
      </c>
      <c r="K1055">
        <f>IF($A1055="","",IF(ISNUMBER($A1055),MONTH($A1055),MONTH(DATEVALUE($A1055))))</f>
        <v>6</v>
      </c>
    </row>
    <row r="1056" spans="1:11" ht="60" customHeight="1" x14ac:dyDescent="0.25">
      <c r="A1056" s="8" t="s">
        <v>1373</v>
      </c>
      <c r="B1056" s="8" t="s">
        <v>0</v>
      </c>
      <c r="C1056" s="8" t="s">
        <v>837</v>
      </c>
      <c r="D1056" s="8" t="s">
        <v>4</v>
      </c>
      <c r="E1056" s="8" t="s">
        <v>18</v>
      </c>
      <c r="F1056" s="6">
        <v>49.86</v>
      </c>
      <c r="G1056" s="8" t="s">
        <v>1375</v>
      </c>
      <c r="H1056" s="8" t="s">
        <v>837</v>
      </c>
      <c r="I1056" s="8" t="s">
        <v>2633</v>
      </c>
      <c r="K1056">
        <f>IF($A1056="","",IF(ISNUMBER($A1056),MONTH($A1056),MONTH(DATEVALUE($A1056))))</f>
        <v>6</v>
      </c>
    </row>
    <row r="1057" spans="1:11" ht="60" customHeight="1" x14ac:dyDescent="0.25">
      <c r="A1057" s="7" t="s">
        <v>1376</v>
      </c>
      <c r="B1057" s="7" t="s">
        <v>0</v>
      </c>
      <c r="C1057" s="7" t="s">
        <v>52</v>
      </c>
      <c r="D1057" s="7" t="s">
        <v>4</v>
      </c>
      <c r="E1057" s="7" t="s">
        <v>18</v>
      </c>
      <c r="F1057" s="5">
        <v>14.44</v>
      </c>
      <c r="G1057" s="7" t="s">
        <v>1377</v>
      </c>
      <c r="H1057" s="7" t="s">
        <v>52</v>
      </c>
      <c r="I1057" s="7" t="s">
        <v>2632</v>
      </c>
      <c r="K1057">
        <f>IF($A1057="","",IF(ISNUMBER($A1057),MONTH($A1057),MONTH(DATEVALUE($A1057))))</f>
        <v>6</v>
      </c>
    </row>
    <row r="1058" spans="1:11" ht="60" customHeight="1" x14ac:dyDescent="0.25">
      <c r="A1058" s="8" t="s">
        <v>1376</v>
      </c>
      <c r="B1058" s="8" t="s">
        <v>0</v>
      </c>
      <c r="C1058" s="8" t="s">
        <v>1378</v>
      </c>
      <c r="D1058" s="8" t="s">
        <v>4</v>
      </c>
      <c r="E1058" s="8" t="s">
        <v>18</v>
      </c>
      <c r="F1058" s="6">
        <v>114.56</v>
      </c>
      <c r="G1058" s="8" t="s">
        <v>1379</v>
      </c>
      <c r="H1058" s="8" t="s">
        <v>1378</v>
      </c>
      <c r="I1058" s="8" t="s">
        <v>2633</v>
      </c>
      <c r="K1058">
        <f>IF($A1058="","",IF(ISNUMBER($A1058),MONTH($A1058),MONTH(DATEVALUE($A1058))))</f>
        <v>6</v>
      </c>
    </row>
    <row r="1059" spans="1:11" ht="60" customHeight="1" x14ac:dyDescent="0.25">
      <c r="A1059" s="7" t="s">
        <v>1376</v>
      </c>
      <c r="B1059" s="7" t="s">
        <v>0</v>
      </c>
      <c r="C1059" s="7" t="s">
        <v>27</v>
      </c>
      <c r="D1059" s="7" t="s">
        <v>4</v>
      </c>
      <c r="E1059" s="7" t="s">
        <v>18</v>
      </c>
      <c r="F1059" s="5">
        <v>20</v>
      </c>
      <c r="G1059" s="7" t="s">
        <v>1380</v>
      </c>
      <c r="H1059" s="7" t="s">
        <v>27</v>
      </c>
      <c r="I1059" s="7" t="s">
        <v>2628</v>
      </c>
      <c r="K1059">
        <f>IF($A1059="","",IF(ISNUMBER($A1059),MONTH($A1059),MONTH(DATEVALUE($A1059))))</f>
        <v>6</v>
      </c>
    </row>
    <row r="1060" spans="1:11" ht="60" customHeight="1" x14ac:dyDescent="0.25">
      <c r="A1060" s="8" t="s">
        <v>1376</v>
      </c>
      <c r="B1060" s="8" t="s">
        <v>0</v>
      </c>
      <c r="C1060" s="8" t="s">
        <v>171</v>
      </c>
      <c r="D1060" s="8" t="s">
        <v>4</v>
      </c>
      <c r="E1060" s="8" t="s">
        <v>18</v>
      </c>
      <c r="F1060" s="6">
        <v>182.58</v>
      </c>
      <c r="G1060" s="8" t="s">
        <v>1381</v>
      </c>
      <c r="H1060" s="8" t="s">
        <v>171</v>
      </c>
      <c r="I1060" s="8" t="s">
        <v>2633</v>
      </c>
      <c r="K1060">
        <f>IF($A1060="","",IF(ISNUMBER($A1060),MONTH($A1060),MONTH(DATEVALUE($A1060))))</f>
        <v>6</v>
      </c>
    </row>
    <row r="1061" spans="1:11" ht="60" customHeight="1" x14ac:dyDescent="0.25">
      <c r="A1061" s="7" t="s">
        <v>1376</v>
      </c>
      <c r="B1061" s="7" t="s">
        <v>0</v>
      </c>
      <c r="C1061" s="7" t="s">
        <v>1151</v>
      </c>
      <c r="D1061" s="7" t="s">
        <v>4</v>
      </c>
      <c r="E1061" s="7" t="s">
        <v>18</v>
      </c>
      <c r="F1061" s="5">
        <v>49</v>
      </c>
      <c r="G1061" s="7" t="s">
        <v>1382</v>
      </c>
      <c r="H1061" s="7" t="s">
        <v>1151</v>
      </c>
      <c r="I1061" s="7" t="s">
        <v>2628</v>
      </c>
      <c r="K1061">
        <f>IF($A1061="","",IF(ISNUMBER($A1061),MONTH($A1061),MONTH(DATEVALUE($A1061))))</f>
        <v>6</v>
      </c>
    </row>
    <row r="1062" spans="1:11" ht="60" customHeight="1" x14ac:dyDescent="0.25">
      <c r="A1062" s="8" t="s">
        <v>1383</v>
      </c>
      <c r="B1062" s="8" t="s">
        <v>0</v>
      </c>
      <c r="C1062" s="8" t="s">
        <v>1384</v>
      </c>
      <c r="D1062" s="8" t="s">
        <v>4</v>
      </c>
      <c r="E1062" s="8" t="s">
        <v>18</v>
      </c>
      <c r="F1062" s="6">
        <v>10.99</v>
      </c>
      <c r="G1062" s="8" t="s">
        <v>1385</v>
      </c>
      <c r="H1062" s="8" t="s">
        <v>1384</v>
      </c>
      <c r="I1062" s="8" t="s">
        <v>2627</v>
      </c>
      <c r="K1062">
        <f>IF($A1062="","",IF(ISNUMBER($A1062),MONTH($A1062),MONTH(DATEVALUE($A1062))))</f>
        <v>6</v>
      </c>
    </row>
    <row r="1063" spans="1:11" ht="60" customHeight="1" x14ac:dyDescent="0.25">
      <c r="A1063" s="7" t="s">
        <v>1383</v>
      </c>
      <c r="B1063" s="7" t="s">
        <v>0</v>
      </c>
      <c r="C1063" s="7" t="s">
        <v>1386</v>
      </c>
      <c r="D1063" s="7" t="s">
        <v>4</v>
      </c>
      <c r="E1063" s="7" t="s">
        <v>18</v>
      </c>
      <c r="F1063" s="5">
        <v>68</v>
      </c>
      <c r="G1063" s="7" t="s">
        <v>1387</v>
      </c>
      <c r="H1063" s="7" t="s">
        <v>1386</v>
      </c>
      <c r="I1063" s="7" t="s">
        <v>2634</v>
      </c>
      <c r="K1063">
        <f>IF($A1063="","",IF(ISNUMBER($A1063),MONTH($A1063),MONTH(DATEVALUE($A1063))))</f>
        <v>6</v>
      </c>
    </row>
    <row r="1064" spans="1:11" ht="60" customHeight="1" x14ac:dyDescent="0.25">
      <c r="A1064" s="8" t="s">
        <v>1383</v>
      </c>
      <c r="B1064" s="8" t="s">
        <v>227</v>
      </c>
      <c r="C1064" s="8" t="s">
        <v>852</v>
      </c>
      <c r="D1064" s="8" t="s">
        <v>4</v>
      </c>
      <c r="E1064" s="8" t="s">
        <v>18</v>
      </c>
      <c r="F1064" s="6">
        <v>61.32</v>
      </c>
      <c r="G1064" s="8" t="s">
        <v>1388</v>
      </c>
      <c r="H1064" s="8" t="s">
        <v>852</v>
      </c>
      <c r="I1064" s="8" t="s">
        <v>2633</v>
      </c>
      <c r="K1064">
        <f>IF($A1064="","",IF(ISNUMBER($A1064),MONTH($A1064),MONTH(DATEVALUE($A1064))))</f>
        <v>6</v>
      </c>
    </row>
    <row r="1065" spans="1:11" ht="60" customHeight="1" x14ac:dyDescent="0.25">
      <c r="A1065" s="7" t="s">
        <v>1383</v>
      </c>
      <c r="B1065" s="7" t="s">
        <v>227</v>
      </c>
      <c r="C1065" s="7" t="s">
        <v>874</v>
      </c>
      <c r="D1065" s="7" t="s">
        <v>4</v>
      </c>
      <c r="E1065" s="7" t="s">
        <v>18</v>
      </c>
      <c r="F1065" s="5">
        <v>160</v>
      </c>
      <c r="G1065" s="7" t="s">
        <v>1389</v>
      </c>
      <c r="H1065" s="7" t="s">
        <v>874</v>
      </c>
      <c r="I1065" s="7" t="s">
        <v>2632</v>
      </c>
      <c r="K1065">
        <f>IF($A1065="","",IF(ISNUMBER($A1065),MONTH($A1065),MONTH(DATEVALUE($A1065))))</f>
        <v>6</v>
      </c>
    </row>
    <row r="1066" spans="1:11" ht="60" customHeight="1" x14ac:dyDescent="0.25">
      <c r="A1066" s="8" t="s">
        <v>1383</v>
      </c>
      <c r="B1066" s="8" t="s">
        <v>0</v>
      </c>
      <c r="C1066" s="8" t="s">
        <v>762</v>
      </c>
      <c r="D1066" s="8" t="s">
        <v>4</v>
      </c>
      <c r="E1066" s="8" t="s">
        <v>18</v>
      </c>
      <c r="F1066" s="6">
        <v>59.5</v>
      </c>
      <c r="G1066" s="8" t="s">
        <v>1390</v>
      </c>
      <c r="H1066" s="8" t="s">
        <v>762</v>
      </c>
      <c r="I1066" s="8" t="s">
        <v>2650</v>
      </c>
      <c r="K1066">
        <f>IF($A1066="","",IF(ISNUMBER($A1066),MONTH($A1066),MONTH(DATEVALUE($A1066))))</f>
        <v>6</v>
      </c>
    </row>
    <row r="1067" spans="1:11" ht="60" customHeight="1" x14ac:dyDescent="0.25">
      <c r="A1067" s="7" t="s">
        <v>1383</v>
      </c>
      <c r="B1067" s="7" t="s">
        <v>0</v>
      </c>
      <c r="C1067" s="7" t="s">
        <v>732</v>
      </c>
      <c r="D1067" s="7" t="s">
        <v>4</v>
      </c>
      <c r="E1067" s="7" t="s">
        <v>18</v>
      </c>
      <c r="F1067" s="5">
        <v>12.75</v>
      </c>
      <c r="G1067" s="7" t="s">
        <v>1391</v>
      </c>
      <c r="H1067" s="7" t="s">
        <v>732</v>
      </c>
      <c r="I1067" s="7" t="s">
        <v>2633</v>
      </c>
      <c r="K1067">
        <f>IF($A1067="","",IF(ISNUMBER($A1067),MONTH($A1067),MONTH(DATEVALUE($A1067))))</f>
        <v>6</v>
      </c>
    </row>
    <row r="1068" spans="1:11" ht="60" customHeight="1" x14ac:dyDescent="0.25">
      <c r="A1068" s="8" t="s">
        <v>1383</v>
      </c>
      <c r="B1068" s="8" t="s">
        <v>0</v>
      </c>
      <c r="C1068" s="8" t="s">
        <v>732</v>
      </c>
      <c r="D1068" s="8" t="s">
        <v>4</v>
      </c>
      <c r="E1068" s="8" t="s">
        <v>18</v>
      </c>
      <c r="F1068" s="6">
        <v>15.12</v>
      </c>
      <c r="G1068" s="8" t="s">
        <v>1392</v>
      </c>
      <c r="H1068" s="8" t="s">
        <v>732</v>
      </c>
      <c r="I1068" s="8" t="s">
        <v>2633</v>
      </c>
      <c r="K1068">
        <f>IF($A1068="","",IF(ISNUMBER($A1068),MONTH($A1068),MONTH(DATEVALUE($A1068))))</f>
        <v>6</v>
      </c>
    </row>
    <row r="1069" spans="1:11" ht="60" customHeight="1" x14ac:dyDescent="0.25">
      <c r="A1069" s="7" t="s">
        <v>1393</v>
      </c>
      <c r="B1069" s="7" t="s">
        <v>0</v>
      </c>
      <c r="C1069" s="7" t="s">
        <v>214</v>
      </c>
      <c r="D1069" s="7" t="s">
        <v>4</v>
      </c>
      <c r="E1069" s="7" t="s">
        <v>18</v>
      </c>
      <c r="F1069" s="5">
        <v>20.12</v>
      </c>
      <c r="G1069" s="7" t="s">
        <v>1394</v>
      </c>
      <c r="H1069" s="7" t="s">
        <v>214</v>
      </c>
      <c r="I1069" s="7" t="s">
        <v>2633</v>
      </c>
      <c r="K1069">
        <f>IF($A1069="","",IF(ISNUMBER($A1069),MONTH($A1069),MONTH(DATEVALUE($A1069))))</f>
        <v>6</v>
      </c>
    </row>
    <row r="1070" spans="1:11" ht="60" customHeight="1" x14ac:dyDescent="0.25">
      <c r="A1070" s="8" t="s">
        <v>1393</v>
      </c>
      <c r="B1070" s="8" t="s">
        <v>0</v>
      </c>
      <c r="C1070" s="8" t="s">
        <v>1096</v>
      </c>
      <c r="D1070" s="8" t="s">
        <v>4</v>
      </c>
      <c r="E1070" s="8" t="s">
        <v>18</v>
      </c>
      <c r="F1070" s="6">
        <v>-620.85</v>
      </c>
      <c r="G1070" s="8" t="s">
        <v>1101</v>
      </c>
      <c r="H1070" s="8" t="s">
        <v>1096</v>
      </c>
      <c r="I1070" s="8" t="s">
        <v>2647</v>
      </c>
      <c r="K1070">
        <f>IF($A1070="","",IF(ISNUMBER($A1070),MONTH($A1070),MONTH(DATEVALUE($A1070))))</f>
        <v>6</v>
      </c>
    </row>
    <row r="1071" spans="1:11" ht="60" customHeight="1" x14ac:dyDescent="0.25">
      <c r="A1071" s="7" t="s">
        <v>1393</v>
      </c>
      <c r="B1071" s="7" t="s">
        <v>0</v>
      </c>
      <c r="C1071" s="7" t="s">
        <v>1102</v>
      </c>
      <c r="D1071" s="7" t="s">
        <v>4</v>
      </c>
      <c r="E1071" s="7" t="s">
        <v>18</v>
      </c>
      <c r="F1071" s="5">
        <v>620.85</v>
      </c>
      <c r="G1071" s="7" t="s">
        <v>1395</v>
      </c>
      <c r="H1071" s="7" t="s">
        <v>1096</v>
      </c>
      <c r="I1071" s="7" t="s">
        <v>2647</v>
      </c>
      <c r="K1071">
        <f>IF($A1071="","",IF(ISNUMBER($A1071),MONTH($A1071),MONTH(DATEVALUE($A1071))))</f>
        <v>6</v>
      </c>
    </row>
    <row r="1072" spans="1:11" ht="60" customHeight="1" x14ac:dyDescent="0.25">
      <c r="A1072" s="8" t="s">
        <v>1393</v>
      </c>
      <c r="B1072" s="8" t="s">
        <v>0</v>
      </c>
      <c r="C1072" s="8" t="s">
        <v>1396</v>
      </c>
      <c r="D1072" s="8" t="s">
        <v>4</v>
      </c>
      <c r="E1072" s="8" t="s">
        <v>18</v>
      </c>
      <c r="F1072" s="6">
        <v>3.24</v>
      </c>
      <c r="G1072" s="8" t="s">
        <v>1397</v>
      </c>
      <c r="H1072" s="8" t="s">
        <v>1396</v>
      </c>
      <c r="I1072" s="8" t="s">
        <v>2647</v>
      </c>
      <c r="K1072">
        <f>IF($A1072="","",IF(ISNUMBER($A1072),MONTH($A1072),MONTH(DATEVALUE($A1072))))</f>
        <v>6</v>
      </c>
    </row>
    <row r="1073" spans="1:11" ht="60" customHeight="1" x14ac:dyDescent="0.25">
      <c r="A1073" s="7" t="s">
        <v>1393</v>
      </c>
      <c r="B1073" s="7" t="s">
        <v>0</v>
      </c>
      <c r="C1073" s="7" t="s">
        <v>567</v>
      </c>
      <c r="D1073" s="7" t="s">
        <v>4</v>
      </c>
      <c r="E1073" s="7" t="s">
        <v>18</v>
      </c>
      <c r="F1073" s="5">
        <v>16.23</v>
      </c>
      <c r="G1073" s="7" t="s">
        <v>1398</v>
      </c>
      <c r="H1073" s="7" t="s">
        <v>567</v>
      </c>
      <c r="I1073" s="7" t="s">
        <v>2647</v>
      </c>
      <c r="K1073">
        <f>IF($A1073="","",IF(ISNUMBER($A1073),MONTH($A1073),MONTH(DATEVALUE($A1073))))</f>
        <v>6</v>
      </c>
    </row>
    <row r="1074" spans="1:11" ht="60" customHeight="1" x14ac:dyDescent="0.25">
      <c r="A1074" s="8" t="s">
        <v>1393</v>
      </c>
      <c r="B1074" s="8" t="s">
        <v>0</v>
      </c>
      <c r="C1074" s="8" t="s">
        <v>176</v>
      </c>
      <c r="D1074" s="8" t="s">
        <v>4</v>
      </c>
      <c r="E1074" s="8" t="s">
        <v>18</v>
      </c>
      <c r="F1074" s="6">
        <v>9.99</v>
      </c>
      <c r="G1074" s="8" t="s">
        <v>1399</v>
      </c>
      <c r="H1074" s="8" t="s">
        <v>176</v>
      </c>
      <c r="I1074" s="8" t="s">
        <v>2630</v>
      </c>
      <c r="K1074">
        <f>IF($A1074="","",IF(ISNUMBER($A1074),MONTH($A1074),MONTH(DATEVALUE($A1074))))</f>
        <v>6</v>
      </c>
    </row>
    <row r="1075" spans="1:11" ht="60" customHeight="1" x14ac:dyDescent="0.25">
      <c r="A1075" s="7" t="s">
        <v>1393</v>
      </c>
      <c r="B1075" s="7" t="s">
        <v>0</v>
      </c>
      <c r="C1075" s="7" t="s">
        <v>178</v>
      </c>
      <c r="D1075" s="7" t="s">
        <v>4</v>
      </c>
      <c r="E1075" s="7" t="s">
        <v>18</v>
      </c>
      <c r="F1075" s="5">
        <v>260</v>
      </c>
      <c r="G1075" s="7" t="s">
        <v>1400</v>
      </c>
      <c r="H1075" s="7" t="s">
        <v>178</v>
      </c>
      <c r="I1075" s="7" t="s">
        <v>2638</v>
      </c>
      <c r="K1075">
        <f>IF($A1075="","",IF(ISNUMBER($A1075),MONTH($A1075),MONTH(DATEVALUE($A1075))))</f>
        <v>6</v>
      </c>
    </row>
    <row r="1076" spans="1:11" ht="60" customHeight="1" x14ac:dyDescent="0.25">
      <c r="A1076" s="8" t="s">
        <v>1393</v>
      </c>
      <c r="B1076" s="8" t="s">
        <v>0</v>
      </c>
      <c r="C1076" s="8" t="s">
        <v>1401</v>
      </c>
      <c r="D1076" s="8" t="s">
        <v>4</v>
      </c>
      <c r="E1076" s="8" t="s">
        <v>18</v>
      </c>
      <c r="F1076" s="6">
        <v>30.97</v>
      </c>
      <c r="G1076" s="8" t="s">
        <v>1402</v>
      </c>
      <c r="H1076" s="8" t="s">
        <v>1401</v>
      </c>
      <c r="I1076" s="8" t="s">
        <v>2627</v>
      </c>
      <c r="K1076">
        <f>IF($A1076="","",IF(ISNUMBER($A1076),MONTH($A1076),MONTH(DATEVALUE($A1076))))</f>
        <v>6</v>
      </c>
    </row>
    <row r="1077" spans="1:11" ht="60" customHeight="1" x14ac:dyDescent="0.25">
      <c r="A1077" s="7" t="s">
        <v>1393</v>
      </c>
      <c r="B1077" s="7" t="s">
        <v>0</v>
      </c>
      <c r="C1077" s="7" t="s">
        <v>1403</v>
      </c>
      <c r="D1077" s="7" t="s">
        <v>4</v>
      </c>
      <c r="E1077" s="7" t="s">
        <v>18</v>
      </c>
      <c r="F1077" s="5">
        <v>60.97</v>
      </c>
      <c r="G1077" s="7" t="s">
        <v>1404</v>
      </c>
      <c r="H1077" s="7" t="s">
        <v>1403</v>
      </c>
      <c r="I1077" s="7" t="s">
        <v>2633</v>
      </c>
      <c r="K1077">
        <f>IF($A1077="","",IF(ISNUMBER($A1077),MONTH($A1077),MONTH(DATEVALUE($A1077))))</f>
        <v>6</v>
      </c>
    </row>
    <row r="1078" spans="1:11" ht="60" customHeight="1" x14ac:dyDescent="0.25">
      <c r="A1078" s="8" t="s">
        <v>1393</v>
      </c>
      <c r="B1078" s="8" t="s">
        <v>0</v>
      </c>
      <c r="C1078" s="8" t="s">
        <v>1405</v>
      </c>
      <c r="D1078" s="8" t="s">
        <v>4</v>
      </c>
      <c r="E1078" s="8" t="s">
        <v>18</v>
      </c>
      <c r="F1078" s="6">
        <v>21.7</v>
      </c>
      <c r="G1078" s="8" t="s">
        <v>1406</v>
      </c>
      <c r="H1078" s="8" t="s">
        <v>1405</v>
      </c>
      <c r="I1078" s="8" t="s">
        <v>2633</v>
      </c>
      <c r="K1078">
        <f>IF($A1078="","",IF(ISNUMBER($A1078),MONTH($A1078),MONTH(DATEVALUE($A1078))))</f>
        <v>6</v>
      </c>
    </row>
    <row r="1079" spans="1:11" ht="60" customHeight="1" x14ac:dyDescent="0.25">
      <c r="A1079" s="7" t="s">
        <v>1407</v>
      </c>
      <c r="B1079" s="7" t="s">
        <v>0</v>
      </c>
      <c r="C1079" s="7" t="s">
        <v>1316</v>
      </c>
      <c r="D1079" s="7" t="s">
        <v>4</v>
      </c>
      <c r="E1079" s="7" t="s">
        <v>18</v>
      </c>
      <c r="F1079" s="5">
        <v>1100</v>
      </c>
      <c r="G1079" s="7" t="s">
        <v>1408</v>
      </c>
      <c r="H1079" s="7" t="s">
        <v>1316</v>
      </c>
      <c r="I1079" s="7" t="s">
        <v>2641</v>
      </c>
      <c r="K1079">
        <f>IF($A1079="","",IF(ISNUMBER($A1079),MONTH($A1079),MONTH(DATEVALUE($A1079))))</f>
        <v>6</v>
      </c>
    </row>
    <row r="1080" spans="1:11" ht="60" customHeight="1" x14ac:dyDescent="0.25">
      <c r="A1080" s="8" t="s">
        <v>1407</v>
      </c>
      <c r="B1080" s="8" t="s">
        <v>0</v>
      </c>
      <c r="C1080" s="8" t="s">
        <v>1096</v>
      </c>
      <c r="D1080" s="8" t="s">
        <v>4</v>
      </c>
      <c r="E1080" s="8" t="s">
        <v>18</v>
      </c>
      <c r="F1080" s="6">
        <v>-620.85</v>
      </c>
      <c r="G1080" s="8" t="s">
        <v>1101</v>
      </c>
      <c r="H1080" s="8" t="s">
        <v>1096</v>
      </c>
      <c r="I1080" s="8" t="s">
        <v>2647</v>
      </c>
      <c r="K1080">
        <f>IF($A1080="","",IF(ISNUMBER($A1080),MONTH($A1080),MONTH(DATEVALUE($A1080))))</f>
        <v>6</v>
      </c>
    </row>
    <row r="1081" spans="1:11" ht="60" customHeight="1" x14ac:dyDescent="0.25">
      <c r="A1081" s="7" t="s">
        <v>1407</v>
      </c>
      <c r="B1081" s="7" t="s">
        <v>0</v>
      </c>
      <c r="C1081" s="7" t="s">
        <v>1102</v>
      </c>
      <c r="D1081" s="7" t="s">
        <v>4</v>
      </c>
      <c r="E1081" s="7" t="s">
        <v>18</v>
      </c>
      <c r="F1081" s="5">
        <v>620.85</v>
      </c>
      <c r="G1081" s="7" t="s">
        <v>1409</v>
      </c>
      <c r="H1081" s="7" t="s">
        <v>1096</v>
      </c>
      <c r="I1081" s="7" t="s">
        <v>2647</v>
      </c>
      <c r="K1081">
        <f>IF($A1081="","",IF(ISNUMBER($A1081),MONTH($A1081),MONTH(DATEVALUE($A1081))))</f>
        <v>6</v>
      </c>
    </row>
    <row r="1082" spans="1:11" ht="60" customHeight="1" x14ac:dyDescent="0.25">
      <c r="A1082" s="8" t="s">
        <v>1407</v>
      </c>
      <c r="B1082" s="8" t="s">
        <v>0</v>
      </c>
      <c r="C1082" s="8" t="s">
        <v>102</v>
      </c>
      <c r="D1082" s="8" t="s">
        <v>4</v>
      </c>
      <c r="E1082" s="8" t="s">
        <v>18</v>
      </c>
      <c r="F1082" s="6">
        <v>705.64</v>
      </c>
      <c r="G1082" s="8" t="s">
        <v>1410</v>
      </c>
      <c r="H1082" s="8" t="s">
        <v>102</v>
      </c>
      <c r="I1082" s="8" t="s">
        <v>2658</v>
      </c>
      <c r="K1082">
        <f>IF($A1082="","",IF(ISNUMBER($A1082),MONTH($A1082),MONTH(DATEVALUE($A1082))))</f>
        <v>6</v>
      </c>
    </row>
    <row r="1083" spans="1:11" ht="60" customHeight="1" x14ac:dyDescent="0.25">
      <c r="A1083" s="7" t="s">
        <v>1407</v>
      </c>
      <c r="B1083" s="7" t="s">
        <v>0</v>
      </c>
      <c r="C1083" s="7" t="s">
        <v>1411</v>
      </c>
      <c r="D1083" s="7" t="s">
        <v>4</v>
      </c>
      <c r="E1083" s="7" t="s">
        <v>18</v>
      </c>
      <c r="F1083" s="5">
        <v>17.97</v>
      </c>
      <c r="G1083" s="7" t="s">
        <v>1412</v>
      </c>
      <c r="H1083" s="7" t="s">
        <v>1411</v>
      </c>
      <c r="I1083" s="7" t="s">
        <v>2627</v>
      </c>
      <c r="K1083">
        <f>IF($A1083="","",IF(ISNUMBER($A1083),MONTH($A1083),MONTH(DATEVALUE($A1083))))</f>
        <v>6</v>
      </c>
    </row>
    <row r="1084" spans="1:11" ht="60" customHeight="1" x14ac:dyDescent="0.25">
      <c r="A1084" s="8" t="s">
        <v>1407</v>
      </c>
      <c r="B1084" s="8" t="s">
        <v>0</v>
      </c>
      <c r="C1084" s="8" t="s">
        <v>1413</v>
      </c>
      <c r="D1084" s="8" t="s">
        <v>4</v>
      </c>
      <c r="E1084" s="8" t="s">
        <v>18</v>
      </c>
      <c r="F1084" s="6">
        <v>-43.2</v>
      </c>
      <c r="G1084" s="8" t="s">
        <v>1414</v>
      </c>
      <c r="H1084" s="8" t="s">
        <v>1413</v>
      </c>
      <c r="I1084" s="8" t="s">
        <v>2658</v>
      </c>
      <c r="K1084">
        <f>IF($A1084="","",IF(ISNUMBER($A1084),MONTH($A1084),MONTH(DATEVALUE($A1084))))</f>
        <v>6</v>
      </c>
    </row>
    <row r="1085" spans="1:11" ht="60" customHeight="1" x14ac:dyDescent="0.25">
      <c r="A1085" s="7" t="s">
        <v>1407</v>
      </c>
      <c r="B1085" s="7" t="s">
        <v>0</v>
      </c>
      <c r="C1085" s="7" t="s">
        <v>1413</v>
      </c>
      <c r="D1085" s="7" t="s">
        <v>4</v>
      </c>
      <c r="E1085" s="7" t="s">
        <v>18</v>
      </c>
      <c r="F1085" s="5">
        <v>199.74</v>
      </c>
      <c r="G1085" s="7" t="s">
        <v>1415</v>
      </c>
      <c r="H1085" s="7" t="s">
        <v>1413</v>
      </c>
      <c r="I1085" s="8" t="s">
        <v>2658</v>
      </c>
      <c r="K1085">
        <f>IF($A1085="","",IF(ISNUMBER($A1085),MONTH($A1085),MONTH(DATEVALUE($A1085))))</f>
        <v>6</v>
      </c>
    </row>
    <row r="1086" spans="1:11" ht="60" customHeight="1" x14ac:dyDescent="0.25">
      <c r="A1086" s="8" t="s">
        <v>1407</v>
      </c>
      <c r="B1086" s="8" t="s">
        <v>0</v>
      </c>
      <c r="C1086" s="8" t="s">
        <v>1413</v>
      </c>
      <c r="D1086" s="8" t="s">
        <v>4</v>
      </c>
      <c r="E1086" s="8" t="s">
        <v>18</v>
      </c>
      <c r="F1086" s="6">
        <v>266.44</v>
      </c>
      <c r="G1086" s="8" t="s">
        <v>1414</v>
      </c>
      <c r="H1086" s="8" t="s">
        <v>1413</v>
      </c>
      <c r="I1086" s="8" t="s">
        <v>2658</v>
      </c>
      <c r="K1086">
        <f>IF($A1086="","",IF(ISNUMBER($A1086),MONTH($A1086),MONTH(DATEVALUE($A1086))))</f>
        <v>6</v>
      </c>
    </row>
    <row r="1087" spans="1:11" ht="60" customHeight="1" x14ac:dyDescent="0.25">
      <c r="A1087" s="7" t="s">
        <v>1407</v>
      </c>
      <c r="B1087" s="7" t="s">
        <v>0</v>
      </c>
      <c r="C1087" s="7" t="s">
        <v>90</v>
      </c>
      <c r="D1087" s="7" t="s">
        <v>4</v>
      </c>
      <c r="E1087" s="7" t="s">
        <v>18</v>
      </c>
      <c r="F1087" s="5">
        <v>40</v>
      </c>
      <c r="G1087" s="7" t="s">
        <v>1416</v>
      </c>
      <c r="H1087" s="7" t="s">
        <v>90</v>
      </c>
      <c r="I1087" s="8" t="s">
        <v>2658</v>
      </c>
      <c r="K1087">
        <f>IF($A1087="","",IF(ISNUMBER($A1087),MONTH($A1087),MONTH(DATEVALUE($A1087))))</f>
        <v>6</v>
      </c>
    </row>
    <row r="1088" spans="1:11" ht="60" customHeight="1" x14ac:dyDescent="0.25">
      <c r="A1088" s="8" t="s">
        <v>1407</v>
      </c>
      <c r="B1088" s="8" t="s">
        <v>0</v>
      </c>
      <c r="C1088" s="8" t="s">
        <v>110</v>
      </c>
      <c r="D1088" s="8" t="s">
        <v>4</v>
      </c>
      <c r="E1088" s="8" t="s">
        <v>18</v>
      </c>
      <c r="F1088" s="6">
        <v>9.0500000000000007</v>
      </c>
      <c r="G1088" s="8" t="s">
        <v>1417</v>
      </c>
      <c r="H1088" s="8" t="s">
        <v>110</v>
      </c>
      <c r="I1088" s="8" t="s">
        <v>2658</v>
      </c>
      <c r="K1088">
        <f>IF($A1088="","",IF(ISNUMBER($A1088),MONTH($A1088),MONTH(DATEVALUE($A1088))))</f>
        <v>6</v>
      </c>
    </row>
    <row r="1089" spans="1:11" ht="60" customHeight="1" x14ac:dyDescent="0.25">
      <c r="A1089" s="7" t="s">
        <v>1407</v>
      </c>
      <c r="B1089" s="7" t="s">
        <v>0</v>
      </c>
      <c r="C1089" s="7" t="s">
        <v>1418</v>
      </c>
      <c r="D1089" s="7" t="s">
        <v>4</v>
      </c>
      <c r="E1089" s="7" t="s">
        <v>18</v>
      </c>
      <c r="F1089" s="5">
        <v>113.69</v>
      </c>
      <c r="G1089" s="7" t="s">
        <v>1419</v>
      </c>
      <c r="H1089" s="7" t="s">
        <v>1418</v>
      </c>
      <c r="I1089" s="8" t="s">
        <v>2658</v>
      </c>
      <c r="K1089">
        <f>IF($A1089="","",IF(ISNUMBER($A1089),MONTH($A1089),MONTH(DATEVALUE($A1089))))</f>
        <v>6</v>
      </c>
    </row>
    <row r="1090" spans="1:11" ht="60" customHeight="1" x14ac:dyDescent="0.25">
      <c r="A1090" s="8" t="s">
        <v>1407</v>
      </c>
      <c r="B1090" s="8" t="s">
        <v>0</v>
      </c>
      <c r="C1090" s="8" t="s">
        <v>1420</v>
      </c>
      <c r="D1090" s="8" t="s">
        <v>4</v>
      </c>
      <c r="E1090" s="8" t="s">
        <v>18</v>
      </c>
      <c r="F1090" s="6">
        <v>8.59</v>
      </c>
      <c r="G1090" s="8" t="s">
        <v>1421</v>
      </c>
      <c r="H1090" s="8" t="s">
        <v>1420</v>
      </c>
      <c r="I1090" s="8" t="s">
        <v>2658</v>
      </c>
      <c r="K1090">
        <f>IF($A1090="","",IF(ISNUMBER($A1090),MONTH($A1090),MONTH(DATEVALUE($A1090))))</f>
        <v>6</v>
      </c>
    </row>
    <row r="1091" spans="1:11" ht="60" customHeight="1" x14ac:dyDescent="0.25">
      <c r="A1091" s="7" t="s">
        <v>1407</v>
      </c>
      <c r="B1091" s="7" t="s">
        <v>0</v>
      </c>
      <c r="C1091" s="7" t="s">
        <v>95</v>
      </c>
      <c r="D1091" s="7" t="s">
        <v>4</v>
      </c>
      <c r="E1091" s="7" t="s">
        <v>18</v>
      </c>
      <c r="F1091" s="5">
        <v>5.76</v>
      </c>
      <c r="G1091" s="7" t="s">
        <v>1422</v>
      </c>
      <c r="H1091" s="7" t="s">
        <v>95</v>
      </c>
      <c r="I1091" s="8" t="s">
        <v>2658</v>
      </c>
      <c r="K1091">
        <f>IF($A1091="","",IF(ISNUMBER($A1091),MONTH($A1091),MONTH(DATEVALUE($A1091))))</f>
        <v>6</v>
      </c>
    </row>
    <row r="1092" spans="1:11" ht="60" customHeight="1" x14ac:dyDescent="0.25">
      <c r="A1092" s="8" t="s">
        <v>1407</v>
      </c>
      <c r="B1092" s="8" t="s">
        <v>0</v>
      </c>
      <c r="C1092" s="8" t="s">
        <v>282</v>
      </c>
      <c r="D1092" s="8" t="s">
        <v>4</v>
      </c>
      <c r="E1092" s="8" t="s">
        <v>18</v>
      </c>
      <c r="F1092" s="6">
        <v>139.38</v>
      </c>
      <c r="G1092" s="8" t="s">
        <v>1423</v>
      </c>
      <c r="H1092" s="8" t="s">
        <v>282</v>
      </c>
      <c r="I1092" s="8" t="s">
        <v>2633</v>
      </c>
      <c r="K1092">
        <f>IF($A1092="","",IF(ISNUMBER($A1092),MONTH($A1092),MONTH(DATEVALUE($A1092))))</f>
        <v>6</v>
      </c>
    </row>
    <row r="1093" spans="1:11" ht="60" customHeight="1" x14ac:dyDescent="0.25">
      <c r="A1093" s="7" t="s">
        <v>1407</v>
      </c>
      <c r="B1093" s="7" t="s">
        <v>0</v>
      </c>
      <c r="C1093" s="7" t="s">
        <v>732</v>
      </c>
      <c r="D1093" s="7" t="s">
        <v>4</v>
      </c>
      <c r="E1093" s="7" t="s">
        <v>18</v>
      </c>
      <c r="F1093" s="5">
        <v>20.63</v>
      </c>
      <c r="G1093" s="7" t="s">
        <v>1424</v>
      </c>
      <c r="H1093" s="7" t="s">
        <v>732</v>
      </c>
      <c r="I1093" s="7" t="s">
        <v>2633</v>
      </c>
      <c r="K1093">
        <f>IF($A1093="","",IF(ISNUMBER($A1093),MONTH($A1093),MONTH(DATEVALUE($A1093))))</f>
        <v>6</v>
      </c>
    </row>
    <row r="1094" spans="1:11" ht="60" customHeight="1" x14ac:dyDescent="0.25">
      <c r="A1094" s="8" t="s">
        <v>1425</v>
      </c>
      <c r="B1094" s="8" t="s">
        <v>0</v>
      </c>
      <c r="C1094" s="8" t="s">
        <v>1426</v>
      </c>
      <c r="D1094" s="8" t="s">
        <v>4</v>
      </c>
      <c r="E1094" s="8" t="s">
        <v>18</v>
      </c>
      <c r="F1094" s="6">
        <v>83.7</v>
      </c>
      <c r="G1094" s="8" t="s">
        <v>1427</v>
      </c>
      <c r="H1094" s="8" t="s">
        <v>1426</v>
      </c>
      <c r="I1094" s="8" t="s">
        <v>2658</v>
      </c>
      <c r="K1094">
        <f>IF($A1094="","",IF(ISNUMBER($A1094),MONTH($A1094),MONTH(DATEVALUE($A1094))))</f>
        <v>6</v>
      </c>
    </row>
    <row r="1095" spans="1:11" ht="60" customHeight="1" x14ac:dyDescent="0.25">
      <c r="A1095" s="7" t="s">
        <v>1425</v>
      </c>
      <c r="B1095" s="7" t="s">
        <v>0</v>
      </c>
      <c r="C1095" s="7" t="s">
        <v>1428</v>
      </c>
      <c r="D1095" s="7" t="s">
        <v>4</v>
      </c>
      <c r="E1095" s="7" t="s">
        <v>18</v>
      </c>
      <c r="F1095" s="5">
        <v>21.43</v>
      </c>
      <c r="G1095" s="7" t="s">
        <v>1429</v>
      </c>
      <c r="H1095" s="7" t="s">
        <v>1428</v>
      </c>
      <c r="I1095" s="8" t="s">
        <v>2658</v>
      </c>
      <c r="K1095">
        <f>IF($A1095="","",IF(ISNUMBER($A1095),MONTH($A1095),MONTH(DATEVALUE($A1095))))</f>
        <v>6</v>
      </c>
    </row>
    <row r="1096" spans="1:11" ht="60" customHeight="1" x14ac:dyDescent="0.25">
      <c r="A1096" s="8" t="s">
        <v>1425</v>
      </c>
      <c r="B1096" s="8" t="s">
        <v>0</v>
      </c>
      <c r="C1096" s="8" t="s">
        <v>1430</v>
      </c>
      <c r="D1096" s="8" t="s">
        <v>4</v>
      </c>
      <c r="E1096" s="8" t="s">
        <v>18</v>
      </c>
      <c r="F1096" s="6">
        <v>40.97</v>
      </c>
      <c r="G1096" s="8" t="s">
        <v>1431</v>
      </c>
      <c r="H1096" s="8" t="s">
        <v>1430</v>
      </c>
      <c r="I1096" s="8" t="s">
        <v>2627</v>
      </c>
      <c r="K1096">
        <f>IF($A1096="","",IF(ISNUMBER($A1096),MONTH($A1096),MONTH(DATEVALUE($A1096))))</f>
        <v>6</v>
      </c>
    </row>
    <row r="1097" spans="1:11" ht="60" customHeight="1" x14ac:dyDescent="0.25">
      <c r="A1097" s="7" t="s">
        <v>1425</v>
      </c>
      <c r="B1097" s="7" t="s">
        <v>0</v>
      </c>
      <c r="C1097" s="7" t="s">
        <v>1432</v>
      </c>
      <c r="D1097" s="7" t="s">
        <v>4</v>
      </c>
      <c r="E1097" s="7" t="s">
        <v>18</v>
      </c>
      <c r="F1097" s="5">
        <v>77.05</v>
      </c>
      <c r="G1097" s="7" t="s">
        <v>1433</v>
      </c>
      <c r="H1097" s="7" t="s">
        <v>1432</v>
      </c>
      <c r="I1097" s="8" t="s">
        <v>2658</v>
      </c>
      <c r="K1097">
        <f>IF($A1097="","",IF(ISNUMBER($A1097),MONTH($A1097),MONTH(DATEVALUE($A1097))))</f>
        <v>6</v>
      </c>
    </row>
    <row r="1098" spans="1:11" ht="60" customHeight="1" x14ac:dyDescent="0.25">
      <c r="A1098" s="8" t="s">
        <v>1425</v>
      </c>
      <c r="B1098" s="8" t="s">
        <v>0</v>
      </c>
      <c r="C1098" s="8" t="s">
        <v>1434</v>
      </c>
      <c r="D1098" s="8" t="s">
        <v>4</v>
      </c>
      <c r="E1098" s="8" t="s">
        <v>18</v>
      </c>
      <c r="F1098" s="6">
        <v>27.48</v>
      </c>
      <c r="G1098" s="8" t="s">
        <v>1435</v>
      </c>
      <c r="H1098" s="8" t="s">
        <v>1434</v>
      </c>
      <c r="I1098" s="8" t="s">
        <v>2658</v>
      </c>
      <c r="K1098">
        <f>IF($A1098="","",IF(ISNUMBER($A1098),MONTH($A1098),MONTH(DATEVALUE($A1098))))</f>
        <v>6</v>
      </c>
    </row>
    <row r="1099" spans="1:11" ht="60" customHeight="1" x14ac:dyDescent="0.25">
      <c r="A1099" s="7" t="s">
        <v>1425</v>
      </c>
      <c r="B1099" s="7" t="s">
        <v>0</v>
      </c>
      <c r="C1099" s="7" t="s">
        <v>1436</v>
      </c>
      <c r="D1099" s="7" t="s">
        <v>4</v>
      </c>
      <c r="E1099" s="7" t="s">
        <v>18</v>
      </c>
      <c r="F1099" s="5">
        <v>107.69</v>
      </c>
      <c r="G1099" s="7" t="s">
        <v>1437</v>
      </c>
      <c r="H1099" s="7" t="s">
        <v>1436</v>
      </c>
      <c r="I1099" s="8" t="s">
        <v>2658</v>
      </c>
      <c r="K1099">
        <f>IF($A1099="","",IF(ISNUMBER($A1099),MONTH($A1099),MONTH(DATEVALUE($A1099))))</f>
        <v>6</v>
      </c>
    </row>
    <row r="1100" spans="1:11" ht="60" customHeight="1" x14ac:dyDescent="0.25">
      <c r="A1100" s="8" t="s">
        <v>1425</v>
      </c>
      <c r="B1100" s="8" t="s">
        <v>0</v>
      </c>
      <c r="C1100" s="8" t="s">
        <v>1438</v>
      </c>
      <c r="D1100" s="8" t="s">
        <v>4</v>
      </c>
      <c r="E1100" s="8" t="s">
        <v>18</v>
      </c>
      <c r="F1100" s="6">
        <v>26.06</v>
      </c>
      <c r="G1100" s="8" t="s">
        <v>1439</v>
      </c>
      <c r="H1100" s="8" t="s">
        <v>1438</v>
      </c>
      <c r="I1100" s="8" t="s">
        <v>2658</v>
      </c>
      <c r="K1100">
        <f>IF($A1100="","",IF(ISNUMBER($A1100),MONTH($A1100),MONTH(DATEVALUE($A1100))))</f>
        <v>6</v>
      </c>
    </row>
    <row r="1101" spans="1:11" ht="60" customHeight="1" x14ac:dyDescent="0.25">
      <c r="A1101" s="7" t="s">
        <v>1425</v>
      </c>
      <c r="B1101" s="7" t="s">
        <v>0</v>
      </c>
      <c r="C1101" s="7" t="s">
        <v>1440</v>
      </c>
      <c r="D1101" s="7" t="s">
        <v>4</v>
      </c>
      <c r="E1101" s="7" t="s">
        <v>18</v>
      </c>
      <c r="F1101" s="5">
        <v>139.74</v>
      </c>
      <c r="G1101" s="7" t="s">
        <v>1441</v>
      </c>
      <c r="H1101" s="7" t="s">
        <v>1440</v>
      </c>
      <c r="I1101" s="8" t="s">
        <v>2658</v>
      </c>
      <c r="K1101">
        <f>IF($A1101="","",IF(ISNUMBER($A1101),MONTH($A1101),MONTH(DATEVALUE($A1101))))</f>
        <v>6</v>
      </c>
    </row>
    <row r="1102" spans="1:11" ht="60" customHeight="1" x14ac:dyDescent="0.25">
      <c r="A1102" s="8" t="s">
        <v>1442</v>
      </c>
      <c r="B1102" s="8" t="s">
        <v>0</v>
      </c>
      <c r="C1102" s="8" t="s">
        <v>1443</v>
      </c>
      <c r="D1102" s="8" t="s">
        <v>4</v>
      </c>
      <c r="E1102" s="8" t="s">
        <v>18</v>
      </c>
      <c r="F1102" s="6">
        <v>11.65</v>
      </c>
      <c r="G1102" s="8" t="s">
        <v>1444</v>
      </c>
      <c r="H1102" s="8" t="s">
        <v>1443</v>
      </c>
      <c r="I1102" s="8" t="s">
        <v>2636</v>
      </c>
      <c r="K1102">
        <f>IF($A1102="","",IF(ISNUMBER($A1102),MONTH($A1102),MONTH(DATEVALUE($A1102))))</f>
        <v>6</v>
      </c>
    </row>
    <row r="1103" spans="1:11" ht="60" customHeight="1" x14ac:dyDescent="0.25">
      <c r="A1103" s="7" t="s">
        <v>1442</v>
      </c>
      <c r="B1103" s="7" t="s">
        <v>0</v>
      </c>
      <c r="C1103" s="7" t="s">
        <v>1096</v>
      </c>
      <c r="D1103" s="7" t="s">
        <v>4</v>
      </c>
      <c r="E1103" s="7" t="s">
        <v>18</v>
      </c>
      <c r="F1103" s="5">
        <v>-620.85</v>
      </c>
      <c r="G1103" s="7" t="s">
        <v>1101</v>
      </c>
      <c r="H1103" s="7" t="s">
        <v>1096</v>
      </c>
      <c r="I1103" s="7" t="s">
        <v>2647</v>
      </c>
      <c r="K1103">
        <f>IF($A1103="","",IF(ISNUMBER($A1103),MONTH($A1103),MONTH(DATEVALUE($A1103))))</f>
        <v>6</v>
      </c>
    </row>
    <row r="1104" spans="1:11" ht="60" customHeight="1" x14ac:dyDescent="0.25">
      <c r="A1104" s="8" t="s">
        <v>1442</v>
      </c>
      <c r="B1104" s="8" t="s">
        <v>0</v>
      </c>
      <c r="C1104" s="8" t="s">
        <v>1096</v>
      </c>
      <c r="D1104" s="8" t="s">
        <v>4</v>
      </c>
      <c r="E1104" s="8" t="s">
        <v>18</v>
      </c>
      <c r="F1104" s="6">
        <v>-139.56</v>
      </c>
      <c r="G1104" s="8" t="s">
        <v>1101</v>
      </c>
      <c r="H1104" s="8" t="s">
        <v>1096</v>
      </c>
      <c r="I1104" s="8" t="s">
        <v>2647</v>
      </c>
      <c r="K1104">
        <f>IF($A1104="","",IF(ISNUMBER($A1104),MONTH($A1104),MONTH(DATEVALUE($A1104))))</f>
        <v>6</v>
      </c>
    </row>
    <row r="1105" spans="1:11" ht="60" customHeight="1" x14ac:dyDescent="0.25">
      <c r="A1105" s="7" t="s">
        <v>1442</v>
      </c>
      <c r="B1105" s="7" t="s">
        <v>0</v>
      </c>
      <c r="C1105" s="7" t="s">
        <v>1102</v>
      </c>
      <c r="D1105" s="7" t="s">
        <v>4</v>
      </c>
      <c r="E1105" s="7" t="s">
        <v>18</v>
      </c>
      <c r="F1105" s="5">
        <v>139.56</v>
      </c>
      <c r="G1105" s="7" t="s">
        <v>1445</v>
      </c>
      <c r="H1105" s="7" t="s">
        <v>1096</v>
      </c>
      <c r="I1105" s="7" t="s">
        <v>2647</v>
      </c>
      <c r="K1105">
        <f>IF($A1105="","",IF(ISNUMBER($A1105),MONTH($A1105),MONTH(DATEVALUE($A1105))))</f>
        <v>6</v>
      </c>
    </row>
    <row r="1106" spans="1:11" ht="60" customHeight="1" x14ac:dyDescent="0.25">
      <c r="A1106" s="8" t="s">
        <v>1442</v>
      </c>
      <c r="B1106" s="8" t="s">
        <v>0</v>
      </c>
      <c r="C1106" s="8" t="s">
        <v>1102</v>
      </c>
      <c r="D1106" s="8" t="s">
        <v>4</v>
      </c>
      <c r="E1106" s="8" t="s">
        <v>18</v>
      </c>
      <c r="F1106" s="6">
        <v>620.85</v>
      </c>
      <c r="G1106" s="8" t="s">
        <v>1446</v>
      </c>
      <c r="H1106" s="8" t="s">
        <v>1096</v>
      </c>
      <c r="I1106" s="8" t="s">
        <v>2647</v>
      </c>
      <c r="K1106">
        <f>IF($A1106="","",IF(ISNUMBER($A1106),MONTH($A1106),MONTH(DATEVALUE($A1106))))</f>
        <v>6</v>
      </c>
    </row>
    <row r="1107" spans="1:11" ht="60" customHeight="1" x14ac:dyDescent="0.25">
      <c r="A1107" s="7" t="s">
        <v>1442</v>
      </c>
      <c r="B1107" s="7" t="s">
        <v>0</v>
      </c>
      <c r="C1107" s="7" t="s">
        <v>104</v>
      </c>
      <c r="D1107" s="7" t="s">
        <v>4</v>
      </c>
      <c r="E1107" s="7" t="s">
        <v>18</v>
      </c>
      <c r="F1107" s="5">
        <v>13.99</v>
      </c>
      <c r="G1107" s="7" t="s">
        <v>1447</v>
      </c>
      <c r="H1107" s="7" t="s">
        <v>104</v>
      </c>
      <c r="I1107" s="7" t="s">
        <v>2632</v>
      </c>
      <c r="K1107">
        <f>IF($A1107="","",IF(ISNUMBER($A1107),MONTH($A1107),MONTH(DATEVALUE($A1107))))</f>
        <v>6</v>
      </c>
    </row>
    <row r="1108" spans="1:11" ht="60" customHeight="1" x14ac:dyDescent="0.25">
      <c r="A1108" s="8" t="s">
        <v>1442</v>
      </c>
      <c r="B1108" s="8" t="s">
        <v>0</v>
      </c>
      <c r="C1108" s="8" t="s">
        <v>1448</v>
      </c>
      <c r="D1108" s="8" t="s">
        <v>4</v>
      </c>
      <c r="E1108" s="8" t="s">
        <v>18</v>
      </c>
      <c r="F1108" s="6">
        <v>127.44</v>
      </c>
      <c r="G1108" s="8" t="s">
        <v>1449</v>
      </c>
      <c r="H1108" s="8" t="s">
        <v>1448</v>
      </c>
      <c r="I1108" s="8" t="s">
        <v>2658</v>
      </c>
      <c r="K1108">
        <f>IF($A1108="","",IF(ISNUMBER($A1108),MONTH($A1108),MONTH(DATEVALUE($A1108))))</f>
        <v>6</v>
      </c>
    </row>
    <row r="1109" spans="1:11" ht="60" customHeight="1" x14ac:dyDescent="0.25">
      <c r="A1109" s="7" t="s">
        <v>1442</v>
      </c>
      <c r="B1109" s="7" t="s">
        <v>0</v>
      </c>
      <c r="C1109" s="7" t="s">
        <v>1448</v>
      </c>
      <c r="D1109" s="7" t="s">
        <v>4</v>
      </c>
      <c r="E1109" s="7" t="s">
        <v>18</v>
      </c>
      <c r="F1109" s="5">
        <v>138.24</v>
      </c>
      <c r="G1109" s="7" t="s">
        <v>1450</v>
      </c>
      <c r="H1109" s="7" t="s">
        <v>1448</v>
      </c>
      <c r="I1109" s="7" t="s">
        <v>2658</v>
      </c>
      <c r="K1109">
        <f>IF($A1109="","",IF(ISNUMBER($A1109),MONTH($A1109),MONTH(DATEVALUE($A1109))))</f>
        <v>6</v>
      </c>
    </row>
    <row r="1110" spans="1:11" ht="60" customHeight="1" x14ac:dyDescent="0.25">
      <c r="A1110" s="8" t="s">
        <v>1442</v>
      </c>
      <c r="B1110" s="8" t="s">
        <v>0</v>
      </c>
      <c r="C1110" s="8" t="s">
        <v>211</v>
      </c>
      <c r="D1110" s="8" t="s">
        <v>4</v>
      </c>
      <c r="E1110" s="8" t="s">
        <v>18</v>
      </c>
      <c r="F1110" s="6">
        <v>52.14</v>
      </c>
      <c r="G1110" s="8" t="s">
        <v>1451</v>
      </c>
      <c r="H1110" s="8" t="s">
        <v>211</v>
      </c>
      <c r="I1110" s="8" t="s">
        <v>2630</v>
      </c>
      <c r="K1110">
        <f>IF($A1110="","",IF(ISNUMBER($A1110),MONTH($A1110),MONTH(DATEVALUE($A1110))))</f>
        <v>6</v>
      </c>
    </row>
    <row r="1111" spans="1:11" ht="60" customHeight="1" x14ac:dyDescent="0.25">
      <c r="A1111" s="7" t="s">
        <v>1442</v>
      </c>
      <c r="B1111" s="7" t="s">
        <v>0</v>
      </c>
      <c r="C1111" s="7" t="s">
        <v>169</v>
      </c>
      <c r="D1111" s="7" t="s">
        <v>4</v>
      </c>
      <c r="E1111" s="7" t="s">
        <v>18</v>
      </c>
      <c r="F1111" s="5">
        <v>6.77</v>
      </c>
      <c r="G1111" s="7" t="s">
        <v>1452</v>
      </c>
      <c r="H1111" s="7" t="s">
        <v>169</v>
      </c>
      <c r="I1111" s="7" t="s">
        <v>2633</v>
      </c>
      <c r="K1111">
        <f>IF($A1111="","",IF(ISNUMBER($A1111),MONTH($A1111),MONTH(DATEVALUE($A1111))))</f>
        <v>6</v>
      </c>
    </row>
    <row r="1112" spans="1:11" ht="60" customHeight="1" x14ac:dyDescent="0.25">
      <c r="A1112" s="8" t="s">
        <v>1442</v>
      </c>
      <c r="B1112" s="8" t="s">
        <v>0</v>
      </c>
      <c r="C1112" s="8" t="s">
        <v>1453</v>
      </c>
      <c r="D1112" s="8" t="s">
        <v>4</v>
      </c>
      <c r="E1112" s="8" t="s">
        <v>18</v>
      </c>
      <c r="F1112" s="6">
        <v>7.05</v>
      </c>
      <c r="G1112" s="8" t="s">
        <v>1454</v>
      </c>
      <c r="H1112" s="8" t="s">
        <v>1453</v>
      </c>
      <c r="I1112" s="8" t="s">
        <v>2658</v>
      </c>
      <c r="K1112">
        <f>IF($A1112="","",IF(ISNUMBER($A1112),MONTH($A1112),MONTH(DATEVALUE($A1112))))</f>
        <v>6</v>
      </c>
    </row>
    <row r="1113" spans="1:11" ht="60" customHeight="1" x14ac:dyDescent="0.25">
      <c r="A1113" s="7" t="s">
        <v>1442</v>
      </c>
      <c r="B1113" s="7" t="s">
        <v>0</v>
      </c>
      <c r="C1113" s="7" t="s">
        <v>1455</v>
      </c>
      <c r="D1113" s="7" t="s">
        <v>4</v>
      </c>
      <c r="E1113" s="7" t="s">
        <v>18</v>
      </c>
      <c r="F1113" s="5">
        <v>137.44999999999999</v>
      </c>
      <c r="G1113" s="7" t="s">
        <v>1456</v>
      </c>
      <c r="H1113" s="7" t="s">
        <v>1455</v>
      </c>
      <c r="I1113" s="7" t="s">
        <v>2635</v>
      </c>
      <c r="K1113">
        <f>IF($A1113="","",IF(ISNUMBER($A1113),MONTH($A1113),MONTH(DATEVALUE($A1113))))</f>
        <v>6</v>
      </c>
    </row>
    <row r="1114" spans="1:11" ht="60" customHeight="1" x14ac:dyDescent="0.25">
      <c r="A1114" s="8" t="s">
        <v>1442</v>
      </c>
      <c r="B1114" s="8" t="s">
        <v>0</v>
      </c>
      <c r="C1114" s="8" t="s">
        <v>1457</v>
      </c>
      <c r="D1114" s="8" t="s">
        <v>4</v>
      </c>
      <c r="E1114" s="8" t="s">
        <v>18</v>
      </c>
      <c r="F1114" s="6">
        <v>80</v>
      </c>
      <c r="G1114" s="8" t="s">
        <v>1458</v>
      </c>
      <c r="H1114" s="8" t="s">
        <v>1457</v>
      </c>
      <c r="I1114" s="8" t="s">
        <v>2658</v>
      </c>
      <c r="K1114">
        <f>IF($A1114="","",IF(ISNUMBER($A1114),MONTH($A1114),MONTH(DATEVALUE($A1114))))</f>
        <v>6</v>
      </c>
    </row>
    <row r="1115" spans="1:11" ht="60" customHeight="1" x14ac:dyDescent="0.25">
      <c r="A1115" s="7" t="s">
        <v>1459</v>
      </c>
      <c r="B1115" s="7" t="s">
        <v>0</v>
      </c>
      <c r="C1115" s="7" t="s">
        <v>1096</v>
      </c>
      <c r="D1115" s="7" t="s">
        <v>4</v>
      </c>
      <c r="E1115" s="7" t="s">
        <v>18</v>
      </c>
      <c r="F1115" s="5">
        <v>-221.39</v>
      </c>
      <c r="G1115" s="7" t="s">
        <v>1101</v>
      </c>
      <c r="H1115" s="7" t="s">
        <v>1096</v>
      </c>
      <c r="I1115" s="7" t="s">
        <v>2647</v>
      </c>
      <c r="K1115">
        <f>IF($A1115="","",IF(ISNUMBER($A1115),MONTH($A1115),MONTH(DATEVALUE($A1115))))</f>
        <v>6</v>
      </c>
    </row>
    <row r="1116" spans="1:11" ht="60" customHeight="1" x14ac:dyDescent="0.25">
      <c r="A1116" s="8" t="s">
        <v>1459</v>
      </c>
      <c r="B1116" s="8" t="s">
        <v>0</v>
      </c>
      <c r="C1116" s="8" t="s">
        <v>1096</v>
      </c>
      <c r="D1116" s="8" t="s">
        <v>4</v>
      </c>
      <c r="E1116" s="8" t="s">
        <v>18</v>
      </c>
      <c r="F1116" s="6">
        <v>-139.76</v>
      </c>
      <c r="G1116" s="8" t="s">
        <v>1101</v>
      </c>
      <c r="H1116" s="8" t="s">
        <v>1096</v>
      </c>
      <c r="I1116" s="8" t="s">
        <v>2647</v>
      </c>
      <c r="K1116">
        <f>IF($A1116="","",IF(ISNUMBER($A1116),MONTH($A1116),MONTH(DATEVALUE($A1116))))</f>
        <v>6</v>
      </c>
    </row>
    <row r="1117" spans="1:11" ht="60" customHeight="1" x14ac:dyDescent="0.25">
      <c r="A1117" s="7" t="s">
        <v>1459</v>
      </c>
      <c r="B1117" s="7" t="s">
        <v>0</v>
      </c>
      <c r="C1117" s="7" t="s">
        <v>1102</v>
      </c>
      <c r="D1117" s="7" t="s">
        <v>4</v>
      </c>
      <c r="E1117" s="7" t="s">
        <v>18</v>
      </c>
      <c r="F1117" s="5">
        <v>139.76</v>
      </c>
      <c r="G1117" s="7" t="s">
        <v>1460</v>
      </c>
      <c r="H1117" s="7" t="s">
        <v>1096</v>
      </c>
      <c r="I1117" s="7" t="s">
        <v>2647</v>
      </c>
      <c r="K1117">
        <f>IF($A1117="","",IF(ISNUMBER($A1117),MONTH($A1117),MONTH(DATEVALUE($A1117))))</f>
        <v>6</v>
      </c>
    </row>
    <row r="1118" spans="1:11" ht="60" customHeight="1" x14ac:dyDescent="0.25">
      <c r="A1118" s="8" t="s">
        <v>1459</v>
      </c>
      <c r="B1118" s="8" t="s">
        <v>0</v>
      </c>
      <c r="C1118" s="8" t="s">
        <v>1102</v>
      </c>
      <c r="D1118" s="8" t="s">
        <v>4</v>
      </c>
      <c r="E1118" s="8" t="s">
        <v>18</v>
      </c>
      <c r="F1118" s="6">
        <v>221.39</v>
      </c>
      <c r="G1118" s="8" t="s">
        <v>1461</v>
      </c>
      <c r="H1118" s="8" t="s">
        <v>1096</v>
      </c>
      <c r="I1118" s="8" t="s">
        <v>2647</v>
      </c>
      <c r="K1118">
        <f>IF($A1118="","",IF(ISNUMBER($A1118),MONTH($A1118),MONTH(DATEVALUE($A1118))))</f>
        <v>6</v>
      </c>
    </row>
    <row r="1119" spans="1:11" ht="60" customHeight="1" x14ac:dyDescent="0.25">
      <c r="A1119" s="7" t="s">
        <v>1459</v>
      </c>
      <c r="B1119" s="7" t="s">
        <v>0</v>
      </c>
      <c r="C1119" s="7" t="s">
        <v>522</v>
      </c>
      <c r="D1119" s="7" t="s">
        <v>4</v>
      </c>
      <c r="E1119" s="7" t="s">
        <v>18</v>
      </c>
      <c r="F1119" s="5">
        <v>75.75</v>
      </c>
      <c r="G1119" s="7" t="s">
        <v>1462</v>
      </c>
      <c r="H1119" s="7" t="s">
        <v>522</v>
      </c>
      <c r="I1119" s="7" t="s">
        <v>2647</v>
      </c>
      <c r="K1119">
        <f>IF($A1119="","",IF(ISNUMBER($A1119),MONTH($A1119),MONTH(DATEVALUE($A1119))))</f>
        <v>6</v>
      </c>
    </row>
    <row r="1120" spans="1:11" ht="60" customHeight="1" x14ac:dyDescent="0.25">
      <c r="A1120" s="8" t="s">
        <v>1459</v>
      </c>
      <c r="B1120" s="8" t="s">
        <v>0</v>
      </c>
      <c r="C1120" s="8" t="s">
        <v>522</v>
      </c>
      <c r="D1120" s="8" t="s">
        <v>4</v>
      </c>
      <c r="E1120" s="8" t="s">
        <v>18</v>
      </c>
      <c r="F1120" s="6">
        <v>134.25</v>
      </c>
      <c r="G1120" s="8" t="s">
        <v>1463</v>
      </c>
      <c r="H1120" s="8" t="s">
        <v>522</v>
      </c>
      <c r="I1120" s="8" t="s">
        <v>2647</v>
      </c>
      <c r="K1120">
        <f>IF($A1120="","",IF(ISNUMBER($A1120),MONTH($A1120),MONTH(DATEVALUE($A1120))))</f>
        <v>6</v>
      </c>
    </row>
    <row r="1121" spans="1:11" ht="60" customHeight="1" x14ac:dyDescent="0.25">
      <c r="A1121" s="7" t="s">
        <v>1459</v>
      </c>
      <c r="B1121" s="7" t="s">
        <v>0</v>
      </c>
      <c r="C1121" s="7" t="s">
        <v>1019</v>
      </c>
      <c r="D1121" s="7" t="s">
        <v>4</v>
      </c>
      <c r="E1121" s="7" t="s">
        <v>18</v>
      </c>
      <c r="F1121" s="5">
        <v>-140</v>
      </c>
      <c r="G1121" s="7" t="s">
        <v>1020</v>
      </c>
      <c r="H1121" s="7" t="s">
        <v>1019</v>
      </c>
      <c r="I1121" s="7" t="s">
        <v>551</v>
      </c>
      <c r="K1121">
        <f>IF($A1121="","",IF(ISNUMBER($A1121),MONTH($A1121),MONTH(DATEVALUE($A1121))))</f>
        <v>6</v>
      </c>
    </row>
    <row r="1122" spans="1:11" ht="60" customHeight="1" x14ac:dyDescent="0.25">
      <c r="A1122" s="8" t="s">
        <v>1459</v>
      </c>
      <c r="B1122" s="8" t="s">
        <v>0</v>
      </c>
      <c r="C1122" s="8" t="s">
        <v>551</v>
      </c>
      <c r="D1122" s="8" t="s">
        <v>4</v>
      </c>
      <c r="E1122" s="8" t="s">
        <v>18</v>
      </c>
      <c r="F1122" s="6">
        <v>-558.48</v>
      </c>
      <c r="G1122" s="8" t="s">
        <v>552</v>
      </c>
      <c r="H1122" s="8" t="s">
        <v>551</v>
      </c>
      <c r="I1122" s="8" t="s">
        <v>551</v>
      </c>
      <c r="K1122">
        <f>IF($A1122="","",IF(ISNUMBER($A1122),MONTH($A1122),MONTH(DATEVALUE($A1122))))</f>
        <v>6</v>
      </c>
    </row>
    <row r="1123" spans="1:11" ht="60" customHeight="1" x14ac:dyDescent="0.25">
      <c r="A1123" s="7" t="s">
        <v>1459</v>
      </c>
      <c r="B1123" s="7" t="s">
        <v>0</v>
      </c>
      <c r="C1123" s="7" t="s">
        <v>551</v>
      </c>
      <c r="D1123" s="7" t="s">
        <v>4</v>
      </c>
      <c r="E1123" s="7" t="s">
        <v>18</v>
      </c>
      <c r="F1123" s="5">
        <v>-323.48</v>
      </c>
      <c r="G1123" s="7" t="s">
        <v>552</v>
      </c>
      <c r="H1123" s="7" t="s">
        <v>551</v>
      </c>
      <c r="I1123" s="7" t="s">
        <v>551</v>
      </c>
      <c r="K1123">
        <f>IF($A1123="","",IF(ISNUMBER($A1123),MONTH($A1123),MONTH(DATEVALUE($A1123))))</f>
        <v>6</v>
      </c>
    </row>
    <row r="1124" spans="1:11" ht="60" customHeight="1" x14ac:dyDescent="0.25">
      <c r="A1124" s="8" t="s">
        <v>1459</v>
      </c>
      <c r="B1124" s="8" t="s">
        <v>0</v>
      </c>
      <c r="C1124" s="8" t="s">
        <v>553</v>
      </c>
      <c r="D1124" s="8" t="s">
        <v>4</v>
      </c>
      <c r="E1124" s="8" t="s">
        <v>18</v>
      </c>
      <c r="F1124" s="6">
        <v>323.48</v>
      </c>
      <c r="G1124" s="8" t="s">
        <v>1464</v>
      </c>
      <c r="H1124" s="8" t="s">
        <v>553</v>
      </c>
      <c r="I1124" s="8" t="s">
        <v>2658</v>
      </c>
      <c r="K1124">
        <f>IF($A1124="","",IF(ISNUMBER($A1124),MONTH($A1124),MONTH(DATEVALUE($A1124))))</f>
        <v>6</v>
      </c>
    </row>
    <row r="1125" spans="1:11" ht="60" customHeight="1" x14ac:dyDescent="0.25">
      <c r="A1125" s="7" t="s">
        <v>1459</v>
      </c>
      <c r="B1125" s="7" t="s">
        <v>0</v>
      </c>
      <c r="C1125" s="7" t="s">
        <v>553</v>
      </c>
      <c r="D1125" s="7" t="s">
        <v>4</v>
      </c>
      <c r="E1125" s="7" t="s">
        <v>18</v>
      </c>
      <c r="F1125" s="5">
        <v>558.48</v>
      </c>
      <c r="G1125" s="7" t="s">
        <v>1465</v>
      </c>
      <c r="H1125" s="7" t="s">
        <v>553</v>
      </c>
      <c r="I1125" s="7" t="s">
        <v>2658</v>
      </c>
      <c r="K1125">
        <f>IF($A1125="","",IF(ISNUMBER($A1125),MONTH($A1125),MONTH(DATEVALUE($A1125))))</f>
        <v>6</v>
      </c>
    </row>
    <row r="1126" spans="1:11" ht="60" customHeight="1" x14ac:dyDescent="0.25">
      <c r="A1126" s="8" t="s">
        <v>1459</v>
      </c>
      <c r="B1126" s="8" t="s">
        <v>0</v>
      </c>
      <c r="C1126" s="8" t="s">
        <v>1021</v>
      </c>
      <c r="D1126" s="8" t="s">
        <v>4</v>
      </c>
      <c r="E1126" s="8" t="s">
        <v>18</v>
      </c>
      <c r="F1126" s="6">
        <v>258.42</v>
      </c>
      <c r="G1126" s="8" t="s">
        <v>1466</v>
      </c>
      <c r="H1126" s="8" t="s">
        <v>1021</v>
      </c>
      <c r="I1126" s="8" t="s">
        <v>2658</v>
      </c>
      <c r="K1126">
        <f>IF($A1126="","",IF(ISNUMBER($A1126),MONTH($A1126),MONTH(DATEVALUE($A1126))))</f>
        <v>6</v>
      </c>
    </row>
    <row r="1127" spans="1:11" ht="60" customHeight="1" x14ac:dyDescent="0.25">
      <c r="A1127" s="7" t="s">
        <v>1467</v>
      </c>
      <c r="B1127" s="7" t="s">
        <v>0</v>
      </c>
      <c r="C1127" s="7" t="s">
        <v>217</v>
      </c>
      <c r="D1127" s="7" t="s">
        <v>4</v>
      </c>
      <c r="E1127" s="7" t="s">
        <v>18</v>
      </c>
      <c r="F1127" s="5">
        <v>119.52</v>
      </c>
      <c r="G1127" s="7" t="s">
        <v>1468</v>
      </c>
      <c r="H1127" s="7" t="s">
        <v>217</v>
      </c>
      <c r="I1127" s="7" t="s">
        <v>2632</v>
      </c>
      <c r="K1127">
        <f>IF($A1127="","",IF(ISNUMBER($A1127),MONTH($A1127),MONTH(DATEVALUE($A1127))))</f>
        <v>6</v>
      </c>
    </row>
    <row r="1128" spans="1:11" ht="60" customHeight="1" x14ac:dyDescent="0.25">
      <c r="A1128" s="8" t="s">
        <v>1467</v>
      </c>
      <c r="B1128" s="8" t="s">
        <v>0</v>
      </c>
      <c r="C1128" s="8" t="s">
        <v>214</v>
      </c>
      <c r="D1128" s="8" t="s">
        <v>4</v>
      </c>
      <c r="E1128" s="8" t="s">
        <v>18</v>
      </c>
      <c r="F1128" s="6">
        <v>11.25</v>
      </c>
      <c r="G1128" s="8" t="s">
        <v>1469</v>
      </c>
      <c r="H1128" s="8" t="s">
        <v>214</v>
      </c>
      <c r="I1128" s="8" t="s">
        <v>2633</v>
      </c>
      <c r="K1128">
        <f>IF($A1128="","",IF(ISNUMBER($A1128),MONTH($A1128),MONTH(DATEVALUE($A1128))))</f>
        <v>6</v>
      </c>
    </row>
    <row r="1129" spans="1:11" ht="60" customHeight="1" x14ac:dyDescent="0.25">
      <c r="A1129" s="7" t="s">
        <v>1467</v>
      </c>
      <c r="B1129" s="7" t="s">
        <v>0</v>
      </c>
      <c r="C1129" s="7" t="s">
        <v>1096</v>
      </c>
      <c r="D1129" s="7" t="s">
        <v>4</v>
      </c>
      <c r="E1129" s="7" t="s">
        <v>18</v>
      </c>
      <c r="F1129" s="5">
        <v>-59.17</v>
      </c>
      <c r="G1129" s="7" t="s">
        <v>1101</v>
      </c>
      <c r="H1129" s="7" t="s">
        <v>1096</v>
      </c>
      <c r="I1129" s="7" t="s">
        <v>2647</v>
      </c>
      <c r="K1129">
        <f>IF($A1129="","",IF(ISNUMBER($A1129),MONTH($A1129),MONTH(DATEVALUE($A1129))))</f>
        <v>6</v>
      </c>
    </row>
    <row r="1130" spans="1:11" ht="60" customHeight="1" x14ac:dyDescent="0.25">
      <c r="A1130" s="8" t="s">
        <v>1467</v>
      </c>
      <c r="B1130" s="8" t="s">
        <v>0</v>
      </c>
      <c r="C1130" s="8" t="s">
        <v>1096</v>
      </c>
      <c r="D1130" s="8" t="s">
        <v>4</v>
      </c>
      <c r="E1130" s="8" t="s">
        <v>18</v>
      </c>
      <c r="F1130" s="6">
        <v>-32.42</v>
      </c>
      <c r="G1130" s="8" t="s">
        <v>1101</v>
      </c>
      <c r="H1130" s="8" t="s">
        <v>1096</v>
      </c>
      <c r="I1130" s="8" t="s">
        <v>2647</v>
      </c>
      <c r="K1130">
        <f>IF($A1130="","",IF(ISNUMBER($A1130),MONTH($A1130),MONTH(DATEVALUE($A1130))))</f>
        <v>6</v>
      </c>
    </row>
    <row r="1131" spans="1:11" ht="60" customHeight="1" x14ac:dyDescent="0.25">
      <c r="A1131" s="7" t="s">
        <v>1467</v>
      </c>
      <c r="B1131" s="7" t="s">
        <v>0</v>
      </c>
      <c r="C1131" s="7" t="s">
        <v>1102</v>
      </c>
      <c r="D1131" s="7" t="s">
        <v>4</v>
      </c>
      <c r="E1131" s="7" t="s">
        <v>18</v>
      </c>
      <c r="F1131" s="5">
        <v>32.42</v>
      </c>
      <c r="G1131" s="7" t="s">
        <v>1470</v>
      </c>
      <c r="H1131" s="7" t="s">
        <v>1096</v>
      </c>
      <c r="I1131" s="7" t="s">
        <v>2647</v>
      </c>
      <c r="K1131">
        <f>IF($A1131="","",IF(ISNUMBER($A1131),MONTH($A1131),MONTH(DATEVALUE($A1131))))</f>
        <v>6</v>
      </c>
    </row>
    <row r="1132" spans="1:11" ht="60" customHeight="1" x14ac:dyDescent="0.25">
      <c r="A1132" s="8" t="s">
        <v>1467</v>
      </c>
      <c r="B1132" s="8" t="s">
        <v>0</v>
      </c>
      <c r="C1132" s="8" t="s">
        <v>1102</v>
      </c>
      <c r="D1132" s="8" t="s">
        <v>4</v>
      </c>
      <c r="E1132" s="8" t="s">
        <v>18</v>
      </c>
      <c r="F1132" s="6">
        <v>59.17</v>
      </c>
      <c r="G1132" s="8" t="s">
        <v>1471</v>
      </c>
      <c r="H1132" s="8" t="s">
        <v>1096</v>
      </c>
      <c r="I1132" s="8" t="s">
        <v>2647</v>
      </c>
      <c r="K1132">
        <f>IF($A1132="","",IF(ISNUMBER($A1132),MONTH($A1132),MONTH(DATEVALUE($A1132))))</f>
        <v>6</v>
      </c>
    </row>
    <row r="1133" spans="1:11" ht="60" customHeight="1" x14ac:dyDescent="0.25">
      <c r="A1133" s="7" t="s">
        <v>1467</v>
      </c>
      <c r="B1133" s="7" t="s">
        <v>0</v>
      </c>
      <c r="C1133" s="7" t="s">
        <v>522</v>
      </c>
      <c r="D1133" s="7" t="s">
        <v>4</v>
      </c>
      <c r="E1133" s="7" t="s">
        <v>18</v>
      </c>
      <c r="F1133" s="5">
        <v>33.81</v>
      </c>
      <c r="G1133" s="7" t="s">
        <v>1472</v>
      </c>
      <c r="H1133" s="7" t="s">
        <v>522</v>
      </c>
      <c r="I1133" s="7" t="s">
        <v>2647</v>
      </c>
      <c r="K1133">
        <f>IF($A1133="","",IF(ISNUMBER($A1133),MONTH($A1133),MONTH(DATEVALUE($A1133))))</f>
        <v>6</v>
      </c>
    </row>
    <row r="1134" spans="1:11" ht="60" customHeight="1" x14ac:dyDescent="0.25">
      <c r="A1134" s="8" t="s">
        <v>1467</v>
      </c>
      <c r="B1134" s="8" t="s">
        <v>0</v>
      </c>
      <c r="C1134" s="8" t="s">
        <v>1473</v>
      </c>
      <c r="D1134" s="8" t="s">
        <v>4</v>
      </c>
      <c r="E1134" s="8" t="s">
        <v>18</v>
      </c>
      <c r="F1134" s="6">
        <v>30.97</v>
      </c>
      <c r="G1134" s="8" t="s">
        <v>1474</v>
      </c>
      <c r="H1134" s="8" t="s">
        <v>1473</v>
      </c>
      <c r="I1134" s="8" t="s">
        <v>2627</v>
      </c>
      <c r="K1134">
        <f>IF($A1134="","",IF(ISNUMBER($A1134),MONTH($A1134),MONTH(DATEVALUE($A1134))))</f>
        <v>6</v>
      </c>
    </row>
    <row r="1135" spans="1:11" ht="60" customHeight="1" x14ac:dyDescent="0.25">
      <c r="A1135" s="7" t="s">
        <v>1467</v>
      </c>
      <c r="B1135" s="7" t="s">
        <v>0</v>
      </c>
      <c r="C1135" s="7" t="s">
        <v>1475</v>
      </c>
      <c r="D1135" s="7" t="s">
        <v>4</v>
      </c>
      <c r="E1135" s="7" t="s">
        <v>18</v>
      </c>
      <c r="F1135" s="5">
        <v>129.51</v>
      </c>
      <c r="G1135" s="7" t="s">
        <v>1476</v>
      </c>
      <c r="H1135" s="7" t="s">
        <v>1475</v>
      </c>
      <c r="I1135" s="7" t="s">
        <v>2639</v>
      </c>
      <c r="K1135">
        <f>IF($A1135="","",IF(ISNUMBER($A1135),MONTH($A1135),MONTH(DATEVALUE($A1135))))</f>
        <v>6</v>
      </c>
    </row>
    <row r="1136" spans="1:11" ht="60" customHeight="1" x14ac:dyDescent="0.25">
      <c r="A1136" s="8" t="s">
        <v>1467</v>
      </c>
      <c r="B1136" s="8" t="s">
        <v>0</v>
      </c>
      <c r="C1136" s="8" t="s">
        <v>221</v>
      </c>
      <c r="D1136" s="8" t="s">
        <v>4</v>
      </c>
      <c r="E1136" s="8" t="s">
        <v>18</v>
      </c>
      <c r="F1136" s="6">
        <v>20</v>
      </c>
      <c r="G1136" s="8" t="s">
        <v>1477</v>
      </c>
      <c r="H1136" s="8" t="s">
        <v>221</v>
      </c>
      <c r="I1136" s="8" t="s">
        <v>2630</v>
      </c>
      <c r="K1136">
        <f>IF($A1136="","",IF(ISNUMBER($A1136),MONTH($A1136),MONTH(DATEVALUE($A1136))))</f>
        <v>6</v>
      </c>
    </row>
    <row r="1137" spans="1:11" ht="60" customHeight="1" x14ac:dyDescent="0.25">
      <c r="A1137" s="7" t="s">
        <v>1467</v>
      </c>
      <c r="B1137" s="7" t="s">
        <v>0</v>
      </c>
      <c r="C1137" s="7" t="s">
        <v>1478</v>
      </c>
      <c r="D1137" s="7" t="s">
        <v>4</v>
      </c>
      <c r="E1137" s="7" t="s">
        <v>18</v>
      </c>
      <c r="F1137" s="5">
        <v>82.32</v>
      </c>
      <c r="G1137" s="7" t="s">
        <v>1479</v>
      </c>
      <c r="H1137" s="7" t="s">
        <v>1478</v>
      </c>
      <c r="I1137" s="7" t="s">
        <v>2639</v>
      </c>
      <c r="K1137">
        <f>IF($A1137="","",IF(ISNUMBER($A1137),MONTH($A1137),MONTH(DATEVALUE($A1137))))</f>
        <v>6</v>
      </c>
    </row>
    <row r="1138" spans="1:11" ht="60" customHeight="1" x14ac:dyDescent="0.25">
      <c r="A1138" s="8" t="s">
        <v>1467</v>
      </c>
      <c r="B1138" s="8" t="s">
        <v>0</v>
      </c>
      <c r="C1138" s="8" t="s">
        <v>63</v>
      </c>
      <c r="D1138" s="8" t="s">
        <v>4</v>
      </c>
      <c r="E1138" s="8" t="s">
        <v>18</v>
      </c>
      <c r="F1138" s="6">
        <v>22.02</v>
      </c>
      <c r="G1138" s="8" t="s">
        <v>1480</v>
      </c>
      <c r="H1138" s="8" t="s">
        <v>63</v>
      </c>
      <c r="I1138" s="8" t="s">
        <v>2633</v>
      </c>
      <c r="K1138">
        <f>IF($A1138="","",IF(ISNUMBER($A1138),MONTH($A1138),MONTH(DATEVALUE($A1138))))</f>
        <v>6</v>
      </c>
    </row>
    <row r="1139" spans="1:11" ht="60" customHeight="1" x14ac:dyDescent="0.25">
      <c r="A1139" s="7" t="s">
        <v>1481</v>
      </c>
      <c r="B1139" s="7" t="s">
        <v>0</v>
      </c>
      <c r="C1139" s="7" t="s">
        <v>522</v>
      </c>
      <c r="D1139" s="7" t="s">
        <v>4</v>
      </c>
      <c r="E1139" s="7" t="s">
        <v>18</v>
      </c>
      <c r="F1139" s="5">
        <v>69.39</v>
      </c>
      <c r="G1139" s="7" t="s">
        <v>1482</v>
      </c>
      <c r="H1139" s="7" t="s">
        <v>522</v>
      </c>
      <c r="I1139" s="7" t="s">
        <v>2647</v>
      </c>
      <c r="K1139">
        <f>IF($A1139="","",IF(ISNUMBER($A1139),MONTH($A1139),MONTH(DATEVALUE($A1139))))</f>
        <v>5</v>
      </c>
    </row>
    <row r="1140" spans="1:11" ht="60" customHeight="1" x14ac:dyDescent="0.25">
      <c r="A1140" s="8" t="s">
        <v>1481</v>
      </c>
      <c r="B1140" s="8" t="s">
        <v>0</v>
      </c>
      <c r="C1140" s="8" t="s">
        <v>22</v>
      </c>
      <c r="D1140" s="8" t="s">
        <v>4</v>
      </c>
      <c r="E1140" s="8" t="s">
        <v>18</v>
      </c>
      <c r="F1140" s="6">
        <v>169.95</v>
      </c>
      <c r="G1140" s="8" t="s">
        <v>1483</v>
      </c>
      <c r="H1140" s="8" t="s">
        <v>22</v>
      </c>
      <c r="I1140" s="8" t="s">
        <v>2626</v>
      </c>
      <c r="K1140">
        <f>IF($A1140="","",IF(ISNUMBER($A1140),MONTH($A1140),MONTH(DATEVALUE($A1140))))</f>
        <v>5</v>
      </c>
    </row>
    <row r="1141" spans="1:11" ht="60" customHeight="1" x14ac:dyDescent="0.25">
      <c r="A1141" s="7" t="s">
        <v>1484</v>
      </c>
      <c r="B1141" s="7" t="s">
        <v>0</v>
      </c>
      <c r="C1141" s="7" t="s">
        <v>1096</v>
      </c>
      <c r="D1141" s="7" t="s">
        <v>4</v>
      </c>
      <c r="E1141" s="7" t="s">
        <v>18</v>
      </c>
      <c r="F1141" s="5">
        <v>-638.12</v>
      </c>
      <c r="G1141" s="7" t="s">
        <v>1101</v>
      </c>
      <c r="H1141" s="7" t="s">
        <v>1096</v>
      </c>
      <c r="I1141" s="7" t="s">
        <v>2647</v>
      </c>
      <c r="K1141">
        <f>IF($A1141="","",IF(ISNUMBER($A1141),MONTH($A1141),MONTH(DATEVALUE($A1141))))</f>
        <v>5</v>
      </c>
    </row>
    <row r="1142" spans="1:11" ht="60" customHeight="1" x14ac:dyDescent="0.25">
      <c r="A1142" s="8" t="s">
        <v>1484</v>
      </c>
      <c r="B1142" s="8" t="s">
        <v>0</v>
      </c>
      <c r="C1142" s="8" t="s">
        <v>1102</v>
      </c>
      <c r="D1142" s="8" t="s">
        <v>4</v>
      </c>
      <c r="E1142" s="8" t="s">
        <v>18</v>
      </c>
      <c r="F1142" s="6">
        <v>638.12</v>
      </c>
      <c r="G1142" s="8" t="s">
        <v>1485</v>
      </c>
      <c r="H1142" s="8" t="s">
        <v>1096</v>
      </c>
      <c r="I1142" s="8" t="s">
        <v>2647</v>
      </c>
      <c r="K1142">
        <f>IF($A1142="","",IF(ISNUMBER($A1142),MONTH($A1142),MONTH(DATEVALUE($A1142))))</f>
        <v>5</v>
      </c>
    </row>
    <row r="1143" spans="1:11" ht="60" customHeight="1" x14ac:dyDescent="0.25">
      <c r="A1143" s="7" t="s">
        <v>1484</v>
      </c>
      <c r="B1143" s="7" t="s">
        <v>0</v>
      </c>
      <c r="C1143" s="7" t="s">
        <v>282</v>
      </c>
      <c r="D1143" s="7" t="s">
        <v>4</v>
      </c>
      <c r="E1143" s="7" t="s">
        <v>18</v>
      </c>
      <c r="F1143" s="5">
        <v>167</v>
      </c>
      <c r="G1143" s="7" t="s">
        <v>1486</v>
      </c>
      <c r="H1143" s="7" t="s">
        <v>282</v>
      </c>
      <c r="I1143" s="7" t="s">
        <v>2633</v>
      </c>
      <c r="K1143">
        <f>IF($A1143="","",IF(ISNUMBER($A1143),MONTH($A1143),MONTH(DATEVALUE($A1143))))</f>
        <v>5</v>
      </c>
    </row>
    <row r="1144" spans="1:11" ht="60" customHeight="1" x14ac:dyDescent="0.25">
      <c r="A1144" s="8" t="s">
        <v>1484</v>
      </c>
      <c r="B1144" s="8" t="s">
        <v>0</v>
      </c>
      <c r="C1144" s="8" t="s">
        <v>1487</v>
      </c>
      <c r="D1144" s="8" t="s">
        <v>4</v>
      </c>
      <c r="E1144" s="8" t="s">
        <v>18</v>
      </c>
      <c r="F1144" s="6">
        <v>160.5</v>
      </c>
      <c r="G1144" s="8" t="s">
        <v>1488</v>
      </c>
      <c r="H1144" s="8" t="s">
        <v>1487</v>
      </c>
      <c r="I1144" s="8" t="s">
        <v>2635</v>
      </c>
      <c r="K1144">
        <f>IF($A1144="","",IF(ISNUMBER($A1144),MONTH($A1144),MONTH(DATEVALUE($A1144))))</f>
        <v>5</v>
      </c>
    </row>
    <row r="1145" spans="1:11" ht="60" customHeight="1" x14ac:dyDescent="0.25">
      <c r="A1145" s="7" t="s">
        <v>1489</v>
      </c>
      <c r="B1145" s="7" t="s">
        <v>0</v>
      </c>
      <c r="C1145" s="7" t="s">
        <v>1443</v>
      </c>
      <c r="D1145" s="7" t="s">
        <v>4</v>
      </c>
      <c r="E1145" s="7" t="s">
        <v>18</v>
      </c>
      <c r="F1145" s="5">
        <v>9.73</v>
      </c>
      <c r="G1145" s="7" t="s">
        <v>1490</v>
      </c>
      <c r="H1145" s="7" t="s">
        <v>1443</v>
      </c>
      <c r="I1145" s="7" t="s">
        <v>2659</v>
      </c>
      <c r="K1145">
        <f>IF($A1145="","",IF(ISNUMBER($A1145),MONTH($A1145),MONTH(DATEVALUE($A1145))))</f>
        <v>5</v>
      </c>
    </row>
    <row r="1146" spans="1:11" ht="60" customHeight="1" x14ac:dyDescent="0.25">
      <c r="A1146" s="8" t="s">
        <v>1489</v>
      </c>
      <c r="B1146" s="8" t="s">
        <v>0</v>
      </c>
      <c r="C1146" s="8" t="s">
        <v>522</v>
      </c>
      <c r="D1146" s="8" t="s">
        <v>4</v>
      </c>
      <c r="E1146" s="8" t="s">
        <v>18</v>
      </c>
      <c r="F1146" s="6">
        <v>42.63</v>
      </c>
      <c r="G1146" s="8" t="s">
        <v>1491</v>
      </c>
      <c r="H1146" s="8" t="s">
        <v>522</v>
      </c>
      <c r="I1146" s="8" t="s">
        <v>2647</v>
      </c>
      <c r="K1146">
        <f>IF($A1146="","",IF(ISNUMBER($A1146),MONTH($A1146),MONTH(DATEVALUE($A1146))))</f>
        <v>5</v>
      </c>
    </row>
    <row r="1147" spans="1:11" ht="60" customHeight="1" x14ac:dyDescent="0.25">
      <c r="A1147" s="7" t="s">
        <v>1489</v>
      </c>
      <c r="B1147" s="7" t="s">
        <v>227</v>
      </c>
      <c r="C1147" s="7" t="s">
        <v>1492</v>
      </c>
      <c r="D1147" s="7" t="s">
        <v>4</v>
      </c>
      <c r="E1147" s="7" t="s">
        <v>18</v>
      </c>
      <c r="F1147" s="5">
        <v>46.71</v>
      </c>
      <c r="G1147" s="7" t="s">
        <v>1493</v>
      </c>
      <c r="H1147" s="7" t="s">
        <v>1492</v>
      </c>
      <c r="I1147" s="7" t="s">
        <v>2659</v>
      </c>
      <c r="K1147">
        <f>IF($A1147="","",IF(ISNUMBER($A1147),MONTH($A1147),MONTH(DATEVALUE($A1147))))</f>
        <v>5</v>
      </c>
    </row>
    <row r="1148" spans="1:11" ht="60" customHeight="1" x14ac:dyDescent="0.25">
      <c r="A1148" s="8" t="s">
        <v>1489</v>
      </c>
      <c r="B1148" s="8" t="s">
        <v>0</v>
      </c>
      <c r="C1148" s="8" t="s">
        <v>1494</v>
      </c>
      <c r="D1148" s="8" t="s">
        <v>4</v>
      </c>
      <c r="E1148" s="8" t="s">
        <v>18</v>
      </c>
      <c r="F1148" s="6">
        <v>48.82</v>
      </c>
      <c r="G1148" s="8" t="s">
        <v>1495</v>
      </c>
      <c r="H1148" s="8" t="s">
        <v>1494</v>
      </c>
      <c r="I1148" s="7" t="s">
        <v>2659</v>
      </c>
      <c r="K1148">
        <f>IF($A1148="","",IF(ISNUMBER($A1148),MONTH($A1148),MONTH(DATEVALUE($A1148))))</f>
        <v>5</v>
      </c>
    </row>
    <row r="1149" spans="1:11" ht="60" customHeight="1" x14ac:dyDescent="0.25">
      <c r="A1149" s="7" t="s">
        <v>1489</v>
      </c>
      <c r="B1149" s="7" t="s">
        <v>0</v>
      </c>
      <c r="C1149" s="7" t="s">
        <v>1496</v>
      </c>
      <c r="D1149" s="7" t="s">
        <v>4</v>
      </c>
      <c r="E1149" s="7" t="s">
        <v>18</v>
      </c>
      <c r="F1149" s="5">
        <v>21.83</v>
      </c>
      <c r="G1149" s="7" t="s">
        <v>1497</v>
      </c>
      <c r="H1149" s="7" t="s">
        <v>1496</v>
      </c>
      <c r="I1149" s="7" t="s">
        <v>2659</v>
      </c>
      <c r="K1149">
        <f>IF($A1149="","",IF(ISNUMBER($A1149),MONTH($A1149),MONTH(DATEVALUE($A1149))))</f>
        <v>5</v>
      </c>
    </row>
    <row r="1150" spans="1:11" ht="60" customHeight="1" x14ac:dyDescent="0.25">
      <c r="A1150" s="8" t="s">
        <v>1489</v>
      </c>
      <c r="B1150" s="8" t="s">
        <v>0</v>
      </c>
      <c r="C1150" s="8" t="s">
        <v>27</v>
      </c>
      <c r="D1150" s="8" t="s">
        <v>4</v>
      </c>
      <c r="E1150" s="8" t="s">
        <v>18</v>
      </c>
      <c r="F1150" s="6">
        <v>20</v>
      </c>
      <c r="G1150" s="8" t="s">
        <v>1498</v>
      </c>
      <c r="H1150" s="8" t="s">
        <v>27</v>
      </c>
      <c r="I1150" s="8" t="s">
        <v>2628</v>
      </c>
      <c r="K1150">
        <f>IF($A1150="","",IF(ISNUMBER($A1150),MONTH($A1150),MONTH(DATEVALUE($A1150))))</f>
        <v>5</v>
      </c>
    </row>
    <row r="1151" spans="1:11" ht="60" customHeight="1" x14ac:dyDescent="0.25">
      <c r="A1151" s="7" t="s">
        <v>1489</v>
      </c>
      <c r="B1151" s="7" t="s">
        <v>0</v>
      </c>
      <c r="C1151" s="7" t="s">
        <v>1499</v>
      </c>
      <c r="D1151" s="7" t="s">
        <v>4</v>
      </c>
      <c r="E1151" s="7" t="s">
        <v>18</v>
      </c>
      <c r="F1151" s="5">
        <v>45.75</v>
      </c>
      <c r="G1151" s="7" t="s">
        <v>1500</v>
      </c>
      <c r="H1151" s="7" t="s">
        <v>1499</v>
      </c>
      <c r="I1151" s="7" t="s">
        <v>2659</v>
      </c>
      <c r="K1151">
        <f>IF($A1151="","",IF(ISNUMBER($A1151),MONTH($A1151),MONTH(DATEVALUE($A1151))))</f>
        <v>5</v>
      </c>
    </row>
    <row r="1152" spans="1:11" ht="60" customHeight="1" x14ac:dyDescent="0.25">
      <c r="A1152" s="8" t="s">
        <v>1489</v>
      </c>
      <c r="B1152" s="8" t="s">
        <v>0</v>
      </c>
      <c r="C1152" s="8" t="s">
        <v>1501</v>
      </c>
      <c r="D1152" s="8" t="s">
        <v>4</v>
      </c>
      <c r="E1152" s="8" t="s">
        <v>18</v>
      </c>
      <c r="F1152" s="6">
        <v>24.99</v>
      </c>
      <c r="G1152" s="8" t="s">
        <v>1502</v>
      </c>
      <c r="H1152" s="8" t="s">
        <v>1501</v>
      </c>
      <c r="I1152" s="7" t="s">
        <v>2659</v>
      </c>
      <c r="K1152">
        <f>IF($A1152="","",IF(ISNUMBER($A1152),MONTH($A1152),MONTH(DATEVALUE($A1152))))</f>
        <v>5</v>
      </c>
    </row>
    <row r="1153" spans="1:11" ht="60" customHeight="1" x14ac:dyDescent="0.25">
      <c r="A1153" s="7" t="s">
        <v>1503</v>
      </c>
      <c r="B1153" s="7" t="s">
        <v>0</v>
      </c>
      <c r="C1153" s="7" t="s">
        <v>1096</v>
      </c>
      <c r="D1153" s="7" t="s">
        <v>4</v>
      </c>
      <c r="E1153" s="7" t="s">
        <v>18</v>
      </c>
      <c r="F1153" s="5">
        <v>-227.3</v>
      </c>
      <c r="G1153" s="7" t="s">
        <v>1101</v>
      </c>
      <c r="H1153" s="7" t="s">
        <v>1096</v>
      </c>
      <c r="I1153" s="7" t="s">
        <v>2647</v>
      </c>
      <c r="K1153">
        <f>IF($A1153="","",IF(ISNUMBER($A1153),MONTH($A1153),MONTH(DATEVALUE($A1153))))</f>
        <v>5</v>
      </c>
    </row>
    <row r="1154" spans="1:11" ht="60" customHeight="1" x14ac:dyDescent="0.25">
      <c r="A1154" s="8" t="s">
        <v>1503</v>
      </c>
      <c r="B1154" s="8" t="s">
        <v>0</v>
      </c>
      <c r="C1154" s="8" t="s">
        <v>1096</v>
      </c>
      <c r="D1154" s="8" t="s">
        <v>4</v>
      </c>
      <c r="E1154" s="8" t="s">
        <v>18</v>
      </c>
      <c r="F1154" s="6">
        <v>-197.28</v>
      </c>
      <c r="G1154" s="8" t="s">
        <v>1101</v>
      </c>
      <c r="H1154" s="8" t="s">
        <v>1096</v>
      </c>
      <c r="I1154" s="8" t="s">
        <v>2647</v>
      </c>
      <c r="K1154">
        <f>IF($A1154="","",IF(ISNUMBER($A1154),MONTH($A1154),MONTH(DATEVALUE($A1154))))</f>
        <v>5</v>
      </c>
    </row>
    <row r="1155" spans="1:11" ht="60" customHeight="1" x14ac:dyDescent="0.25">
      <c r="A1155" s="7" t="s">
        <v>1503</v>
      </c>
      <c r="B1155" s="7" t="s">
        <v>0</v>
      </c>
      <c r="C1155" s="7" t="s">
        <v>1102</v>
      </c>
      <c r="D1155" s="7" t="s">
        <v>4</v>
      </c>
      <c r="E1155" s="7" t="s">
        <v>18</v>
      </c>
      <c r="F1155" s="5">
        <v>197.28</v>
      </c>
      <c r="G1155" s="7" t="s">
        <v>1504</v>
      </c>
      <c r="H1155" s="7" t="s">
        <v>1096</v>
      </c>
      <c r="I1155" s="7" t="s">
        <v>2647</v>
      </c>
      <c r="K1155">
        <f>IF($A1155="","",IF(ISNUMBER($A1155),MONTH($A1155),MONTH(DATEVALUE($A1155))))</f>
        <v>5</v>
      </c>
    </row>
    <row r="1156" spans="1:11" ht="60" customHeight="1" x14ac:dyDescent="0.25">
      <c r="A1156" s="8" t="s">
        <v>1503</v>
      </c>
      <c r="B1156" s="8" t="s">
        <v>0</v>
      </c>
      <c r="C1156" s="8" t="s">
        <v>1102</v>
      </c>
      <c r="D1156" s="8" t="s">
        <v>4</v>
      </c>
      <c r="E1156" s="8" t="s">
        <v>18</v>
      </c>
      <c r="F1156" s="6">
        <v>227.3</v>
      </c>
      <c r="G1156" s="8" t="s">
        <v>1505</v>
      </c>
      <c r="H1156" s="8" t="s">
        <v>1096</v>
      </c>
      <c r="I1156" s="8" t="s">
        <v>2647</v>
      </c>
      <c r="K1156">
        <f>IF($A1156="","",IF(ISNUMBER($A1156),MONTH($A1156),MONTH(DATEVALUE($A1156))))</f>
        <v>5</v>
      </c>
    </row>
    <row r="1157" spans="1:11" ht="60" customHeight="1" x14ac:dyDescent="0.25">
      <c r="A1157" s="7" t="s">
        <v>1503</v>
      </c>
      <c r="B1157" s="7" t="s">
        <v>0</v>
      </c>
      <c r="C1157" s="7" t="s">
        <v>1506</v>
      </c>
      <c r="D1157" s="7" t="s">
        <v>4</v>
      </c>
      <c r="E1157" s="7" t="s">
        <v>18</v>
      </c>
      <c r="F1157" s="5">
        <v>30</v>
      </c>
      <c r="G1157" s="7" t="s">
        <v>1507</v>
      </c>
      <c r="H1157" s="7" t="s">
        <v>1506</v>
      </c>
      <c r="I1157" s="7" t="s">
        <v>2659</v>
      </c>
      <c r="K1157">
        <f>IF($A1157="","",IF(ISNUMBER($A1157),MONTH($A1157),MONTH(DATEVALUE($A1157))))</f>
        <v>5</v>
      </c>
    </row>
    <row r="1158" spans="1:11" ht="60" customHeight="1" x14ac:dyDescent="0.25">
      <c r="A1158" s="8" t="s">
        <v>1503</v>
      </c>
      <c r="B1158" s="8" t="s">
        <v>0</v>
      </c>
      <c r="C1158" s="8" t="s">
        <v>1508</v>
      </c>
      <c r="D1158" s="8" t="s">
        <v>4</v>
      </c>
      <c r="E1158" s="8" t="s">
        <v>18</v>
      </c>
      <c r="F1158" s="6">
        <v>47.88</v>
      </c>
      <c r="G1158" s="8" t="s">
        <v>1509</v>
      </c>
      <c r="H1158" s="8" t="s">
        <v>1508</v>
      </c>
      <c r="I1158" s="8" t="s">
        <v>2627</v>
      </c>
      <c r="K1158">
        <f>IF($A1158="","",IF(ISNUMBER($A1158),MONTH($A1158),MONTH(DATEVALUE($A1158))))</f>
        <v>5</v>
      </c>
    </row>
    <row r="1159" spans="1:11" ht="60" customHeight="1" x14ac:dyDescent="0.25">
      <c r="A1159" s="7" t="s">
        <v>1503</v>
      </c>
      <c r="B1159" s="7" t="s">
        <v>0</v>
      </c>
      <c r="C1159" s="7" t="s">
        <v>1510</v>
      </c>
      <c r="D1159" s="7" t="s">
        <v>4</v>
      </c>
      <c r="E1159" s="7" t="s">
        <v>18</v>
      </c>
      <c r="F1159" s="5">
        <v>8.6999999999999993</v>
      </c>
      <c r="G1159" s="7" t="s">
        <v>1511</v>
      </c>
      <c r="H1159" s="7" t="s">
        <v>1510</v>
      </c>
      <c r="I1159" s="7" t="s">
        <v>2633</v>
      </c>
      <c r="K1159">
        <f>IF($A1159="","",IF(ISNUMBER($A1159),MONTH($A1159),MONTH(DATEVALUE($A1159))))</f>
        <v>5</v>
      </c>
    </row>
    <row r="1160" spans="1:11" ht="60" customHeight="1" x14ac:dyDescent="0.25">
      <c r="A1160" s="8" t="s">
        <v>1503</v>
      </c>
      <c r="B1160" s="8" t="s">
        <v>0</v>
      </c>
      <c r="C1160" s="8" t="s">
        <v>1512</v>
      </c>
      <c r="D1160" s="8" t="s">
        <v>4</v>
      </c>
      <c r="E1160" s="8" t="s">
        <v>18</v>
      </c>
      <c r="F1160" s="6">
        <v>15.63</v>
      </c>
      <c r="G1160" s="8" t="s">
        <v>1513</v>
      </c>
      <c r="H1160" s="8" t="s">
        <v>1512</v>
      </c>
      <c r="I1160" s="8" t="s">
        <v>2633</v>
      </c>
      <c r="K1160">
        <f>IF($A1160="","",IF(ISNUMBER($A1160),MONTH($A1160),MONTH(DATEVALUE($A1160))))</f>
        <v>5</v>
      </c>
    </row>
    <row r="1161" spans="1:11" ht="60" customHeight="1" x14ac:dyDescent="0.25">
      <c r="A1161" s="7" t="s">
        <v>1514</v>
      </c>
      <c r="B1161" s="7" t="s">
        <v>0</v>
      </c>
      <c r="C1161" s="7" t="s">
        <v>1515</v>
      </c>
      <c r="D1161" s="7" t="s">
        <v>4</v>
      </c>
      <c r="E1161" s="7" t="s">
        <v>18</v>
      </c>
      <c r="F1161" s="5">
        <v>373.32</v>
      </c>
      <c r="G1161" s="7" t="s">
        <v>1516</v>
      </c>
      <c r="H1161" s="7" t="s">
        <v>1515</v>
      </c>
      <c r="I1161" s="7" t="s">
        <v>2659</v>
      </c>
      <c r="K1161">
        <f>IF($A1161="","",IF(ISNUMBER($A1161),MONTH($A1161),MONTH(DATEVALUE($A1161))))</f>
        <v>5</v>
      </c>
    </row>
    <row r="1162" spans="1:11" ht="60" customHeight="1" x14ac:dyDescent="0.25">
      <c r="A1162" s="8" t="s">
        <v>1514</v>
      </c>
      <c r="B1162" s="8" t="s">
        <v>0</v>
      </c>
      <c r="C1162" s="8" t="s">
        <v>1096</v>
      </c>
      <c r="D1162" s="8" t="s">
        <v>4</v>
      </c>
      <c r="E1162" s="8" t="s">
        <v>18</v>
      </c>
      <c r="F1162" s="6">
        <v>-49.67</v>
      </c>
      <c r="G1162" s="8" t="s">
        <v>1101</v>
      </c>
      <c r="H1162" s="8" t="s">
        <v>1096</v>
      </c>
      <c r="I1162" s="8" t="s">
        <v>2647</v>
      </c>
      <c r="K1162">
        <f>IF($A1162="","",IF(ISNUMBER($A1162),MONTH($A1162),MONTH(DATEVALUE($A1162))))</f>
        <v>5</v>
      </c>
    </row>
    <row r="1163" spans="1:11" ht="60" customHeight="1" x14ac:dyDescent="0.25">
      <c r="A1163" s="7" t="s">
        <v>1514</v>
      </c>
      <c r="B1163" s="7" t="s">
        <v>0</v>
      </c>
      <c r="C1163" s="7" t="s">
        <v>1102</v>
      </c>
      <c r="D1163" s="7" t="s">
        <v>4</v>
      </c>
      <c r="E1163" s="7" t="s">
        <v>18</v>
      </c>
      <c r="F1163" s="5">
        <v>49.67</v>
      </c>
      <c r="G1163" s="7" t="s">
        <v>1517</v>
      </c>
      <c r="H1163" s="7" t="s">
        <v>1096</v>
      </c>
      <c r="I1163" s="7" t="s">
        <v>2647</v>
      </c>
      <c r="K1163">
        <f>IF($A1163="","",IF(ISNUMBER($A1163),MONTH($A1163),MONTH(DATEVALUE($A1163))))</f>
        <v>5</v>
      </c>
    </row>
    <row r="1164" spans="1:11" ht="60" customHeight="1" x14ac:dyDescent="0.25">
      <c r="A1164" s="8" t="s">
        <v>1514</v>
      </c>
      <c r="B1164" s="8" t="s">
        <v>0</v>
      </c>
      <c r="C1164" s="8" t="s">
        <v>522</v>
      </c>
      <c r="D1164" s="8" t="s">
        <v>4</v>
      </c>
      <c r="E1164" s="8" t="s">
        <v>18</v>
      </c>
      <c r="F1164" s="6">
        <v>84.75</v>
      </c>
      <c r="G1164" s="8" t="s">
        <v>1518</v>
      </c>
      <c r="H1164" s="8" t="s">
        <v>522</v>
      </c>
      <c r="I1164" s="8" t="s">
        <v>2647</v>
      </c>
      <c r="K1164">
        <f>IF($A1164="","",IF(ISNUMBER($A1164),MONTH($A1164),MONTH(DATEVALUE($A1164))))</f>
        <v>5</v>
      </c>
    </row>
    <row r="1165" spans="1:11" ht="60" customHeight="1" x14ac:dyDescent="0.25">
      <c r="A1165" s="7" t="s">
        <v>1514</v>
      </c>
      <c r="B1165" s="7" t="s">
        <v>0</v>
      </c>
      <c r="C1165" s="7" t="s">
        <v>1519</v>
      </c>
      <c r="D1165" s="7" t="s">
        <v>4</v>
      </c>
      <c r="E1165" s="7" t="s">
        <v>18</v>
      </c>
      <c r="F1165" s="5">
        <v>11.99</v>
      </c>
      <c r="G1165" s="7" t="s">
        <v>1520</v>
      </c>
      <c r="H1165" s="7" t="s">
        <v>1519</v>
      </c>
      <c r="I1165" s="7" t="s">
        <v>2627</v>
      </c>
      <c r="K1165">
        <f>IF($A1165="","",IF(ISNUMBER($A1165),MONTH($A1165),MONTH(DATEVALUE($A1165))))</f>
        <v>5</v>
      </c>
    </row>
    <row r="1166" spans="1:11" ht="60" customHeight="1" x14ac:dyDescent="0.25">
      <c r="A1166" s="8" t="s">
        <v>1514</v>
      </c>
      <c r="B1166" s="8" t="s">
        <v>0</v>
      </c>
      <c r="C1166" s="8" t="s">
        <v>1521</v>
      </c>
      <c r="D1166" s="8" t="s">
        <v>4</v>
      </c>
      <c r="E1166" s="8" t="s">
        <v>18</v>
      </c>
      <c r="F1166" s="6">
        <v>243.55</v>
      </c>
      <c r="G1166" s="8" t="s">
        <v>1522</v>
      </c>
      <c r="H1166" s="8" t="s">
        <v>1521</v>
      </c>
      <c r="I1166" s="8" t="s">
        <v>2645</v>
      </c>
      <c r="K1166">
        <f>IF($A1166="","",IF(ISNUMBER($A1166),MONTH($A1166),MONTH(DATEVALUE($A1166))))</f>
        <v>5</v>
      </c>
    </row>
    <row r="1167" spans="1:11" ht="60" customHeight="1" x14ac:dyDescent="0.25">
      <c r="A1167" s="7" t="s">
        <v>1514</v>
      </c>
      <c r="B1167" s="7" t="s">
        <v>0</v>
      </c>
      <c r="C1167" s="7" t="s">
        <v>1523</v>
      </c>
      <c r="D1167" s="7" t="s">
        <v>4</v>
      </c>
      <c r="E1167" s="7" t="s">
        <v>18</v>
      </c>
      <c r="F1167" s="5">
        <v>180.47</v>
      </c>
      <c r="G1167" s="7" t="s">
        <v>1524</v>
      </c>
      <c r="H1167" s="7" t="s">
        <v>1523</v>
      </c>
      <c r="I1167" s="7" t="s">
        <v>2633</v>
      </c>
      <c r="K1167">
        <f>IF($A1167="","",IF(ISNUMBER($A1167),MONTH($A1167),MONTH(DATEVALUE($A1167))))</f>
        <v>5</v>
      </c>
    </row>
    <row r="1168" spans="1:11" ht="60" customHeight="1" x14ac:dyDescent="0.25">
      <c r="A1168" s="8" t="s">
        <v>1514</v>
      </c>
      <c r="B1168" s="8" t="s">
        <v>0</v>
      </c>
      <c r="C1168" s="8" t="s">
        <v>1525</v>
      </c>
      <c r="D1168" s="8" t="s">
        <v>4</v>
      </c>
      <c r="E1168" s="8" t="s">
        <v>18</v>
      </c>
      <c r="F1168" s="6">
        <v>21.64</v>
      </c>
      <c r="G1168" s="8" t="s">
        <v>1526</v>
      </c>
      <c r="H1168" s="8" t="s">
        <v>1525</v>
      </c>
      <c r="I1168" s="8" t="s">
        <v>2635</v>
      </c>
      <c r="K1168">
        <f>IF($A1168="","",IF(ISNUMBER($A1168),MONTH($A1168),MONTH(DATEVALUE($A1168))))</f>
        <v>5</v>
      </c>
    </row>
    <row r="1169" spans="1:11" ht="60" customHeight="1" x14ac:dyDescent="0.25">
      <c r="A1169" s="7" t="s">
        <v>1514</v>
      </c>
      <c r="B1169" s="7" t="s">
        <v>0</v>
      </c>
      <c r="C1169" s="7" t="s">
        <v>27</v>
      </c>
      <c r="D1169" s="7" t="s">
        <v>4</v>
      </c>
      <c r="E1169" s="7" t="s">
        <v>18</v>
      </c>
      <c r="F1169" s="5">
        <v>20</v>
      </c>
      <c r="G1169" s="7" t="s">
        <v>1527</v>
      </c>
      <c r="H1169" s="7" t="s">
        <v>27</v>
      </c>
      <c r="I1169" s="7" t="s">
        <v>2628</v>
      </c>
      <c r="K1169">
        <f>IF($A1169="","",IF(ISNUMBER($A1169),MONTH($A1169),MONTH(DATEVALUE($A1169))))</f>
        <v>5</v>
      </c>
    </row>
    <row r="1170" spans="1:11" ht="60" customHeight="1" x14ac:dyDescent="0.25">
      <c r="A1170" s="8" t="s">
        <v>1514</v>
      </c>
      <c r="B1170" s="8" t="s">
        <v>0</v>
      </c>
      <c r="C1170" s="8" t="s">
        <v>35</v>
      </c>
      <c r="D1170" s="8" t="s">
        <v>4</v>
      </c>
      <c r="E1170" s="8" t="s">
        <v>18</v>
      </c>
      <c r="F1170" s="6">
        <v>39.99</v>
      </c>
      <c r="G1170" s="8" t="s">
        <v>1528</v>
      </c>
      <c r="H1170" s="8" t="s">
        <v>35</v>
      </c>
      <c r="I1170" s="8" t="s">
        <v>2630</v>
      </c>
      <c r="K1170">
        <f>IF($A1170="","",IF(ISNUMBER($A1170),MONTH($A1170),MONTH(DATEVALUE($A1170))))</f>
        <v>5</v>
      </c>
    </row>
    <row r="1171" spans="1:11" ht="60" customHeight="1" x14ac:dyDescent="0.25">
      <c r="A1171" s="7" t="s">
        <v>1529</v>
      </c>
      <c r="B1171" s="7" t="s">
        <v>0</v>
      </c>
      <c r="C1171" s="7" t="s">
        <v>1096</v>
      </c>
      <c r="D1171" s="7" t="s">
        <v>4</v>
      </c>
      <c r="E1171" s="7" t="s">
        <v>18</v>
      </c>
      <c r="F1171" s="5">
        <v>-423.8</v>
      </c>
      <c r="G1171" s="7" t="s">
        <v>1101</v>
      </c>
      <c r="H1171" s="7" t="s">
        <v>1096</v>
      </c>
      <c r="I1171" s="7" t="s">
        <v>2647</v>
      </c>
      <c r="K1171">
        <f>IF($A1171="","",IF(ISNUMBER($A1171),MONTH($A1171),MONTH(DATEVALUE($A1171))))</f>
        <v>5</v>
      </c>
    </row>
    <row r="1172" spans="1:11" ht="60" customHeight="1" x14ac:dyDescent="0.25">
      <c r="A1172" s="8" t="s">
        <v>1529</v>
      </c>
      <c r="B1172" s="8" t="s">
        <v>0</v>
      </c>
      <c r="C1172" s="8" t="s">
        <v>1096</v>
      </c>
      <c r="D1172" s="8" t="s">
        <v>4</v>
      </c>
      <c r="E1172" s="8" t="s">
        <v>18</v>
      </c>
      <c r="F1172" s="6">
        <v>-413.9</v>
      </c>
      <c r="G1172" s="8" t="s">
        <v>1101</v>
      </c>
      <c r="H1172" s="8" t="s">
        <v>1096</v>
      </c>
      <c r="I1172" s="8" t="s">
        <v>2647</v>
      </c>
      <c r="K1172">
        <f>IF($A1172="","",IF(ISNUMBER($A1172),MONTH($A1172),MONTH(DATEVALUE($A1172))))</f>
        <v>5</v>
      </c>
    </row>
    <row r="1173" spans="1:11" ht="60" customHeight="1" x14ac:dyDescent="0.25">
      <c r="A1173" s="7" t="s">
        <v>1529</v>
      </c>
      <c r="B1173" s="7" t="s">
        <v>0</v>
      </c>
      <c r="C1173" s="7" t="s">
        <v>1102</v>
      </c>
      <c r="D1173" s="7" t="s">
        <v>4</v>
      </c>
      <c r="E1173" s="7" t="s">
        <v>18</v>
      </c>
      <c r="F1173" s="5">
        <v>413.9</v>
      </c>
      <c r="G1173" s="7" t="s">
        <v>1530</v>
      </c>
      <c r="H1173" s="7" t="s">
        <v>1096</v>
      </c>
      <c r="I1173" s="7" t="s">
        <v>2647</v>
      </c>
      <c r="K1173">
        <f>IF($A1173="","",IF(ISNUMBER($A1173),MONTH($A1173),MONTH(DATEVALUE($A1173))))</f>
        <v>5</v>
      </c>
    </row>
    <row r="1174" spans="1:11" ht="60" customHeight="1" x14ac:dyDescent="0.25">
      <c r="A1174" s="8" t="s">
        <v>1529</v>
      </c>
      <c r="B1174" s="8" t="s">
        <v>0</v>
      </c>
      <c r="C1174" s="8" t="s">
        <v>1102</v>
      </c>
      <c r="D1174" s="8" t="s">
        <v>4</v>
      </c>
      <c r="E1174" s="8" t="s">
        <v>18</v>
      </c>
      <c r="F1174" s="6">
        <v>423.8</v>
      </c>
      <c r="G1174" s="8" t="s">
        <v>1531</v>
      </c>
      <c r="H1174" s="8" t="s">
        <v>1096</v>
      </c>
      <c r="I1174" s="8" t="s">
        <v>2647</v>
      </c>
      <c r="K1174">
        <f>IF($A1174="","",IF(ISNUMBER($A1174),MONTH($A1174),MONTH(DATEVALUE($A1174))))</f>
        <v>5</v>
      </c>
    </row>
    <row r="1175" spans="1:11" ht="60" customHeight="1" x14ac:dyDescent="0.25">
      <c r="A1175" s="7" t="s">
        <v>1529</v>
      </c>
      <c r="B1175" s="7" t="s">
        <v>0</v>
      </c>
      <c r="C1175" s="7" t="s">
        <v>188</v>
      </c>
      <c r="D1175" s="7" t="s">
        <v>4</v>
      </c>
      <c r="E1175" s="7" t="s">
        <v>18</v>
      </c>
      <c r="F1175" s="5">
        <v>-20000</v>
      </c>
      <c r="G1175" s="7" t="s">
        <v>189</v>
      </c>
      <c r="H1175" s="7" t="s">
        <v>188</v>
      </c>
      <c r="I1175" s="7" t="s">
        <v>2629</v>
      </c>
      <c r="K1175">
        <f>IF($A1175="","",IF(ISNUMBER($A1175),MONTH($A1175),MONTH(DATEVALUE($A1175))))</f>
        <v>5</v>
      </c>
    </row>
    <row r="1176" spans="1:11" ht="60" customHeight="1" x14ac:dyDescent="0.25">
      <c r="A1176" s="8" t="s">
        <v>1529</v>
      </c>
      <c r="B1176" s="8" t="s">
        <v>0</v>
      </c>
      <c r="C1176" s="8" t="s">
        <v>188</v>
      </c>
      <c r="D1176" s="8" t="s">
        <v>4</v>
      </c>
      <c r="E1176" s="8" t="s">
        <v>18</v>
      </c>
      <c r="F1176" s="6">
        <v>-1109.5</v>
      </c>
      <c r="G1176" s="8" t="s">
        <v>189</v>
      </c>
      <c r="H1176" s="8" t="s">
        <v>188</v>
      </c>
      <c r="I1176" s="8" t="s">
        <v>2629</v>
      </c>
      <c r="K1176">
        <f>IF($A1176="","",IF(ISNUMBER($A1176),MONTH($A1176),MONTH(DATEVALUE($A1176))))</f>
        <v>5</v>
      </c>
    </row>
    <row r="1177" spans="1:11" ht="60" customHeight="1" x14ac:dyDescent="0.25">
      <c r="A1177" s="7" t="s">
        <v>1529</v>
      </c>
      <c r="B1177" s="7" t="s">
        <v>0</v>
      </c>
      <c r="C1177" s="7" t="s">
        <v>1532</v>
      </c>
      <c r="D1177" s="7" t="s">
        <v>4</v>
      </c>
      <c r="E1177" s="7" t="s">
        <v>18</v>
      </c>
      <c r="F1177" s="5">
        <v>35.159999999999997</v>
      </c>
      <c r="G1177" s="7" t="s">
        <v>1533</v>
      </c>
      <c r="H1177" s="7" t="s">
        <v>1532</v>
      </c>
      <c r="I1177" s="7" t="s">
        <v>2627</v>
      </c>
      <c r="K1177">
        <f>IF($A1177="","",IF(ISNUMBER($A1177),MONTH($A1177),MONTH(DATEVALUE($A1177))))</f>
        <v>5</v>
      </c>
    </row>
    <row r="1178" spans="1:11" ht="60" customHeight="1" x14ac:dyDescent="0.25">
      <c r="A1178" s="8" t="s">
        <v>1529</v>
      </c>
      <c r="B1178" s="8" t="s">
        <v>0</v>
      </c>
      <c r="C1178" s="8" t="s">
        <v>1534</v>
      </c>
      <c r="D1178" s="8" t="s">
        <v>4</v>
      </c>
      <c r="E1178" s="8" t="s">
        <v>18</v>
      </c>
      <c r="F1178" s="6">
        <v>48.99</v>
      </c>
      <c r="G1178" s="8" t="s">
        <v>1535</v>
      </c>
      <c r="H1178" s="8" t="s">
        <v>1534</v>
      </c>
      <c r="I1178" s="8" t="s">
        <v>2634</v>
      </c>
      <c r="K1178">
        <f>IF($A1178="","",IF(ISNUMBER($A1178),MONTH($A1178),MONTH(DATEVALUE($A1178))))</f>
        <v>5</v>
      </c>
    </row>
    <row r="1179" spans="1:11" ht="60" customHeight="1" x14ac:dyDescent="0.25">
      <c r="A1179" s="7" t="s">
        <v>1529</v>
      </c>
      <c r="B1179" s="7" t="s">
        <v>0</v>
      </c>
      <c r="C1179" s="7" t="s">
        <v>1536</v>
      </c>
      <c r="D1179" s="7" t="s">
        <v>4</v>
      </c>
      <c r="E1179" s="7" t="s">
        <v>18</v>
      </c>
      <c r="F1179" s="5">
        <v>129.51</v>
      </c>
      <c r="G1179" s="7" t="s">
        <v>1537</v>
      </c>
      <c r="H1179" s="7" t="s">
        <v>1536</v>
      </c>
      <c r="I1179" s="7" t="s">
        <v>2645</v>
      </c>
      <c r="K1179">
        <f>IF($A1179="","",IF(ISNUMBER($A1179),MONTH($A1179),MONTH(DATEVALUE($A1179))))</f>
        <v>5</v>
      </c>
    </row>
    <row r="1180" spans="1:11" ht="60" customHeight="1" x14ac:dyDescent="0.25">
      <c r="A1180" s="8" t="s">
        <v>1538</v>
      </c>
      <c r="B1180" s="8" t="s">
        <v>0</v>
      </c>
      <c r="C1180" s="8" t="s">
        <v>1096</v>
      </c>
      <c r="D1180" s="8" t="s">
        <v>4</v>
      </c>
      <c r="E1180" s="8" t="s">
        <v>18</v>
      </c>
      <c r="F1180" s="6">
        <v>-413.9</v>
      </c>
      <c r="G1180" s="8" t="s">
        <v>1101</v>
      </c>
      <c r="H1180" s="8" t="s">
        <v>1096</v>
      </c>
      <c r="I1180" s="8" t="s">
        <v>2647</v>
      </c>
      <c r="K1180">
        <f>IF($A1180="","",IF(ISNUMBER($A1180),MONTH($A1180),MONTH(DATEVALUE($A1180))))</f>
        <v>5</v>
      </c>
    </row>
    <row r="1181" spans="1:11" ht="60" customHeight="1" x14ac:dyDescent="0.25">
      <c r="A1181" s="7" t="s">
        <v>1538</v>
      </c>
      <c r="B1181" s="7" t="s">
        <v>0</v>
      </c>
      <c r="C1181" s="7" t="s">
        <v>1102</v>
      </c>
      <c r="D1181" s="7" t="s">
        <v>4</v>
      </c>
      <c r="E1181" s="7" t="s">
        <v>18</v>
      </c>
      <c r="F1181" s="5">
        <v>413.9</v>
      </c>
      <c r="G1181" s="7" t="s">
        <v>1539</v>
      </c>
      <c r="H1181" s="7" t="s">
        <v>1096</v>
      </c>
      <c r="I1181" s="7" t="s">
        <v>2647</v>
      </c>
      <c r="K1181">
        <f>IF($A1181="","",IF(ISNUMBER($A1181),MONTH($A1181),MONTH(DATEVALUE($A1181))))</f>
        <v>5</v>
      </c>
    </row>
    <row r="1182" spans="1:11" ht="60" customHeight="1" x14ac:dyDescent="0.25">
      <c r="A1182" s="8" t="s">
        <v>1538</v>
      </c>
      <c r="B1182" s="8" t="s">
        <v>0</v>
      </c>
      <c r="C1182" s="8" t="s">
        <v>1540</v>
      </c>
      <c r="D1182" s="8" t="s">
        <v>4</v>
      </c>
      <c r="E1182" s="8" t="s">
        <v>18</v>
      </c>
      <c r="F1182" s="6">
        <v>382.86</v>
      </c>
      <c r="G1182" s="8" t="s">
        <v>1541</v>
      </c>
      <c r="H1182" s="8" t="s">
        <v>1540</v>
      </c>
      <c r="I1182" s="8" t="s">
        <v>2633</v>
      </c>
      <c r="K1182">
        <f>IF($A1182="","",IF(ISNUMBER($A1182),MONTH($A1182),MONTH(DATEVALUE($A1182))))</f>
        <v>5</v>
      </c>
    </row>
    <row r="1183" spans="1:11" ht="60" customHeight="1" x14ac:dyDescent="0.25">
      <c r="A1183" s="7" t="s">
        <v>1538</v>
      </c>
      <c r="B1183" s="7" t="s">
        <v>0</v>
      </c>
      <c r="C1183" s="7" t="s">
        <v>1542</v>
      </c>
      <c r="D1183" s="7" t="s">
        <v>4</v>
      </c>
      <c r="E1183" s="7" t="s">
        <v>18</v>
      </c>
      <c r="F1183" s="5">
        <v>15.98</v>
      </c>
      <c r="G1183" s="7" t="s">
        <v>1543</v>
      </c>
      <c r="H1183" s="7" t="s">
        <v>1542</v>
      </c>
      <c r="I1183" s="7" t="s">
        <v>2627</v>
      </c>
      <c r="K1183">
        <f>IF($A1183="","",IF(ISNUMBER($A1183),MONTH($A1183),MONTH(DATEVALUE($A1183))))</f>
        <v>5</v>
      </c>
    </row>
    <row r="1184" spans="1:11" ht="60" customHeight="1" x14ac:dyDescent="0.25">
      <c r="A1184" s="8" t="s">
        <v>1538</v>
      </c>
      <c r="B1184" s="8" t="s">
        <v>0</v>
      </c>
      <c r="C1184" s="8" t="s">
        <v>1544</v>
      </c>
      <c r="D1184" s="8" t="s">
        <v>4</v>
      </c>
      <c r="E1184" s="8" t="s">
        <v>18</v>
      </c>
      <c r="F1184" s="6">
        <v>853.89</v>
      </c>
      <c r="G1184" s="8" t="s">
        <v>1545</v>
      </c>
      <c r="H1184" s="8" t="s">
        <v>1544</v>
      </c>
      <c r="I1184" s="8" t="s">
        <v>2660</v>
      </c>
      <c r="K1184">
        <f>IF($A1184="","",IF(ISNUMBER($A1184),MONTH($A1184),MONTH(DATEVALUE($A1184))))</f>
        <v>5</v>
      </c>
    </row>
    <row r="1185" spans="1:11" ht="60" customHeight="1" x14ac:dyDescent="0.25">
      <c r="A1185" s="7" t="s">
        <v>1538</v>
      </c>
      <c r="B1185" s="7" t="s">
        <v>0</v>
      </c>
      <c r="C1185" s="7" t="s">
        <v>1546</v>
      </c>
      <c r="D1185" s="7" t="s">
        <v>1113</v>
      </c>
      <c r="E1185" s="7" t="s">
        <v>1114</v>
      </c>
      <c r="F1185" s="5">
        <v>197.55</v>
      </c>
      <c r="G1185" s="7" t="s">
        <v>1547</v>
      </c>
      <c r="H1185" s="7" t="s">
        <v>1546</v>
      </c>
      <c r="I1185" s="8" t="s">
        <v>2660</v>
      </c>
      <c r="K1185">
        <f>IF($A1185="","",IF(ISNUMBER($A1185),MONTH($A1185),MONTH(DATEVALUE($A1185))))</f>
        <v>5</v>
      </c>
    </row>
    <row r="1186" spans="1:11" ht="60" customHeight="1" x14ac:dyDescent="0.25">
      <c r="A1186" s="8" t="s">
        <v>1538</v>
      </c>
      <c r="B1186" s="8" t="s">
        <v>0</v>
      </c>
      <c r="C1186" s="8" t="s">
        <v>1548</v>
      </c>
      <c r="D1186" s="8" t="s">
        <v>4</v>
      </c>
      <c r="E1186" s="8" t="s">
        <v>18</v>
      </c>
      <c r="F1186" s="6">
        <v>8</v>
      </c>
      <c r="G1186" s="8" t="s">
        <v>1549</v>
      </c>
      <c r="H1186" s="8" t="s">
        <v>1548</v>
      </c>
      <c r="I1186" s="8" t="s">
        <v>2660</v>
      </c>
      <c r="K1186">
        <f>IF($A1186="","",IF(ISNUMBER($A1186),MONTH($A1186),MONTH(DATEVALUE($A1186))))</f>
        <v>5</v>
      </c>
    </row>
    <row r="1187" spans="1:11" ht="60" customHeight="1" x14ac:dyDescent="0.25">
      <c r="A1187" s="7" t="s">
        <v>1538</v>
      </c>
      <c r="B1187" s="7" t="s">
        <v>0</v>
      </c>
      <c r="C1187" s="7" t="s">
        <v>672</v>
      </c>
      <c r="D1187" s="7" t="s">
        <v>4</v>
      </c>
      <c r="E1187" s="7" t="s">
        <v>18</v>
      </c>
      <c r="F1187" s="5">
        <v>11.63</v>
      </c>
      <c r="G1187" s="7" t="s">
        <v>1550</v>
      </c>
      <c r="H1187" s="7" t="s">
        <v>672</v>
      </c>
      <c r="I1187" s="7" t="s">
        <v>2647</v>
      </c>
      <c r="K1187">
        <f>IF($A1187="","",IF(ISNUMBER($A1187),MONTH($A1187),MONTH(DATEVALUE($A1187))))</f>
        <v>5</v>
      </c>
    </row>
    <row r="1188" spans="1:11" ht="60" customHeight="1" x14ac:dyDescent="0.25">
      <c r="A1188" s="8" t="s">
        <v>1538</v>
      </c>
      <c r="B1188" s="8" t="s">
        <v>0</v>
      </c>
      <c r="C1188" s="8" t="s">
        <v>1551</v>
      </c>
      <c r="D1188" s="8" t="s">
        <v>4</v>
      </c>
      <c r="E1188" s="8" t="s">
        <v>18</v>
      </c>
      <c r="F1188" s="6">
        <v>34.79</v>
      </c>
      <c r="G1188" s="8" t="s">
        <v>1552</v>
      </c>
      <c r="H1188" s="8" t="s">
        <v>1551</v>
      </c>
      <c r="I1188" s="8" t="s">
        <v>2660</v>
      </c>
      <c r="K1188">
        <f>IF($A1188="","",IF(ISNUMBER($A1188),MONTH($A1188),MONTH(DATEVALUE($A1188))))</f>
        <v>5</v>
      </c>
    </row>
    <row r="1189" spans="1:11" ht="60" customHeight="1" x14ac:dyDescent="0.25">
      <c r="A1189" s="7" t="s">
        <v>1553</v>
      </c>
      <c r="B1189" s="7" t="s">
        <v>227</v>
      </c>
      <c r="C1189" s="7" t="s">
        <v>1554</v>
      </c>
      <c r="D1189" s="7" t="s">
        <v>4</v>
      </c>
      <c r="E1189" s="7" t="s">
        <v>18</v>
      </c>
      <c r="F1189" s="5">
        <v>34</v>
      </c>
      <c r="G1189" s="7" t="s">
        <v>1555</v>
      </c>
      <c r="H1189" s="7" t="s">
        <v>1554</v>
      </c>
      <c r="I1189" s="8" t="s">
        <v>2660</v>
      </c>
      <c r="K1189">
        <f>IF($A1189="","",IF(ISNUMBER($A1189),MONTH($A1189),MONTH(DATEVALUE($A1189))))</f>
        <v>5</v>
      </c>
    </row>
    <row r="1190" spans="1:11" ht="60" customHeight="1" x14ac:dyDescent="0.25">
      <c r="A1190" s="8" t="s">
        <v>1553</v>
      </c>
      <c r="B1190" s="8" t="s">
        <v>0</v>
      </c>
      <c r="C1190" s="8" t="s">
        <v>1556</v>
      </c>
      <c r="D1190" s="8" t="s">
        <v>4</v>
      </c>
      <c r="E1190" s="8" t="s">
        <v>18</v>
      </c>
      <c r="F1190" s="6">
        <v>1200</v>
      </c>
      <c r="G1190" s="8" t="s">
        <v>1557</v>
      </c>
      <c r="H1190" s="8" t="s">
        <v>1556</v>
      </c>
      <c r="I1190" s="8" t="s">
        <v>2660</v>
      </c>
      <c r="K1190">
        <f>IF($A1190="","",IF(ISNUMBER($A1190),MONTH($A1190),MONTH(DATEVALUE($A1190))))</f>
        <v>5</v>
      </c>
    </row>
    <row r="1191" spans="1:11" ht="60" customHeight="1" x14ac:dyDescent="0.25">
      <c r="A1191" s="7" t="s">
        <v>1553</v>
      </c>
      <c r="B1191" s="7" t="s">
        <v>0</v>
      </c>
      <c r="C1191" s="7" t="s">
        <v>1558</v>
      </c>
      <c r="D1191" s="7" t="s">
        <v>1113</v>
      </c>
      <c r="E1191" s="7" t="s">
        <v>1114</v>
      </c>
      <c r="F1191" s="5">
        <v>370.7</v>
      </c>
      <c r="G1191" s="7" t="s">
        <v>1559</v>
      </c>
      <c r="H1191" s="7" t="s">
        <v>1558</v>
      </c>
      <c r="I1191" s="8" t="s">
        <v>2660</v>
      </c>
      <c r="K1191">
        <f>IF($A1191="","",IF(ISNUMBER($A1191),MONTH($A1191),MONTH(DATEVALUE($A1191))))</f>
        <v>5</v>
      </c>
    </row>
    <row r="1192" spans="1:11" ht="60" customHeight="1" x14ac:dyDescent="0.25">
      <c r="A1192" s="8" t="s">
        <v>1553</v>
      </c>
      <c r="B1192" s="8" t="s">
        <v>0</v>
      </c>
      <c r="C1192" s="8" t="s">
        <v>1558</v>
      </c>
      <c r="D1192" s="8" t="s">
        <v>1113</v>
      </c>
      <c r="E1192" s="8" t="s">
        <v>1114</v>
      </c>
      <c r="F1192" s="6">
        <v>602.79999999999995</v>
      </c>
      <c r="G1192" s="8" t="s">
        <v>1559</v>
      </c>
      <c r="H1192" s="8" t="s">
        <v>1558</v>
      </c>
      <c r="I1192" s="8" t="s">
        <v>2660</v>
      </c>
      <c r="K1192">
        <f>IF($A1192="","",IF(ISNUMBER($A1192),MONTH($A1192),MONTH(DATEVALUE($A1192))))</f>
        <v>5</v>
      </c>
    </row>
    <row r="1193" spans="1:11" ht="60" customHeight="1" x14ac:dyDescent="0.25">
      <c r="A1193" s="7" t="s">
        <v>1560</v>
      </c>
      <c r="B1193" s="7" t="s">
        <v>0</v>
      </c>
      <c r="C1193" s="7" t="s">
        <v>1561</v>
      </c>
      <c r="D1193" s="7" t="s">
        <v>4</v>
      </c>
      <c r="E1193" s="7" t="s">
        <v>18</v>
      </c>
      <c r="F1193" s="5">
        <v>294</v>
      </c>
      <c r="G1193" s="7" t="s">
        <v>1562</v>
      </c>
      <c r="H1193" s="7" t="s">
        <v>1561</v>
      </c>
      <c r="I1193" s="8" t="s">
        <v>2660</v>
      </c>
      <c r="K1193">
        <f>IF($A1193="","",IF(ISNUMBER($A1193),MONTH($A1193),MONTH(DATEVALUE($A1193))))</f>
        <v>5</v>
      </c>
    </row>
    <row r="1194" spans="1:11" ht="60" customHeight="1" x14ac:dyDescent="0.25">
      <c r="A1194" s="8" t="s">
        <v>1560</v>
      </c>
      <c r="B1194" s="8" t="s">
        <v>0</v>
      </c>
      <c r="C1194" s="8" t="s">
        <v>1096</v>
      </c>
      <c r="D1194" s="8" t="s">
        <v>4</v>
      </c>
      <c r="E1194" s="8" t="s">
        <v>18</v>
      </c>
      <c r="F1194" s="6">
        <v>-620.85</v>
      </c>
      <c r="G1194" s="8" t="s">
        <v>1101</v>
      </c>
      <c r="H1194" s="8" t="s">
        <v>1096</v>
      </c>
      <c r="I1194" s="8" t="s">
        <v>2647</v>
      </c>
      <c r="K1194">
        <f>IF($A1194="","",IF(ISNUMBER($A1194),MONTH($A1194),MONTH(DATEVALUE($A1194))))</f>
        <v>5</v>
      </c>
    </row>
    <row r="1195" spans="1:11" ht="60" customHeight="1" x14ac:dyDescent="0.25">
      <c r="A1195" s="7" t="s">
        <v>1560</v>
      </c>
      <c r="B1195" s="7" t="s">
        <v>0</v>
      </c>
      <c r="C1195" s="7" t="s">
        <v>1096</v>
      </c>
      <c r="D1195" s="7" t="s">
        <v>4</v>
      </c>
      <c r="E1195" s="7" t="s">
        <v>18</v>
      </c>
      <c r="F1195" s="5">
        <v>-423.8</v>
      </c>
      <c r="G1195" s="7" t="s">
        <v>1101</v>
      </c>
      <c r="H1195" s="7" t="s">
        <v>1096</v>
      </c>
      <c r="I1195" s="7" t="s">
        <v>2647</v>
      </c>
      <c r="K1195">
        <f>IF($A1195="","",IF(ISNUMBER($A1195),MONTH($A1195),MONTH(DATEVALUE($A1195))))</f>
        <v>5</v>
      </c>
    </row>
    <row r="1196" spans="1:11" ht="60" customHeight="1" x14ac:dyDescent="0.25">
      <c r="A1196" s="8" t="s">
        <v>1560</v>
      </c>
      <c r="B1196" s="8" t="s">
        <v>0</v>
      </c>
      <c r="C1196" s="8" t="s">
        <v>1102</v>
      </c>
      <c r="D1196" s="8" t="s">
        <v>4</v>
      </c>
      <c r="E1196" s="8" t="s">
        <v>18</v>
      </c>
      <c r="F1196" s="6">
        <v>423.8</v>
      </c>
      <c r="G1196" s="8" t="s">
        <v>1563</v>
      </c>
      <c r="H1196" s="8" t="s">
        <v>1096</v>
      </c>
      <c r="I1196" s="8" t="s">
        <v>2647</v>
      </c>
      <c r="K1196">
        <f>IF($A1196="","",IF(ISNUMBER($A1196),MONTH($A1196),MONTH(DATEVALUE($A1196))))</f>
        <v>5</v>
      </c>
    </row>
    <row r="1197" spans="1:11" ht="60" customHeight="1" x14ac:dyDescent="0.25">
      <c r="A1197" s="7" t="s">
        <v>1560</v>
      </c>
      <c r="B1197" s="7" t="s">
        <v>0</v>
      </c>
      <c r="C1197" s="7" t="s">
        <v>1102</v>
      </c>
      <c r="D1197" s="7" t="s">
        <v>4</v>
      </c>
      <c r="E1197" s="7" t="s">
        <v>18</v>
      </c>
      <c r="F1197" s="5">
        <v>620.85</v>
      </c>
      <c r="G1197" s="7" t="s">
        <v>1564</v>
      </c>
      <c r="H1197" s="7" t="s">
        <v>1096</v>
      </c>
      <c r="I1197" s="7" t="s">
        <v>2647</v>
      </c>
      <c r="K1197">
        <f>IF($A1197="","",IF(ISNUMBER($A1197),MONTH($A1197),MONTH(DATEVALUE($A1197))))</f>
        <v>5</v>
      </c>
    </row>
    <row r="1198" spans="1:11" ht="60" customHeight="1" x14ac:dyDescent="0.25">
      <c r="A1198" s="8" t="s">
        <v>1560</v>
      </c>
      <c r="B1198" s="8" t="s">
        <v>227</v>
      </c>
      <c r="C1198" s="8" t="s">
        <v>1565</v>
      </c>
      <c r="D1198" s="8" t="s">
        <v>4</v>
      </c>
      <c r="E1198" s="8" t="s">
        <v>18</v>
      </c>
      <c r="F1198" s="6">
        <v>13.5</v>
      </c>
      <c r="G1198" s="8" t="s">
        <v>1566</v>
      </c>
      <c r="H1198" s="8" t="s">
        <v>1565</v>
      </c>
      <c r="I1198" s="8" t="s">
        <v>2660</v>
      </c>
      <c r="K1198">
        <f>IF($A1198="","",IF(ISNUMBER($A1198),MONTH($A1198),MONTH(DATEVALUE($A1198))))</f>
        <v>5</v>
      </c>
    </row>
    <row r="1199" spans="1:11" ht="60" customHeight="1" x14ac:dyDescent="0.25">
      <c r="A1199" s="7" t="s">
        <v>1560</v>
      </c>
      <c r="B1199" s="7" t="s">
        <v>0</v>
      </c>
      <c r="C1199" s="7" t="s">
        <v>1567</v>
      </c>
      <c r="D1199" s="7" t="s">
        <v>4</v>
      </c>
      <c r="E1199" s="7" t="s">
        <v>18</v>
      </c>
      <c r="F1199" s="5">
        <v>40.97</v>
      </c>
      <c r="G1199" s="7" t="s">
        <v>1568</v>
      </c>
      <c r="H1199" s="7" t="s">
        <v>1567</v>
      </c>
      <c r="I1199" s="7" t="s">
        <v>2627</v>
      </c>
      <c r="K1199">
        <f>IF($A1199="","",IF(ISNUMBER($A1199),MONTH($A1199),MONTH(DATEVALUE($A1199))))</f>
        <v>5</v>
      </c>
    </row>
    <row r="1200" spans="1:11" ht="60" customHeight="1" x14ac:dyDescent="0.25">
      <c r="A1200" s="8" t="s">
        <v>1560</v>
      </c>
      <c r="B1200" s="8" t="s">
        <v>0</v>
      </c>
      <c r="C1200" s="8" t="s">
        <v>1569</v>
      </c>
      <c r="D1200" s="8" t="s">
        <v>4</v>
      </c>
      <c r="E1200" s="8" t="s">
        <v>18</v>
      </c>
      <c r="F1200" s="6">
        <v>66.3</v>
      </c>
      <c r="G1200" s="8" t="s">
        <v>1570</v>
      </c>
      <c r="H1200" s="8" t="s">
        <v>1569</v>
      </c>
      <c r="I1200" s="8" t="s">
        <v>2660</v>
      </c>
      <c r="K1200">
        <f>IF($A1200="","",IF(ISNUMBER($A1200),MONTH($A1200),MONTH(DATEVALUE($A1200))))</f>
        <v>5</v>
      </c>
    </row>
    <row r="1201" spans="1:11" ht="60" customHeight="1" x14ac:dyDescent="0.25">
      <c r="A1201" s="7" t="s">
        <v>1560</v>
      </c>
      <c r="B1201" s="7" t="s">
        <v>0</v>
      </c>
      <c r="C1201" s="7" t="s">
        <v>1571</v>
      </c>
      <c r="D1201" s="7" t="s">
        <v>4</v>
      </c>
      <c r="E1201" s="7" t="s">
        <v>18</v>
      </c>
      <c r="F1201" s="5">
        <v>1154.44</v>
      </c>
      <c r="G1201" s="7" t="s">
        <v>1572</v>
      </c>
      <c r="H1201" s="7" t="s">
        <v>1571</v>
      </c>
      <c r="I1201" s="8" t="s">
        <v>2660</v>
      </c>
      <c r="K1201">
        <f>IF($A1201="","",IF(ISNUMBER($A1201),MONTH($A1201),MONTH(DATEVALUE($A1201))))</f>
        <v>5</v>
      </c>
    </row>
    <row r="1202" spans="1:11" ht="60" customHeight="1" x14ac:dyDescent="0.25">
      <c r="A1202" s="8" t="s">
        <v>1560</v>
      </c>
      <c r="B1202" s="8" t="s">
        <v>0</v>
      </c>
      <c r="C1202" s="8" t="s">
        <v>1573</v>
      </c>
      <c r="D1202" s="8" t="s">
        <v>4</v>
      </c>
      <c r="E1202" s="8" t="s">
        <v>18</v>
      </c>
      <c r="F1202" s="6">
        <v>126.61</v>
      </c>
      <c r="G1202" s="8" t="s">
        <v>1574</v>
      </c>
      <c r="H1202" s="8" t="s">
        <v>1573</v>
      </c>
      <c r="I1202" s="8" t="s">
        <v>2660</v>
      </c>
      <c r="K1202">
        <f>IF($A1202="","",IF(ISNUMBER($A1202),MONTH($A1202),MONTH(DATEVALUE($A1202))))</f>
        <v>5</v>
      </c>
    </row>
    <row r="1203" spans="1:11" ht="60" customHeight="1" x14ac:dyDescent="0.25">
      <c r="A1203" s="7" t="s">
        <v>1560</v>
      </c>
      <c r="B1203" s="7" t="s">
        <v>0</v>
      </c>
      <c r="C1203" s="7" t="s">
        <v>1575</v>
      </c>
      <c r="D1203" s="7" t="s">
        <v>4</v>
      </c>
      <c r="E1203" s="7" t="s">
        <v>18</v>
      </c>
      <c r="F1203" s="5">
        <v>38.590000000000003</v>
      </c>
      <c r="G1203" s="7" t="s">
        <v>1576</v>
      </c>
      <c r="H1203" s="7" t="s">
        <v>1575</v>
      </c>
      <c r="I1203" s="8" t="s">
        <v>2660</v>
      </c>
      <c r="K1203">
        <f>IF($A1203="","",IF(ISNUMBER($A1203),MONTH($A1203),MONTH(DATEVALUE($A1203))))</f>
        <v>5</v>
      </c>
    </row>
    <row r="1204" spans="1:11" ht="60" customHeight="1" x14ac:dyDescent="0.25">
      <c r="A1204" s="8" t="s">
        <v>1560</v>
      </c>
      <c r="B1204" s="8" t="s">
        <v>0</v>
      </c>
      <c r="C1204" s="8" t="s">
        <v>1575</v>
      </c>
      <c r="D1204" s="8" t="s">
        <v>4</v>
      </c>
      <c r="E1204" s="8" t="s">
        <v>18</v>
      </c>
      <c r="F1204" s="6">
        <v>167.58</v>
      </c>
      <c r="G1204" s="8" t="s">
        <v>1576</v>
      </c>
      <c r="H1204" s="8" t="s">
        <v>1575</v>
      </c>
      <c r="I1204" s="8" t="s">
        <v>2660</v>
      </c>
      <c r="K1204">
        <f>IF($A1204="","",IF(ISNUMBER($A1204),MONTH($A1204),MONTH(DATEVALUE($A1204))))</f>
        <v>5</v>
      </c>
    </row>
    <row r="1205" spans="1:11" ht="60" customHeight="1" x14ac:dyDescent="0.25">
      <c r="A1205" s="7" t="s">
        <v>1577</v>
      </c>
      <c r="B1205" s="7" t="s">
        <v>0</v>
      </c>
      <c r="C1205" s="7" t="s">
        <v>1578</v>
      </c>
      <c r="D1205" s="7" t="s">
        <v>4</v>
      </c>
      <c r="E1205" s="7" t="s">
        <v>18</v>
      </c>
      <c r="F1205" s="5">
        <v>140.96</v>
      </c>
      <c r="G1205" s="7" t="s">
        <v>1579</v>
      </c>
      <c r="H1205" s="7" t="s">
        <v>1578</v>
      </c>
      <c r="I1205" s="8" t="s">
        <v>2660</v>
      </c>
      <c r="K1205">
        <f>IF($A1205="","",IF(ISNUMBER($A1205),MONTH($A1205),MONTH(DATEVALUE($A1205))))</f>
        <v>5</v>
      </c>
    </row>
    <row r="1206" spans="1:11" ht="60" customHeight="1" x14ac:dyDescent="0.25">
      <c r="A1206" s="8" t="s">
        <v>1577</v>
      </c>
      <c r="B1206" s="8" t="s">
        <v>0</v>
      </c>
      <c r="C1206" s="8" t="s">
        <v>1515</v>
      </c>
      <c r="D1206" s="8" t="s">
        <v>4</v>
      </c>
      <c r="E1206" s="8" t="s">
        <v>18</v>
      </c>
      <c r="F1206" s="6">
        <v>948.81</v>
      </c>
      <c r="G1206" s="8" t="s">
        <v>1580</v>
      </c>
      <c r="H1206" s="8" t="s">
        <v>1515</v>
      </c>
      <c r="I1206" s="8" t="s">
        <v>2660</v>
      </c>
      <c r="K1206">
        <f>IF($A1206="","",IF(ISNUMBER($A1206),MONTH($A1206),MONTH(DATEVALUE($A1206))))</f>
        <v>5</v>
      </c>
    </row>
    <row r="1207" spans="1:11" ht="60" customHeight="1" x14ac:dyDescent="0.25">
      <c r="A1207" s="7" t="s">
        <v>1577</v>
      </c>
      <c r="B1207" s="7" t="s">
        <v>0</v>
      </c>
      <c r="C1207" s="7" t="s">
        <v>124</v>
      </c>
      <c r="D1207" s="7" t="s">
        <v>1113</v>
      </c>
      <c r="E1207" s="7" t="s">
        <v>1114</v>
      </c>
      <c r="F1207" s="5">
        <v>35</v>
      </c>
      <c r="G1207" s="7" t="s">
        <v>1581</v>
      </c>
      <c r="H1207" s="7" t="s">
        <v>124</v>
      </c>
      <c r="I1207" s="8" t="s">
        <v>2660</v>
      </c>
      <c r="K1207">
        <f>IF($A1207="","",IF(ISNUMBER($A1207),MONTH($A1207),MONTH(DATEVALUE($A1207))))</f>
        <v>5</v>
      </c>
    </row>
    <row r="1208" spans="1:11" ht="60" customHeight="1" x14ac:dyDescent="0.25">
      <c r="A1208" s="8" t="s">
        <v>1577</v>
      </c>
      <c r="B1208" s="8" t="s">
        <v>0</v>
      </c>
      <c r="C1208" s="8" t="s">
        <v>124</v>
      </c>
      <c r="D1208" s="8" t="s">
        <v>1113</v>
      </c>
      <c r="E1208" s="8" t="s">
        <v>1114</v>
      </c>
      <c r="F1208" s="6">
        <v>35</v>
      </c>
      <c r="G1208" s="8" t="s">
        <v>1582</v>
      </c>
      <c r="H1208" s="8" t="s">
        <v>124</v>
      </c>
      <c r="I1208" s="8" t="s">
        <v>2660</v>
      </c>
      <c r="K1208">
        <f>IF($A1208="","",IF(ISNUMBER($A1208),MONTH($A1208),MONTH(DATEVALUE($A1208))))</f>
        <v>5</v>
      </c>
    </row>
    <row r="1209" spans="1:11" ht="60" customHeight="1" x14ac:dyDescent="0.25">
      <c r="A1209" s="7" t="s">
        <v>1577</v>
      </c>
      <c r="B1209" s="7" t="s">
        <v>0</v>
      </c>
      <c r="C1209" s="7" t="s">
        <v>1583</v>
      </c>
      <c r="D1209" s="7" t="s">
        <v>4</v>
      </c>
      <c r="E1209" s="7" t="s">
        <v>18</v>
      </c>
      <c r="F1209" s="5">
        <v>23.88</v>
      </c>
      <c r="G1209" s="7" t="s">
        <v>1584</v>
      </c>
      <c r="H1209" s="7" t="s">
        <v>1583</v>
      </c>
      <c r="I1209" s="7" t="s">
        <v>2627</v>
      </c>
      <c r="K1209">
        <f>IF($A1209="","",IF(ISNUMBER($A1209),MONTH($A1209),MONTH(DATEVALUE($A1209))))</f>
        <v>5</v>
      </c>
    </row>
    <row r="1210" spans="1:11" ht="60" customHeight="1" x14ac:dyDescent="0.25">
      <c r="A1210" s="8" t="s">
        <v>1577</v>
      </c>
      <c r="B1210" s="8" t="s">
        <v>0</v>
      </c>
      <c r="C1210" s="8" t="s">
        <v>1585</v>
      </c>
      <c r="D1210" s="8" t="s">
        <v>4</v>
      </c>
      <c r="E1210" s="8" t="s">
        <v>18</v>
      </c>
      <c r="F1210" s="6">
        <v>203.88</v>
      </c>
      <c r="G1210" s="8" t="s">
        <v>1586</v>
      </c>
      <c r="H1210" s="8" t="s">
        <v>1585</v>
      </c>
      <c r="I1210" s="8" t="s">
        <v>2627</v>
      </c>
      <c r="K1210">
        <f>IF($A1210="","",IF(ISNUMBER($A1210),MONTH($A1210),MONTH(DATEVALUE($A1210))))</f>
        <v>5</v>
      </c>
    </row>
    <row r="1211" spans="1:11" ht="60" customHeight="1" x14ac:dyDescent="0.25">
      <c r="A1211" s="7" t="s">
        <v>1577</v>
      </c>
      <c r="B1211" s="7" t="s">
        <v>0</v>
      </c>
      <c r="C1211" s="7" t="s">
        <v>1587</v>
      </c>
      <c r="D1211" s="7" t="s">
        <v>4</v>
      </c>
      <c r="E1211" s="7" t="s">
        <v>18</v>
      </c>
      <c r="F1211" s="5">
        <v>11.45</v>
      </c>
      <c r="G1211" s="7" t="s">
        <v>1588</v>
      </c>
      <c r="H1211" s="7" t="s">
        <v>1587</v>
      </c>
      <c r="I1211" s="8" t="s">
        <v>2660</v>
      </c>
      <c r="K1211">
        <f>IF($A1211="","",IF(ISNUMBER($A1211),MONTH($A1211),MONTH(DATEVALUE($A1211))))</f>
        <v>5</v>
      </c>
    </row>
    <row r="1212" spans="1:11" ht="60" customHeight="1" x14ac:dyDescent="0.25">
      <c r="A1212" s="8" t="s">
        <v>1577</v>
      </c>
      <c r="B1212" s="8" t="s">
        <v>0</v>
      </c>
      <c r="C1212" s="8" t="s">
        <v>1589</v>
      </c>
      <c r="D1212" s="8" t="s">
        <v>4</v>
      </c>
      <c r="E1212" s="8" t="s">
        <v>18</v>
      </c>
      <c r="F1212" s="6">
        <v>105.28</v>
      </c>
      <c r="G1212" s="8" t="s">
        <v>1590</v>
      </c>
      <c r="H1212" s="8" t="s">
        <v>1589</v>
      </c>
      <c r="I1212" s="8" t="s">
        <v>2660</v>
      </c>
      <c r="K1212">
        <f>IF($A1212="","",IF(ISNUMBER($A1212),MONTH($A1212),MONTH(DATEVALUE($A1212))))</f>
        <v>5</v>
      </c>
    </row>
    <row r="1213" spans="1:11" ht="60" customHeight="1" x14ac:dyDescent="0.25">
      <c r="A1213" s="7" t="s">
        <v>1577</v>
      </c>
      <c r="B1213" s="7" t="s">
        <v>0</v>
      </c>
      <c r="C1213" s="7" t="s">
        <v>1591</v>
      </c>
      <c r="D1213" s="7" t="s">
        <v>4</v>
      </c>
      <c r="E1213" s="7" t="s">
        <v>18</v>
      </c>
      <c r="F1213" s="5">
        <v>5.88</v>
      </c>
      <c r="G1213" s="7" t="s">
        <v>1592</v>
      </c>
      <c r="H1213" s="7" t="s">
        <v>1591</v>
      </c>
      <c r="I1213" s="8" t="s">
        <v>2660</v>
      </c>
      <c r="K1213">
        <f>IF($A1213="","",IF(ISNUMBER($A1213),MONTH($A1213),MONTH(DATEVALUE($A1213))))</f>
        <v>5</v>
      </c>
    </row>
    <row r="1214" spans="1:11" ht="60" customHeight="1" x14ac:dyDescent="0.25">
      <c r="A1214" s="8" t="s">
        <v>1577</v>
      </c>
      <c r="B1214" s="8" t="s">
        <v>0</v>
      </c>
      <c r="C1214" s="8" t="s">
        <v>1591</v>
      </c>
      <c r="D1214" s="8" t="s">
        <v>4</v>
      </c>
      <c r="E1214" s="8" t="s">
        <v>18</v>
      </c>
      <c r="F1214" s="6">
        <v>105.25</v>
      </c>
      <c r="G1214" s="8" t="s">
        <v>1592</v>
      </c>
      <c r="H1214" s="8" t="s">
        <v>1591</v>
      </c>
      <c r="I1214" s="8" t="s">
        <v>2660</v>
      </c>
      <c r="K1214">
        <f>IF($A1214="","",IF(ISNUMBER($A1214),MONTH($A1214),MONTH(DATEVALUE($A1214))))</f>
        <v>5</v>
      </c>
    </row>
    <row r="1215" spans="1:11" ht="60" customHeight="1" x14ac:dyDescent="0.25">
      <c r="A1215" s="7" t="s">
        <v>1593</v>
      </c>
      <c r="B1215" s="7" t="s">
        <v>0</v>
      </c>
      <c r="C1215" s="7" t="s">
        <v>1096</v>
      </c>
      <c r="D1215" s="7" t="s">
        <v>4</v>
      </c>
      <c r="E1215" s="7" t="s">
        <v>18</v>
      </c>
      <c r="F1215" s="5">
        <v>-317.85000000000002</v>
      </c>
      <c r="G1215" s="7" t="s">
        <v>1101</v>
      </c>
      <c r="H1215" s="7" t="s">
        <v>1096</v>
      </c>
      <c r="I1215" s="7" t="s">
        <v>2647</v>
      </c>
      <c r="K1215">
        <f>IF($A1215="","",IF(ISNUMBER($A1215),MONTH($A1215),MONTH(DATEVALUE($A1215))))</f>
        <v>5</v>
      </c>
    </row>
    <row r="1216" spans="1:11" ht="60" customHeight="1" x14ac:dyDescent="0.25">
      <c r="A1216" s="8" t="s">
        <v>1593</v>
      </c>
      <c r="B1216" s="8" t="s">
        <v>0</v>
      </c>
      <c r="C1216" s="8" t="s">
        <v>1096</v>
      </c>
      <c r="D1216" s="8" t="s">
        <v>4</v>
      </c>
      <c r="E1216" s="8" t="s">
        <v>18</v>
      </c>
      <c r="F1216" s="6">
        <v>-206.95</v>
      </c>
      <c r="G1216" s="8" t="s">
        <v>1101</v>
      </c>
      <c r="H1216" s="8" t="s">
        <v>1096</v>
      </c>
      <c r="I1216" s="8" t="s">
        <v>2647</v>
      </c>
      <c r="K1216">
        <f>IF($A1216="","",IF(ISNUMBER($A1216),MONTH($A1216),MONTH(DATEVALUE($A1216))))</f>
        <v>5</v>
      </c>
    </row>
    <row r="1217" spans="1:11" ht="60" customHeight="1" x14ac:dyDescent="0.25">
      <c r="A1217" s="7" t="s">
        <v>1593</v>
      </c>
      <c r="B1217" s="7" t="s">
        <v>0</v>
      </c>
      <c r="C1217" s="7" t="s">
        <v>1102</v>
      </c>
      <c r="D1217" s="7" t="s">
        <v>4</v>
      </c>
      <c r="E1217" s="7" t="s">
        <v>18</v>
      </c>
      <c r="F1217" s="5">
        <v>206.95</v>
      </c>
      <c r="G1217" s="7" t="s">
        <v>1594</v>
      </c>
      <c r="H1217" s="7" t="s">
        <v>1096</v>
      </c>
      <c r="I1217" s="7" t="s">
        <v>2647</v>
      </c>
      <c r="K1217">
        <f>IF($A1217="","",IF(ISNUMBER($A1217),MONTH($A1217),MONTH(DATEVALUE($A1217))))</f>
        <v>5</v>
      </c>
    </row>
    <row r="1218" spans="1:11" ht="60" customHeight="1" x14ac:dyDescent="0.25">
      <c r="A1218" s="8" t="s">
        <v>1593</v>
      </c>
      <c r="B1218" s="8" t="s">
        <v>0</v>
      </c>
      <c r="C1218" s="8" t="s">
        <v>1102</v>
      </c>
      <c r="D1218" s="8" t="s">
        <v>4</v>
      </c>
      <c r="E1218" s="8" t="s">
        <v>18</v>
      </c>
      <c r="F1218" s="6">
        <v>317.85000000000002</v>
      </c>
      <c r="G1218" s="8" t="s">
        <v>1595</v>
      </c>
      <c r="H1218" s="8" t="s">
        <v>1096</v>
      </c>
      <c r="I1218" s="8" t="s">
        <v>2647</v>
      </c>
      <c r="K1218">
        <f>IF($A1218="","",IF(ISNUMBER($A1218),MONTH($A1218),MONTH(DATEVALUE($A1218))))</f>
        <v>5</v>
      </c>
    </row>
    <row r="1219" spans="1:11" ht="60" customHeight="1" x14ac:dyDescent="0.25">
      <c r="A1219" s="7" t="s">
        <v>1593</v>
      </c>
      <c r="B1219" s="7" t="s">
        <v>0</v>
      </c>
      <c r="C1219" s="7" t="s">
        <v>1596</v>
      </c>
      <c r="D1219" s="7" t="s">
        <v>1113</v>
      </c>
      <c r="E1219" s="7" t="s">
        <v>1114</v>
      </c>
      <c r="F1219" s="5">
        <v>72.38</v>
      </c>
      <c r="G1219" s="7" t="s">
        <v>1597</v>
      </c>
      <c r="H1219" s="7" t="s">
        <v>1596</v>
      </c>
      <c r="I1219" s="8" t="s">
        <v>2660</v>
      </c>
      <c r="K1219">
        <f>IF($A1219="","",IF(ISNUMBER($A1219),MONTH($A1219),MONTH(DATEVALUE($A1219))))</f>
        <v>5</v>
      </c>
    </row>
    <row r="1220" spans="1:11" ht="60" customHeight="1" x14ac:dyDescent="0.25">
      <c r="A1220" s="8" t="s">
        <v>1593</v>
      </c>
      <c r="B1220" s="8" t="s">
        <v>0</v>
      </c>
      <c r="C1220" s="8" t="s">
        <v>1596</v>
      </c>
      <c r="D1220" s="8" t="s">
        <v>1113</v>
      </c>
      <c r="E1220" s="8" t="s">
        <v>1114</v>
      </c>
      <c r="F1220" s="6">
        <v>72.38</v>
      </c>
      <c r="G1220" s="8" t="s">
        <v>1598</v>
      </c>
      <c r="H1220" s="8" t="s">
        <v>1596</v>
      </c>
      <c r="I1220" s="8" t="s">
        <v>2660</v>
      </c>
      <c r="K1220">
        <f>IF($A1220="","",IF(ISNUMBER($A1220),MONTH($A1220),MONTH(DATEVALUE($A1220))))</f>
        <v>5</v>
      </c>
    </row>
    <row r="1221" spans="1:11" ht="60" customHeight="1" x14ac:dyDescent="0.25">
      <c r="A1221" s="7" t="s">
        <v>1593</v>
      </c>
      <c r="B1221" s="7" t="s">
        <v>0</v>
      </c>
      <c r="C1221" s="7" t="s">
        <v>1596</v>
      </c>
      <c r="D1221" s="7" t="s">
        <v>1113</v>
      </c>
      <c r="E1221" s="7" t="s">
        <v>1114</v>
      </c>
      <c r="F1221" s="5">
        <v>82.06</v>
      </c>
      <c r="G1221" s="7" t="s">
        <v>1599</v>
      </c>
      <c r="H1221" s="7" t="s">
        <v>1596</v>
      </c>
      <c r="I1221" s="8" t="s">
        <v>2660</v>
      </c>
      <c r="K1221">
        <f>IF($A1221="","",IF(ISNUMBER($A1221),MONTH($A1221),MONTH(DATEVALUE($A1221))))</f>
        <v>5</v>
      </c>
    </row>
    <row r="1222" spans="1:11" ht="60" customHeight="1" x14ac:dyDescent="0.25">
      <c r="A1222" s="8" t="s">
        <v>1593</v>
      </c>
      <c r="B1222" s="8" t="s">
        <v>0</v>
      </c>
      <c r="C1222" s="8" t="s">
        <v>1596</v>
      </c>
      <c r="D1222" s="8" t="s">
        <v>1113</v>
      </c>
      <c r="E1222" s="8" t="s">
        <v>1114</v>
      </c>
      <c r="F1222" s="6">
        <v>82.06</v>
      </c>
      <c r="G1222" s="8" t="s">
        <v>1600</v>
      </c>
      <c r="H1222" s="8" t="s">
        <v>1596</v>
      </c>
      <c r="I1222" s="8" t="s">
        <v>2660</v>
      </c>
      <c r="K1222">
        <f>IF($A1222="","",IF(ISNUMBER($A1222),MONTH($A1222),MONTH(DATEVALUE($A1222))))</f>
        <v>5</v>
      </c>
    </row>
    <row r="1223" spans="1:11" ht="60" customHeight="1" x14ac:dyDescent="0.25">
      <c r="A1223" s="7" t="s">
        <v>1593</v>
      </c>
      <c r="B1223" s="7" t="s">
        <v>0</v>
      </c>
      <c r="C1223" s="7" t="s">
        <v>1596</v>
      </c>
      <c r="D1223" s="7" t="s">
        <v>1113</v>
      </c>
      <c r="E1223" s="7" t="s">
        <v>1114</v>
      </c>
      <c r="F1223" s="5">
        <v>82.06</v>
      </c>
      <c r="G1223" s="7" t="s">
        <v>1601</v>
      </c>
      <c r="H1223" s="7" t="s">
        <v>1596</v>
      </c>
      <c r="I1223" s="8" t="s">
        <v>2660</v>
      </c>
      <c r="K1223">
        <f>IF($A1223="","",IF(ISNUMBER($A1223),MONTH($A1223),MONTH(DATEVALUE($A1223))))</f>
        <v>5</v>
      </c>
    </row>
    <row r="1224" spans="1:11" ht="60" customHeight="1" x14ac:dyDescent="0.25">
      <c r="A1224" s="8" t="s">
        <v>1602</v>
      </c>
      <c r="B1224" s="8" t="s">
        <v>0</v>
      </c>
      <c r="C1224" s="8" t="s">
        <v>1096</v>
      </c>
      <c r="D1224" s="8" t="s">
        <v>4</v>
      </c>
      <c r="E1224" s="8" t="s">
        <v>18</v>
      </c>
      <c r="F1224" s="6">
        <v>-439.6</v>
      </c>
      <c r="G1224" s="8" t="s">
        <v>1101</v>
      </c>
      <c r="H1224" s="8" t="s">
        <v>1096</v>
      </c>
      <c r="I1224" s="8" t="s">
        <v>2647</v>
      </c>
      <c r="K1224">
        <f>IF($A1224="","",IF(ISNUMBER($A1224),MONTH($A1224),MONTH(DATEVALUE($A1224))))</f>
        <v>5</v>
      </c>
    </row>
    <row r="1225" spans="1:11" ht="60" customHeight="1" x14ac:dyDescent="0.25">
      <c r="A1225" s="7" t="s">
        <v>1602</v>
      </c>
      <c r="B1225" s="7" t="s">
        <v>0</v>
      </c>
      <c r="C1225" s="7" t="s">
        <v>1102</v>
      </c>
      <c r="D1225" s="7" t="s">
        <v>4</v>
      </c>
      <c r="E1225" s="7" t="s">
        <v>18</v>
      </c>
      <c r="F1225" s="5">
        <v>439.6</v>
      </c>
      <c r="G1225" s="7" t="s">
        <v>1603</v>
      </c>
      <c r="H1225" s="7" t="s">
        <v>1096</v>
      </c>
      <c r="I1225" s="7" t="s">
        <v>2647</v>
      </c>
      <c r="K1225">
        <f>IF($A1225="","",IF(ISNUMBER($A1225),MONTH($A1225),MONTH(DATEVALUE($A1225))))</f>
        <v>5</v>
      </c>
    </row>
    <row r="1226" spans="1:11" ht="60" customHeight="1" x14ac:dyDescent="0.25">
      <c r="A1226" s="8" t="s">
        <v>1602</v>
      </c>
      <c r="B1226" s="8" t="s">
        <v>0</v>
      </c>
      <c r="C1226" s="8" t="s">
        <v>1604</v>
      </c>
      <c r="D1226" s="8" t="s">
        <v>4</v>
      </c>
      <c r="E1226" s="8" t="s">
        <v>18</v>
      </c>
      <c r="F1226" s="6">
        <v>197.02</v>
      </c>
      <c r="G1226" s="8" t="s">
        <v>1605</v>
      </c>
      <c r="H1226" s="8" t="s">
        <v>1604</v>
      </c>
      <c r="I1226" s="8" t="s">
        <v>2633</v>
      </c>
      <c r="K1226">
        <f>IF($A1226="","",IF(ISNUMBER($A1226),MONTH($A1226),MONTH(DATEVALUE($A1226))))</f>
        <v>5</v>
      </c>
    </row>
    <row r="1227" spans="1:11" ht="60" customHeight="1" x14ac:dyDescent="0.25">
      <c r="A1227" s="7" t="s">
        <v>1602</v>
      </c>
      <c r="B1227" s="7" t="s">
        <v>0</v>
      </c>
      <c r="C1227" s="7" t="s">
        <v>44</v>
      </c>
      <c r="D1227" s="7" t="s">
        <v>4</v>
      </c>
      <c r="E1227" s="7" t="s">
        <v>18</v>
      </c>
      <c r="F1227" s="5">
        <v>584</v>
      </c>
      <c r="G1227" s="7" t="s">
        <v>1606</v>
      </c>
      <c r="H1227" s="7" t="s">
        <v>44</v>
      </c>
      <c r="I1227" s="7" t="s">
        <v>2630</v>
      </c>
      <c r="K1227">
        <f>IF($A1227="","",IF(ISNUMBER($A1227),MONTH($A1227),MONTH(DATEVALUE($A1227))))</f>
        <v>5</v>
      </c>
    </row>
    <row r="1228" spans="1:11" ht="60" customHeight="1" x14ac:dyDescent="0.25">
      <c r="A1228" s="8" t="s">
        <v>1602</v>
      </c>
      <c r="B1228" s="8" t="s">
        <v>0</v>
      </c>
      <c r="C1228" s="8" t="s">
        <v>1607</v>
      </c>
      <c r="D1228" s="8" t="s">
        <v>4</v>
      </c>
      <c r="E1228" s="8" t="s">
        <v>18</v>
      </c>
      <c r="F1228" s="6">
        <v>17.97</v>
      </c>
      <c r="G1228" s="8" t="s">
        <v>1608</v>
      </c>
      <c r="H1228" s="8" t="s">
        <v>1607</v>
      </c>
      <c r="I1228" s="8" t="s">
        <v>2627</v>
      </c>
      <c r="K1228">
        <f>IF($A1228="","",IF(ISNUMBER($A1228),MONTH($A1228),MONTH(DATEVALUE($A1228))))</f>
        <v>5</v>
      </c>
    </row>
    <row r="1229" spans="1:11" ht="60" customHeight="1" x14ac:dyDescent="0.25">
      <c r="A1229" s="7" t="s">
        <v>1609</v>
      </c>
      <c r="B1229" s="7" t="s">
        <v>0</v>
      </c>
      <c r="C1229" s="7" t="s">
        <v>1096</v>
      </c>
      <c r="D1229" s="7" t="s">
        <v>4</v>
      </c>
      <c r="E1229" s="7" t="s">
        <v>18</v>
      </c>
      <c r="F1229" s="5">
        <v>-33.51</v>
      </c>
      <c r="G1229" s="7" t="s">
        <v>1101</v>
      </c>
      <c r="H1229" s="7" t="s">
        <v>1096</v>
      </c>
      <c r="I1229" s="7" t="s">
        <v>2647</v>
      </c>
      <c r="K1229">
        <f>IF($A1229="","",IF(ISNUMBER($A1229),MONTH($A1229),MONTH(DATEVALUE($A1229))))</f>
        <v>5</v>
      </c>
    </row>
    <row r="1230" spans="1:11" ht="60" customHeight="1" x14ac:dyDescent="0.25">
      <c r="A1230" s="8" t="s">
        <v>1609</v>
      </c>
      <c r="B1230" s="8" t="s">
        <v>0</v>
      </c>
      <c r="C1230" s="8" t="s">
        <v>1102</v>
      </c>
      <c r="D1230" s="8" t="s">
        <v>4</v>
      </c>
      <c r="E1230" s="8" t="s">
        <v>18</v>
      </c>
      <c r="F1230" s="6">
        <v>33.51</v>
      </c>
      <c r="G1230" s="8" t="s">
        <v>1610</v>
      </c>
      <c r="H1230" s="8" t="s">
        <v>1096</v>
      </c>
      <c r="I1230" s="8" t="s">
        <v>2647</v>
      </c>
      <c r="K1230">
        <f>IF($A1230="","",IF(ISNUMBER($A1230),MONTH($A1230),MONTH(DATEVALUE($A1230))))</f>
        <v>5</v>
      </c>
    </row>
    <row r="1231" spans="1:11" ht="60" customHeight="1" x14ac:dyDescent="0.25">
      <c r="A1231" s="7" t="s">
        <v>1609</v>
      </c>
      <c r="B1231" s="7" t="s">
        <v>0</v>
      </c>
      <c r="C1231" s="7" t="s">
        <v>1611</v>
      </c>
      <c r="D1231" s="7" t="s">
        <v>4</v>
      </c>
      <c r="E1231" s="7" t="s">
        <v>18</v>
      </c>
      <c r="F1231" s="5">
        <v>262.58</v>
      </c>
      <c r="G1231" s="7" t="s">
        <v>1612</v>
      </c>
      <c r="H1231" s="7" t="s">
        <v>1611</v>
      </c>
      <c r="I1231" s="7" t="s">
        <v>2633</v>
      </c>
      <c r="K1231">
        <f>IF($A1231="","",IF(ISNUMBER($A1231),MONTH($A1231),MONTH(DATEVALUE($A1231))))</f>
        <v>5</v>
      </c>
    </row>
    <row r="1232" spans="1:11" ht="60" customHeight="1" x14ac:dyDescent="0.25">
      <c r="A1232" s="8" t="s">
        <v>1609</v>
      </c>
      <c r="B1232" s="8" t="s">
        <v>0</v>
      </c>
      <c r="C1232" s="8" t="s">
        <v>400</v>
      </c>
      <c r="D1232" s="8" t="s">
        <v>4</v>
      </c>
      <c r="E1232" s="8" t="s">
        <v>18</v>
      </c>
      <c r="F1232" s="6">
        <v>53.64</v>
      </c>
      <c r="G1232" s="8" t="s">
        <v>1613</v>
      </c>
      <c r="H1232" s="8" t="s">
        <v>400</v>
      </c>
      <c r="I1232" s="8" t="s">
        <v>2633</v>
      </c>
      <c r="K1232">
        <f>IF($A1232="","",IF(ISNUMBER($A1232),MONTH($A1232),MONTH(DATEVALUE($A1232))))</f>
        <v>5</v>
      </c>
    </row>
    <row r="1233" spans="1:11" ht="60" customHeight="1" x14ac:dyDescent="0.25">
      <c r="A1233" s="7" t="s">
        <v>1614</v>
      </c>
      <c r="B1233" s="7" t="s">
        <v>0</v>
      </c>
      <c r="C1233" s="7" t="s">
        <v>1096</v>
      </c>
      <c r="D1233" s="7" t="s">
        <v>4</v>
      </c>
      <c r="E1233" s="7" t="s">
        <v>18</v>
      </c>
      <c r="F1233" s="5">
        <v>-620.85</v>
      </c>
      <c r="G1233" s="7" t="s">
        <v>1101</v>
      </c>
      <c r="H1233" s="7" t="s">
        <v>1096</v>
      </c>
      <c r="I1233" s="7" t="s">
        <v>2647</v>
      </c>
      <c r="K1233">
        <f>IF($A1233="","",IF(ISNUMBER($A1233),MONTH($A1233),MONTH(DATEVALUE($A1233))))</f>
        <v>5</v>
      </c>
    </row>
    <row r="1234" spans="1:11" ht="60" customHeight="1" x14ac:dyDescent="0.25">
      <c r="A1234" s="8" t="s">
        <v>1614</v>
      </c>
      <c r="B1234" s="8" t="s">
        <v>0</v>
      </c>
      <c r="C1234" s="8" t="s">
        <v>1096</v>
      </c>
      <c r="D1234" s="8" t="s">
        <v>4</v>
      </c>
      <c r="E1234" s="8" t="s">
        <v>18</v>
      </c>
      <c r="F1234" s="6">
        <v>-27.05</v>
      </c>
      <c r="G1234" s="8" t="s">
        <v>1101</v>
      </c>
      <c r="H1234" s="8" t="s">
        <v>1096</v>
      </c>
      <c r="I1234" s="8" t="s">
        <v>2647</v>
      </c>
      <c r="K1234">
        <f>IF($A1234="","",IF(ISNUMBER($A1234),MONTH($A1234),MONTH(DATEVALUE($A1234))))</f>
        <v>5</v>
      </c>
    </row>
    <row r="1235" spans="1:11" ht="60" customHeight="1" x14ac:dyDescent="0.25">
      <c r="A1235" s="7" t="s">
        <v>1614</v>
      </c>
      <c r="B1235" s="7" t="s">
        <v>0</v>
      </c>
      <c r="C1235" s="7" t="s">
        <v>1102</v>
      </c>
      <c r="D1235" s="7" t="s">
        <v>4</v>
      </c>
      <c r="E1235" s="7" t="s">
        <v>18</v>
      </c>
      <c r="F1235" s="5">
        <v>27.05</v>
      </c>
      <c r="G1235" s="7" t="s">
        <v>1615</v>
      </c>
      <c r="H1235" s="7" t="s">
        <v>1096</v>
      </c>
      <c r="I1235" s="7" t="s">
        <v>2647</v>
      </c>
      <c r="K1235">
        <f>IF($A1235="","",IF(ISNUMBER($A1235),MONTH($A1235),MONTH(DATEVALUE($A1235))))</f>
        <v>5</v>
      </c>
    </row>
    <row r="1236" spans="1:11" ht="60" customHeight="1" x14ac:dyDescent="0.25">
      <c r="A1236" s="8" t="s">
        <v>1614</v>
      </c>
      <c r="B1236" s="8" t="s">
        <v>0</v>
      </c>
      <c r="C1236" s="8" t="s">
        <v>1102</v>
      </c>
      <c r="D1236" s="8" t="s">
        <v>4</v>
      </c>
      <c r="E1236" s="8" t="s">
        <v>18</v>
      </c>
      <c r="F1236" s="6">
        <v>620.85</v>
      </c>
      <c r="G1236" s="8" t="s">
        <v>1616</v>
      </c>
      <c r="H1236" s="8" t="s">
        <v>1096</v>
      </c>
      <c r="I1236" s="8" t="s">
        <v>2647</v>
      </c>
      <c r="K1236">
        <f>IF($A1236="","",IF(ISNUMBER($A1236),MONTH($A1236),MONTH(DATEVALUE($A1236))))</f>
        <v>5</v>
      </c>
    </row>
    <row r="1237" spans="1:11" ht="60" customHeight="1" x14ac:dyDescent="0.25">
      <c r="A1237" s="7" t="s">
        <v>1614</v>
      </c>
      <c r="B1237" s="7" t="s">
        <v>0</v>
      </c>
      <c r="C1237" s="7" t="s">
        <v>1617</v>
      </c>
      <c r="D1237" s="7" t="s">
        <v>4</v>
      </c>
      <c r="E1237" s="7" t="s">
        <v>18</v>
      </c>
      <c r="F1237" s="5">
        <v>73.19</v>
      </c>
      <c r="G1237" s="7" t="s">
        <v>1618</v>
      </c>
      <c r="H1237" s="7" t="s">
        <v>1617</v>
      </c>
      <c r="I1237" s="7" t="s">
        <v>2634</v>
      </c>
      <c r="K1237">
        <f>IF($A1237="","",IF(ISNUMBER($A1237),MONTH($A1237),MONTH(DATEVALUE($A1237))))</f>
        <v>5</v>
      </c>
    </row>
    <row r="1238" spans="1:11" ht="60" customHeight="1" x14ac:dyDescent="0.25">
      <c r="A1238" s="8" t="s">
        <v>1614</v>
      </c>
      <c r="B1238" s="8" t="s">
        <v>0</v>
      </c>
      <c r="C1238" s="8" t="s">
        <v>1619</v>
      </c>
      <c r="D1238" s="8" t="s">
        <v>4</v>
      </c>
      <c r="E1238" s="8" t="s">
        <v>18</v>
      </c>
      <c r="F1238" s="6">
        <v>15.98</v>
      </c>
      <c r="G1238" s="8" t="s">
        <v>1620</v>
      </c>
      <c r="H1238" s="8" t="s">
        <v>1619</v>
      </c>
      <c r="I1238" s="8" t="s">
        <v>2627</v>
      </c>
      <c r="K1238">
        <f>IF($A1238="","",IF(ISNUMBER($A1238),MONTH($A1238),MONTH(DATEVALUE($A1238))))</f>
        <v>5</v>
      </c>
    </row>
    <row r="1239" spans="1:11" ht="60" customHeight="1" x14ac:dyDescent="0.25">
      <c r="A1239" s="7" t="s">
        <v>1614</v>
      </c>
      <c r="B1239" s="7" t="s">
        <v>0</v>
      </c>
      <c r="C1239" s="7" t="s">
        <v>1621</v>
      </c>
      <c r="D1239" s="7" t="s">
        <v>1113</v>
      </c>
      <c r="E1239" s="7" t="s">
        <v>1114</v>
      </c>
      <c r="F1239" s="5">
        <v>245</v>
      </c>
      <c r="G1239" s="7" t="s">
        <v>1622</v>
      </c>
      <c r="H1239" s="7" t="s">
        <v>1621</v>
      </c>
      <c r="I1239" s="7" t="s">
        <v>2635</v>
      </c>
      <c r="K1239">
        <f>IF($A1239="","",IF(ISNUMBER($A1239),MONTH($A1239),MONTH(DATEVALUE($A1239))))</f>
        <v>5</v>
      </c>
    </row>
    <row r="1240" spans="1:11" ht="60" customHeight="1" x14ac:dyDescent="0.25">
      <c r="A1240" s="8" t="s">
        <v>1614</v>
      </c>
      <c r="B1240" s="8" t="s">
        <v>0</v>
      </c>
      <c r="C1240" s="8" t="s">
        <v>410</v>
      </c>
      <c r="D1240" s="8" t="s">
        <v>4</v>
      </c>
      <c r="E1240" s="8" t="s">
        <v>18</v>
      </c>
      <c r="F1240" s="6">
        <v>18.39</v>
      </c>
      <c r="G1240" s="8" t="s">
        <v>1623</v>
      </c>
      <c r="H1240" s="8" t="s">
        <v>410</v>
      </c>
      <c r="I1240" s="8" t="s">
        <v>2635</v>
      </c>
      <c r="K1240">
        <f>IF($A1240="","",IF(ISNUMBER($A1240),MONTH($A1240),MONTH(DATEVALUE($A1240))))</f>
        <v>5</v>
      </c>
    </row>
    <row r="1241" spans="1:11" ht="60" customHeight="1" x14ac:dyDescent="0.25">
      <c r="A1241" s="7" t="s">
        <v>1624</v>
      </c>
      <c r="B1241" s="7" t="s">
        <v>0</v>
      </c>
      <c r="C1241" s="7" t="s">
        <v>1096</v>
      </c>
      <c r="D1241" s="7" t="s">
        <v>4</v>
      </c>
      <c r="E1241" s="7" t="s">
        <v>18</v>
      </c>
      <c r="F1241" s="5">
        <v>-468.44</v>
      </c>
      <c r="G1241" s="7" t="s">
        <v>1101</v>
      </c>
      <c r="H1241" s="7" t="s">
        <v>1096</v>
      </c>
      <c r="I1241" s="7" t="s">
        <v>2647</v>
      </c>
      <c r="K1241">
        <f>IF($A1241="","",IF(ISNUMBER($A1241),MONTH($A1241),MONTH(DATEVALUE($A1241))))</f>
        <v>5</v>
      </c>
    </row>
    <row r="1242" spans="1:11" ht="60" customHeight="1" x14ac:dyDescent="0.25">
      <c r="A1242" s="8" t="s">
        <v>1624</v>
      </c>
      <c r="B1242" s="8" t="s">
        <v>0</v>
      </c>
      <c r="C1242" s="8" t="s">
        <v>1102</v>
      </c>
      <c r="D1242" s="8" t="s">
        <v>4</v>
      </c>
      <c r="E1242" s="8" t="s">
        <v>18</v>
      </c>
      <c r="F1242" s="6">
        <v>468.44</v>
      </c>
      <c r="G1242" s="8" t="s">
        <v>1625</v>
      </c>
      <c r="H1242" s="8" t="s">
        <v>1096</v>
      </c>
      <c r="I1242" s="8" t="s">
        <v>2647</v>
      </c>
      <c r="K1242">
        <f>IF($A1242="","",IF(ISNUMBER($A1242),MONTH($A1242),MONTH(DATEVALUE($A1242))))</f>
        <v>5</v>
      </c>
    </row>
    <row r="1243" spans="1:11" ht="60" customHeight="1" x14ac:dyDescent="0.25">
      <c r="A1243" s="7" t="s">
        <v>1624</v>
      </c>
      <c r="B1243" s="7" t="s">
        <v>0</v>
      </c>
      <c r="C1243" s="7" t="s">
        <v>1626</v>
      </c>
      <c r="D1243" s="7" t="s">
        <v>4</v>
      </c>
      <c r="E1243" s="7" t="s">
        <v>18</v>
      </c>
      <c r="F1243" s="5">
        <v>13.98</v>
      </c>
      <c r="G1243" s="7" t="s">
        <v>1627</v>
      </c>
      <c r="H1243" s="7" t="s">
        <v>1626</v>
      </c>
      <c r="I1243" s="7" t="s">
        <v>2627</v>
      </c>
      <c r="K1243">
        <f>IF($A1243="","",IF(ISNUMBER($A1243),MONTH($A1243),MONTH(DATEVALUE($A1243))))</f>
        <v>5</v>
      </c>
    </row>
    <row r="1244" spans="1:11" ht="60" customHeight="1" x14ac:dyDescent="0.25">
      <c r="A1244" s="8" t="s">
        <v>1624</v>
      </c>
      <c r="B1244" s="8" t="s">
        <v>0</v>
      </c>
      <c r="C1244" s="8" t="s">
        <v>413</v>
      </c>
      <c r="D1244" s="8" t="s">
        <v>4</v>
      </c>
      <c r="E1244" s="8" t="s">
        <v>18</v>
      </c>
      <c r="F1244" s="6">
        <v>364.18</v>
      </c>
      <c r="G1244" s="8" t="s">
        <v>1628</v>
      </c>
      <c r="H1244" s="8" t="s">
        <v>413</v>
      </c>
      <c r="I1244" s="8" t="s">
        <v>2633</v>
      </c>
      <c r="K1244">
        <f>IF($A1244="","",IF(ISNUMBER($A1244),MONTH($A1244),MONTH(DATEVALUE($A1244))))</f>
        <v>5</v>
      </c>
    </row>
    <row r="1245" spans="1:11" ht="60" customHeight="1" x14ac:dyDescent="0.25">
      <c r="A1245" s="7" t="s">
        <v>1624</v>
      </c>
      <c r="B1245" s="7" t="s">
        <v>0</v>
      </c>
      <c r="C1245" s="7" t="s">
        <v>417</v>
      </c>
      <c r="D1245" s="7" t="s">
        <v>4</v>
      </c>
      <c r="E1245" s="7" t="s">
        <v>18</v>
      </c>
      <c r="F1245" s="5">
        <v>35</v>
      </c>
      <c r="G1245" s="7" t="s">
        <v>1629</v>
      </c>
      <c r="H1245" s="7" t="s">
        <v>417</v>
      </c>
      <c r="I1245" s="7" t="s">
        <v>2633</v>
      </c>
      <c r="K1245">
        <f>IF($A1245="","",IF(ISNUMBER($A1245),MONTH($A1245),MONTH(DATEVALUE($A1245))))</f>
        <v>5</v>
      </c>
    </row>
    <row r="1246" spans="1:11" ht="60" customHeight="1" x14ac:dyDescent="0.25">
      <c r="A1246" s="8" t="s">
        <v>1624</v>
      </c>
      <c r="B1246" s="8" t="s">
        <v>0</v>
      </c>
      <c r="C1246" s="8" t="s">
        <v>1630</v>
      </c>
      <c r="D1246" s="8" t="s">
        <v>1113</v>
      </c>
      <c r="E1246" s="8" t="s">
        <v>1114</v>
      </c>
      <c r="F1246" s="6">
        <v>361.71</v>
      </c>
      <c r="G1246" s="8" t="s">
        <v>1631</v>
      </c>
      <c r="H1246" s="8" t="s">
        <v>1630</v>
      </c>
      <c r="I1246" s="8" t="s">
        <v>2639</v>
      </c>
      <c r="K1246">
        <f>IF($A1246="","",IF(ISNUMBER($A1246),MONTH($A1246),MONTH(DATEVALUE($A1246))))</f>
        <v>5</v>
      </c>
    </row>
    <row r="1247" spans="1:11" ht="60" customHeight="1" x14ac:dyDescent="0.25">
      <c r="A1247" s="7" t="s">
        <v>1624</v>
      </c>
      <c r="B1247" s="7" t="s">
        <v>0</v>
      </c>
      <c r="C1247" s="7" t="s">
        <v>1632</v>
      </c>
      <c r="D1247" s="7" t="s">
        <v>4</v>
      </c>
      <c r="E1247" s="7" t="s">
        <v>18</v>
      </c>
      <c r="F1247" s="5">
        <v>1802.5</v>
      </c>
      <c r="G1247" s="7" t="s">
        <v>1633</v>
      </c>
      <c r="H1247" s="7" t="s">
        <v>1632</v>
      </c>
      <c r="I1247" s="7" t="s">
        <v>2661</v>
      </c>
      <c r="K1247">
        <f>IF($A1247="","",IF(ISNUMBER($A1247),MONTH($A1247),MONTH(DATEVALUE($A1247))))</f>
        <v>5</v>
      </c>
    </row>
    <row r="1248" spans="1:11" ht="60" customHeight="1" x14ac:dyDescent="0.25">
      <c r="A1248" s="8" t="s">
        <v>1634</v>
      </c>
      <c r="B1248" s="8" t="s">
        <v>0</v>
      </c>
      <c r="C1248" s="8" t="s">
        <v>1635</v>
      </c>
      <c r="D1248" s="8" t="s">
        <v>4</v>
      </c>
      <c r="E1248" s="8" t="s">
        <v>18</v>
      </c>
      <c r="F1248" s="6">
        <v>-432.98</v>
      </c>
      <c r="G1248" s="8" t="s">
        <v>1636</v>
      </c>
      <c r="H1248" s="8" t="s">
        <v>1635</v>
      </c>
      <c r="I1248" s="8" t="s">
        <v>2662</v>
      </c>
      <c r="K1248">
        <f>IF($A1248="","",IF(ISNUMBER($A1248),MONTH($A1248),MONTH(DATEVALUE($A1248))))</f>
        <v>5</v>
      </c>
    </row>
    <row r="1249" spans="1:11" ht="60" customHeight="1" x14ac:dyDescent="0.25">
      <c r="A1249" s="7" t="s">
        <v>1634</v>
      </c>
      <c r="B1249" s="7" t="s">
        <v>0</v>
      </c>
      <c r="C1249" s="7" t="s">
        <v>1635</v>
      </c>
      <c r="D1249" s="7" t="s">
        <v>4</v>
      </c>
      <c r="E1249" s="7" t="s">
        <v>18</v>
      </c>
      <c r="F1249" s="5">
        <v>378.86</v>
      </c>
      <c r="G1249" s="7" t="s">
        <v>1637</v>
      </c>
      <c r="H1249" s="7" t="s">
        <v>1635</v>
      </c>
      <c r="I1249" s="7" t="s">
        <v>2662</v>
      </c>
      <c r="K1249">
        <f>IF($A1249="","",IF(ISNUMBER($A1249),MONTH($A1249),MONTH(DATEVALUE($A1249))))</f>
        <v>5</v>
      </c>
    </row>
    <row r="1250" spans="1:11" ht="60" customHeight="1" x14ac:dyDescent="0.25">
      <c r="A1250" s="8" t="s">
        <v>1634</v>
      </c>
      <c r="B1250" s="8" t="s">
        <v>0</v>
      </c>
      <c r="C1250" s="8" t="s">
        <v>492</v>
      </c>
      <c r="D1250" s="8" t="s">
        <v>4</v>
      </c>
      <c r="E1250" s="8" t="s">
        <v>18</v>
      </c>
      <c r="F1250" s="6">
        <v>2000</v>
      </c>
      <c r="G1250" s="8" t="s">
        <v>1638</v>
      </c>
      <c r="H1250" s="8" t="s">
        <v>492</v>
      </c>
      <c r="I1250" s="8" t="s">
        <v>2638</v>
      </c>
      <c r="K1250">
        <f>IF($A1250="","",IF(ISNUMBER($A1250),MONTH($A1250),MONTH(DATEVALUE($A1250))))</f>
        <v>5</v>
      </c>
    </row>
    <row r="1251" spans="1:11" ht="60" customHeight="1" x14ac:dyDescent="0.25">
      <c r="A1251" s="7" t="s">
        <v>1634</v>
      </c>
      <c r="B1251" s="7" t="s">
        <v>0</v>
      </c>
      <c r="C1251" s="7" t="s">
        <v>1639</v>
      </c>
      <c r="D1251" s="7" t="s">
        <v>4</v>
      </c>
      <c r="E1251" s="7" t="s">
        <v>18</v>
      </c>
      <c r="F1251" s="5">
        <v>67.19</v>
      </c>
      <c r="G1251" s="7" t="s">
        <v>1640</v>
      </c>
      <c r="H1251" s="7" t="s">
        <v>1639</v>
      </c>
      <c r="I1251" s="7" t="s">
        <v>2633</v>
      </c>
      <c r="K1251">
        <f>IF($A1251="","",IF(ISNUMBER($A1251),MONTH($A1251),MONTH(DATEVALUE($A1251))))</f>
        <v>5</v>
      </c>
    </row>
    <row r="1252" spans="1:11" ht="60" customHeight="1" x14ac:dyDescent="0.25">
      <c r="A1252" s="8" t="s">
        <v>1634</v>
      </c>
      <c r="B1252" s="8" t="s">
        <v>0</v>
      </c>
      <c r="C1252" s="8" t="s">
        <v>61</v>
      </c>
      <c r="D1252" s="8" t="s">
        <v>4</v>
      </c>
      <c r="E1252" s="8" t="s">
        <v>18</v>
      </c>
      <c r="F1252" s="6">
        <v>50</v>
      </c>
      <c r="G1252" s="8" t="s">
        <v>1641</v>
      </c>
      <c r="H1252" s="8" t="s">
        <v>61</v>
      </c>
      <c r="I1252" s="8" t="s">
        <v>2630</v>
      </c>
      <c r="K1252">
        <f>IF($A1252="","",IF(ISNUMBER($A1252),MONTH($A1252),MONTH(DATEVALUE($A1252))))</f>
        <v>5</v>
      </c>
    </row>
    <row r="1253" spans="1:11" ht="60" customHeight="1" x14ac:dyDescent="0.25">
      <c r="A1253" s="7" t="s">
        <v>1634</v>
      </c>
      <c r="B1253" s="7" t="s">
        <v>0</v>
      </c>
      <c r="C1253" s="7" t="s">
        <v>887</v>
      </c>
      <c r="D1253" s="7" t="s">
        <v>4</v>
      </c>
      <c r="E1253" s="7" t="s">
        <v>18</v>
      </c>
      <c r="F1253" s="5">
        <v>12.67</v>
      </c>
      <c r="G1253" s="7" t="s">
        <v>1642</v>
      </c>
      <c r="H1253" s="7" t="s">
        <v>887</v>
      </c>
      <c r="I1253" s="7" t="s">
        <v>2645</v>
      </c>
      <c r="K1253">
        <f>IF($A1253="","",IF(ISNUMBER($A1253),MONTH($A1253),MONTH(DATEVALUE($A1253))))</f>
        <v>5</v>
      </c>
    </row>
    <row r="1254" spans="1:11" ht="60" customHeight="1" x14ac:dyDescent="0.25">
      <c r="A1254" s="8" t="s">
        <v>1634</v>
      </c>
      <c r="B1254" s="8" t="s">
        <v>0</v>
      </c>
      <c r="C1254" s="8" t="s">
        <v>1643</v>
      </c>
      <c r="D1254" s="8" t="s">
        <v>4</v>
      </c>
      <c r="E1254" s="8" t="s">
        <v>18</v>
      </c>
      <c r="F1254" s="6">
        <v>63.03</v>
      </c>
      <c r="G1254" s="8" t="s">
        <v>1644</v>
      </c>
      <c r="H1254" s="8" t="s">
        <v>1643</v>
      </c>
      <c r="I1254" s="8" t="s">
        <v>2633</v>
      </c>
      <c r="K1254">
        <f>IF($A1254="","",IF(ISNUMBER($A1254),MONTH($A1254),MONTH(DATEVALUE($A1254))))</f>
        <v>5</v>
      </c>
    </row>
    <row r="1255" spans="1:11" ht="60" customHeight="1" x14ac:dyDescent="0.25">
      <c r="A1255" s="7" t="s">
        <v>1645</v>
      </c>
      <c r="B1255" s="7" t="s">
        <v>0</v>
      </c>
      <c r="C1255" s="7" t="s">
        <v>1635</v>
      </c>
      <c r="D1255" s="7" t="s">
        <v>4</v>
      </c>
      <c r="E1255" s="7" t="s">
        <v>18</v>
      </c>
      <c r="F1255" s="5">
        <v>847.79</v>
      </c>
      <c r="G1255" s="7" t="s">
        <v>1646</v>
      </c>
      <c r="H1255" s="7" t="s">
        <v>1635</v>
      </c>
      <c r="I1255" s="7" t="s">
        <v>2662</v>
      </c>
      <c r="K1255">
        <f>IF($A1255="","",IF(ISNUMBER($A1255),MONTH($A1255),MONTH(DATEVALUE($A1255))))</f>
        <v>5</v>
      </c>
    </row>
    <row r="1256" spans="1:11" ht="60" customHeight="1" x14ac:dyDescent="0.25">
      <c r="A1256" s="8" t="s">
        <v>1645</v>
      </c>
      <c r="B1256" s="8" t="s">
        <v>0</v>
      </c>
      <c r="C1256" s="8" t="s">
        <v>1647</v>
      </c>
      <c r="D1256" s="8" t="s">
        <v>4</v>
      </c>
      <c r="E1256" s="8" t="s">
        <v>18</v>
      </c>
      <c r="F1256" s="6">
        <v>8.99</v>
      </c>
      <c r="G1256" s="8" t="s">
        <v>1648</v>
      </c>
      <c r="H1256" s="8" t="s">
        <v>1647</v>
      </c>
      <c r="I1256" s="8" t="s">
        <v>2627</v>
      </c>
      <c r="K1256">
        <f>IF($A1256="","",IF(ISNUMBER($A1256),MONTH($A1256),MONTH(DATEVALUE($A1256))))</f>
        <v>5</v>
      </c>
    </row>
    <row r="1257" spans="1:11" ht="60" customHeight="1" x14ac:dyDescent="0.25">
      <c r="A1257" s="7" t="s">
        <v>1645</v>
      </c>
      <c r="B1257" s="7" t="s">
        <v>0</v>
      </c>
      <c r="C1257" s="7" t="s">
        <v>1274</v>
      </c>
      <c r="D1257" s="7" t="s">
        <v>1113</v>
      </c>
      <c r="E1257" s="7" t="s">
        <v>1114</v>
      </c>
      <c r="F1257" s="5">
        <v>451.87</v>
      </c>
      <c r="G1257" s="7" t="s">
        <v>1649</v>
      </c>
      <c r="H1257" s="7" t="s">
        <v>1274</v>
      </c>
      <c r="I1257" s="7" t="s">
        <v>2645</v>
      </c>
      <c r="K1257">
        <f>IF($A1257="","",IF(ISNUMBER($A1257),MONTH($A1257),MONTH(DATEVALUE($A1257))))</f>
        <v>5</v>
      </c>
    </row>
    <row r="1258" spans="1:11" ht="60" customHeight="1" x14ac:dyDescent="0.25">
      <c r="A1258" s="8" t="s">
        <v>1645</v>
      </c>
      <c r="B1258" s="8" t="s">
        <v>0</v>
      </c>
      <c r="C1258" s="8" t="s">
        <v>483</v>
      </c>
      <c r="D1258" s="8" t="s">
        <v>4</v>
      </c>
      <c r="E1258" s="8" t="s">
        <v>18</v>
      </c>
      <c r="F1258" s="6">
        <v>17.43</v>
      </c>
      <c r="G1258" s="8" t="s">
        <v>1650</v>
      </c>
      <c r="H1258" s="8" t="s">
        <v>483</v>
      </c>
      <c r="I1258" s="8" t="s">
        <v>2633</v>
      </c>
      <c r="K1258">
        <f>IF($A1258="","",IF(ISNUMBER($A1258),MONTH($A1258),MONTH(DATEVALUE($A1258))))</f>
        <v>5</v>
      </c>
    </row>
    <row r="1259" spans="1:11" ht="60" customHeight="1" x14ac:dyDescent="0.25">
      <c r="A1259" s="7" t="s">
        <v>1651</v>
      </c>
      <c r="B1259" s="7" t="s">
        <v>0</v>
      </c>
      <c r="C1259" s="7" t="s">
        <v>1652</v>
      </c>
      <c r="D1259" s="7" t="s">
        <v>4</v>
      </c>
      <c r="E1259" s="7" t="s">
        <v>18</v>
      </c>
      <c r="F1259" s="5">
        <v>30.97</v>
      </c>
      <c r="G1259" s="7" t="s">
        <v>1653</v>
      </c>
      <c r="H1259" s="7" t="s">
        <v>1652</v>
      </c>
      <c r="I1259" s="7" t="s">
        <v>2627</v>
      </c>
      <c r="K1259">
        <f>IF($A1259="","",IF(ISNUMBER($A1259),MONTH($A1259),MONTH(DATEVALUE($A1259))))</f>
        <v>5</v>
      </c>
    </row>
    <row r="1260" spans="1:11" ht="60" customHeight="1" x14ac:dyDescent="0.25">
      <c r="A1260" s="8" t="s">
        <v>1654</v>
      </c>
      <c r="B1260" s="8" t="s">
        <v>0</v>
      </c>
      <c r="C1260" s="8" t="s">
        <v>1096</v>
      </c>
      <c r="D1260" s="8" t="s">
        <v>4</v>
      </c>
      <c r="E1260" s="8" t="s">
        <v>18</v>
      </c>
      <c r="F1260" s="6">
        <v>-529.75</v>
      </c>
      <c r="G1260" s="8" t="s">
        <v>1101</v>
      </c>
      <c r="H1260" s="8" t="s">
        <v>1096</v>
      </c>
      <c r="I1260" s="8" t="s">
        <v>2647</v>
      </c>
      <c r="K1260">
        <f>IF($A1260="","",IF(ISNUMBER($A1260),MONTH($A1260),MONTH(DATEVALUE($A1260))))</f>
        <v>5</v>
      </c>
    </row>
    <row r="1261" spans="1:11" ht="60" customHeight="1" x14ac:dyDescent="0.25">
      <c r="A1261" s="7" t="s">
        <v>1654</v>
      </c>
      <c r="B1261" s="7" t="s">
        <v>0</v>
      </c>
      <c r="C1261" s="7" t="s">
        <v>1102</v>
      </c>
      <c r="D1261" s="7" t="s">
        <v>4</v>
      </c>
      <c r="E1261" s="7" t="s">
        <v>18</v>
      </c>
      <c r="F1261" s="5">
        <v>529.75</v>
      </c>
      <c r="G1261" s="7" t="s">
        <v>1655</v>
      </c>
      <c r="H1261" s="7" t="s">
        <v>1096</v>
      </c>
      <c r="I1261" s="7" t="s">
        <v>2647</v>
      </c>
      <c r="K1261">
        <f>IF($A1261="","",IF(ISNUMBER($A1261),MONTH($A1261),MONTH(DATEVALUE($A1261))))</f>
        <v>5</v>
      </c>
    </row>
    <row r="1262" spans="1:11" ht="60" customHeight="1" x14ac:dyDescent="0.25">
      <c r="A1262" s="8" t="s">
        <v>1654</v>
      </c>
      <c r="B1262" s="8" t="s">
        <v>0</v>
      </c>
      <c r="C1262" s="8" t="s">
        <v>1656</v>
      </c>
      <c r="D1262" s="8" t="s">
        <v>4</v>
      </c>
      <c r="E1262" s="8" t="s">
        <v>18</v>
      </c>
      <c r="F1262" s="6">
        <v>30.97</v>
      </c>
      <c r="G1262" s="8" t="s">
        <v>1657</v>
      </c>
      <c r="H1262" s="8" t="s">
        <v>1656</v>
      </c>
      <c r="I1262" s="8" t="s">
        <v>2627</v>
      </c>
      <c r="K1262">
        <f>IF($A1262="","",IF(ISNUMBER($A1262),MONTH($A1262),MONTH(DATEVALUE($A1262))))</f>
        <v>5</v>
      </c>
    </row>
    <row r="1263" spans="1:11" ht="60" customHeight="1" x14ac:dyDescent="0.25">
      <c r="A1263" s="7" t="s">
        <v>1654</v>
      </c>
      <c r="B1263" s="7" t="s">
        <v>0</v>
      </c>
      <c r="C1263" s="7" t="s">
        <v>1658</v>
      </c>
      <c r="D1263" s="7" t="s">
        <v>4</v>
      </c>
      <c r="E1263" s="7" t="s">
        <v>18</v>
      </c>
      <c r="F1263" s="5">
        <v>270.61</v>
      </c>
      <c r="G1263" s="7" t="s">
        <v>1659</v>
      </c>
      <c r="H1263" s="7" t="s">
        <v>1658</v>
      </c>
      <c r="I1263" s="7" t="s">
        <v>2645</v>
      </c>
      <c r="K1263">
        <f>IF($A1263="","",IF(ISNUMBER($A1263),MONTH($A1263),MONTH(DATEVALUE($A1263))))</f>
        <v>5</v>
      </c>
    </row>
    <row r="1264" spans="1:11" ht="60" customHeight="1" x14ac:dyDescent="0.25">
      <c r="A1264" s="8" t="s">
        <v>1654</v>
      </c>
      <c r="B1264" s="8" t="s">
        <v>0</v>
      </c>
      <c r="C1264" s="8" t="s">
        <v>1536</v>
      </c>
      <c r="D1264" s="8" t="s">
        <v>4</v>
      </c>
      <c r="E1264" s="8" t="s">
        <v>18</v>
      </c>
      <c r="F1264" s="6">
        <v>54.08</v>
      </c>
      <c r="G1264" s="8" t="s">
        <v>1660</v>
      </c>
      <c r="H1264" s="8" t="s">
        <v>1536</v>
      </c>
      <c r="I1264" s="8" t="s">
        <v>2645</v>
      </c>
      <c r="K1264">
        <f>IF($A1264="","",IF(ISNUMBER($A1264),MONTH($A1264),MONTH(DATEVALUE($A1264))))</f>
        <v>5</v>
      </c>
    </row>
    <row r="1265" spans="1:11" ht="60" customHeight="1" x14ac:dyDescent="0.25">
      <c r="A1265" s="7" t="s">
        <v>1661</v>
      </c>
      <c r="B1265" s="7" t="s">
        <v>0</v>
      </c>
      <c r="C1265" s="7" t="s">
        <v>1662</v>
      </c>
      <c r="D1265" s="7" t="s">
        <v>4</v>
      </c>
      <c r="E1265" s="7" t="s">
        <v>18</v>
      </c>
      <c r="F1265" s="5">
        <v>16</v>
      </c>
      <c r="G1265" s="7" t="s">
        <v>1663</v>
      </c>
      <c r="H1265" s="7" t="s">
        <v>1662</v>
      </c>
      <c r="I1265" s="7" t="s">
        <v>2636</v>
      </c>
      <c r="K1265">
        <f>IF($A1265="","",IF(ISNUMBER($A1265),MONTH($A1265),MONTH(DATEVALUE($A1265))))</f>
        <v>5</v>
      </c>
    </row>
    <row r="1266" spans="1:11" ht="60" customHeight="1" x14ac:dyDescent="0.25">
      <c r="A1266" s="8" t="s">
        <v>1661</v>
      </c>
      <c r="B1266" s="8" t="s">
        <v>0</v>
      </c>
      <c r="C1266" s="8" t="s">
        <v>214</v>
      </c>
      <c r="D1266" s="8" t="s">
        <v>4</v>
      </c>
      <c r="E1266" s="8" t="s">
        <v>18</v>
      </c>
      <c r="F1266" s="6">
        <v>21.9</v>
      </c>
      <c r="G1266" s="8" t="s">
        <v>1664</v>
      </c>
      <c r="H1266" s="8" t="s">
        <v>214</v>
      </c>
      <c r="I1266" s="8" t="s">
        <v>2633</v>
      </c>
      <c r="K1266">
        <f>IF($A1266="","",IF(ISNUMBER($A1266),MONTH($A1266),MONTH(DATEVALUE($A1266))))</f>
        <v>5</v>
      </c>
    </row>
    <row r="1267" spans="1:11" ht="60" customHeight="1" x14ac:dyDescent="0.25">
      <c r="A1267" s="7" t="s">
        <v>1661</v>
      </c>
      <c r="B1267" s="7" t="s">
        <v>0</v>
      </c>
      <c r="C1267" s="7" t="s">
        <v>1096</v>
      </c>
      <c r="D1267" s="7" t="s">
        <v>4</v>
      </c>
      <c r="E1267" s="7" t="s">
        <v>18</v>
      </c>
      <c r="F1267" s="5">
        <v>-827.8</v>
      </c>
      <c r="G1267" s="7" t="s">
        <v>1101</v>
      </c>
      <c r="H1267" s="7" t="s">
        <v>1096</v>
      </c>
      <c r="I1267" s="7" t="s">
        <v>2647</v>
      </c>
      <c r="K1267">
        <f>IF($A1267="","",IF(ISNUMBER($A1267),MONTH($A1267),MONTH(DATEVALUE($A1267))))</f>
        <v>5</v>
      </c>
    </row>
    <row r="1268" spans="1:11" ht="60" customHeight="1" x14ac:dyDescent="0.25">
      <c r="A1268" s="8" t="s">
        <v>1661</v>
      </c>
      <c r="B1268" s="8" t="s">
        <v>0</v>
      </c>
      <c r="C1268" s="8" t="s">
        <v>1102</v>
      </c>
      <c r="D1268" s="8" t="s">
        <v>4</v>
      </c>
      <c r="E1268" s="8" t="s">
        <v>18</v>
      </c>
      <c r="F1268" s="6">
        <v>827.8</v>
      </c>
      <c r="G1268" s="8" t="s">
        <v>1665</v>
      </c>
      <c r="H1268" s="8" t="s">
        <v>1096</v>
      </c>
      <c r="I1268" s="8" t="s">
        <v>2647</v>
      </c>
      <c r="K1268">
        <f>IF($A1268="","",IF(ISNUMBER($A1268),MONTH($A1268),MONTH(DATEVALUE($A1268))))</f>
        <v>5</v>
      </c>
    </row>
    <row r="1269" spans="1:11" ht="60" customHeight="1" x14ac:dyDescent="0.25">
      <c r="A1269" s="7" t="s">
        <v>1661</v>
      </c>
      <c r="B1269" s="7" t="s">
        <v>0</v>
      </c>
      <c r="C1269" s="7" t="s">
        <v>1666</v>
      </c>
      <c r="D1269" s="7" t="s">
        <v>4</v>
      </c>
      <c r="E1269" s="7" t="s">
        <v>18</v>
      </c>
      <c r="F1269" s="5">
        <v>40</v>
      </c>
      <c r="G1269" s="7" t="s">
        <v>1667</v>
      </c>
      <c r="H1269" s="7" t="s">
        <v>1666</v>
      </c>
      <c r="I1269" s="7" t="s">
        <v>2636</v>
      </c>
      <c r="K1269">
        <f>IF($A1269="","",IF(ISNUMBER($A1269),MONTH($A1269),MONTH(DATEVALUE($A1269))))</f>
        <v>5</v>
      </c>
    </row>
    <row r="1270" spans="1:11" ht="60" customHeight="1" x14ac:dyDescent="0.25">
      <c r="A1270" s="8" t="s">
        <v>1661</v>
      </c>
      <c r="B1270" s="8" t="s">
        <v>0</v>
      </c>
      <c r="C1270" s="8" t="s">
        <v>1666</v>
      </c>
      <c r="D1270" s="8" t="s">
        <v>4</v>
      </c>
      <c r="E1270" s="8" t="s">
        <v>18</v>
      </c>
      <c r="F1270" s="6">
        <v>40</v>
      </c>
      <c r="G1270" s="8" t="s">
        <v>1668</v>
      </c>
      <c r="H1270" s="8" t="s">
        <v>1666</v>
      </c>
      <c r="I1270" s="7" t="s">
        <v>2636</v>
      </c>
      <c r="K1270">
        <f>IF($A1270="","",IF(ISNUMBER($A1270),MONTH($A1270),MONTH(DATEVALUE($A1270))))</f>
        <v>5</v>
      </c>
    </row>
    <row r="1271" spans="1:11" ht="60" customHeight="1" x14ac:dyDescent="0.25">
      <c r="A1271" s="7" t="s">
        <v>1661</v>
      </c>
      <c r="B1271" s="7" t="s">
        <v>0</v>
      </c>
      <c r="C1271" s="7" t="s">
        <v>1666</v>
      </c>
      <c r="D1271" s="7" t="s">
        <v>4</v>
      </c>
      <c r="E1271" s="7" t="s">
        <v>18</v>
      </c>
      <c r="F1271" s="5">
        <v>40</v>
      </c>
      <c r="G1271" s="7" t="s">
        <v>1669</v>
      </c>
      <c r="H1271" s="7" t="s">
        <v>1666</v>
      </c>
      <c r="I1271" s="7" t="s">
        <v>2636</v>
      </c>
      <c r="K1271">
        <f>IF($A1271="","",IF(ISNUMBER($A1271),MONTH($A1271),MONTH(DATEVALUE($A1271))))</f>
        <v>5</v>
      </c>
    </row>
    <row r="1272" spans="1:11" ht="60" customHeight="1" x14ac:dyDescent="0.25">
      <c r="A1272" s="8" t="s">
        <v>1661</v>
      </c>
      <c r="B1272" s="8" t="s">
        <v>0</v>
      </c>
      <c r="C1272" s="8" t="s">
        <v>1666</v>
      </c>
      <c r="D1272" s="8" t="s">
        <v>4</v>
      </c>
      <c r="E1272" s="8" t="s">
        <v>18</v>
      </c>
      <c r="F1272" s="6">
        <v>40</v>
      </c>
      <c r="G1272" s="8" t="s">
        <v>1670</v>
      </c>
      <c r="H1272" s="8" t="s">
        <v>1666</v>
      </c>
      <c r="I1272" s="7" t="s">
        <v>2636</v>
      </c>
      <c r="K1272">
        <f>IF($A1272="","",IF(ISNUMBER($A1272),MONTH($A1272),MONTH(DATEVALUE($A1272))))</f>
        <v>5</v>
      </c>
    </row>
    <row r="1273" spans="1:11" ht="60" customHeight="1" x14ac:dyDescent="0.25">
      <c r="A1273" s="7" t="s">
        <v>1661</v>
      </c>
      <c r="B1273" s="7" t="s">
        <v>0</v>
      </c>
      <c r="C1273" s="7" t="s">
        <v>1671</v>
      </c>
      <c r="D1273" s="7" t="s">
        <v>4</v>
      </c>
      <c r="E1273" s="7" t="s">
        <v>18</v>
      </c>
      <c r="F1273" s="5">
        <v>84.91</v>
      </c>
      <c r="G1273" s="7" t="s">
        <v>1672</v>
      </c>
      <c r="H1273" s="7" t="s">
        <v>1671</v>
      </c>
      <c r="I1273" s="7" t="s">
        <v>2636</v>
      </c>
      <c r="K1273">
        <f>IF($A1273="","",IF(ISNUMBER($A1273),MONTH($A1273),MONTH(DATEVALUE($A1273))))</f>
        <v>5</v>
      </c>
    </row>
    <row r="1274" spans="1:11" ht="60" customHeight="1" x14ac:dyDescent="0.25">
      <c r="A1274" s="8" t="s">
        <v>1661</v>
      </c>
      <c r="B1274" s="8" t="s">
        <v>0</v>
      </c>
      <c r="C1274" s="8" t="s">
        <v>1611</v>
      </c>
      <c r="D1274" s="8" t="s">
        <v>4</v>
      </c>
      <c r="E1274" s="8" t="s">
        <v>18</v>
      </c>
      <c r="F1274" s="6">
        <v>234.31</v>
      </c>
      <c r="G1274" s="8" t="s">
        <v>1673</v>
      </c>
      <c r="H1274" s="8" t="s">
        <v>1611</v>
      </c>
      <c r="I1274" s="8" t="s">
        <v>2633</v>
      </c>
      <c r="K1274">
        <f>IF($A1274="","",IF(ISNUMBER($A1274),MONTH($A1274),MONTH(DATEVALUE($A1274))))</f>
        <v>5</v>
      </c>
    </row>
    <row r="1275" spans="1:11" ht="60" customHeight="1" x14ac:dyDescent="0.25">
      <c r="A1275" s="7" t="s">
        <v>1661</v>
      </c>
      <c r="B1275" s="7" t="s">
        <v>0</v>
      </c>
      <c r="C1275" s="7" t="s">
        <v>108</v>
      </c>
      <c r="D1275" s="7" t="s">
        <v>4</v>
      </c>
      <c r="E1275" s="7" t="s">
        <v>18</v>
      </c>
      <c r="F1275" s="5">
        <v>12.98</v>
      </c>
      <c r="G1275" s="7" t="s">
        <v>1674</v>
      </c>
      <c r="H1275" s="7" t="s">
        <v>108</v>
      </c>
      <c r="I1275" s="7" t="s">
        <v>2630</v>
      </c>
      <c r="K1275">
        <f>IF($A1275="","",IF(ISNUMBER($A1275),MONTH($A1275),MONTH(DATEVALUE($A1275))))</f>
        <v>5</v>
      </c>
    </row>
    <row r="1276" spans="1:11" ht="60" customHeight="1" x14ac:dyDescent="0.25">
      <c r="A1276" s="8" t="s">
        <v>1661</v>
      </c>
      <c r="B1276" s="8" t="s">
        <v>0</v>
      </c>
      <c r="C1276" s="8" t="s">
        <v>171</v>
      </c>
      <c r="D1276" s="8" t="s">
        <v>4</v>
      </c>
      <c r="E1276" s="8" t="s">
        <v>18</v>
      </c>
      <c r="F1276" s="6">
        <v>115.51</v>
      </c>
      <c r="G1276" s="8" t="s">
        <v>1675</v>
      </c>
      <c r="H1276" s="8" t="s">
        <v>171</v>
      </c>
      <c r="I1276" s="8" t="s">
        <v>2633</v>
      </c>
      <c r="K1276">
        <f>IF($A1276="","",IF(ISNUMBER($A1276),MONTH($A1276),MONTH(DATEVALUE($A1276))))</f>
        <v>5</v>
      </c>
    </row>
    <row r="1277" spans="1:11" ht="60" customHeight="1" x14ac:dyDescent="0.25">
      <c r="A1277" s="7" t="s">
        <v>1676</v>
      </c>
      <c r="B1277" s="7" t="s">
        <v>0</v>
      </c>
      <c r="C1277" s="7" t="s">
        <v>1096</v>
      </c>
      <c r="D1277" s="7" t="s">
        <v>4</v>
      </c>
      <c r="E1277" s="7" t="s">
        <v>18</v>
      </c>
      <c r="F1277" s="5">
        <v>-413.9</v>
      </c>
      <c r="G1277" s="7" t="s">
        <v>1101</v>
      </c>
      <c r="H1277" s="7" t="s">
        <v>1096</v>
      </c>
      <c r="I1277" s="7" t="s">
        <v>2647</v>
      </c>
      <c r="K1277">
        <f>IF($A1277="","",IF(ISNUMBER($A1277),MONTH($A1277),MONTH(DATEVALUE($A1277))))</f>
        <v>5</v>
      </c>
    </row>
    <row r="1278" spans="1:11" ht="60" customHeight="1" x14ac:dyDescent="0.25">
      <c r="A1278" s="8" t="s">
        <v>1676</v>
      </c>
      <c r="B1278" s="8" t="s">
        <v>0</v>
      </c>
      <c r="C1278" s="8" t="s">
        <v>1102</v>
      </c>
      <c r="D1278" s="8" t="s">
        <v>4</v>
      </c>
      <c r="E1278" s="8" t="s">
        <v>18</v>
      </c>
      <c r="F1278" s="6">
        <v>413.9</v>
      </c>
      <c r="G1278" s="8" t="s">
        <v>1677</v>
      </c>
      <c r="H1278" s="8" t="s">
        <v>1096</v>
      </c>
      <c r="I1278" s="8" t="s">
        <v>2647</v>
      </c>
      <c r="K1278">
        <f>IF($A1278="","",IF(ISNUMBER($A1278),MONTH($A1278),MONTH(DATEVALUE($A1278))))</f>
        <v>5</v>
      </c>
    </row>
    <row r="1279" spans="1:11" ht="60" customHeight="1" x14ac:dyDescent="0.25">
      <c r="A1279" s="7" t="s">
        <v>1676</v>
      </c>
      <c r="B1279" s="7" t="s">
        <v>0</v>
      </c>
      <c r="C1279" s="7" t="s">
        <v>1596</v>
      </c>
      <c r="D1279" s="7" t="s">
        <v>1113</v>
      </c>
      <c r="E1279" s="7" t="s">
        <v>1114</v>
      </c>
      <c r="F1279" s="5">
        <v>38</v>
      </c>
      <c r="G1279" s="7" t="s">
        <v>1678</v>
      </c>
      <c r="H1279" s="7" t="s">
        <v>1596</v>
      </c>
      <c r="I1279" s="7" t="s">
        <v>2636</v>
      </c>
      <c r="K1279">
        <f>IF($A1279="","",IF(ISNUMBER($A1279),MONTH($A1279),MONTH(DATEVALUE($A1279))))</f>
        <v>5</v>
      </c>
    </row>
    <row r="1280" spans="1:11" ht="60" customHeight="1" x14ac:dyDescent="0.25">
      <c r="A1280" s="8" t="s">
        <v>1676</v>
      </c>
      <c r="B1280" s="8" t="s">
        <v>0</v>
      </c>
      <c r="C1280" s="8" t="s">
        <v>1596</v>
      </c>
      <c r="D1280" s="8" t="s">
        <v>1113</v>
      </c>
      <c r="E1280" s="8" t="s">
        <v>1114</v>
      </c>
      <c r="F1280" s="6">
        <v>38</v>
      </c>
      <c r="G1280" s="8" t="s">
        <v>1679</v>
      </c>
      <c r="H1280" s="8" t="s">
        <v>1596</v>
      </c>
      <c r="I1280" s="8" t="s">
        <v>2636</v>
      </c>
      <c r="K1280">
        <f>IF($A1280="","",IF(ISNUMBER($A1280),MONTH($A1280),MONTH(DATEVALUE($A1280))))</f>
        <v>5</v>
      </c>
    </row>
    <row r="1281" spans="1:11" ht="60" customHeight="1" x14ac:dyDescent="0.25">
      <c r="A1281" s="7" t="s">
        <v>1676</v>
      </c>
      <c r="B1281" s="7" t="s">
        <v>0</v>
      </c>
      <c r="C1281" s="7" t="s">
        <v>1596</v>
      </c>
      <c r="D1281" s="7" t="s">
        <v>1113</v>
      </c>
      <c r="E1281" s="7" t="s">
        <v>1114</v>
      </c>
      <c r="F1281" s="5">
        <v>38</v>
      </c>
      <c r="G1281" s="7" t="s">
        <v>1680</v>
      </c>
      <c r="H1281" s="7" t="s">
        <v>1596</v>
      </c>
      <c r="I1281" s="7" t="s">
        <v>2636</v>
      </c>
      <c r="K1281">
        <f>IF($A1281="","",IF(ISNUMBER($A1281),MONTH($A1281),MONTH(DATEVALUE($A1281))))</f>
        <v>5</v>
      </c>
    </row>
    <row r="1282" spans="1:11" ht="60" customHeight="1" x14ac:dyDescent="0.25">
      <c r="A1282" s="8" t="s">
        <v>1676</v>
      </c>
      <c r="B1282" s="8" t="s">
        <v>0</v>
      </c>
      <c r="C1282" s="8" t="s">
        <v>1596</v>
      </c>
      <c r="D1282" s="8" t="s">
        <v>1113</v>
      </c>
      <c r="E1282" s="8" t="s">
        <v>1114</v>
      </c>
      <c r="F1282" s="6">
        <v>38</v>
      </c>
      <c r="G1282" s="8" t="s">
        <v>1681</v>
      </c>
      <c r="H1282" s="8" t="s">
        <v>1596</v>
      </c>
      <c r="I1282" s="8" t="s">
        <v>2636</v>
      </c>
      <c r="K1282">
        <f>IF($A1282="","",IF(ISNUMBER($A1282),MONTH($A1282),MONTH(DATEVALUE($A1282))))</f>
        <v>5</v>
      </c>
    </row>
    <row r="1283" spans="1:11" ht="60" customHeight="1" x14ac:dyDescent="0.25">
      <c r="A1283" s="7" t="s">
        <v>1676</v>
      </c>
      <c r="B1283" s="7" t="s">
        <v>0</v>
      </c>
      <c r="C1283" s="7" t="s">
        <v>52</v>
      </c>
      <c r="D1283" s="7" t="s">
        <v>4</v>
      </c>
      <c r="E1283" s="7" t="s">
        <v>18</v>
      </c>
      <c r="F1283" s="5">
        <v>17.54</v>
      </c>
      <c r="G1283" s="7" t="s">
        <v>1682</v>
      </c>
      <c r="H1283" s="7" t="s">
        <v>52</v>
      </c>
      <c r="I1283" s="7" t="s">
        <v>2632</v>
      </c>
      <c r="K1283">
        <f>IF($A1283="","",IF(ISNUMBER($A1283),MONTH($A1283),MONTH(DATEVALUE($A1283))))</f>
        <v>5</v>
      </c>
    </row>
    <row r="1284" spans="1:11" ht="60" customHeight="1" x14ac:dyDescent="0.25">
      <c r="A1284" s="8" t="s">
        <v>1676</v>
      </c>
      <c r="B1284" s="8" t="s">
        <v>0</v>
      </c>
      <c r="C1284" s="8" t="s">
        <v>1683</v>
      </c>
      <c r="D1284" s="8" t="s">
        <v>4</v>
      </c>
      <c r="E1284" s="8" t="s">
        <v>18</v>
      </c>
      <c r="F1284" s="6">
        <v>57.73</v>
      </c>
      <c r="G1284" s="8" t="s">
        <v>1684</v>
      </c>
      <c r="H1284" s="8" t="s">
        <v>1683</v>
      </c>
      <c r="I1284" s="8" t="s">
        <v>2627</v>
      </c>
      <c r="K1284">
        <f>IF($A1284="","",IF(ISNUMBER($A1284),MONTH($A1284),MONTH(DATEVALUE($A1284))))</f>
        <v>5</v>
      </c>
    </row>
    <row r="1285" spans="1:11" ht="60" customHeight="1" x14ac:dyDescent="0.25">
      <c r="A1285" s="7" t="s">
        <v>1676</v>
      </c>
      <c r="B1285" s="7" t="s">
        <v>0</v>
      </c>
      <c r="C1285" s="7" t="s">
        <v>1685</v>
      </c>
      <c r="D1285" s="7" t="s">
        <v>1113</v>
      </c>
      <c r="E1285" s="7" t="s">
        <v>1114</v>
      </c>
      <c r="F1285" s="5">
        <v>316.75</v>
      </c>
      <c r="G1285" s="7" t="s">
        <v>1686</v>
      </c>
      <c r="H1285" s="7" t="s">
        <v>1685</v>
      </c>
      <c r="I1285" s="7" t="s">
        <v>2645</v>
      </c>
      <c r="K1285">
        <f>IF($A1285="","",IF(ISNUMBER($A1285),MONTH($A1285),MONTH(DATEVALUE($A1285))))</f>
        <v>5</v>
      </c>
    </row>
    <row r="1286" spans="1:11" ht="60" customHeight="1" x14ac:dyDescent="0.25">
      <c r="A1286" s="8" t="s">
        <v>1676</v>
      </c>
      <c r="B1286" s="8" t="s">
        <v>0</v>
      </c>
      <c r="C1286" s="8" t="s">
        <v>1112</v>
      </c>
      <c r="D1286" s="8" t="s">
        <v>1113</v>
      </c>
      <c r="E1286" s="8" t="s">
        <v>1114</v>
      </c>
      <c r="F1286" s="6">
        <v>34.1</v>
      </c>
      <c r="G1286" s="8" t="s">
        <v>1687</v>
      </c>
      <c r="H1286" s="8" t="s">
        <v>1112</v>
      </c>
      <c r="I1286" s="8" t="s">
        <v>2634</v>
      </c>
      <c r="K1286">
        <f>IF($A1286="","",IF(ISNUMBER($A1286),MONTH($A1286),MONTH(DATEVALUE($A1286))))</f>
        <v>5</v>
      </c>
    </row>
    <row r="1287" spans="1:11" ht="60" customHeight="1" x14ac:dyDescent="0.25">
      <c r="A1287" s="7" t="s">
        <v>1676</v>
      </c>
      <c r="B1287" s="7" t="s">
        <v>227</v>
      </c>
      <c r="C1287" s="7" t="s">
        <v>597</v>
      </c>
      <c r="D1287" s="7" t="s">
        <v>4</v>
      </c>
      <c r="E1287" s="7" t="s">
        <v>18</v>
      </c>
      <c r="F1287" s="5">
        <v>220.39</v>
      </c>
      <c r="G1287" s="7" t="s">
        <v>1688</v>
      </c>
      <c r="H1287" s="7" t="s">
        <v>597</v>
      </c>
      <c r="I1287" s="7" t="s">
        <v>2645</v>
      </c>
      <c r="K1287">
        <f>IF($A1287="","",IF(ISNUMBER($A1287),MONTH($A1287),MONTH(DATEVALUE($A1287))))</f>
        <v>5</v>
      </c>
    </row>
    <row r="1288" spans="1:11" ht="60" customHeight="1" x14ac:dyDescent="0.25">
      <c r="A1288" s="8" t="s">
        <v>1676</v>
      </c>
      <c r="B1288" s="8" t="s">
        <v>0</v>
      </c>
      <c r="C1288" s="8" t="s">
        <v>1689</v>
      </c>
      <c r="D1288" s="8" t="s">
        <v>4</v>
      </c>
      <c r="E1288" s="8" t="s">
        <v>18</v>
      </c>
      <c r="F1288" s="6">
        <v>69.91</v>
      </c>
      <c r="G1288" s="8" t="s">
        <v>1690</v>
      </c>
      <c r="H1288" s="8" t="s">
        <v>1689</v>
      </c>
      <c r="I1288" s="8" t="s">
        <v>2633</v>
      </c>
      <c r="K1288">
        <f>IF($A1288="","",IF(ISNUMBER($A1288),MONTH($A1288),MONTH(DATEVALUE($A1288))))</f>
        <v>5</v>
      </c>
    </row>
    <row r="1289" spans="1:11" ht="60" customHeight="1" x14ac:dyDescent="0.25">
      <c r="A1289" s="7" t="s">
        <v>1691</v>
      </c>
      <c r="B1289" s="7" t="s">
        <v>0</v>
      </c>
      <c r="C1289" s="7" t="s">
        <v>1096</v>
      </c>
      <c r="D1289" s="7" t="s">
        <v>4</v>
      </c>
      <c r="E1289" s="7" t="s">
        <v>18</v>
      </c>
      <c r="F1289" s="5">
        <v>-266.86</v>
      </c>
      <c r="G1289" s="7" t="s">
        <v>1101</v>
      </c>
      <c r="H1289" s="7" t="s">
        <v>1096</v>
      </c>
      <c r="I1289" s="7" t="s">
        <v>2647</v>
      </c>
      <c r="K1289">
        <f>IF($A1289="","",IF(ISNUMBER($A1289),MONTH($A1289),MONTH(DATEVALUE($A1289))))</f>
        <v>5</v>
      </c>
    </row>
    <row r="1290" spans="1:11" ht="60" customHeight="1" x14ac:dyDescent="0.25">
      <c r="A1290" s="8" t="s">
        <v>1691</v>
      </c>
      <c r="B1290" s="8" t="s">
        <v>0</v>
      </c>
      <c r="C1290" s="8" t="s">
        <v>1096</v>
      </c>
      <c r="D1290" s="8" t="s">
        <v>4</v>
      </c>
      <c r="E1290" s="8" t="s">
        <v>18</v>
      </c>
      <c r="F1290" s="6">
        <v>-214.83</v>
      </c>
      <c r="G1290" s="8" t="s">
        <v>1101</v>
      </c>
      <c r="H1290" s="8" t="s">
        <v>1096</v>
      </c>
      <c r="I1290" s="8" t="s">
        <v>2647</v>
      </c>
      <c r="K1290">
        <f>IF($A1290="","",IF(ISNUMBER($A1290),MONTH($A1290),MONTH(DATEVALUE($A1290))))</f>
        <v>5</v>
      </c>
    </row>
    <row r="1291" spans="1:11" ht="60" customHeight="1" x14ac:dyDescent="0.25">
      <c r="A1291" s="7" t="s">
        <v>1691</v>
      </c>
      <c r="B1291" s="7" t="s">
        <v>0</v>
      </c>
      <c r="C1291" s="7" t="s">
        <v>1102</v>
      </c>
      <c r="D1291" s="7" t="s">
        <v>4</v>
      </c>
      <c r="E1291" s="7" t="s">
        <v>18</v>
      </c>
      <c r="F1291" s="5">
        <v>214.83</v>
      </c>
      <c r="G1291" s="7" t="s">
        <v>1692</v>
      </c>
      <c r="H1291" s="7" t="s">
        <v>1096</v>
      </c>
      <c r="I1291" s="7" t="s">
        <v>2647</v>
      </c>
      <c r="K1291">
        <f>IF($A1291="","",IF(ISNUMBER($A1291),MONTH($A1291),MONTH(DATEVALUE($A1291))))</f>
        <v>5</v>
      </c>
    </row>
    <row r="1292" spans="1:11" ht="60" customHeight="1" x14ac:dyDescent="0.25">
      <c r="A1292" s="8" t="s">
        <v>1691</v>
      </c>
      <c r="B1292" s="8" t="s">
        <v>0</v>
      </c>
      <c r="C1292" s="8" t="s">
        <v>1102</v>
      </c>
      <c r="D1292" s="8" t="s">
        <v>4</v>
      </c>
      <c r="E1292" s="8" t="s">
        <v>18</v>
      </c>
      <c r="F1292" s="6">
        <v>266.86</v>
      </c>
      <c r="G1292" s="8" t="s">
        <v>1693</v>
      </c>
      <c r="H1292" s="8" t="s">
        <v>1096</v>
      </c>
      <c r="I1292" s="8" t="s">
        <v>2647</v>
      </c>
      <c r="K1292">
        <f>IF($A1292="","",IF(ISNUMBER($A1292),MONTH($A1292),MONTH(DATEVALUE($A1292))))</f>
        <v>5</v>
      </c>
    </row>
    <row r="1293" spans="1:11" ht="60" customHeight="1" x14ac:dyDescent="0.25">
      <c r="A1293" s="7" t="s">
        <v>1691</v>
      </c>
      <c r="B1293" s="7" t="s">
        <v>0</v>
      </c>
      <c r="C1293" s="7" t="s">
        <v>68</v>
      </c>
      <c r="D1293" s="7" t="s">
        <v>4</v>
      </c>
      <c r="E1293" s="7" t="s">
        <v>18</v>
      </c>
      <c r="F1293" s="5">
        <v>150</v>
      </c>
      <c r="G1293" s="7" t="s">
        <v>1694</v>
      </c>
      <c r="H1293" s="7" t="s">
        <v>68</v>
      </c>
      <c r="I1293" s="7" t="s">
        <v>2632</v>
      </c>
      <c r="K1293">
        <f>IF($A1293="","",IF(ISNUMBER($A1293),MONTH($A1293),MONTH(DATEVALUE($A1293))))</f>
        <v>5</v>
      </c>
    </row>
    <row r="1294" spans="1:11" ht="60" customHeight="1" x14ac:dyDescent="0.25">
      <c r="A1294" s="8" t="s">
        <v>1691</v>
      </c>
      <c r="B1294" s="8" t="s">
        <v>0</v>
      </c>
      <c r="C1294" s="8" t="s">
        <v>132</v>
      </c>
      <c r="D1294" s="8" t="s">
        <v>4</v>
      </c>
      <c r="E1294" s="8" t="s">
        <v>18</v>
      </c>
      <c r="F1294" s="6">
        <v>24</v>
      </c>
      <c r="G1294" s="8" t="s">
        <v>1695</v>
      </c>
      <c r="H1294" s="8" t="s">
        <v>132</v>
      </c>
      <c r="I1294" s="8" t="s">
        <v>2630</v>
      </c>
      <c r="K1294">
        <f>IF($A1294="","",IF(ISNUMBER($A1294),MONTH($A1294),MONTH(DATEVALUE($A1294))))</f>
        <v>5</v>
      </c>
    </row>
    <row r="1295" spans="1:11" ht="60" customHeight="1" x14ac:dyDescent="0.25">
      <c r="A1295" s="7" t="s">
        <v>1696</v>
      </c>
      <c r="B1295" s="7" t="s">
        <v>0</v>
      </c>
      <c r="C1295" s="7" t="s">
        <v>1096</v>
      </c>
      <c r="D1295" s="7" t="s">
        <v>4</v>
      </c>
      <c r="E1295" s="7" t="s">
        <v>18</v>
      </c>
      <c r="F1295" s="5">
        <v>-620.85</v>
      </c>
      <c r="G1295" s="7" t="s">
        <v>1101</v>
      </c>
      <c r="H1295" s="7" t="s">
        <v>1096</v>
      </c>
      <c r="I1295" s="7" t="s">
        <v>2647</v>
      </c>
      <c r="K1295">
        <f>IF($A1295="","",IF(ISNUMBER($A1295),MONTH($A1295),MONTH(DATEVALUE($A1295))))</f>
        <v>5</v>
      </c>
    </row>
    <row r="1296" spans="1:11" ht="60" customHeight="1" x14ac:dyDescent="0.25">
      <c r="A1296" s="8" t="s">
        <v>1696</v>
      </c>
      <c r="B1296" s="8" t="s">
        <v>0</v>
      </c>
      <c r="C1296" s="8" t="s">
        <v>1102</v>
      </c>
      <c r="D1296" s="8" t="s">
        <v>4</v>
      </c>
      <c r="E1296" s="8" t="s">
        <v>18</v>
      </c>
      <c r="F1296" s="6">
        <v>620.85</v>
      </c>
      <c r="G1296" s="8" t="s">
        <v>1697</v>
      </c>
      <c r="H1296" s="8" t="s">
        <v>1096</v>
      </c>
      <c r="I1296" s="8" t="s">
        <v>2647</v>
      </c>
      <c r="K1296">
        <f>IF($A1296="","",IF(ISNUMBER($A1296),MONTH($A1296),MONTH(DATEVALUE($A1296))))</f>
        <v>5</v>
      </c>
    </row>
    <row r="1297" spans="1:11" ht="60" customHeight="1" x14ac:dyDescent="0.25">
      <c r="A1297" s="7" t="s">
        <v>1696</v>
      </c>
      <c r="B1297" s="7" t="s">
        <v>0</v>
      </c>
      <c r="C1297" s="7" t="s">
        <v>171</v>
      </c>
      <c r="D1297" s="7" t="s">
        <v>4</v>
      </c>
      <c r="E1297" s="7" t="s">
        <v>18</v>
      </c>
      <c r="F1297" s="5">
        <v>127.58</v>
      </c>
      <c r="G1297" s="7" t="s">
        <v>1698</v>
      </c>
      <c r="H1297" s="7" t="s">
        <v>171</v>
      </c>
      <c r="I1297" s="7" t="s">
        <v>2633</v>
      </c>
      <c r="K1297">
        <f>IF($A1297="","",IF(ISNUMBER($A1297),MONTH($A1297),MONTH(DATEVALUE($A1297))))</f>
        <v>5</v>
      </c>
    </row>
    <row r="1298" spans="1:11" ht="60" customHeight="1" x14ac:dyDescent="0.25">
      <c r="A1298" s="8" t="s">
        <v>1699</v>
      </c>
      <c r="B1298" s="8" t="s">
        <v>0</v>
      </c>
      <c r="C1298" s="8" t="s">
        <v>1096</v>
      </c>
      <c r="D1298" s="8" t="s">
        <v>4</v>
      </c>
      <c r="E1298" s="8" t="s">
        <v>18</v>
      </c>
      <c r="F1298" s="6">
        <v>-184.01</v>
      </c>
      <c r="G1298" s="8" t="s">
        <v>1101</v>
      </c>
      <c r="H1298" s="8" t="s">
        <v>1096</v>
      </c>
      <c r="I1298" s="8" t="s">
        <v>2647</v>
      </c>
      <c r="K1298">
        <f>IF($A1298="","",IF(ISNUMBER($A1298),MONTH($A1298),MONTH(DATEVALUE($A1298))))</f>
        <v>5</v>
      </c>
    </row>
    <row r="1299" spans="1:11" ht="60" customHeight="1" x14ac:dyDescent="0.25">
      <c r="A1299" s="7" t="s">
        <v>1699</v>
      </c>
      <c r="B1299" s="7" t="s">
        <v>0</v>
      </c>
      <c r="C1299" s="7" t="s">
        <v>1102</v>
      </c>
      <c r="D1299" s="7" t="s">
        <v>4</v>
      </c>
      <c r="E1299" s="7" t="s">
        <v>18</v>
      </c>
      <c r="F1299" s="5">
        <v>184.01</v>
      </c>
      <c r="G1299" s="7" t="s">
        <v>1700</v>
      </c>
      <c r="H1299" s="7" t="s">
        <v>1096</v>
      </c>
      <c r="I1299" s="7" t="s">
        <v>2647</v>
      </c>
      <c r="K1299">
        <f>IF($A1299="","",IF(ISNUMBER($A1299),MONTH($A1299),MONTH(DATEVALUE($A1299))))</f>
        <v>5</v>
      </c>
    </row>
    <row r="1300" spans="1:11" ht="60" customHeight="1" x14ac:dyDescent="0.25">
      <c r="A1300" s="8" t="s">
        <v>1699</v>
      </c>
      <c r="B1300" s="8" t="s">
        <v>0</v>
      </c>
      <c r="C1300" s="8" t="s">
        <v>27</v>
      </c>
      <c r="D1300" s="8" t="s">
        <v>4</v>
      </c>
      <c r="E1300" s="8" t="s">
        <v>18</v>
      </c>
      <c r="F1300" s="6">
        <v>20</v>
      </c>
      <c r="G1300" s="8" t="s">
        <v>1701</v>
      </c>
      <c r="H1300" s="8" t="s">
        <v>27</v>
      </c>
      <c r="I1300" s="8" t="s">
        <v>2628</v>
      </c>
      <c r="K1300">
        <f>IF($A1300="","",IF(ISNUMBER($A1300),MONTH($A1300),MONTH(DATEVALUE($A1300))))</f>
        <v>5</v>
      </c>
    </row>
    <row r="1301" spans="1:11" ht="60" customHeight="1" x14ac:dyDescent="0.25">
      <c r="A1301" s="7" t="s">
        <v>1699</v>
      </c>
      <c r="B1301" s="7" t="s">
        <v>0</v>
      </c>
      <c r="C1301" s="7" t="s">
        <v>1151</v>
      </c>
      <c r="D1301" s="7" t="s">
        <v>4</v>
      </c>
      <c r="E1301" s="7" t="s">
        <v>18</v>
      </c>
      <c r="F1301" s="5">
        <v>49</v>
      </c>
      <c r="G1301" s="7" t="s">
        <v>1702</v>
      </c>
      <c r="H1301" s="7" t="s">
        <v>1151</v>
      </c>
      <c r="I1301" s="7" t="s">
        <v>2628</v>
      </c>
      <c r="K1301">
        <f>IF($A1301="","",IF(ISNUMBER($A1301),MONTH($A1301),MONTH(DATEVALUE($A1301))))</f>
        <v>5</v>
      </c>
    </row>
    <row r="1302" spans="1:11" ht="60" customHeight="1" x14ac:dyDescent="0.25">
      <c r="A1302" s="8" t="s">
        <v>1703</v>
      </c>
      <c r="B1302" s="8" t="s">
        <v>0</v>
      </c>
      <c r="C1302" s="8" t="s">
        <v>1704</v>
      </c>
      <c r="D1302" s="8" t="s">
        <v>1113</v>
      </c>
      <c r="E1302" s="8" t="s">
        <v>1114</v>
      </c>
      <c r="F1302" s="6">
        <v>4056.1</v>
      </c>
      <c r="G1302" s="8" t="s">
        <v>1705</v>
      </c>
      <c r="H1302" s="8" t="s">
        <v>1704</v>
      </c>
      <c r="I1302" s="8" t="s">
        <v>2663</v>
      </c>
      <c r="K1302">
        <f>IF($A1302="","",IF(ISNUMBER($A1302),MONTH($A1302),MONTH(DATEVALUE($A1302))))</f>
        <v>5</v>
      </c>
    </row>
    <row r="1303" spans="1:11" ht="60" customHeight="1" x14ac:dyDescent="0.25">
      <c r="A1303" s="7" t="s">
        <v>1703</v>
      </c>
      <c r="B1303" s="7" t="s">
        <v>0</v>
      </c>
      <c r="C1303" s="7" t="s">
        <v>1096</v>
      </c>
      <c r="D1303" s="7" t="s">
        <v>4</v>
      </c>
      <c r="E1303" s="7" t="s">
        <v>18</v>
      </c>
      <c r="F1303" s="5">
        <v>-129.87</v>
      </c>
      <c r="G1303" s="7" t="s">
        <v>1101</v>
      </c>
      <c r="H1303" s="7" t="s">
        <v>1096</v>
      </c>
      <c r="I1303" s="7" t="s">
        <v>2647</v>
      </c>
      <c r="K1303">
        <f>IF($A1303="","",IF(ISNUMBER($A1303),MONTH($A1303),MONTH(DATEVALUE($A1303))))</f>
        <v>5</v>
      </c>
    </row>
    <row r="1304" spans="1:11" ht="60" customHeight="1" x14ac:dyDescent="0.25">
      <c r="A1304" s="8" t="s">
        <v>1703</v>
      </c>
      <c r="B1304" s="8" t="s">
        <v>0</v>
      </c>
      <c r="C1304" s="8" t="s">
        <v>1096</v>
      </c>
      <c r="D1304" s="8" t="s">
        <v>4</v>
      </c>
      <c r="E1304" s="8" t="s">
        <v>18</v>
      </c>
      <c r="F1304" s="6">
        <v>-120.14</v>
      </c>
      <c r="G1304" s="8" t="s">
        <v>1101</v>
      </c>
      <c r="H1304" s="8" t="s">
        <v>1096</v>
      </c>
      <c r="I1304" s="8" t="s">
        <v>2647</v>
      </c>
      <c r="K1304">
        <f>IF($A1304="","",IF(ISNUMBER($A1304),MONTH($A1304),MONTH(DATEVALUE($A1304))))</f>
        <v>5</v>
      </c>
    </row>
    <row r="1305" spans="1:11" ht="60" customHeight="1" x14ac:dyDescent="0.25">
      <c r="A1305" s="7" t="s">
        <v>1703</v>
      </c>
      <c r="B1305" s="7" t="s">
        <v>0</v>
      </c>
      <c r="C1305" s="7" t="s">
        <v>1096</v>
      </c>
      <c r="D1305" s="7" t="s">
        <v>4</v>
      </c>
      <c r="E1305" s="7" t="s">
        <v>18</v>
      </c>
      <c r="F1305" s="5">
        <v>-86.57</v>
      </c>
      <c r="G1305" s="7" t="s">
        <v>1101</v>
      </c>
      <c r="H1305" s="7" t="s">
        <v>1096</v>
      </c>
      <c r="I1305" s="7" t="s">
        <v>2647</v>
      </c>
      <c r="K1305">
        <f>IF($A1305="","",IF(ISNUMBER($A1305),MONTH($A1305),MONTH(DATEVALUE($A1305))))</f>
        <v>5</v>
      </c>
    </row>
    <row r="1306" spans="1:11" ht="60" customHeight="1" x14ac:dyDescent="0.25">
      <c r="A1306" s="8" t="s">
        <v>1703</v>
      </c>
      <c r="B1306" s="8" t="s">
        <v>0</v>
      </c>
      <c r="C1306" s="8" t="s">
        <v>1102</v>
      </c>
      <c r="D1306" s="8" t="s">
        <v>4</v>
      </c>
      <c r="E1306" s="8" t="s">
        <v>18</v>
      </c>
      <c r="F1306" s="6">
        <v>86.57</v>
      </c>
      <c r="G1306" s="8" t="s">
        <v>1706</v>
      </c>
      <c r="H1306" s="8" t="s">
        <v>1096</v>
      </c>
      <c r="I1306" s="8" t="s">
        <v>2647</v>
      </c>
      <c r="K1306">
        <f>IF($A1306="","",IF(ISNUMBER($A1306),MONTH($A1306),MONTH(DATEVALUE($A1306))))</f>
        <v>5</v>
      </c>
    </row>
    <row r="1307" spans="1:11" ht="60" customHeight="1" x14ac:dyDescent="0.25">
      <c r="A1307" s="7" t="s">
        <v>1703</v>
      </c>
      <c r="B1307" s="7" t="s">
        <v>0</v>
      </c>
      <c r="C1307" s="7" t="s">
        <v>1102</v>
      </c>
      <c r="D1307" s="7" t="s">
        <v>4</v>
      </c>
      <c r="E1307" s="7" t="s">
        <v>18</v>
      </c>
      <c r="F1307" s="5">
        <v>120.14</v>
      </c>
      <c r="G1307" s="7" t="s">
        <v>1707</v>
      </c>
      <c r="H1307" s="7" t="s">
        <v>1096</v>
      </c>
      <c r="I1307" s="7" t="s">
        <v>2647</v>
      </c>
      <c r="K1307">
        <f>IF($A1307="","",IF(ISNUMBER($A1307),MONTH($A1307),MONTH(DATEVALUE($A1307))))</f>
        <v>5</v>
      </c>
    </row>
    <row r="1308" spans="1:11" ht="60" customHeight="1" x14ac:dyDescent="0.25">
      <c r="A1308" s="8" t="s">
        <v>1703</v>
      </c>
      <c r="B1308" s="8" t="s">
        <v>0</v>
      </c>
      <c r="C1308" s="8" t="s">
        <v>1102</v>
      </c>
      <c r="D1308" s="8" t="s">
        <v>4</v>
      </c>
      <c r="E1308" s="8" t="s">
        <v>18</v>
      </c>
      <c r="F1308" s="6">
        <v>129.87</v>
      </c>
      <c r="G1308" s="8" t="s">
        <v>1708</v>
      </c>
      <c r="H1308" s="8" t="s">
        <v>1096</v>
      </c>
      <c r="I1308" s="8" t="s">
        <v>2647</v>
      </c>
      <c r="K1308">
        <f>IF($A1308="","",IF(ISNUMBER($A1308),MONTH($A1308),MONTH(DATEVALUE($A1308))))</f>
        <v>5</v>
      </c>
    </row>
    <row r="1309" spans="1:11" ht="60" customHeight="1" x14ac:dyDescent="0.25">
      <c r="A1309" s="7" t="s">
        <v>1703</v>
      </c>
      <c r="B1309" s="7" t="s">
        <v>0</v>
      </c>
      <c r="C1309" s="7" t="s">
        <v>1709</v>
      </c>
      <c r="D1309" s="7" t="s">
        <v>4</v>
      </c>
      <c r="E1309" s="7" t="s">
        <v>18</v>
      </c>
      <c r="F1309" s="5">
        <v>10.99</v>
      </c>
      <c r="G1309" s="7" t="s">
        <v>1710</v>
      </c>
      <c r="H1309" s="7" t="s">
        <v>1709</v>
      </c>
      <c r="I1309" s="7" t="s">
        <v>2627</v>
      </c>
      <c r="K1309">
        <f>IF($A1309="","",IF(ISNUMBER($A1309),MONTH($A1309),MONTH(DATEVALUE($A1309))))</f>
        <v>5</v>
      </c>
    </row>
    <row r="1310" spans="1:11" ht="60" customHeight="1" x14ac:dyDescent="0.25">
      <c r="A1310" s="8" t="s">
        <v>1703</v>
      </c>
      <c r="B1310" s="8" t="s">
        <v>0</v>
      </c>
      <c r="C1310" s="8" t="s">
        <v>762</v>
      </c>
      <c r="D1310" s="8" t="s">
        <v>4</v>
      </c>
      <c r="E1310" s="8" t="s">
        <v>18</v>
      </c>
      <c r="F1310" s="6">
        <v>59.5</v>
      </c>
      <c r="G1310" s="8" t="s">
        <v>1711</v>
      </c>
      <c r="H1310" s="8" t="s">
        <v>762</v>
      </c>
      <c r="I1310" s="8" t="s">
        <v>2650</v>
      </c>
      <c r="K1310">
        <f>IF($A1310="","",IF(ISNUMBER($A1310),MONTH($A1310),MONTH(DATEVALUE($A1310))))</f>
        <v>5</v>
      </c>
    </row>
    <row r="1311" spans="1:11" ht="60" customHeight="1" x14ac:dyDescent="0.25">
      <c r="A1311" s="7" t="s">
        <v>1703</v>
      </c>
      <c r="B1311" s="7" t="s">
        <v>0</v>
      </c>
      <c r="C1311" s="7" t="s">
        <v>63</v>
      </c>
      <c r="D1311" s="7" t="s">
        <v>4</v>
      </c>
      <c r="E1311" s="7" t="s">
        <v>18</v>
      </c>
      <c r="F1311" s="5">
        <v>62.17</v>
      </c>
      <c r="G1311" s="7" t="s">
        <v>1712</v>
      </c>
      <c r="H1311" s="7" t="s">
        <v>63</v>
      </c>
      <c r="I1311" s="7" t="s">
        <v>2633</v>
      </c>
      <c r="K1311">
        <f>IF($A1311="","",IF(ISNUMBER($A1311),MONTH($A1311),MONTH(DATEVALUE($A1311))))</f>
        <v>5</v>
      </c>
    </row>
    <row r="1312" spans="1:11" ht="60" customHeight="1" x14ac:dyDescent="0.25">
      <c r="A1312" s="8" t="s">
        <v>1713</v>
      </c>
      <c r="B1312" s="8" t="s">
        <v>0</v>
      </c>
      <c r="C1312" s="8" t="s">
        <v>1714</v>
      </c>
      <c r="D1312" s="8" t="s">
        <v>1113</v>
      </c>
      <c r="E1312" s="8" t="s">
        <v>1114</v>
      </c>
      <c r="F1312" s="6">
        <v>1319.03</v>
      </c>
      <c r="G1312" s="8" t="s">
        <v>1715</v>
      </c>
      <c r="H1312" s="8" t="s">
        <v>1714</v>
      </c>
      <c r="I1312" s="8" t="s">
        <v>2645</v>
      </c>
      <c r="K1312">
        <f>IF($A1312="","",IF(ISNUMBER($A1312),MONTH($A1312),MONTH(DATEVALUE($A1312))))</f>
        <v>5</v>
      </c>
    </row>
    <row r="1313" spans="1:11" ht="60" customHeight="1" x14ac:dyDescent="0.25">
      <c r="A1313" s="7" t="s">
        <v>1713</v>
      </c>
      <c r="B1313" s="7" t="s">
        <v>0</v>
      </c>
      <c r="C1313" s="7" t="s">
        <v>1716</v>
      </c>
      <c r="D1313" s="7" t="s">
        <v>4</v>
      </c>
      <c r="E1313" s="7" t="s">
        <v>18</v>
      </c>
      <c r="F1313" s="5">
        <v>3.24</v>
      </c>
      <c r="G1313" s="7" t="s">
        <v>1717</v>
      </c>
      <c r="H1313" s="7" t="s">
        <v>1716</v>
      </c>
      <c r="I1313" s="7" t="s">
        <v>2647</v>
      </c>
      <c r="K1313">
        <f>IF($A1313="","",IF(ISNUMBER($A1313),MONTH($A1313),MONTH(DATEVALUE($A1313))))</f>
        <v>5</v>
      </c>
    </row>
    <row r="1314" spans="1:11" ht="60" customHeight="1" x14ac:dyDescent="0.25">
      <c r="A1314" s="8" t="s">
        <v>1713</v>
      </c>
      <c r="B1314" s="8" t="s">
        <v>0</v>
      </c>
      <c r="C1314" s="8" t="s">
        <v>567</v>
      </c>
      <c r="D1314" s="8" t="s">
        <v>4</v>
      </c>
      <c r="E1314" s="8" t="s">
        <v>18</v>
      </c>
      <c r="F1314" s="6">
        <v>16.23</v>
      </c>
      <c r="G1314" s="8" t="s">
        <v>1718</v>
      </c>
      <c r="H1314" s="8" t="s">
        <v>567</v>
      </c>
      <c r="I1314" s="8" t="s">
        <v>2647</v>
      </c>
      <c r="K1314">
        <f>IF($A1314="","",IF(ISNUMBER($A1314),MONTH($A1314),MONTH(DATEVALUE($A1314))))</f>
        <v>5</v>
      </c>
    </row>
    <row r="1315" spans="1:11" ht="60" customHeight="1" x14ac:dyDescent="0.25">
      <c r="A1315" s="7" t="s">
        <v>1713</v>
      </c>
      <c r="B1315" s="7" t="s">
        <v>0</v>
      </c>
      <c r="C1315" s="7" t="s">
        <v>176</v>
      </c>
      <c r="D1315" s="7" t="s">
        <v>4</v>
      </c>
      <c r="E1315" s="7" t="s">
        <v>18</v>
      </c>
      <c r="F1315" s="5">
        <v>9.99</v>
      </c>
      <c r="G1315" s="7" t="s">
        <v>1719</v>
      </c>
      <c r="H1315" s="7" t="s">
        <v>176</v>
      </c>
      <c r="I1315" s="7" t="s">
        <v>2630</v>
      </c>
      <c r="K1315">
        <f>IF($A1315="","",IF(ISNUMBER($A1315),MONTH($A1315),MONTH(DATEVALUE($A1315))))</f>
        <v>5</v>
      </c>
    </row>
    <row r="1316" spans="1:11" ht="60" customHeight="1" x14ac:dyDescent="0.25">
      <c r="A1316" s="8" t="s">
        <v>1713</v>
      </c>
      <c r="B1316" s="8" t="s">
        <v>0</v>
      </c>
      <c r="C1316" s="8" t="s">
        <v>178</v>
      </c>
      <c r="D1316" s="8" t="s">
        <v>4</v>
      </c>
      <c r="E1316" s="8" t="s">
        <v>18</v>
      </c>
      <c r="F1316" s="6">
        <v>260</v>
      </c>
      <c r="G1316" s="8" t="s">
        <v>1720</v>
      </c>
      <c r="H1316" s="8" t="s">
        <v>178</v>
      </c>
      <c r="I1316" s="8" t="s">
        <v>2638</v>
      </c>
      <c r="K1316">
        <f>IF($A1316="","",IF(ISNUMBER($A1316),MONTH($A1316),MONTH(DATEVALUE($A1316))))</f>
        <v>5</v>
      </c>
    </row>
    <row r="1317" spans="1:11" ht="60" customHeight="1" x14ac:dyDescent="0.25">
      <c r="A1317" s="7" t="s">
        <v>1713</v>
      </c>
      <c r="B1317" s="7" t="s">
        <v>0</v>
      </c>
      <c r="C1317" s="7" t="s">
        <v>1721</v>
      </c>
      <c r="D1317" s="7" t="s">
        <v>4</v>
      </c>
      <c r="E1317" s="7" t="s">
        <v>18</v>
      </c>
      <c r="F1317" s="5">
        <v>30.97</v>
      </c>
      <c r="G1317" s="7" t="s">
        <v>1722</v>
      </c>
      <c r="H1317" s="7" t="s">
        <v>1721</v>
      </c>
      <c r="I1317" s="7" t="s">
        <v>2627</v>
      </c>
      <c r="K1317">
        <f>IF($A1317="","",IF(ISNUMBER($A1317),MONTH($A1317),MONTH(DATEVALUE($A1317))))</f>
        <v>5</v>
      </c>
    </row>
    <row r="1318" spans="1:11" ht="60" customHeight="1" x14ac:dyDescent="0.25">
      <c r="A1318" s="8" t="s">
        <v>1713</v>
      </c>
      <c r="B1318" s="8" t="s">
        <v>0</v>
      </c>
      <c r="C1318" s="8" t="s">
        <v>1723</v>
      </c>
      <c r="D1318" s="8" t="s">
        <v>1113</v>
      </c>
      <c r="E1318" s="8" t="s">
        <v>1114</v>
      </c>
      <c r="F1318" s="6">
        <v>614.6</v>
      </c>
      <c r="G1318" s="8" t="s">
        <v>1724</v>
      </c>
      <c r="H1318" s="8" t="s">
        <v>1723</v>
      </c>
      <c r="I1318" s="8" t="s">
        <v>2645</v>
      </c>
      <c r="K1318">
        <f>IF($A1318="","",IF(ISNUMBER($A1318),MONTH($A1318),MONTH(DATEVALUE($A1318))))</f>
        <v>5</v>
      </c>
    </row>
    <row r="1319" spans="1:11" ht="60" customHeight="1" x14ac:dyDescent="0.25">
      <c r="A1319" s="7" t="s">
        <v>1725</v>
      </c>
      <c r="B1319" s="7" t="s">
        <v>0</v>
      </c>
      <c r="C1319" s="7" t="s">
        <v>1096</v>
      </c>
      <c r="D1319" s="7" t="s">
        <v>4</v>
      </c>
      <c r="E1319" s="7" t="s">
        <v>18</v>
      </c>
      <c r="F1319" s="5">
        <v>-620.85</v>
      </c>
      <c r="G1319" s="7" t="s">
        <v>1101</v>
      </c>
      <c r="H1319" s="7" t="s">
        <v>1096</v>
      </c>
      <c r="I1319" s="7" t="s">
        <v>2647</v>
      </c>
      <c r="K1319">
        <f>IF($A1319="","",IF(ISNUMBER($A1319),MONTH($A1319),MONTH(DATEVALUE($A1319))))</f>
        <v>5</v>
      </c>
    </row>
    <row r="1320" spans="1:11" ht="60" customHeight="1" x14ac:dyDescent="0.25">
      <c r="A1320" s="8" t="s">
        <v>1725</v>
      </c>
      <c r="B1320" s="8" t="s">
        <v>0</v>
      </c>
      <c r="C1320" s="8" t="s">
        <v>1102</v>
      </c>
      <c r="D1320" s="8" t="s">
        <v>4</v>
      </c>
      <c r="E1320" s="8" t="s">
        <v>18</v>
      </c>
      <c r="F1320" s="6">
        <v>620.85</v>
      </c>
      <c r="G1320" s="8" t="s">
        <v>1726</v>
      </c>
      <c r="H1320" s="8" t="s">
        <v>1096</v>
      </c>
      <c r="I1320" s="8" t="s">
        <v>2647</v>
      </c>
      <c r="K1320">
        <f>IF($A1320="","",IF(ISNUMBER($A1320),MONTH($A1320),MONTH(DATEVALUE($A1320))))</f>
        <v>5</v>
      </c>
    </row>
    <row r="1321" spans="1:11" ht="60" customHeight="1" x14ac:dyDescent="0.25">
      <c r="A1321" s="7" t="s">
        <v>1725</v>
      </c>
      <c r="B1321" s="7" t="s">
        <v>0</v>
      </c>
      <c r="C1321" s="7" t="s">
        <v>627</v>
      </c>
      <c r="D1321" s="7" t="s">
        <v>4</v>
      </c>
      <c r="E1321" s="7" t="s">
        <v>18</v>
      </c>
      <c r="F1321" s="5">
        <v>272.20999999999998</v>
      </c>
      <c r="G1321" s="7" t="s">
        <v>1727</v>
      </c>
      <c r="H1321" s="7" t="s">
        <v>627</v>
      </c>
      <c r="I1321" s="7" t="s">
        <v>2632</v>
      </c>
      <c r="K1321">
        <f>IF($A1321="","",IF(ISNUMBER($A1321),MONTH($A1321),MONTH(DATEVALUE($A1321))))</f>
        <v>5</v>
      </c>
    </row>
    <row r="1322" spans="1:11" ht="60" customHeight="1" x14ac:dyDescent="0.25">
      <c r="A1322" s="8" t="s">
        <v>1725</v>
      </c>
      <c r="B1322" s="8" t="s">
        <v>0</v>
      </c>
      <c r="C1322" s="8" t="s">
        <v>1728</v>
      </c>
      <c r="D1322" s="8" t="s">
        <v>4</v>
      </c>
      <c r="E1322" s="8" t="s">
        <v>18</v>
      </c>
      <c r="F1322" s="6">
        <v>17.97</v>
      </c>
      <c r="G1322" s="8" t="s">
        <v>1729</v>
      </c>
      <c r="H1322" s="8" t="s">
        <v>1728</v>
      </c>
      <c r="I1322" s="8" t="s">
        <v>2627</v>
      </c>
      <c r="K1322">
        <f>IF($A1322="","",IF(ISNUMBER($A1322),MONTH($A1322),MONTH(DATEVALUE($A1322))))</f>
        <v>5</v>
      </c>
    </row>
    <row r="1323" spans="1:11" ht="60" customHeight="1" x14ac:dyDescent="0.25">
      <c r="A1323" s="7" t="s">
        <v>1730</v>
      </c>
      <c r="B1323" s="7" t="s">
        <v>0</v>
      </c>
      <c r="C1323" s="7" t="s">
        <v>1096</v>
      </c>
      <c r="D1323" s="7" t="s">
        <v>4</v>
      </c>
      <c r="E1323" s="7" t="s">
        <v>18</v>
      </c>
      <c r="F1323" s="5">
        <v>-66.25</v>
      </c>
      <c r="G1323" s="7" t="s">
        <v>1101</v>
      </c>
      <c r="H1323" s="7" t="s">
        <v>1096</v>
      </c>
      <c r="I1323" s="7" t="s">
        <v>2647</v>
      </c>
      <c r="K1323">
        <f>IF($A1323="","",IF(ISNUMBER($A1323),MONTH($A1323),MONTH(DATEVALUE($A1323))))</f>
        <v>5</v>
      </c>
    </row>
    <row r="1324" spans="1:11" ht="60" customHeight="1" x14ac:dyDescent="0.25">
      <c r="A1324" s="8" t="s">
        <v>1730</v>
      </c>
      <c r="B1324" s="8" t="s">
        <v>0</v>
      </c>
      <c r="C1324" s="8" t="s">
        <v>1102</v>
      </c>
      <c r="D1324" s="8" t="s">
        <v>4</v>
      </c>
      <c r="E1324" s="8" t="s">
        <v>18</v>
      </c>
      <c r="F1324" s="6">
        <v>66.25</v>
      </c>
      <c r="G1324" s="8" t="s">
        <v>1731</v>
      </c>
      <c r="H1324" s="8" t="s">
        <v>1096</v>
      </c>
      <c r="I1324" s="8" t="s">
        <v>2647</v>
      </c>
      <c r="K1324">
        <f>IF($A1324="","",IF(ISNUMBER($A1324),MONTH($A1324),MONTH(DATEVALUE($A1324))))</f>
        <v>5</v>
      </c>
    </row>
    <row r="1325" spans="1:11" ht="60" customHeight="1" x14ac:dyDescent="0.25">
      <c r="A1325" s="7" t="s">
        <v>1730</v>
      </c>
      <c r="B1325" s="7" t="s">
        <v>0</v>
      </c>
      <c r="C1325" s="7" t="s">
        <v>522</v>
      </c>
      <c r="D1325" s="7" t="s">
        <v>4</v>
      </c>
      <c r="E1325" s="7" t="s">
        <v>18</v>
      </c>
      <c r="F1325" s="5">
        <v>162.36000000000001</v>
      </c>
      <c r="G1325" s="7" t="s">
        <v>1732</v>
      </c>
      <c r="H1325" s="7" t="s">
        <v>522</v>
      </c>
      <c r="I1325" s="7" t="s">
        <v>2647</v>
      </c>
      <c r="K1325">
        <f>IF($A1325="","",IF(ISNUMBER($A1325),MONTH($A1325),MONTH(DATEVALUE($A1325))))</f>
        <v>5</v>
      </c>
    </row>
    <row r="1326" spans="1:11" ht="60" customHeight="1" x14ac:dyDescent="0.25">
      <c r="A1326" s="8" t="s">
        <v>1730</v>
      </c>
      <c r="B1326" s="8" t="s">
        <v>0</v>
      </c>
      <c r="C1326" s="8" t="s">
        <v>1733</v>
      </c>
      <c r="D1326" s="8" t="s">
        <v>4</v>
      </c>
      <c r="E1326" s="8" t="s">
        <v>18</v>
      </c>
      <c r="F1326" s="6">
        <v>40.97</v>
      </c>
      <c r="G1326" s="8" t="s">
        <v>1734</v>
      </c>
      <c r="H1326" s="8" t="s">
        <v>1733</v>
      </c>
      <c r="I1326" s="8" t="s">
        <v>2627</v>
      </c>
      <c r="K1326">
        <f>IF($A1326="","",IF(ISNUMBER($A1326),MONTH($A1326),MONTH(DATEVALUE($A1326))))</f>
        <v>5</v>
      </c>
    </row>
    <row r="1327" spans="1:11" ht="60" customHeight="1" x14ac:dyDescent="0.25">
      <c r="A1327" s="7" t="s">
        <v>1730</v>
      </c>
      <c r="B1327" s="7" t="s">
        <v>0</v>
      </c>
      <c r="C1327" s="7" t="s">
        <v>167</v>
      </c>
      <c r="D1327" s="7" t="s">
        <v>4</v>
      </c>
      <c r="E1327" s="7" t="s">
        <v>18</v>
      </c>
      <c r="F1327" s="5">
        <v>175.6</v>
      </c>
      <c r="G1327" s="7" t="s">
        <v>1735</v>
      </c>
      <c r="H1327" s="7" t="s">
        <v>167</v>
      </c>
      <c r="I1327" s="7" t="s">
        <v>2639</v>
      </c>
      <c r="K1327">
        <f>IF($A1327="","",IF(ISNUMBER($A1327),MONTH($A1327),MONTH(DATEVALUE($A1327))))</f>
        <v>5</v>
      </c>
    </row>
    <row r="1328" spans="1:11" ht="60" customHeight="1" x14ac:dyDescent="0.25">
      <c r="A1328" s="8" t="s">
        <v>1730</v>
      </c>
      <c r="B1328" s="8" t="s">
        <v>0</v>
      </c>
      <c r="C1328" s="8" t="s">
        <v>63</v>
      </c>
      <c r="D1328" s="8" t="s">
        <v>4</v>
      </c>
      <c r="E1328" s="8" t="s">
        <v>18</v>
      </c>
      <c r="F1328" s="6">
        <v>179.56</v>
      </c>
      <c r="G1328" s="8" t="s">
        <v>1736</v>
      </c>
      <c r="H1328" s="8" t="s">
        <v>63</v>
      </c>
      <c r="I1328" s="8" t="s">
        <v>2633</v>
      </c>
      <c r="K1328">
        <f>IF($A1328="","",IF(ISNUMBER($A1328),MONTH($A1328),MONTH(DATEVALUE($A1328))))</f>
        <v>5</v>
      </c>
    </row>
    <row r="1329" spans="1:11" ht="60" customHeight="1" x14ac:dyDescent="0.25">
      <c r="A1329" s="7" t="s">
        <v>1730</v>
      </c>
      <c r="B1329" s="7" t="s">
        <v>0</v>
      </c>
      <c r="C1329" s="7" t="s">
        <v>171</v>
      </c>
      <c r="D1329" s="7" t="s">
        <v>4</v>
      </c>
      <c r="E1329" s="7" t="s">
        <v>18</v>
      </c>
      <c r="F1329" s="5">
        <v>131.38999999999999</v>
      </c>
      <c r="G1329" s="7" t="s">
        <v>1737</v>
      </c>
      <c r="H1329" s="7" t="s">
        <v>171</v>
      </c>
      <c r="I1329" s="7" t="s">
        <v>2633</v>
      </c>
      <c r="K1329">
        <f>IF($A1329="","",IF(ISNUMBER($A1329),MONTH($A1329),MONTH(DATEVALUE($A1329))))</f>
        <v>5</v>
      </c>
    </row>
    <row r="1330" spans="1:11" ht="60" customHeight="1" x14ac:dyDescent="0.25">
      <c r="A1330" s="8" t="s">
        <v>1738</v>
      </c>
      <c r="B1330" s="8" t="s">
        <v>0</v>
      </c>
      <c r="C1330" s="8" t="s">
        <v>1096</v>
      </c>
      <c r="D1330" s="8" t="s">
        <v>4</v>
      </c>
      <c r="E1330" s="8" t="s">
        <v>18</v>
      </c>
      <c r="F1330" s="6">
        <v>-827.8</v>
      </c>
      <c r="G1330" s="8" t="s">
        <v>1101</v>
      </c>
      <c r="H1330" s="8" t="s">
        <v>1096</v>
      </c>
      <c r="I1330" s="8" t="s">
        <v>2647</v>
      </c>
      <c r="K1330">
        <f>IF($A1330="","",IF(ISNUMBER($A1330),MONTH($A1330),MONTH(DATEVALUE($A1330))))</f>
        <v>5</v>
      </c>
    </row>
    <row r="1331" spans="1:11" ht="60" customHeight="1" x14ac:dyDescent="0.25">
      <c r="A1331" s="7" t="s">
        <v>1738</v>
      </c>
      <c r="B1331" s="7" t="s">
        <v>0</v>
      </c>
      <c r="C1331" s="7" t="s">
        <v>1102</v>
      </c>
      <c r="D1331" s="7" t="s">
        <v>4</v>
      </c>
      <c r="E1331" s="7" t="s">
        <v>18</v>
      </c>
      <c r="F1331" s="5">
        <v>827.8</v>
      </c>
      <c r="G1331" s="7" t="s">
        <v>1739</v>
      </c>
      <c r="H1331" s="7" t="s">
        <v>1096</v>
      </c>
      <c r="I1331" s="7" t="s">
        <v>2647</v>
      </c>
      <c r="K1331">
        <f>IF($A1331="","",IF(ISNUMBER($A1331),MONTH($A1331),MONTH(DATEVALUE($A1331))))</f>
        <v>5</v>
      </c>
    </row>
    <row r="1332" spans="1:11" ht="60" customHeight="1" x14ac:dyDescent="0.25">
      <c r="A1332" s="8" t="s">
        <v>1738</v>
      </c>
      <c r="B1332" s="8" t="s">
        <v>0</v>
      </c>
      <c r="C1332" s="8" t="s">
        <v>104</v>
      </c>
      <c r="D1332" s="8" t="s">
        <v>4</v>
      </c>
      <c r="E1332" s="8" t="s">
        <v>18</v>
      </c>
      <c r="F1332" s="6">
        <v>13.99</v>
      </c>
      <c r="G1332" s="8" t="s">
        <v>1740</v>
      </c>
      <c r="H1332" s="8" t="s">
        <v>104</v>
      </c>
      <c r="I1332" s="8" t="s">
        <v>2632</v>
      </c>
      <c r="K1332">
        <f>IF($A1332="","",IF(ISNUMBER($A1332),MONTH($A1332),MONTH(DATEVALUE($A1332))))</f>
        <v>5</v>
      </c>
    </row>
    <row r="1333" spans="1:11" ht="60" customHeight="1" x14ac:dyDescent="0.25">
      <c r="A1333" s="7" t="s">
        <v>1738</v>
      </c>
      <c r="B1333" s="7" t="s">
        <v>0</v>
      </c>
      <c r="C1333" s="7" t="s">
        <v>668</v>
      </c>
      <c r="D1333" s="7" t="s">
        <v>4</v>
      </c>
      <c r="E1333" s="7" t="s">
        <v>18</v>
      </c>
      <c r="F1333" s="5">
        <v>130</v>
      </c>
      <c r="G1333" s="7" t="s">
        <v>1741</v>
      </c>
      <c r="H1333" s="7" t="s">
        <v>668</v>
      </c>
      <c r="I1333" s="7" t="s">
        <v>2633</v>
      </c>
      <c r="K1333">
        <f>IF($A1333="","",IF(ISNUMBER($A1333),MONTH($A1333),MONTH(DATEVALUE($A1333))))</f>
        <v>5</v>
      </c>
    </row>
    <row r="1334" spans="1:11" ht="60" customHeight="1" x14ac:dyDescent="0.25">
      <c r="A1334" s="8" t="s">
        <v>1738</v>
      </c>
      <c r="B1334" s="8" t="s">
        <v>0</v>
      </c>
      <c r="C1334" s="8" t="s">
        <v>211</v>
      </c>
      <c r="D1334" s="8" t="s">
        <v>4</v>
      </c>
      <c r="E1334" s="8" t="s">
        <v>18</v>
      </c>
      <c r="F1334" s="6">
        <v>52.14</v>
      </c>
      <c r="G1334" s="8" t="s">
        <v>1742</v>
      </c>
      <c r="H1334" s="8" t="s">
        <v>211</v>
      </c>
      <c r="I1334" s="8" t="s">
        <v>2630</v>
      </c>
      <c r="K1334">
        <f>IF($A1334="","",IF(ISNUMBER($A1334),MONTH($A1334),MONTH(DATEVALUE($A1334))))</f>
        <v>5</v>
      </c>
    </row>
    <row r="1335" spans="1:11" ht="60" customHeight="1" x14ac:dyDescent="0.25">
      <c r="A1335" s="7" t="s">
        <v>1738</v>
      </c>
      <c r="B1335" s="7" t="s">
        <v>0</v>
      </c>
      <c r="C1335" s="7" t="s">
        <v>1743</v>
      </c>
      <c r="D1335" s="7" t="s">
        <v>4</v>
      </c>
      <c r="E1335" s="7" t="s">
        <v>18</v>
      </c>
      <c r="F1335" s="5">
        <v>133.82</v>
      </c>
      <c r="G1335" s="7" t="s">
        <v>1744</v>
      </c>
      <c r="H1335" s="7" t="s">
        <v>1743</v>
      </c>
      <c r="I1335" s="7" t="s">
        <v>2650</v>
      </c>
      <c r="K1335">
        <f>IF($A1335="","",IF(ISNUMBER($A1335),MONTH($A1335),MONTH(DATEVALUE($A1335))))</f>
        <v>5</v>
      </c>
    </row>
    <row r="1336" spans="1:11" ht="60" customHeight="1" x14ac:dyDescent="0.25">
      <c r="A1336" s="8" t="s">
        <v>1738</v>
      </c>
      <c r="B1336" s="8" t="s">
        <v>0</v>
      </c>
      <c r="C1336" s="8" t="s">
        <v>1743</v>
      </c>
      <c r="D1336" s="8" t="s">
        <v>4</v>
      </c>
      <c r="E1336" s="8" t="s">
        <v>18</v>
      </c>
      <c r="F1336" s="6">
        <v>856.02</v>
      </c>
      <c r="G1336" s="8" t="s">
        <v>1745</v>
      </c>
      <c r="H1336" s="8" t="s">
        <v>1743</v>
      </c>
      <c r="I1336" s="8" t="s">
        <v>2650</v>
      </c>
      <c r="K1336">
        <f>IF($A1336="","",IF(ISNUMBER($A1336),MONTH($A1336),MONTH(DATEVALUE($A1336))))</f>
        <v>5</v>
      </c>
    </row>
    <row r="1337" spans="1:11" ht="60" customHeight="1" x14ac:dyDescent="0.25">
      <c r="A1337" s="7" t="s">
        <v>1738</v>
      </c>
      <c r="B1337" s="7" t="s">
        <v>0</v>
      </c>
      <c r="C1337" s="7" t="s">
        <v>247</v>
      </c>
      <c r="D1337" s="7" t="s">
        <v>4</v>
      </c>
      <c r="E1337" s="7" t="s">
        <v>18</v>
      </c>
      <c r="F1337" s="5">
        <v>8.5</v>
      </c>
      <c r="G1337" s="7" t="s">
        <v>1746</v>
      </c>
      <c r="H1337" s="7" t="s">
        <v>247</v>
      </c>
      <c r="I1337" s="7" t="s">
        <v>2633</v>
      </c>
      <c r="K1337">
        <f>IF($A1337="","",IF(ISNUMBER($A1337),MONTH($A1337),MONTH(DATEVALUE($A1337))))</f>
        <v>5</v>
      </c>
    </row>
    <row r="1338" spans="1:11" ht="60" customHeight="1" x14ac:dyDescent="0.25">
      <c r="A1338" s="8" t="s">
        <v>1738</v>
      </c>
      <c r="B1338" s="8" t="s">
        <v>0</v>
      </c>
      <c r="C1338" s="8" t="s">
        <v>282</v>
      </c>
      <c r="D1338" s="8" t="s">
        <v>4</v>
      </c>
      <c r="E1338" s="8" t="s">
        <v>18</v>
      </c>
      <c r="F1338" s="6">
        <v>268.94</v>
      </c>
      <c r="G1338" s="8" t="s">
        <v>1747</v>
      </c>
      <c r="H1338" s="8" t="s">
        <v>282</v>
      </c>
      <c r="I1338" s="8" t="s">
        <v>2633</v>
      </c>
      <c r="K1338">
        <f>IF($A1338="","",IF(ISNUMBER($A1338),MONTH($A1338),MONTH(DATEVALUE($A1338))))</f>
        <v>5</v>
      </c>
    </row>
    <row r="1339" spans="1:11" ht="60" customHeight="1" x14ac:dyDescent="0.25">
      <c r="A1339" s="7" t="s">
        <v>1748</v>
      </c>
      <c r="B1339" s="7" t="s">
        <v>0</v>
      </c>
      <c r="C1339" s="7" t="s">
        <v>1096</v>
      </c>
      <c r="D1339" s="7" t="s">
        <v>4</v>
      </c>
      <c r="E1339" s="7" t="s">
        <v>18</v>
      </c>
      <c r="F1339" s="5">
        <v>-620.85</v>
      </c>
      <c r="G1339" s="7" t="s">
        <v>1101</v>
      </c>
      <c r="H1339" s="7" t="s">
        <v>1096</v>
      </c>
      <c r="I1339" s="7" t="s">
        <v>2647</v>
      </c>
      <c r="K1339">
        <f>IF($A1339="","",IF(ISNUMBER($A1339),MONTH($A1339),MONTH(DATEVALUE($A1339))))</f>
        <v>5</v>
      </c>
    </row>
    <row r="1340" spans="1:11" ht="60" customHeight="1" x14ac:dyDescent="0.25">
      <c r="A1340" s="8" t="s">
        <v>1748</v>
      </c>
      <c r="B1340" s="8" t="s">
        <v>0</v>
      </c>
      <c r="C1340" s="8" t="s">
        <v>1102</v>
      </c>
      <c r="D1340" s="8" t="s">
        <v>4</v>
      </c>
      <c r="E1340" s="8" t="s">
        <v>18</v>
      </c>
      <c r="F1340" s="6">
        <v>620.85</v>
      </c>
      <c r="G1340" s="8" t="s">
        <v>1749</v>
      </c>
      <c r="H1340" s="8" t="s">
        <v>1096</v>
      </c>
      <c r="I1340" s="8" t="s">
        <v>2647</v>
      </c>
      <c r="K1340">
        <f>IF($A1340="","",IF(ISNUMBER($A1340),MONTH($A1340),MONTH(DATEVALUE($A1340))))</f>
        <v>5</v>
      </c>
    </row>
    <row r="1341" spans="1:11" ht="60" customHeight="1" x14ac:dyDescent="0.25">
      <c r="A1341" s="7" t="s">
        <v>1748</v>
      </c>
      <c r="B1341" s="7" t="s">
        <v>0</v>
      </c>
      <c r="C1341" s="7" t="s">
        <v>522</v>
      </c>
      <c r="D1341" s="7" t="s">
        <v>4</v>
      </c>
      <c r="E1341" s="7" t="s">
        <v>18</v>
      </c>
      <c r="F1341" s="5">
        <v>97.4</v>
      </c>
      <c r="G1341" s="7" t="s">
        <v>1750</v>
      </c>
      <c r="H1341" s="7" t="s">
        <v>522</v>
      </c>
      <c r="I1341" s="7" t="s">
        <v>2647</v>
      </c>
      <c r="K1341">
        <f>IF($A1341="","",IF(ISNUMBER($A1341),MONTH($A1341),MONTH(DATEVALUE($A1341))))</f>
        <v>5</v>
      </c>
    </row>
    <row r="1342" spans="1:11" ht="60" customHeight="1" x14ac:dyDescent="0.25">
      <c r="A1342" s="8" t="s">
        <v>1748</v>
      </c>
      <c r="B1342" s="8" t="s">
        <v>0</v>
      </c>
      <c r="C1342" s="8" t="s">
        <v>522</v>
      </c>
      <c r="D1342" s="8" t="s">
        <v>4</v>
      </c>
      <c r="E1342" s="8" t="s">
        <v>18</v>
      </c>
      <c r="F1342" s="6">
        <v>143.69</v>
      </c>
      <c r="G1342" s="8" t="s">
        <v>1751</v>
      </c>
      <c r="H1342" s="8" t="s">
        <v>522</v>
      </c>
      <c r="I1342" s="8" t="s">
        <v>2647</v>
      </c>
      <c r="K1342">
        <f>IF($A1342="","",IF(ISNUMBER($A1342),MONTH($A1342),MONTH(DATEVALUE($A1342))))</f>
        <v>5</v>
      </c>
    </row>
    <row r="1343" spans="1:11" ht="60" customHeight="1" x14ac:dyDescent="0.25">
      <c r="A1343" s="7" t="s">
        <v>1748</v>
      </c>
      <c r="B1343" s="7" t="s">
        <v>0</v>
      </c>
      <c r="C1343" s="7" t="s">
        <v>522</v>
      </c>
      <c r="D1343" s="7" t="s">
        <v>4</v>
      </c>
      <c r="E1343" s="7" t="s">
        <v>18</v>
      </c>
      <c r="F1343" s="5">
        <v>454.59</v>
      </c>
      <c r="G1343" s="7" t="s">
        <v>1752</v>
      </c>
      <c r="H1343" s="7" t="s">
        <v>522</v>
      </c>
      <c r="I1343" s="7" t="s">
        <v>2647</v>
      </c>
      <c r="K1343">
        <f>IF($A1343="","",IF(ISNUMBER($A1343),MONTH($A1343),MONTH(DATEVALUE($A1343))))</f>
        <v>5</v>
      </c>
    </row>
    <row r="1344" spans="1:11" ht="60" customHeight="1" x14ac:dyDescent="0.25">
      <c r="A1344" s="8" t="s">
        <v>1753</v>
      </c>
      <c r="B1344" s="8" t="s">
        <v>0</v>
      </c>
      <c r="C1344" s="8" t="s">
        <v>217</v>
      </c>
      <c r="D1344" s="8" t="s">
        <v>4</v>
      </c>
      <c r="E1344" s="8" t="s">
        <v>18</v>
      </c>
      <c r="F1344" s="6">
        <v>169.52</v>
      </c>
      <c r="G1344" s="8" t="s">
        <v>1754</v>
      </c>
      <c r="H1344" s="8" t="s">
        <v>217</v>
      </c>
      <c r="I1344" s="8" t="s">
        <v>2632</v>
      </c>
      <c r="K1344">
        <f>IF($A1344="","",IF(ISNUMBER($A1344),MONTH($A1344),MONTH(DATEVALUE($A1344))))</f>
        <v>5</v>
      </c>
    </row>
    <row r="1345" spans="1:11" ht="60" customHeight="1" x14ac:dyDescent="0.25">
      <c r="A1345" s="7" t="s">
        <v>1753</v>
      </c>
      <c r="B1345" s="7" t="s">
        <v>0</v>
      </c>
      <c r="C1345" s="7" t="s">
        <v>1096</v>
      </c>
      <c r="D1345" s="7" t="s">
        <v>4</v>
      </c>
      <c r="E1345" s="7" t="s">
        <v>18</v>
      </c>
      <c r="F1345" s="5">
        <v>-508.95</v>
      </c>
      <c r="G1345" s="7" t="s">
        <v>1101</v>
      </c>
      <c r="H1345" s="7" t="s">
        <v>1096</v>
      </c>
      <c r="I1345" s="7" t="s">
        <v>2647</v>
      </c>
      <c r="K1345">
        <f>IF($A1345="","",IF(ISNUMBER($A1345),MONTH($A1345),MONTH(DATEVALUE($A1345))))</f>
        <v>5</v>
      </c>
    </row>
    <row r="1346" spans="1:11" ht="60" customHeight="1" x14ac:dyDescent="0.25">
      <c r="A1346" s="8" t="s">
        <v>1753</v>
      </c>
      <c r="B1346" s="8" t="s">
        <v>0</v>
      </c>
      <c r="C1346" s="8" t="s">
        <v>1102</v>
      </c>
      <c r="D1346" s="8" t="s">
        <v>4</v>
      </c>
      <c r="E1346" s="8" t="s">
        <v>18</v>
      </c>
      <c r="F1346" s="6">
        <v>508.95</v>
      </c>
      <c r="G1346" s="8" t="s">
        <v>1755</v>
      </c>
      <c r="H1346" s="8" t="s">
        <v>1096</v>
      </c>
      <c r="I1346" s="8" t="s">
        <v>2647</v>
      </c>
      <c r="K1346">
        <f>IF($A1346="","",IF(ISNUMBER($A1346),MONTH($A1346),MONTH(DATEVALUE($A1346))))</f>
        <v>5</v>
      </c>
    </row>
    <row r="1347" spans="1:11" ht="60" customHeight="1" x14ac:dyDescent="0.25">
      <c r="A1347" s="7" t="s">
        <v>1753</v>
      </c>
      <c r="B1347" s="7" t="s">
        <v>0</v>
      </c>
      <c r="C1347" s="7" t="s">
        <v>1756</v>
      </c>
      <c r="D1347" s="7" t="s">
        <v>4</v>
      </c>
      <c r="E1347" s="7" t="s">
        <v>18</v>
      </c>
      <c r="F1347" s="5">
        <v>30.97</v>
      </c>
      <c r="G1347" s="7" t="s">
        <v>1757</v>
      </c>
      <c r="H1347" s="7" t="s">
        <v>1756</v>
      </c>
      <c r="I1347" s="7" t="s">
        <v>2627</v>
      </c>
      <c r="K1347">
        <f>IF($A1347="","",IF(ISNUMBER($A1347),MONTH($A1347),MONTH(DATEVALUE($A1347))))</f>
        <v>5</v>
      </c>
    </row>
    <row r="1348" spans="1:11" ht="60" customHeight="1" x14ac:dyDescent="0.25">
      <c r="A1348" s="8" t="s">
        <v>1753</v>
      </c>
      <c r="B1348" s="8" t="s">
        <v>0</v>
      </c>
      <c r="C1348" s="8" t="s">
        <v>1758</v>
      </c>
      <c r="D1348" s="8" t="s">
        <v>4</v>
      </c>
      <c r="E1348" s="8" t="s">
        <v>18</v>
      </c>
      <c r="F1348" s="6">
        <v>20</v>
      </c>
      <c r="G1348" s="8" t="s">
        <v>1759</v>
      </c>
      <c r="H1348" s="8" t="s">
        <v>1758</v>
      </c>
      <c r="I1348" s="8" t="s">
        <v>2630</v>
      </c>
      <c r="K1348">
        <f>IF($A1348="","",IF(ISNUMBER($A1348),MONTH($A1348),MONTH(DATEVALUE($A1348))))</f>
        <v>5</v>
      </c>
    </row>
    <row r="1349" spans="1:11" ht="60" customHeight="1" x14ac:dyDescent="0.25">
      <c r="A1349" s="7" t="s">
        <v>1753</v>
      </c>
      <c r="B1349" s="7" t="s">
        <v>0</v>
      </c>
      <c r="C1349" s="7" t="s">
        <v>1760</v>
      </c>
      <c r="D1349" s="7" t="s">
        <v>4</v>
      </c>
      <c r="E1349" s="7" t="s">
        <v>18</v>
      </c>
      <c r="F1349" s="5">
        <v>75.650000000000006</v>
      </c>
      <c r="G1349" s="7" t="s">
        <v>1761</v>
      </c>
      <c r="H1349" s="7" t="s">
        <v>1760</v>
      </c>
      <c r="I1349" s="7" t="s">
        <v>2633</v>
      </c>
      <c r="K1349">
        <f>IF($A1349="","",IF(ISNUMBER($A1349),MONTH($A1349),MONTH(DATEVALUE($A1349))))</f>
        <v>5</v>
      </c>
    </row>
    <row r="1350" spans="1:11" ht="60" customHeight="1" x14ac:dyDescent="0.25">
      <c r="A1350" s="8" t="s">
        <v>1753</v>
      </c>
      <c r="B1350" s="8" t="s">
        <v>0</v>
      </c>
      <c r="C1350" s="8" t="s">
        <v>1762</v>
      </c>
      <c r="D1350" s="8" t="s">
        <v>4</v>
      </c>
      <c r="E1350" s="8" t="s">
        <v>18</v>
      </c>
      <c r="F1350" s="6">
        <v>142.69</v>
      </c>
      <c r="G1350" s="8" t="s">
        <v>1763</v>
      </c>
      <c r="H1350" s="8" t="s">
        <v>1762</v>
      </c>
      <c r="I1350" s="8" t="s">
        <v>2633</v>
      </c>
      <c r="K1350">
        <f>IF($A1350="","",IF(ISNUMBER($A1350),MONTH($A1350),MONTH(DATEVALUE($A1350))))</f>
        <v>5</v>
      </c>
    </row>
    <row r="1351" spans="1:11" ht="60" customHeight="1" x14ac:dyDescent="0.25">
      <c r="A1351" s="7" t="s">
        <v>1764</v>
      </c>
      <c r="B1351" s="7" t="s">
        <v>0</v>
      </c>
      <c r="C1351" s="7" t="s">
        <v>1096</v>
      </c>
      <c r="D1351" s="7" t="s">
        <v>4</v>
      </c>
      <c r="E1351" s="7" t="s">
        <v>18</v>
      </c>
      <c r="F1351" s="5">
        <v>-423.8</v>
      </c>
      <c r="G1351" s="7" t="s">
        <v>1101</v>
      </c>
      <c r="H1351" s="7" t="s">
        <v>1096</v>
      </c>
      <c r="I1351" s="7" t="s">
        <v>2647</v>
      </c>
      <c r="K1351">
        <f>IF($A1351="","",IF(ISNUMBER($A1351),MONTH($A1351),MONTH(DATEVALUE($A1351))))</f>
        <v>4</v>
      </c>
    </row>
    <row r="1352" spans="1:11" ht="60" customHeight="1" x14ac:dyDescent="0.25">
      <c r="A1352" s="8" t="s">
        <v>1764</v>
      </c>
      <c r="B1352" s="8" t="s">
        <v>0</v>
      </c>
      <c r="C1352" s="8" t="s">
        <v>1102</v>
      </c>
      <c r="D1352" s="8" t="s">
        <v>4</v>
      </c>
      <c r="E1352" s="8" t="s">
        <v>18</v>
      </c>
      <c r="F1352" s="6">
        <v>423.8</v>
      </c>
      <c r="G1352" s="8" t="s">
        <v>1765</v>
      </c>
      <c r="H1352" s="8" t="s">
        <v>1096</v>
      </c>
      <c r="I1352" s="8" t="s">
        <v>2647</v>
      </c>
      <c r="K1352">
        <f>IF($A1352="","",IF(ISNUMBER($A1352),MONTH($A1352),MONTH(DATEVALUE($A1352))))</f>
        <v>4</v>
      </c>
    </row>
    <row r="1353" spans="1:11" ht="60" customHeight="1" x14ac:dyDescent="0.25">
      <c r="A1353" s="7" t="s">
        <v>1764</v>
      </c>
      <c r="B1353" s="7" t="s">
        <v>0</v>
      </c>
      <c r="C1353" s="7" t="s">
        <v>522</v>
      </c>
      <c r="D1353" s="7" t="s">
        <v>4</v>
      </c>
      <c r="E1353" s="7" t="s">
        <v>18</v>
      </c>
      <c r="F1353" s="5">
        <v>238.12</v>
      </c>
      <c r="G1353" s="7" t="s">
        <v>1766</v>
      </c>
      <c r="H1353" s="7" t="s">
        <v>522</v>
      </c>
      <c r="I1353" s="7" t="s">
        <v>2647</v>
      </c>
      <c r="K1353">
        <f>IF($A1353="","",IF(ISNUMBER($A1353),MONTH($A1353),MONTH(DATEVALUE($A1353))))</f>
        <v>4</v>
      </c>
    </row>
    <row r="1354" spans="1:11" ht="60" customHeight="1" x14ac:dyDescent="0.25">
      <c r="A1354" s="8" t="s">
        <v>1764</v>
      </c>
      <c r="B1354" s="8" t="s">
        <v>0</v>
      </c>
      <c r="C1354" s="8" t="s">
        <v>1767</v>
      </c>
      <c r="D1354" s="8" t="s">
        <v>4</v>
      </c>
      <c r="E1354" s="8" t="s">
        <v>18</v>
      </c>
      <c r="F1354" s="6">
        <v>44.35</v>
      </c>
      <c r="G1354" s="8" t="s">
        <v>1768</v>
      </c>
      <c r="H1354" s="8" t="s">
        <v>1767</v>
      </c>
      <c r="I1354" s="8" t="s">
        <v>2634</v>
      </c>
      <c r="K1354">
        <f>IF($A1354="","",IF(ISNUMBER($A1354),MONTH($A1354),MONTH(DATEVALUE($A1354))))</f>
        <v>4</v>
      </c>
    </row>
    <row r="1355" spans="1:11" ht="60" customHeight="1" x14ac:dyDescent="0.25">
      <c r="A1355" s="7" t="s">
        <v>1764</v>
      </c>
      <c r="B1355" s="7" t="s">
        <v>0</v>
      </c>
      <c r="C1355" s="7" t="s">
        <v>1769</v>
      </c>
      <c r="D1355" s="7" t="s">
        <v>4</v>
      </c>
      <c r="E1355" s="7" t="s">
        <v>18</v>
      </c>
      <c r="F1355" s="5">
        <v>5</v>
      </c>
      <c r="G1355" s="7" t="s">
        <v>1770</v>
      </c>
      <c r="H1355" s="7" t="s">
        <v>1769</v>
      </c>
      <c r="I1355" s="7" t="s">
        <v>2635</v>
      </c>
      <c r="K1355">
        <f>IF($A1355="","",IF(ISNUMBER($A1355),MONTH($A1355),MONTH(DATEVALUE($A1355))))</f>
        <v>4</v>
      </c>
    </row>
    <row r="1356" spans="1:11" ht="60" customHeight="1" x14ac:dyDescent="0.25">
      <c r="A1356" s="8" t="s">
        <v>1764</v>
      </c>
      <c r="B1356" s="8" t="s">
        <v>0</v>
      </c>
      <c r="C1356" s="8" t="s">
        <v>1771</v>
      </c>
      <c r="D1356" s="8" t="s">
        <v>4</v>
      </c>
      <c r="E1356" s="8" t="s">
        <v>18</v>
      </c>
      <c r="F1356" s="6">
        <v>303</v>
      </c>
      <c r="G1356" s="8" t="s">
        <v>1772</v>
      </c>
      <c r="H1356" s="8" t="s">
        <v>1771</v>
      </c>
      <c r="I1356" s="8" t="s">
        <v>2632</v>
      </c>
      <c r="K1356">
        <f>IF($A1356="","",IF(ISNUMBER($A1356),MONTH($A1356),MONTH(DATEVALUE($A1356))))</f>
        <v>4</v>
      </c>
    </row>
    <row r="1357" spans="1:11" ht="60" customHeight="1" x14ac:dyDescent="0.25">
      <c r="A1357" s="7" t="s">
        <v>1764</v>
      </c>
      <c r="B1357" s="7" t="s">
        <v>0</v>
      </c>
      <c r="C1357" s="7" t="s">
        <v>1773</v>
      </c>
      <c r="D1357" s="7" t="s">
        <v>4</v>
      </c>
      <c r="E1357" s="7" t="s">
        <v>18</v>
      </c>
      <c r="F1357" s="5">
        <v>1441.77</v>
      </c>
      <c r="G1357" s="7" t="s">
        <v>1774</v>
      </c>
      <c r="H1357" s="7" t="s">
        <v>1773</v>
      </c>
      <c r="I1357" s="7" t="s">
        <v>2634</v>
      </c>
      <c r="K1357">
        <f>IF($A1357="","",IF(ISNUMBER($A1357),MONTH($A1357),MONTH(DATEVALUE($A1357))))</f>
        <v>4</v>
      </c>
    </row>
    <row r="1358" spans="1:11" ht="60" customHeight="1" x14ac:dyDescent="0.25">
      <c r="A1358" s="8" t="s">
        <v>1764</v>
      </c>
      <c r="B1358" s="8" t="s">
        <v>227</v>
      </c>
      <c r="C1358" s="8" t="s">
        <v>1775</v>
      </c>
      <c r="D1358" s="8" t="s">
        <v>4</v>
      </c>
      <c r="E1358" s="8" t="s">
        <v>18</v>
      </c>
      <c r="F1358" s="6">
        <v>23.39</v>
      </c>
      <c r="G1358" s="8" t="s">
        <v>1776</v>
      </c>
      <c r="H1358" s="8" t="s">
        <v>1775</v>
      </c>
      <c r="I1358" s="8" t="s">
        <v>2635</v>
      </c>
      <c r="K1358">
        <f>IF($A1358="","",IF(ISNUMBER($A1358),MONTH($A1358),MONTH(DATEVALUE($A1358))))</f>
        <v>4</v>
      </c>
    </row>
    <row r="1359" spans="1:11" ht="60" customHeight="1" x14ac:dyDescent="0.25">
      <c r="A1359" s="7" t="s">
        <v>1777</v>
      </c>
      <c r="B1359" s="7" t="s">
        <v>0</v>
      </c>
      <c r="C1359" s="7" t="s">
        <v>1778</v>
      </c>
      <c r="D1359" s="7" t="s">
        <v>1113</v>
      </c>
      <c r="E1359" s="7" t="s">
        <v>1114</v>
      </c>
      <c r="F1359" s="5">
        <v>696.33</v>
      </c>
      <c r="G1359" s="7" t="s">
        <v>1779</v>
      </c>
      <c r="H1359" s="7" t="s">
        <v>1778</v>
      </c>
      <c r="I1359" s="7" t="s">
        <v>2635</v>
      </c>
      <c r="K1359">
        <f>IF($A1359="","",IF(ISNUMBER($A1359),MONTH($A1359),MONTH(DATEVALUE($A1359))))</f>
        <v>4</v>
      </c>
    </row>
    <row r="1360" spans="1:11" ht="60" customHeight="1" x14ac:dyDescent="0.25">
      <c r="A1360" s="8" t="s">
        <v>1777</v>
      </c>
      <c r="B1360" s="8" t="s">
        <v>0</v>
      </c>
      <c r="C1360" s="8" t="s">
        <v>27</v>
      </c>
      <c r="D1360" s="8" t="s">
        <v>4</v>
      </c>
      <c r="E1360" s="8" t="s">
        <v>18</v>
      </c>
      <c r="F1360" s="6">
        <v>20</v>
      </c>
      <c r="G1360" s="8" t="s">
        <v>1780</v>
      </c>
      <c r="H1360" s="8" t="s">
        <v>27</v>
      </c>
      <c r="I1360" s="8" t="s">
        <v>2628</v>
      </c>
      <c r="K1360">
        <f>IF($A1360="","",IF(ISNUMBER($A1360),MONTH($A1360),MONTH(DATEVALUE($A1360))))</f>
        <v>4</v>
      </c>
    </row>
    <row r="1361" spans="1:11" ht="60" customHeight="1" x14ac:dyDescent="0.25">
      <c r="A1361" s="7" t="s">
        <v>1781</v>
      </c>
      <c r="B1361" s="7" t="s">
        <v>0</v>
      </c>
      <c r="C1361" s="7" t="s">
        <v>188</v>
      </c>
      <c r="D1361" s="7" t="s">
        <v>4</v>
      </c>
      <c r="E1361" s="7" t="s">
        <v>18</v>
      </c>
      <c r="F1361" s="5">
        <v>-40000</v>
      </c>
      <c r="G1361" s="7" t="s">
        <v>189</v>
      </c>
      <c r="H1361" s="7" t="s">
        <v>188</v>
      </c>
      <c r="I1361" s="7" t="s">
        <v>2629</v>
      </c>
      <c r="K1361">
        <f>IF($A1361="","",IF(ISNUMBER($A1361),MONTH($A1361),MONTH(DATEVALUE($A1361))))</f>
        <v>4</v>
      </c>
    </row>
    <row r="1362" spans="1:11" ht="60" customHeight="1" x14ac:dyDescent="0.25">
      <c r="A1362" s="8" t="s">
        <v>1782</v>
      </c>
      <c r="B1362" s="8" t="s">
        <v>0</v>
      </c>
      <c r="C1362" s="8" t="s">
        <v>1096</v>
      </c>
      <c r="D1362" s="8" t="s">
        <v>4</v>
      </c>
      <c r="E1362" s="8" t="s">
        <v>18</v>
      </c>
      <c r="F1362" s="6">
        <v>-28.13</v>
      </c>
      <c r="G1362" s="8" t="s">
        <v>1101</v>
      </c>
      <c r="H1362" s="8" t="s">
        <v>1096</v>
      </c>
      <c r="I1362" s="8" t="s">
        <v>2647</v>
      </c>
      <c r="K1362">
        <f>IF($A1362="","",IF(ISNUMBER($A1362),MONTH($A1362),MONTH(DATEVALUE($A1362))))</f>
        <v>4</v>
      </c>
    </row>
    <row r="1363" spans="1:11" ht="60" customHeight="1" x14ac:dyDescent="0.25">
      <c r="A1363" s="7" t="s">
        <v>1782</v>
      </c>
      <c r="B1363" s="7" t="s">
        <v>0</v>
      </c>
      <c r="C1363" s="7" t="s">
        <v>1102</v>
      </c>
      <c r="D1363" s="7" t="s">
        <v>4</v>
      </c>
      <c r="E1363" s="7" t="s">
        <v>18</v>
      </c>
      <c r="F1363" s="5">
        <v>28.13</v>
      </c>
      <c r="G1363" s="7" t="s">
        <v>1783</v>
      </c>
      <c r="H1363" s="7" t="s">
        <v>1096</v>
      </c>
      <c r="I1363" s="7" t="s">
        <v>2647</v>
      </c>
      <c r="K1363">
        <f>IF($A1363="","",IF(ISNUMBER($A1363),MONTH($A1363),MONTH(DATEVALUE($A1363))))</f>
        <v>4</v>
      </c>
    </row>
    <row r="1364" spans="1:11" ht="60" customHeight="1" x14ac:dyDescent="0.25">
      <c r="A1364" s="8" t="s">
        <v>1782</v>
      </c>
      <c r="B1364" s="8" t="s">
        <v>0</v>
      </c>
      <c r="C1364" s="8" t="s">
        <v>1784</v>
      </c>
      <c r="D1364" s="8" t="s">
        <v>4</v>
      </c>
      <c r="E1364" s="8" t="s">
        <v>18</v>
      </c>
      <c r="F1364" s="6">
        <v>11.99</v>
      </c>
      <c r="G1364" s="8" t="s">
        <v>1785</v>
      </c>
      <c r="H1364" s="8" t="s">
        <v>1784</v>
      </c>
      <c r="I1364" s="8" t="s">
        <v>2627</v>
      </c>
      <c r="K1364">
        <f>IF($A1364="","",IF(ISNUMBER($A1364),MONTH($A1364),MONTH(DATEVALUE($A1364))))</f>
        <v>4</v>
      </c>
    </row>
    <row r="1365" spans="1:11" ht="60" customHeight="1" x14ac:dyDescent="0.25">
      <c r="A1365" s="7" t="s">
        <v>1782</v>
      </c>
      <c r="B1365" s="7" t="s">
        <v>0</v>
      </c>
      <c r="C1365" s="7" t="s">
        <v>27</v>
      </c>
      <c r="D1365" s="7" t="s">
        <v>4</v>
      </c>
      <c r="E1365" s="7" t="s">
        <v>18</v>
      </c>
      <c r="F1365" s="5">
        <v>20</v>
      </c>
      <c r="G1365" s="7" t="s">
        <v>1786</v>
      </c>
      <c r="H1365" s="7" t="s">
        <v>27</v>
      </c>
      <c r="I1365" s="7" t="s">
        <v>2628</v>
      </c>
      <c r="K1365">
        <f>IF($A1365="","",IF(ISNUMBER($A1365),MONTH($A1365),MONTH(DATEVALUE($A1365))))</f>
        <v>4</v>
      </c>
    </row>
    <row r="1366" spans="1:11" ht="60" customHeight="1" x14ac:dyDescent="0.25">
      <c r="A1366" s="8" t="s">
        <v>1782</v>
      </c>
      <c r="B1366" s="8" t="s">
        <v>0</v>
      </c>
      <c r="C1366" s="8" t="s">
        <v>1787</v>
      </c>
      <c r="D1366" s="8" t="s">
        <v>4</v>
      </c>
      <c r="E1366" s="8" t="s">
        <v>18</v>
      </c>
      <c r="F1366" s="6">
        <v>39.99</v>
      </c>
      <c r="G1366" s="8" t="s">
        <v>1788</v>
      </c>
      <c r="H1366" s="8" t="s">
        <v>1787</v>
      </c>
      <c r="I1366" s="8" t="s">
        <v>2630</v>
      </c>
      <c r="K1366">
        <f>IF($A1366="","",IF(ISNUMBER($A1366),MONTH($A1366),MONTH(DATEVALUE($A1366))))</f>
        <v>4</v>
      </c>
    </row>
    <row r="1367" spans="1:11" ht="60" customHeight="1" x14ac:dyDescent="0.25">
      <c r="A1367" s="7" t="s">
        <v>1789</v>
      </c>
      <c r="B1367" s="7" t="s">
        <v>0</v>
      </c>
      <c r="C1367" s="7" t="s">
        <v>1096</v>
      </c>
      <c r="D1367" s="7" t="s">
        <v>4</v>
      </c>
      <c r="E1367" s="7" t="s">
        <v>18</v>
      </c>
      <c r="F1367" s="5">
        <v>-620.85</v>
      </c>
      <c r="G1367" s="7" t="s">
        <v>1101</v>
      </c>
      <c r="H1367" s="7" t="s">
        <v>1096</v>
      </c>
      <c r="I1367" s="7" t="s">
        <v>2647</v>
      </c>
      <c r="K1367">
        <f>IF($A1367="","",IF(ISNUMBER($A1367),MONTH($A1367),MONTH(DATEVALUE($A1367))))</f>
        <v>4</v>
      </c>
    </row>
    <row r="1368" spans="1:11" ht="60" customHeight="1" x14ac:dyDescent="0.25">
      <c r="A1368" s="8" t="s">
        <v>1789</v>
      </c>
      <c r="B1368" s="8" t="s">
        <v>0</v>
      </c>
      <c r="C1368" s="8" t="s">
        <v>1102</v>
      </c>
      <c r="D1368" s="8" t="s">
        <v>4</v>
      </c>
      <c r="E1368" s="8" t="s">
        <v>18</v>
      </c>
      <c r="F1368" s="6">
        <v>620.85</v>
      </c>
      <c r="G1368" s="8" t="s">
        <v>1790</v>
      </c>
      <c r="H1368" s="8" t="s">
        <v>1096</v>
      </c>
      <c r="I1368" s="8" t="s">
        <v>2647</v>
      </c>
      <c r="K1368">
        <f>IF($A1368="","",IF(ISNUMBER($A1368),MONTH($A1368),MONTH(DATEVALUE($A1368))))</f>
        <v>4</v>
      </c>
    </row>
    <row r="1369" spans="1:11" ht="60" customHeight="1" x14ac:dyDescent="0.25">
      <c r="A1369" s="7" t="s">
        <v>1791</v>
      </c>
      <c r="B1369" s="7" t="s">
        <v>0</v>
      </c>
      <c r="C1369" s="7" t="s">
        <v>1792</v>
      </c>
      <c r="D1369" s="7" t="s">
        <v>4</v>
      </c>
      <c r="E1369" s="7" t="s">
        <v>18</v>
      </c>
      <c r="F1369" s="5">
        <v>471.62</v>
      </c>
      <c r="G1369" s="7" t="s">
        <v>1793</v>
      </c>
      <c r="H1369" s="7" t="s">
        <v>1792</v>
      </c>
      <c r="I1369" s="7" t="s">
        <v>2627</v>
      </c>
      <c r="K1369">
        <f>IF($A1369="","",IF(ISNUMBER($A1369),MONTH($A1369),MONTH(DATEVALUE($A1369))))</f>
        <v>4</v>
      </c>
    </row>
    <row r="1370" spans="1:11" ht="60" customHeight="1" x14ac:dyDescent="0.25">
      <c r="A1370" s="8" t="s">
        <v>1794</v>
      </c>
      <c r="B1370" s="8" t="s">
        <v>0</v>
      </c>
      <c r="C1370" s="8" t="s">
        <v>1096</v>
      </c>
      <c r="D1370" s="8" t="s">
        <v>4</v>
      </c>
      <c r="E1370" s="8" t="s">
        <v>18</v>
      </c>
      <c r="F1370" s="6">
        <v>-413.9</v>
      </c>
      <c r="G1370" s="8" t="s">
        <v>1101</v>
      </c>
      <c r="H1370" s="8" t="s">
        <v>1096</v>
      </c>
      <c r="I1370" s="8" t="s">
        <v>2647</v>
      </c>
      <c r="K1370">
        <f>IF($A1370="","",IF(ISNUMBER($A1370),MONTH($A1370),MONTH(DATEVALUE($A1370))))</f>
        <v>4</v>
      </c>
    </row>
    <row r="1371" spans="1:11" ht="60" customHeight="1" x14ac:dyDescent="0.25">
      <c r="A1371" s="7" t="s">
        <v>1794</v>
      </c>
      <c r="B1371" s="7" t="s">
        <v>0</v>
      </c>
      <c r="C1371" s="7" t="s">
        <v>1096</v>
      </c>
      <c r="D1371" s="7" t="s">
        <v>4</v>
      </c>
      <c r="E1371" s="7" t="s">
        <v>18</v>
      </c>
      <c r="F1371" s="5">
        <v>-117.46</v>
      </c>
      <c r="G1371" s="7" t="s">
        <v>1101</v>
      </c>
      <c r="H1371" s="7" t="s">
        <v>1096</v>
      </c>
      <c r="I1371" s="7" t="s">
        <v>2647</v>
      </c>
      <c r="K1371">
        <f>IF($A1371="","",IF(ISNUMBER($A1371),MONTH($A1371),MONTH(DATEVALUE($A1371))))</f>
        <v>4</v>
      </c>
    </row>
    <row r="1372" spans="1:11" ht="60" customHeight="1" x14ac:dyDescent="0.25">
      <c r="A1372" s="8" t="s">
        <v>1794</v>
      </c>
      <c r="B1372" s="8" t="s">
        <v>0</v>
      </c>
      <c r="C1372" s="8" t="s">
        <v>1102</v>
      </c>
      <c r="D1372" s="8" t="s">
        <v>4</v>
      </c>
      <c r="E1372" s="8" t="s">
        <v>18</v>
      </c>
      <c r="F1372" s="6">
        <v>117.46</v>
      </c>
      <c r="G1372" s="8" t="s">
        <v>1795</v>
      </c>
      <c r="H1372" s="8" t="s">
        <v>1096</v>
      </c>
      <c r="I1372" s="8" t="s">
        <v>2647</v>
      </c>
      <c r="K1372">
        <f>IF($A1372="","",IF(ISNUMBER($A1372),MONTH($A1372),MONTH(DATEVALUE($A1372))))</f>
        <v>4</v>
      </c>
    </row>
    <row r="1373" spans="1:11" ht="60" customHeight="1" x14ac:dyDescent="0.25">
      <c r="A1373" s="7" t="s">
        <v>1794</v>
      </c>
      <c r="B1373" s="7" t="s">
        <v>0</v>
      </c>
      <c r="C1373" s="7" t="s">
        <v>1102</v>
      </c>
      <c r="D1373" s="7" t="s">
        <v>4</v>
      </c>
      <c r="E1373" s="7" t="s">
        <v>18</v>
      </c>
      <c r="F1373" s="5">
        <v>413.9</v>
      </c>
      <c r="G1373" s="7" t="s">
        <v>1796</v>
      </c>
      <c r="H1373" s="7" t="s">
        <v>1096</v>
      </c>
      <c r="I1373" s="7" t="s">
        <v>2647</v>
      </c>
      <c r="K1373">
        <f>IF($A1373="","",IF(ISNUMBER($A1373),MONTH($A1373),MONTH(DATEVALUE($A1373))))</f>
        <v>4</v>
      </c>
    </row>
    <row r="1374" spans="1:11" ht="60" customHeight="1" x14ac:dyDescent="0.25">
      <c r="A1374" s="8" t="s">
        <v>1794</v>
      </c>
      <c r="B1374" s="8" t="s">
        <v>0</v>
      </c>
      <c r="C1374" s="8" t="s">
        <v>1797</v>
      </c>
      <c r="D1374" s="8" t="s">
        <v>4</v>
      </c>
      <c r="E1374" s="8" t="s">
        <v>18</v>
      </c>
      <c r="F1374" s="6">
        <v>139</v>
      </c>
      <c r="G1374" s="8" t="s">
        <v>1798</v>
      </c>
      <c r="H1374" s="8" t="s">
        <v>1797</v>
      </c>
      <c r="I1374" s="8" t="s">
        <v>2641</v>
      </c>
      <c r="K1374">
        <f>IF($A1374="","",IF(ISNUMBER($A1374),MONTH($A1374),MONTH(DATEVALUE($A1374))))</f>
        <v>4</v>
      </c>
    </row>
    <row r="1375" spans="1:11" ht="60" customHeight="1" x14ac:dyDescent="0.25">
      <c r="A1375" s="7" t="s">
        <v>1794</v>
      </c>
      <c r="B1375" s="7" t="s">
        <v>0</v>
      </c>
      <c r="C1375" s="7" t="s">
        <v>392</v>
      </c>
      <c r="D1375" s="7" t="s">
        <v>4</v>
      </c>
      <c r="E1375" s="7" t="s">
        <v>18</v>
      </c>
      <c r="F1375" s="5">
        <v>159</v>
      </c>
      <c r="G1375" s="7" t="s">
        <v>1799</v>
      </c>
      <c r="H1375" s="7" t="s">
        <v>392</v>
      </c>
      <c r="I1375" s="7" t="s">
        <v>2641</v>
      </c>
      <c r="K1375">
        <f>IF($A1375="","",IF(ISNUMBER($A1375),MONTH($A1375),MONTH(DATEVALUE($A1375))))</f>
        <v>4</v>
      </c>
    </row>
    <row r="1376" spans="1:11" ht="60" customHeight="1" x14ac:dyDescent="0.25">
      <c r="A1376" s="8" t="s">
        <v>1800</v>
      </c>
      <c r="B1376" s="8" t="s">
        <v>0</v>
      </c>
      <c r="C1376" s="8" t="s">
        <v>1096</v>
      </c>
      <c r="D1376" s="8" t="s">
        <v>4</v>
      </c>
      <c r="E1376" s="8" t="s">
        <v>18</v>
      </c>
      <c r="F1376" s="6">
        <v>-140.13</v>
      </c>
      <c r="G1376" s="8" t="s">
        <v>1101</v>
      </c>
      <c r="H1376" s="8" t="s">
        <v>1096</v>
      </c>
      <c r="I1376" s="8" t="s">
        <v>2647</v>
      </c>
      <c r="K1376">
        <f>IF($A1376="","",IF(ISNUMBER($A1376),MONTH($A1376),MONTH(DATEVALUE($A1376))))</f>
        <v>4</v>
      </c>
    </row>
    <row r="1377" spans="1:11" ht="60" customHeight="1" x14ac:dyDescent="0.25">
      <c r="A1377" s="7" t="s">
        <v>1800</v>
      </c>
      <c r="B1377" s="7" t="s">
        <v>0</v>
      </c>
      <c r="C1377" s="7" t="s">
        <v>1096</v>
      </c>
      <c r="D1377" s="7" t="s">
        <v>4</v>
      </c>
      <c r="E1377" s="7" t="s">
        <v>18</v>
      </c>
      <c r="F1377" s="5">
        <v>-93.1</v>
      </c>
      <c r="G1377" s="7" t="s">
        <v>1101</v>
      </c>
      <c r="H1377" s="7" t="s">
        <v>1096</v>
      </c>
      <c r="I1377" s="7" t="s">
        <v>2647</v>
      </c>
      <c r="K1377">
        <f>IF($A1377="","",IF(ISNUMBER($A1377),MONTH($A1377),MONTH(DATEVALUE($A1377))))</f>
        <v>4</v>
      </c>
    </row>
    <row r="1378" spans="1:11" ht="60" customHeight="1" x14ac:dyDescent="0.25">
      <c r="A1378" s="8" t="s">
        <v>1800</v>
      </c>
      <c r="B1378" s="8" t="s">
        <v>0</v>
      </c>
      <c r="C1378" s="8" t="s">
        <v>1102</v>
      </c>
      <c r="D1378" s="8" t="s">
        <v>4</v>
      </c>
      <c r="E1378" s="8" t="s">
        <v>18</v>
      </c>
      <c r="F1378" s="6">
        <v>93.1</v>
      </c>
      <c r="G1378" s="8" t="s">
        <v>1801</v>
      </c>
      <c r="H1378" s="8" t="s">
        <v>1096</v>
      </c>
      <c r="I1378" s="8" t="s">
        <v>2647</v>
      </c>
      <c r="K1378">
        <f>IF($A1378="","",IF(ISNUMBER($A1378),MONTH($A1378),MONTH(DATEVALUE($A1378))))</f>
        <v>4</v>
      </c>
    </row>
    <row r="1379" spans="1:11" ht="60" customHeight="1" x14ac:dyDescent="0.25">
      <c r="A1379" s="7" t="s">
        <v>1800</v>
      </c>
      <c r="B1379" s="7" t="s">
        <v>0</v>
      </c>
      <c r="C1379" s="7" t="s">
        <v>1102</v>
      </c>
      <c r="D1379" s="7" t="s">
        <v>4</v>
      </c>
      <c r="E1379" s="7" t="s">
        <v>18</v>
      </c>
      <c r="F1379" s="5">
        <v>140.13</v>
      </c>
      <c r="G1379" s="7" t="s">
        <v>1802</v>
      </c>
      <c r="H1379" s="7" t="s">
        <v>1096</v>
      </c>
      <c r="I1379" s="7" t="s">
        <v>2647</v>
      </c>
      <c r="K1379">
        <f>IF($A1379="","",IF(ISNUMBER($A1379),MONTH($A1379),MONTH(DATEVALUE($A1379))))</f>
        <v>4</v>
      </c>
    </row>
    <row r="1380" spans="1:11" ht="60" customHeight="1" x14ac:dyDescent="0.25">
      <c r="A1380" s="8" t="s">
        <v>1800</v>
      </c>
      <c r="B1380" s="8" t="s">
        <v>0</v>
      </c>
      <c r="C1380" s="8" t="s">
        <v>1803</v>
      </c>
      <c r="D1380" s="8" t="s">
        <v>4</v>
      </c>
      <c r="E1380" s="8" t="s">
        <v>18</v>
      </c>
      <c r="F1380" s="6">
        <v>115.13</v>
      </c>
      <c r="G1380" s="8" t="s">
        <v>1804</v>
      </c>
      <c r="H1380" s="8" t="s">
        <v>1803</v>
      </c>
      <c r="I1380" s="8" t="s">
        <v>2627</v>
      </c>
      <c r="K1380">
        <f>IF($A1380="","",IF(ISNUMBER($A1380),MONTH($A1380),MONTH(DATEVALUE($A1380))))</f>
        <v>4</v>
      </c>
    </row>
    <row r="1381" spans="1:11" ht="60" customHeight="1" x14ac:dyDescent="0.25">
      <c r="A1381" s="7" t="s">
        <v>1805</v>
      </c>
      <c r="B1381" s="7" t="s">
        <v>0</v>
      </c>
      <c r="C1381" s="7" t="s">
        <v>1096</v>
      </c>
      <c r="D1381" s="7" t="s">
        <v>4</v>
      </c>
      <c r="E1381" s="7" t="s">
        <v>18</v>
      </c>
      <c r="F1381" s="5">
        <v>-423.8</v>
      </c>
      <c r="G1381" s="7" t="s">
        <v>1101</v>
      </c>
      <c r="H1381" s="7" t="s">
        <v>1096</v>
      </c>
      <c r="I1381" s="7" t="s">
        <v>2647</v>
      </c>
      <c r="K1381">
        <f>IF($A1381="","",IF(ISNUMBER($A1381),MONTH($A1381),MONTH(DATEVALUE($A1381))))</f>
        <v>4</v>
      </c>
    </row>
    <row r="1382" spans="1:11" ht="60" customHeight="1" x14ac:dyDescent="0.25">
      <c r="A1382" s="8" t="s">
        <v>1805</v>
      </c>
      <c r="B1382" s="8" t="s">
        <v>0</v>
      </c>
      <c r="C1382" s="8" t="s">
        <v>1102</v>
      </c>
      <c r="D1382" s="8" t="s">
        <v>4</v>
      </c>
      <c r="E1382" s="8" t="s">
        <v>18</v>
      </c>
      <c r="F1382" s="6">
        <v>423.8</v>
      </c>
      <c r="G1382" s="8" t="s">
        <v>1806</v>
      </c>
      <c r="H1382" s="8" t="s">
        <v>1096</v>
      </c>
      <c r="I1382" s="8" t="s">
        <v>2647</v>
      </c>
      <c r="K1382">
        <f>IF($A1382="","",IF(ISNUMBER($A1382),MONTH($A1382),MONTH(DATEVALUE($A1382))))</f>
        <v>4</v>
      </c>
    </row>
    <row r="1383" spans="1:11" ht="60" customHeight="1" x14ac:dyDescent="0.25">
      <c r="A1383" s="7" t="s">
        <v>1805</v>
      </c>
      <c r="B1383" s="7" t="s">
        <v>0</v>
      </c>
      <c r="C1383" s="7" t="s">
        <v>1807</v>
      </c>
      <c r="D1383" s="7" t="s">
        <v>4</v>
      </c>
      <c r="E1383" s="7" t="s">
        <v>18</v>
      </c>
      <c r="F1383" s="5">
        <v>259.98</v>
      </c>
      <c r="G1383" s="7" t="s">
        <v>1808</v>
      </c>
      <c r="H1383" s="7" t="s">
        <v>1807</v>
      </c>
      <c r="I1383" s="7" t="s">
        <v>2627</v>
      </c>
      <c r="K1383">
        <f>IF($A1383="","",IF(ISNUMBER($A1383),MONTH($A1383),MONTH(DATEVALUE($A1383))))</f>
        <v>4</v>
      </c>
    </row>
    <row r="1384" spans="1:11" ht="60" customHeight="1" x14ac:dyDescent="0.25">
      <c r="A1384" s="8" t="s">
        <v>1809</v>
      </c>
      <c r="B1384" s="8" t="s">
        <v>0</v>
      </c>
      <c r="C1384" s="8" t="s">
        <v>1096</v>
      </c>
      <c r="D1384" s="8" t="s">
        <v>4</v>
      </c>
      <c r="E1384" s="8" t="s">
        <v>18</v>
      </c>
      <c r="F1384" s="6">
        <v>-620.85</v>
      </c>
      <c r="G1384" s="8" t="s">
        <v>1101</v>
      </c>
      <c r="H1384" s="8" t="s">
        <v>1096</v>
      </c>
      <c r="I1384" s="8" t="s">
        <v>2647</v>
      </c>
      <c r="K1384">
        <f>IF($A1384="","",IF(ISNUMBER($A1384),MONTH($A1384),MONTH(DATEVALUE($A1384))))</f>
        <v>4</v>
      </c>
    </row>
    <row r="1385" spans="1:11" ht="60" customHeight="1" x14ac:dyDescent="0.25">
      <c r="A1385" s="7" t="s">
        <v>1809</v>
      </c>
      <c r="B1385" s="7" t="s">
        <v>0</v>
      </c>
      <c r="C1385" s="7" t="s">
        <v>1102</v>
      </c>
      <c r="D1385" s="7" t="s">
        <v>4</v>
      </c>
      <c r="E1385" s="7" t="s">
        <v>18</v>
      </c>
      <c r="F1385" s="5">
        <v>620.85</v>
      </c>
      <c r="G1385" s="7" t="s">
        <v>1810</v>
      </c>
      <c r="H1385" s="7" t="s">
        <v>1096</v>
      </c>
      <c r="I1385" s="7" t="s">
        <v>2647</v>
      </c>
      <c r="K1385">
        <f>IF($A1385="","",IF(ISNUMBER($A1385),MONTH($A1385),MONTH(DATEVALUE($A1385))))</f>
        <v>4</v>
      </c>
    </row>
    <row r="1386" spans="1:11" ht="60" customHeight="1" x14ac:dyDescent="0.25">
      <c r="A1386" s="8" t="s">
        <v>1809</v>
      </c>
      <c r="B1386" s="8" t="s">
        <v>0</v>
      </c>
      <c r="C1386" s="8" t="s">
        <v>1811</v>
      </c>
      <c r="D1386" s="8" t="s">
        <v>4</v>
      </c>
      <c r="E1386" s="8" t="s">
        <v>18</v>
      </c>
      <c r="F1386" s="6">
        <v>311.52</v>
      </c>
      <c r="G1386" s="8" t="s">
        <v>1812</v>
      </c>
      <c r="H1386" s="8" t="s">
        <v>1811</v>
      </c>
      <c r="I1386" s="8" t="s">
        <v>2627</v>
      </c>
      <c r="K1386">
        <f>IF($A1386="","",IF(ISNUMBER($A1386),MONTH($A1386),MONTH(DATEVALUE($A1386))))</f>
        <v>4</v>
      </c>
    </row>
    <row r="1387" spans="1:11" ht="60" customHeight="1" x14ac:dyDescent="0.25">
      <c r="A1387" s="7" t="s">
        <v>1813</v>
      </c>
      <c r="B1387" s="7" t="s">
        <v>0</v>
      </c>
      <c r="C1387" s="7" t="s">
        <v>44</v>
      </c>
      <c r="D1387" s="7" t="s">
        <v>4</v>
      </c>
      <c r="E1387" s="7" t="s">
        <v>18</v>
      </c>
      <c r="F1387" s="5">
        <v>584</v>
      </c>
      <c r="G1387" s="7" t="s">
        <v>1814</v>
      </c>
      <c r="H1387" s="7" t="s">
        <v>44</v>
      </c>
      <c r="I1387" s="7" t="s">
        <v>2630</v>
      </c>
      <c r="K1387">
        <f>IF($A1387="","",IF(ISNUMBER($A1387),MONTH($A1387),MONTH(DATEVALUE($A1387))))</f>
        <v>4</v>
      </c>
    </row>
    <row r="1388" spans="1:11" ht="60" customHeight="1" x14ac:dyDescent="0.25">
      <c r="A1388" s="8" t="s">
        <v>1813</v>
      </c>
      <c r="B1388" s="8" t="s">
        <v>0</v>
      </c>
      <c r="C1388" s="8" t="s">
        <v>1815</v>
      </c>
      <c r="D1388" s="8" t="s">
        <v>4</v>
      </c>
      <c r="E1388" s="8" t="s">
        <v>18</v>
      </c>
      <c r="F1388" s="6">
        <v>60.13</v>
      </c>
      <c r="G1388" s="8" t="s">
        <v>1816</v>
      </c>
      <c r="H1388" s="8" t="s">
        <v>1815</v>
      </c>
      <c r="I1388" s="8" t="s">
        <v>2627</v>
      </c>
      <c r="K1388">
        <f>IF($A1388="","",IF(ISNUMBER($A1388),MONTH($A1388),MONTH(DATEVALUE($A1388))))</f>
        <v>4</v>
      </c>
    </row>
    <row r="1389" spans="1:11" ht="60" customHeight="1" x14ac:dyDescent="0.25">
      <c r="A1389" s="7" t="s">
        <v>1817</v>
      </c>
      <c r="B1389" s="7" t="s">
        <v>0</v>
      </c>
      <c r="C1389" s="7" t="s">
        <v>1818</v>
      </c>
      <c r="D1389" s="7" t="s">
        <v>4</v>
      </c>
      <c r="E1389" s="7" t="s">
        <v>18</v>
      </c>
      <c r="F1389" s="5">
        <v>95.88</v>
      </c>
      <c r="G1389" s="7" t="s">
        <v>1819</v>
      </c>
      <c r="H1389" s="7" t="s">
        <v>1818</v>
      </c>
      <c r="I1389" s="7" t="s">
        <v>2627</v>
      </c>
      <c r="K1389">
        <f>IF($A1389="","",IF(ISNUMBER($A1389),MONTH($A1389),MONTH(DATEVALUE($A1389))))</f>
        <v>4</v>
      </c>
    </row>
    <row r="1390" spans="1:11" ht="60" customHeight="1" x14ac:dyDescent="0.25">
      <c r="A1390" s="8" t="s">
        <v>1817</v>
      </c>
      <c r="B1390" s="8" t="s">
        <v>0</v>
      </c>
      <c r="C1390" s="8" t="s">
        <v>1820</v>
      </c>
      <c r="D1390" s="8" t="s">
        <v>4</v>
      </c>
      <c r="E1390" s="8" t="s">
        <v>18</v>
      </c>
      <c r="F1390" s="6">
        <v>285.02999999999997</v>
      </c>
      <c r="G1390" s="8" t="s">
        <v>1821</v>
      </c>
      <c r="H1390" s="8" t="s">
        <v>1820</v>
      </c>
      <c r="I1390" s="8" t="s">
        <v>2664</v>
      </c>
      <c r="K1390">
        <f>IF($A1390="","",IF(ISNUMBER($A1390),MONTH($A1390),MONTH(DATEVALUE($A1390))))</f>
        <v>4</v>
      </c>
    </row>
    <row r="1391" spans="1:11" ht="60" customHeight="1" x14ac:dyDescent="0.25">
      <c r="A1391" s="7" t="s">
        <v>1822</v>
      </c>
      <c r="B1391" s="7" t="s">
        <v>0</v>
      </c>
      <c r="C1391" s="7" t="s">
        <v>1823</v>
      </c>
      <c r="D1391" s="7" t="s">
        <v>4</v>
      </c>
      <c r="E1391" s="7" t="s">
        <v>18</v>
      </c>
      <c r="F1391" s="5">
        <v>86.3</v>
      </c>
      <c r="G1391" s="7" t="s">
        <v>1824</v>
      </c>
      <c r="H1391" s="7" t="s">
        <v>1823</v>
      </c>
      <c r="I1391" s="7" t="s">
        <v>2627</v>
      </c>
      <c r="K1391">
        <f>IF($A1391="","",IF(ISNUMBER($A1391),MONTH($A1391),MONTH(DATEVALUE($A1391))))</f>
        <v>4</v>
      </c>
    </row>
    <row r="1392" spans="1:11" ht="60" customHeight="1" x14ac:dyDescent="0.25">
      <c r="A1392" s="8" t="s">
        <v>1825</v>
      </c>
      <c r="B1392" s="8" t="s">
        <v>0</v>
      </c>
      <c r="C1392" s="8" t="s">
        <v>1096</v>
      </c>
      <c r="D1392" s="8" t="s">
        <v>4</v>
      </c>
      <c r="E1392" s="8" t="s">
        <v>18</v>
      </c>
      <c r="F1392" s="6">
        <v>-60.88</v>
      </c>
      <c r="G1392" s="8" t="s">
        <v>1101</v>
      </c>
      <c r="H1392" s="8" t="s">
        <v>1096</v>
      </c>
      <c r="I1392" s="8" t="s">
        <v>2647</v>
      </c>
      <c r="K1392">
        <f>IF($A1392="","",IF(ISNUMBER($A1392),MONTH($A1392),MONTH(DATEVALUE($A1392))))</f>
        <v>4</v>
      </c>
    </row>
    <row r="1393" spans="1:11" ht="60" customHeight="1" x14ac:dyDescent="0.25">
      <c r="A1393" s="7" t="s">
        <v>1825</v>
      </c>
      <c r="B1393" s="7" t="s">
        <v>0</v>
      </c>
      <c r="C1393" s="7" t="s">
        <v>1102</v>
      </c>
      <c r="D1393" s="7" t="s">
        <v>4</v>
      </c>
      <c r="E1393" s="7" t="s">
        <v>18</v>
      </c>
      <c r="F1393" s="5">
        <v>60.88</v>
      </c>
      <c r="G1393" s="7" t="s">
        <v>1826</v>
      </c>
      <c r="H1393" s="7" t="s">
        <v>1096</v>
      </c>
      <c r="I1393" s="7" t="s">
        <v>2647</v>
      </c>
      <c r="K1393">
        <f>IF($A1393="","",IF(ISNUMBER($A1393),MONTH($A1393),MONTH(DATEVALUE($A1393))))</f>
        <v>4</v>
      </c>
    </row>
    <row r="1394" spans="1:11" ht="60" customHeight="1" x14ac:dyDescent="0.25">
      <c r="A1394" s="8" t="s">
        <v>1825</v>
      </c>
      <c r="B1394" s="8" t="s">
        <v>0</v>
      </c>
      <c r="C1394" s="8" t="s">
        <v>1827</v>
      </c>
      <c r="D1394" s="8" t="s">
        <v>4</v>
      </c>
      <c r="E1394" s="8" t="s">
        <v>18</v>
      </c>
      <c r="F1394" s="6">
        <v>49.14</v>
      </c>
      <c r="G1394" s="8" t="s">
        <v>1828</v>
      </c>
      <c r="H1394" s="8" t="s">
        <v>1827</v>
      </c>
      <c r="I1394" s="8" t="s">
        <v>2627</v>
      </c>
      <c r="K1394">
        <f>IF($A1394="","",IF(ISNUMBER($A1394),MONTH($A1394),MONTH(DATEVALUE($A1394))))</f>
        <v>4</v>
      </c>
    </row>
    <row r="1395" spans="1:11" ht="60" customHeight="1" x14ac:dyDescent="0.25">
      <c r="A1395" s="7" t="s">
        <v>1829</v>
      </c>
      <c r="B1395" s="7" t="s">
        <v>0</v>
      </c>
      <c r="C1395" s="7" t="s">
        <v>1096</v>
      </c>
      <c r="D1395" s="7" t="s">
        <v>4</v>
      </c>
      <c r="E1395" s="7" t="s">
        <v>18</v>
      </c>
      <c r="F1395" s="5">
        <v>-206.95</v>
      </c>
      <c r="G1395" s="7" t="s">
        <v>1101</v>
      </c>
      <c r="H1395" s="7" t="s">
        <v>1096</v>
      </c>
      <c r="I1395" s="7" t="s">
        <v>2647</v>
      </c>
      <c r="K1395">
        <f>IF($A1395="","",IF(ISNUMBER($A1395),MONTH($A1395),MONTH(DATEVALUE($A1395))))</f>
        <v>4</v>
      </c>
    </row>
    <row r="1396" spans="1:11" ht="60" customHeight="1" x14ac:dyDescent="0.25">
      <c r="A1396" s="8" t="s">
        <v>1829</v>
      </c>
      <c r="B1396" s="8" t="s">
        <v>0</v>
      </c>
      <c r="C1396" s="8" t="s">
        <v>1102</v>
      </c>
      <c r="D1396" s="8" t="s">
        <v>4</v>
      </c>
      <c r="E1396" s="8" t="s">
        <v>18</v>
      </c>
      <c r="F1396" s="6">
        <v>206.95</v>
      </c>
      <c r="G1396" s="8" t="s">
        <v>1830</v>
      </c>
      <c r="H1396" s="8" t="s">
        <v>1096</v>
      </c>
      <c r="I1396" s="8" t="s">
        <v>2647</v>
      </c>
      <c r="K1396">
        <f>IF($A1396="","",IF(ISNUMBER($A1396),MONTH($A1396),MONTH(DATEVALUE($A1396))))</f>
        <v>4</v>
      </c>
    </row>
    <row r="1397" spans="1:11" ht="60" customHeight="1" x14ac:dyDescent="0.25">
      <c r="A1397" s="7" t="s">
        <v>1829</v>
      </c>
      <c r="B1397" s="7" t="s">
        <v>0</v>
      </c>
      <c r="C1397" s="7" t="s">
        <v>1831</v>
      </c>
      <c r="D1397" s="7" t="s">
        <v>4</v>
      </c>
      <c r="E1397" s="7" t="s">
        <v>18</v>
      </c>
      <c r="F1397" s="5">
        <v>180</v>
      </c>
      <c r="G1397" s="7" t="s">
        <v>1832</v>
      </c>
      <c r="H1397" s="7" t="s">
        <v>1831</v>
      </c>
      <c r="I1397" s="7" t="s">
        <v>2627</v>
      </c>
      <c r="K1397">
        <f>IF($A1397="","",IF(ISNUMBER($A1397),MONTH($A1397),MONTH(DATEVALUE($A1397))))</f>
        <v>4</v>
      </c>
    </row>
    <row r="1398" spans="1:11" ht="60" customHeight="1" x14ac:dyDescent="0.25">
      <c r="A1398" s="8" t="s">
        <v>1829</v>
      </c>
      <c r="B1398" s="8" t="s">
        <v>0</v>
      </c>
      <c r="C1398" s="8" t="s">
        <v>492</v>
      </c>
      <c r="D1398" s="8" t="s">
        <v>4</v>
      </c>
      <c r="E1398" s="8" t="s">
        <v>18</v>
      </c>
      <c r="F1398" s="6">
        <v>2000</v>
      </c>
      <c r="G1398" s="8" t="s">
        <v>1833</v>
      </c>
      <c r="H1398" s="8" t="s">
        <v>492</v>
      </c>
      <c r="I1398" s="8" t="s">
        <v>2638</v>
      </c>
      <c r="K1398">
        <f>IF($A1398="","",IF(ISNUMBER($A1398),MONTH($A1398),MONTH(DATEVALUE($A1398))))</f>
        <v>4</v>
      </c>
    </row>
    <row r="1399" spans="1:11" ht="60" customHeight="1" x14ac:dyDescent="0.25">
      <c r="A1399" s="7" t="s">
        <v>1829</v>
      </c>
      <c r="B1399" s="7" t="s">
        <v>0</v>
      </c>
      <c r="C1399" s="7" t="s">
        <v>61</v>
      </c>
      <c r="D1399" s="7" t="s">
        <v>4</v>
      </c>
      <c r="E1399" s="7" t="s">
        <v>18</v>
      </c>
      <c r="F1399" s="5">
        <v>50</v>
      </c>
      <c r="G1399" s="7" t="s">
        <v>1834</v>
      </c>
      <c r="H1399" s="7" t="s">
        <v>61</v>
      </c>
      <c r="I1399" s="7" t="s">
        <v>2630</v>
      </c>
      <c r="K1399">
        <f>IF($A1399="","",IF(ISNUMBER($A1399),MONTH($A1399),MONTH(DATEVALUE($A1399))))</f>
        <v>4</v>
      </c>
    </row>
    <row r="1400" spans="1:11" ht="60" customHeight="1" x14ac:dyDescent="0.25">
      <c r="A1400" s="8" t="s">
        <v>1835</v>
      </c>
      <c r="B1400" s="8" t="s">
        <v>0</v>
      </c>
      <c r="C1400" s="8" t="s">
        <v>1836</v>
      </c>
      <c r="D1400" s="8" t="s">
        <v>4</v>
      </c>
      <c r="E1400" s="8" t="s">
        <v>18</v>
      </c>
      <c r="F1400" s="6">
        <v>8.99</v>
      </c>
      <c r="G1400" s="8" t="s">
        <v>1837</v>
      </c>
      <c r="H1400" s="8" t="s">
        <v>1836</v>
      </c>
      <c r="I1400" s="8" t="s">
        <v>2627</v>
      </c>
      <c r="K1400">
        <f>IF($A1400="","",IF(ISNUMBER($A1400),MONTH($A1400),MONTH(DATEVALUE($A1400))))</f>
        <v>4</v>
      </c>
    </row>
    <row r="1401" spans="1:11" ht="60" customHeight="1" x14ac:dyDescent="0.25">
      <c r="A1401" s="7" t="s">
        <v>1838</v>
      </c>
      <c r="B1401" s="7" t="s">
        <v>0</v>
      </c>
      <c r="C1401" s="7" t="s">
        <v>1096</v>
      </c>
      <c r="D1401" s="7" t="s">
        <v>4</v>
      </c>
      <c r="E1401" s="7" t="s">
        <v>18</v>
      </c>
      <c r="F1401" s="5">
        <v>-423.8</v>
      </c>
      <c r="G1401" s="7" t="s">
        <v>1101</v>
      </c>
      <c r="H1401" s="7" t="s">
        <v>1096</v>
      </c>
      <c r="I1401" s="7" t="s">
        <v>2647</v>
      </c>
      <c r="K1401">
        <f>IF($A1401="","",IF(ISNUMBER($A1401),MONTH($A1401),MONTH(DATEVALUE($A1401))))</f>
        <v>4</v>
      </c>
    </row>
    <row r="1402" spans="1:11" ht="60" customHeight="1" x14ac:dyDescent="0.25">
      <c r="A1402" s="8" t="s">
        <v>1838</v>
      </c>
      <c r="B1402" s="8" t="s">
        <v>0</v>
      </c>
      <c r="C1402" s="8" t="s">
        <v>1102</v>
      </c>
      <c r="D1402" s="8" t="s">
        <v>4</v>
      </c>
      <c r="E1402" s="8" t="s">
        <v>18</v>
      </c>
      <c r="F1402" s="6">
        <v>423.8</v>
      </c>
      <c r="G1402" s="8" t="s">
        <v>1839</v>
      </c>
      <c r="H1402" s="8" t="s">
        <v>1096</v>
      </c>
      <c r="I1402" s="8" t="s">
        <v>2647</v>
      </c>
      <c r="K1402">
        <f>IF($A1402="","",IF(ISNUMBER($A1402),MONTH($A1402),MONTH(DATEVALUE($A1402))))</f>
        <v>4</v>
      </c>
    </row>
    <row r="1403" spans="1:11" ht="60" customHeight="1" x14ac:dyDescent="0.25">
      <c r="A1403" s="7" t="s">
        <v>1838</v>
      </c>
      <c r="B1403" s="7" t="s">
        <v>0</v>
      </c>
      <c r="C1403" s="7" t="s">
        <v>1840</v>
      </c>
      <c r="D1403" s="7" t="s">
        <v>4</v>
      </c>
      <c r="E1403" s="7" t="s">
        <v>18</v>
      </c>
      <c r="F1403" s="5">
        <v>29.97</v>
      </c>
      <c r="G1403" s="7" t="s">
        <v>1841</v>
      </c>
      <c r="H1403" s="7" t="s">
        <v>1840</v>
      </c>
      <c r="I1403" s="7" t="s">
        <v>2627</v>
      </c>
      <c r="K1403">
        <f>IF($A1403="","",IF(ISNUMBER($A1403),MONTH($A1403),MONTH(DATEVALUE($A1403))))</f>
        <v>4</v>
      </c>
    </row>
    <row r="1404" spans="1:11" ht="60" customHeight="1" x14ac:dyDescent="0.25">
      <c r="A1404" s="8" t="s">
        <v>1838</v>
      </c>
      <c r="B1404" s="8" t="s">
        <v>0</v>
      </c>
      <c r="C1404" s="8" t="s">
        <v>1842</v>
      </c>
      <c r="D1404" s="8" t="s">
        <v>4</v>
      </c>
      <c r="E1404" s="8" t="s">
        <v>18</v>
      </c>
      <c r="F1404" s="6">
        <v>12.98</v>
      </c>
      <c r="G1404" s="8" t="s">
        <v>1843</v>
      </c>
      <c r="H1404" s="8" t="s">
        <v>1842</v>
      </c>
      <c r="I1404" s="8" t="s">
        <v>2635</v>
      </c>
      <c r="K1404">
        <f>IF($A1404="","",IF(ISNUMBER($A1404),MONTH($A1404),MONTH(DATEVALUE($A1404))))</f>
        <v>4</v>
      </c>
    </row>
    <row r="1405" spans="1:11" ht="60" customHeight="1" x14ac:dyDescent="0.25">
      <c r="A1405" s="7" t="s">
        <v>1844</v>
      </c>
      <c r="B1405" s="7" t="s">
        <v>0</v>
      </c>
      <c r="C1405" s="7" t="s">
        <v>1845</v>
      </c>
      <c r="D1405" s="7" t="s">
        <v>4</v>
      </c>
      <c r="E1405" s="7" t="s">
        <v>18</v>
      </c>
      <c r="F1405" s="5">
        <v>50.94</v>
      </c>
      <c r="G1405" s="7" t="s">
        <v>1846</v>
      </c>
      <c r="H1405" s="7" t="s">
        <v>1845</v>
      </c>
      <c r="I1405" s="7" t="s">
        <v>2627</v>
      </c>
      <c r="K1405">
        <f>IF($A1405="","",IF(ISNUMBER($A1405),MONTH($A1405),MONTH(DATEVALUE($A1405))))</f>
        <v>4</v>
      </c>
    </row>
    <row r="1406" spans="1:11" ht="60" customHeight="1" x14ac:dyDescent="0.25">
      <c r="A1406" s="8" t="s">
        <v>1847</v>
      </c>
      <c r="B1406" s="8" t="s">
        <v>0</v>
      </c>
      <c r="C1406" s="8" t="s">
        <v>1096</v>
      </c>
      <c r="D1406" s="8" t="s">
        <v>4</v>
      </c>
      <c r="E1406" s="8" t="s">
        <v>18</v>
      </c>
      <c r="F1406" s="6">
        <v>-413.9</v>
      </c>
      <c r="G1406" s="8" t="s">
        <v>1101</v>
      </c>
      <c r="H1406" s="8" t="s">
        <v>1096</v>
      </c>
      <c r="I1406" s="8" t="s">
        <v>2647</v>
      </c>
      <c r="K1406">
        <f>IF($A1406="","",IF(ISNUMBER($A1406),MONTH($A1406),MONTH(DATEVALUE($A1406))))</f>
        <v>4</v>
      </c>
    </row>
    <row r="1407" spans="1:11" ht="60" customHeight="1" x14ac:dyDescent="0.25">
      <c r="A1407" s="7" t="s">
        <v>1847</v>
      </c>
      <c r="B1407" s="7" t="s">
        <v>0</v>
      </c>
      <c r="C1407" s="7" t="s">
        <v>1102</v>
      </c>
      <c r="D1407" s="7" t="s">
        <v>4</v>
      </c>
      <c r="E1407" s="7" t="s">
        <v>18</v>
      </c>
      <c r="F1407" s="5">
        <v>413.9</v>
      </c>
      <c r="G1407" s="7" t="s">
        <v>1848</v>
      </c>
      <c r="H1407" s="7" t="s">
        <v>1096</v>
      </c>
      <c r="I1407" s="7" t="s">
        <v>2647</v>
      </c>
      <c r="K1407">
        <f>IF($A1407="","",IF(ISNUMBER($A1407),MONTH($A1407),MONTH(DATEVALUE($A1407))))</f>
        <v>4</v>
      </c>
    </row>
    <row r="1408" spans="1:11" ht="60" customHeight="1" x14ac:dyDescent="0.25">
      <c r="A1408" s="8" t="s">
        <v>1847</v>
      </c>
      <c r="B1408" s="8" t="s">
        <v>0</v>
      </c>
      <c r="C1408" s="8" t="s">
        <v>1849</v>
      </c>
      <c r="D1408" s="8" t="s">
        <v>4</v>
      </c>
      <c r="E1408" s="8" t="s">
        <v>18</v>
      </c>
      <c r="F1408" s="6">
        <v>359.88</v>
      </c>
      <c r="G1408" s="8" t="s">
        <v>1850</v>
      </c>
      <c r="H1408" s="8" t="s">
        <v>1849</v>
      </c>
      <c r="I1408" s="8" t="s">
        <v>2627</v>
      </c>
      <c r="K1408">
        <f>IF($A1408="","",IF(ISNUMBER($A1408),MONTH($A1408),MONTH(DATEVALUE($A1408))))</f>
        <v>4</v>
      </c>
    </row>
    <row r="1409" spans="1:11" ht="60" customHeight="1" x14ac:dyDescent="0.25">
      <c r="A1409" s="7" t="s">
        <v>1847</v>
      </c>
      <c r="B1409" s="7" t="s">
        <v>0</v>
      </c>
      <c r="C1409" s="7" t="s">
        <v>108</v>
      </c>
      <c r="D1409" s="7" t="s">
        <v>4</v>
      </c>
      <c r="E1409" s="7" t="s">
        <v>18</v>
      </c>
      <c r="F1409" s="5">
        <v>12.98</v>
      </c>
      <c r="G1409" s="7" t="s">
        <v>1851</v>
      </c>
      <c r="H1409" s="7" t="s">
        <v>108</v>
      </c>
      <c r="I1409" s="7" t="s">
        <v>2630</v>
      </c>
      <c r="K1409">
        <f>IF($A1409="","",IF(ISNUMBER($A1409),MONTH($A1409),MONTH(DATEVALUE($A1409))))</f>
        <v>4</v>
      </c>
    </row>
    <row r="1410" spans="1:11" ht="60" customHeight="1" x14ac:dyDescent="0.25">
      <c r="A1410" s="8" t="s">
        <v>1852</v>
      </c>
      <c r="B1410" s="8" t="s">
        <v>0</v>
      </c>
      <c r="C1410" s="8" t="s">
        <v>1853</v>
      </c>
      <c r="D1410" s="8" t="s">
        <v>4</v>
      </c>
      <c r="E1410" s="8" t="s">
        <v>18</v>
      </c>
      <c r="F1410" s="6">
        <v>10.33</v>
      </c>
      <c r="G1410" s="8" t="s">
        <v>1854</v>
      </c>
      <c r="H1410" s="8" t="s">
        <v>1853</v>
      </c>
      <c r="I1410" s="8" t="s">
        <v>2664</v>
      </c>
      <c r="K1410">
        <f>IF($A1410="","",IF(ISNUMBER($A1410),MONTH($A1410),MONTH(DATEVALUE($A1410))))</f>
        <v>4</v>
      </c>
    </row>
    <row r="1411" spans="1:11" ht="60" customHeight="1" x14ac:dyDescent="0.25">
      <c r="A1411" s="7" t="s">
        <v>1852</v>
      </c>
      <c r="B1411" s="7" t="s">
        <v>0</v>
      </c>
      <c r="C1411" s="7" t="s">
        <v>1855</v>
      </c>
      <c r="D1411" s="7" t="s">
        <v>4</v>
      </c>
      <c r="E1411" s="7" t="s">
        <v>18</v>
      </c>
      <c r="F1411" s="5">
        <v>32.130000000000003</v>
      </c>
      <c r="G1411" s="7" t="s">
        <v>1856</v>
      </c>
      <c r="H1411" s="7" t="s">
        <v>1855</v>
      </c>
      <c r="I1411" s="8" t="s">
        <v>2664</v>
      </c>
      <c r="K1411">
        <f>IF($A1411="","",IF(ISNUMBER($A1411),MONTH($A1411),MONTH(DATEVALUE($A1411))))</f>
        <v>4</v>
      </c>
    </row>
    <row r="1412" spans="1:11" ht="60" customHeight="1" x14ac:dyDescent="0.25">
      <c r="A1412" s="8" t="s">
        <v>1852</v>
      </c>
      <c r="B1412" s="8" t="s">
        <v>0</v>
      </c>
      <c r="C1412" s="8" t="s">
        <v>1110</v>
      </c>
      <c r="D1412" s="8" t="s">
        <v>4</v>
      </c>
      <c r="E1412" s="8" t="s">
        <v>18</v>
      </c>
      <c r="F1412" s="6">
        <v>57.73</v>
      </c>
      <c r="G1412" s="8" t="s">
        <v>1857</v>
      </c>
      <c r="H1412" s="8" t="s">
        <v>1110</v>
      </c>
      <c r="I1412" s="8" t="s">
        <v>2627</v>
      </c>
      <c r="K1412">
        <f>IF($A1412="","",IF(ISNUMBER($A1412),MONTH($A1412),MONTH(DATEVALUE($A1412))))</f>
        <v>4</v>
      </c>
    </row>
    <row r="1413" spans="1:11" ht="60" customHeight="1" x14ac:dyDescent="0.25">
      <c r="A1413" s="7" t="s">
        <v>1852</v>
      </c>
      <c r="B1413" s="7" t="s">
        <v>0</v>
      </c>
      <c r="C1413" s="7" t="s">
        <v>1112</v>
      </c>
      <c r="D1413" s="7" t="s">
        <v>1113</v>
      </c>
      <c r="E1413" s="7" t="s">
        <v>1114</v>
      </c>
      <c r="F1413" s="5">
        <v>34.1</v>
      </c>
      <c r="G1413" s="7" t="s">
        <v>1858</v>
      </c>
      <c r="H1413" s="7" t="s">
        <v>1112</v>
      </c>
      <c r="I1413" s="7" t="s">
        <v>2634</v>
      </c>
      <c r="K1413">
        <f>IF($A1413="","",IF(ISNUMBER($A1413),MONTH($A1413),MONTH(DATEVALUE($A1413))))</f>
        <v>4</v>
      </c>
    </row>
    <row r="1414" spans="1:11" ht="60" customHeight="1" x14ac:dyDescent="0.25">
      <c r="A1414" s="8" t="s">
        <v>1852</v>
      </c>
      <c r="B1414" s="8" t="s">
        <v>0</v>
      </c>
      <c r="C1414" s="8" t="s">
        <v>1859</v>
      </c>
      <c r="D1414" s="8" t="s">
        <v>4</v>
      </c>
      <c r="E1414" s="8" t="s">
        <v>18</v>
      </c>
      <c r="F1414" s="6">
        <v>103.28</v>
      </c>
      <c r="G1414" s="8" t="s">
        <v>1860</v>
      </c>
      <c r="H1414" s="8" t="s">
        <v>1859</v>
      </c>
      <c r="I1414" s="8" t="s">
        <v>2664</v>
      </c>
      <c r="K1414">
        <f>IF($A1414="","",IF(ISNUMBER($A1414),MONTH($A1414),MONTH(DATEVALUE($A1414))))</f>
        <v>4</v>
      </c>
    </row>
    <row r="1415" spans="1:11" ht="60" customHeight="1" x14ac:dyDescent="0.25">
      <c r="A1415" s="7" t="s">
        <v>1861</v>
      </c>
      <c r="B1415" s="7" t="s">
        <v>0</v>
      </c>
      <c r="C1415" s="7" t="s">
        <v>1096</v>
      </c>
      <c r="D1415" s="7" t="s">
        <v>4</v>
      </c>
      <c r="E1415" s="7" t="s">
        <v>18</v>
      </c>
      <c r="F1415" s="5">
        <v>-529.75</v>
      </c>
      <c r="G1415" s="7" t="s">
        <v>1101</v>
      </c>
      <c r="H1415" s="7" t="s">
        <v>1096</v>
      </c>
      <c r="I1415" s="7" t="s">
        <v>2647</v>
      </c>
      <c r="K1415">
        <f>IF($A1415="","",IF(ISNUMBER($A1415),MONTH($A1415),MONTH(DATEVALUE($A1415))))</f>
        <v>4</v>
      </c>
    </row>
    <row r="1416" spans="1:11" ht="60" customHeight="1" x14ac:dyDescent="0.25">
      <c r="A1416" s="8" t="s">
        <v>1861</v>
      </c>
      <c r="B1416" s="8" t="s">
        <v>0</v>
      </c>
      <c r="C1416" s="8" t="s">
        <v>1102</v>
      </c>
      <c r="D1416" s="8" t="s">
        <v>4</v>
      </c>
      <c r="E1416" s="8" t="s">
        <v>18</v>
      </c>
      <c r="F1416" s="6">
        <v>529.75</v>
      </c>
      <c r="G1416" s="8" t="s">
        <v>1862</v>
      </c>
      <c r="H1416" s="8" t="s">
        <v>1096</v>
      </c>
      <c r="I1416" s="8" t="s">
        <v>2647</v>
      </c>
      <c r="K1416">
        <f>IF($A1416="","",IF(ISNUMBER($A1416),MONTH($A1416),MONTH(DATEVALUE($A1416))))</f>
        <v>4</v>
      </c>
    </row>
    <row r="1417" spans="1:11" ht="60" customHeight="1" x14ac:dyDescent="0.25">
      <c r="A1417" s="7" t="s">
        <v>1861</v>
      </c>
      <c r="B1417" s="7" t="s">
        <v>0</v>
      </c>
      <c r="C1417" s="7" t="s">
        <v>132</v>
      </c>
      <c r="D1417" s="7" t="s">
        <v>4</v>
      </c>
      <c r="E1417" s="7" t="s">
        <v>18</v>
      </c>
      <c r="F1417" s="5">
        <v>24</v>
      </c>
      <c r="G1417" s="7" t="s">
        <v>1863</v>
      </c>
      <c r="H1417" s="7" t="s">
        <v>132</v>
      </c>
      <c r="I1417" s="7" t="s">
        <v>2630</v>
      </c>
      <c r="K1417">
        <f>IF($A1417="","",IF(ISNUMBER($A1417),MONTH($A1417),MONTH(DATEVALUE($A1417))))</f>
        <v>4</v>
      </c>
    </row>
    <row r="1418" spans="1:11" ht="60" customHeight="1" x14ac:dyDescent="0.25">
      <c r="A1418" s="8" t="s">
        <v>1864</v>
      </c>
      <c r="B1418" s="8" t="s">
        <v>0</v>
      </c>
      <c r="C1418" s="8" t="s">
        <v>1096</v>
      </c>
      <c r="D1418" s="8" t="s">
        <v>4</v>
      </c>
      <c r="E1418" s="8" t="s">
        <v>18</v>
      </c>
      <c r="F1418" s="6">
        <v>-413.9</v>
      </c>
      <c r="G1418" s="8" t="s">
        <v>1101</v>
      </c>
      <c r="H1418" s="8" t="s">
        <v>1096</v>
      </c>
      <c r="I1418" s="8" t="s">
        <v>2647</v>
      </c>
      <c r="K1418">
        <f>IF($A1418="","",IF(ISNUMBER($A1418),MONTH($A1418),MONTH(DATEVALUE($A1418))))</f>
        <v>4</v>
      </c>
    </row>
    <row r="1419" spans="1:11" ht="60" customHeight="1" x14ac:dyDescent="0.25">
      <c r="A1419" s="7" t="s">
        <v>1864</v>
      </c>
      <c r="B1419" s="7" t="s">
        <v>0</v>
      </c>
      <c r="C1419" s="7" t="s">
        <v>1096</v>
      </c>
      <c r="D1419" s="7" t="s">
        <v>4</v>
      </c>
      <c r="E1419" s="7" t="s">
        <v>18</v>
      </c>
      <c r="F1419" s="5">
        <v>-12.87</v>
      </c>
      <c r="G1419" s="7" t="s">
        <v>1101</v>
      </c>
      <c r="H1419" s="7" t="s">
        <v>1096</v>
      </c>
      <c r="I1419" s="7" t="s">
        <v>2647</v>
      </c>
      <c r="K1419">
        <f>IF($A1419="","",IF(ISNUMBER($A1419),MONTH($A1419),MONTH(DATEVALUE($A1419))))</f>
        <v>4</v>
      </c>
    </row>
    <row r="1420" spans="1:11" ht="60" customHeight="1" x14ac:dyDescent="0.25">
      <c r="A1420" s="8" t="s">
        <v>1864</v>
      </c>
      <c r="B1420" s="8" t="s">
        <v>0</v>
      </c>
      <c r="C1420" s="8" t="s">
        <v>1102</v>
      </c>
      <c r="D1420" s="8" t="s">
        <v>4</v>
      </c>
      <c r="E1420" s="8" t="s">
        <v>18</v>
      </c>
      <c r="F1420" s="6">
        <v>12.87</v>
      </c>
      <c r="G1420" s="8" t="s">
        <v>1865</v>
      </c>
      <c r="H1420" s="8" t="s">
        <v>1096</v>
      </c>
      <c r="I1420" s="8" t="s">
        <v>2647</v>
      </c>
      <c r="K1420">
        <f>IF($A1420="","",IF(ISNUMBER($A1420),MONTH($A1420),MONTH(DATEVALUE($A1420))))</f>
        <v>4</v>
      </c>
    </row>
    <row r="1421" spans="1:11" ht="60" customHeight="1" x14ac:dyDescent="0.25">
      <c r="A1421" s="7" t="s">
        <v>1864</v>
      </c>
      <c r="B1421" s="7" t="s">
        <v>0</v>
      </c>
      <c r="C1421" s="7" t="s">
        <v>1102</v>
      </c>
      <c r="D1421" s="7" t="s">
        <v>4</v>
      </c>
      <c r="E1421" s="7" t="s">
        <v>18</v>
      </c>
      <c r="F1421" s="5">
        <v>413.9</v>
      </c>
      <c r="G1421" s="7" t="s">
        <v>1866</v>
      </c>
      <c r="H1421" s="7" t="s">
        <v>1096</v>
      </c>
      <c r="I1421" s="7" t="s">
        <v>2647</v>
      </c>
      <c r="K1421">
        <f>IF($A1421="","",IF(ISNUMBER($A1421),MONTH($A1421),MONTH(DATEVALUE($A1421))))</f>
        <v>4</v>
      </c>
    </row>
    <row r="1422" spans="1:11" ht="60" customHeight="1" x14ac:dyDescent="0.25">
      <c r="A1422" s="8" t="s">
        <v>1864</v>
      </c>
      <c r="B1422" s="8" t="s">
        <v>0</v>
      </c>
      <c r="C1422" s="8" t="s">
        <v>1867</v>
      </c>
      <c r="D1422" s="8" t="s">
        <v>4</v>
      </c>
      <c r="E1422" s="8" t="s">
        <v>18</v>
      </c>
      <c r="F1422" s="6">
        <v>161.76</v>
      </c>
      <c r="G1422" s="8" t="s">
        <v>1868</v>
      </c>
      <c r="H1422" s="8" t="s">
        <v>1867</v>
      </c>
      <c r="I1422" s="8" t="s">
        <v>2664</v>
      </c>
      <c r="K1422">
        <f>IF($A1422="","",IF(ISNUMBER($A1422),MONTH($A1422),MONTH(DATEVALUE($A1422))))</f>
        <v>4</v>
      </c>
    </row>
    <row r="1423" spans="1:11" ht="60" customHeight="1" x14ac:dyDescent="0.25">
      <c r="A1423" s="7" t="s">
        <v>1864</v>
      </c>
      <c r="B1423" s="7" t="s">
        <v>0</v>
      </c>
      <c r="C1423" s="7" t="s">
        <v>1869</v>
      </c>
      <c r="D1423" s="7" t="s">
        <v>4</v>
      </c>
      <c r="E1423" s="7" t="s">
        <v>18</v>
      </c>
      <c r="F1423" s="5">
        <v>6.59</v>
      </c>
      <c r="G1423" s="7" t="s">
        <v>1870</v>
      </c>
      <c r="H1423" s="7" t="s">
        <v>1869</v>
      </c>
      <c r="I1423" s="8" t="s">
        <v>2664</v>
      </c>
      <c r="K1423">
        <f>IF($A1423="","",IF(ISNUMBER($A1423),MONTH($A1423),MONTH(DATEVALUE($A1423))))</f>
        <v>4</v>
      </c>
    </row>
    <row r="1424" spans="1:11" ht="60" customHeight="1" x14ac:dyDescent="0.25">
      <c r="A1424" s="8" t="s">
        <v>1864</v>
      </c>
      <c r="B1424" s="8" t="s">
        <v>0</v>
      </c>
      <c r="C1424" s="8" t="s">
        <v>27</v>
      </c>
      <c r="D1424" s="8" t="s">
        <v>4</v>
      </c>
      <c r="E1424" s="8" t="s">
        <v>18</v>
      </c>
      <c r="F1424" s="6">
        <v>20</v>
      </c>
      <c r="G1424" s="8" t="s">
        <v>1871</v>
      </c>
      <c r="H1424" s="8" t="s">
        <v>27</v>
      </c>
      <c r="I1424" s="8" t="s">
        <v>2628</v>
      </c>
      <c r="K1424">
        <f>IF($A1424="","",IF(ISNUMBER($A1424),MONTH($A1424),MONTH(DATEVALUE($A1424))))</f>
        <v>4</v>
      </c>
    </row>
    <row r="1425" spans="1:11" ht="60" customHeight="1" x14ac:dyDescent="0.25">
      <c r="A1425" s="7" t="s">
        <v>1872</v>
      </c>
      <c r="B1425" s="7" t="s">
        <v>0</v>
      </c>
      <c r="C1425" s="7" t="s">
        <v>1096</v>
      </c>
      <c r="D1425" s="7" t="s">
        <v>4</v>
      </c>
      <c r="E1425" s="7" t="s">
        <v>18</v>
      </c>
      <c r="F1425" s="5">
        <v>-125.35</v>
      </c>
      <c r="G1425" s="7" t="s">
        <v>1101</v>
      </c>
      <c r="H1425" s="7" t="s">
        <v>1096</v>
      </c>
      <c r="I1425" s="7" t="s">
        <v>2647</v>
      </c>
      <c r="K1425">
        <f>IF($A1425="","",IF(ISNUMBER($A1425),MONTH($A1425),MONTH(DATEVALUE($A1425))))</f>
        <v>4</v>
      </c>
    </row>
    <row r="1426" spans="1:11" ht="60" customHeight="1" x14ac:dyDescent="0.25">
      <c r="A1426" s="8" t="s">
        <v>1872</v>
      </c>
      <c r="B1426" s="8" t="s">
        <v>0</v>
      </c>
      <c r="C1426" s="8" t="s">
        <v>1096</v>
      </c>
      <c r="D1426" s="8" t="s">
        <v>4</v>
      </c>
      <c r="E1426" s="8" t="s">
        <v>18</v>
      </c>
      <c r="F1426" s="6">
        <v>-57.46</v>
      </c>
      <c r="G1426" s="8" t="s">
        <v>1101</v>
      </c>
      <c r="H1426" s="8" t="s">
        <v>1096</v>
      </c>
      <c r="I1426" s="8" t="s">
        <v>2647</v>
      </c>
      <c r="K1426">
        <f>IF($A1426="","",IF(ISNUMBER($A1426),MONTH($A1426),MONTH(DATEVALUE($A1426))))</f>
        <v>4</v>
      </c>
    </row>
    <row r="1427" spans="1:11" ht="60" customHeight="1" x14ac:dyDescent="0.25">
      <c r="A1427" s="7" t="s">
        <v>1872</v>
      </c>
      <c r="B1427" s="7" t="s">
        <v>0</v>
      </c>
      <c r="C1427" s="7" t="s">
        <v>1102</v>
      </c>
      <c r="D1427" s="7" t="s">
        <v>4</v>
      </c>
      <c r="E1427" s="7" t="s">
        <v>18</v>
      </c>
      <c r="F1427" s="5">
        <v>57.46</v>
      </c>
      <c r="G1427" s="7" t="s">
        <v>1873</v>
      </c>
      <c r="H1427" s="7" t="s">
        <v>1096</v>
      </c>
      <c r="I1427" s="7" t="s">
        <v>2647</v>
      </c>
      <c r="K1427">
        <f>IF($A1427="","",IF(ISNUMBER($A1427),MONTH($A1427),MONTH(DATEVALUE($A1427))))</f>
        <v>4</v>
      </c>
    </row>
    <row r="1428" spans="1:11" ht="60" customHeight="1" x14ac:dyDescent="0.25">
      <c r="A1428" s="8" t="s">
        <v>1872</v>
      </c>
      <c r="B1428" s="8" t="s">
        <v>0</v>
      </c>
      <c r="C1428" s="8" t="s">
        <v>1102</v>
      </c>
      <c r="D1428" s="8" t="s">
        <v>4</v>
      </c>
      <c r="E1428" s="8" t="s">
        <v>18</v>
      </c>
      <c r="F1428" s="6">
        <v>125.35</v>
      </c>
      <c r="G1428" s="8" t="s">
        <v>1874</v>
      </c>
      <c r="H1428" s="8" t="s">
        <v>1096</v>
      </c>
      <c r="I1428" s="8" t="s">
        <v>2647</v>
      </c>
      <c r="K1428">
        <f>IF($A1428="","",IF(ISNUMBER($A1428),MONTH($A1428),MONTH(DATEVALUE($A1428))))</f>
        <v>4</v>
      </c>
    </row>
    <row r="1429" spans="1:11" ht="60" customHeight="1" x14ac:dyDescent="0.25">
      <c r="A1429" s="7" t="s">
        <v>1872</v>
      </c>
      <c r="B1429" s="7" t="s">
        <v>0</v>
      </c>
      <c r="C1429" s="7" t="s">
        <v>1875</v>
      </c>
      <c r="D1429" s="7" t="s">
        <v>4</v>
      </c>
      <c r="E1429" s="7" t="s">
        <v>18</v>
      </c>
      <c r="F1429" s="5">
        <v>10.99</v>
      </c>
      <c r="G1429" s="7" t="s">
        <v>1876</v>
      </c>
      <c r="H1429" s="7" t="s">
        <v>1875</v>
      </c>
      <c r="I1429" s="7" t="s">
        <v>2627</v>
      </c>
      <c r="K1429">
        <f>IF($A1429="","",IF(ISNUMBER($A1429),MONTH($A1429),MONTH(DATEVALUE($A1429))))</f>
        <v>4</v>
      </c>
    </row>
    <row r="1430" spans="1:11" ht="60" customHeight="1" x14ac:dyDescent="0.25">
      <c r="A1430" s="8" t="s">
        <v>1872</v>
      </c>
      <c r="B1430" s="8" t="s">
        <v>0</v>
      </c>
      <c r="C1430" s="8" t="s">
        <v>762</v>
      </c>
      <c r="D1430" s="8" t="s">
        <v>4</v>
      </c>
      <c r="E1430" s="8" t="s">
        <v>18</v>
      </c>
      <c r="F1430" s="6">
        <v>59.5</v>
      </c>
      <c r="G1430" s="8" t="s">
        <v>1877</v>
      </c>
      <c r="H1430" s="8" t="s">
        <v>762</v>
      </c>
      <c r="I1430" s="8" t="s">
        <v>2640</v>
      </c>
      <c r="K1430">
        <f>IF($A1430="","",IF(ISNUMBER($A1430),MONTH($A1430),MONTH(DATEVALUE($A1430))))</f>
        <v>4</v>
      </c>
    </row>
    <row r="1431" spans="1:11" ht="60" customHeight="1" x14ac:dyDescent="0.25">
      <c r="A1431" s="7" t="s">
        <v>1878</v>
      </c>
      <c r="B1431" s="7" t="s">
        <v>0</v>
      </c>
      <c r="C1431" s="7" t="s">
        <v>1096</v>
      </c>
      <c r="D1431" s="7" t="s">
        <v>4</v>
      </c>
      <c r="E1431" s="7" t="s">
        <v>18</v>
      </c>
      <c r="F1431" s="5">
        <v>-413.9</v>
      </c>
      <c r="G1431" s="7" t="s">
        <v>1101</v>
      </c>
      <c r="H1431" s="7" t="s">
        <v>1096</v>
      </c>
      <c r="I1431" s="7" t="s">
        <v>2647</v>
      </c>
      <c r="K1431">
        <f>IF($A1431="","",IF(ISNUMBER($A1431),MONTH($A1431),MONTH(DATEVALUE($A1431))))</f>
        <v>4</v>
      </c>
    </row>
    <row r="1432" spans="1:11" ht="60" customHeight="1" x14ac:dyDescent="0.25">
      <c r="A1432" s="8" t="s">
        <v>1878</v>
      </c>
      <c r="B1432" s="8" t="s">
        <v>0</v>
      </c>
      <c r="C1432" s="8" t="s">
        <v>1102</v>
      </c>
      <c r="D1432" s="8" t="s">
        <v>4</v>
      </c>
      <c r="E1432" s="8" t="s">
        <v>18</v>
      </c>
      <c r="F1432" s="6">
        <v>413.9</v>
      </c>
      <c r="G1432" s="8" t="s">
        <v>1879</v>
      </c>
      <c r="H1432" s="8" t="s">
        <v>1096</v>
      </c>
      <c r="I1432" s="8" t="s">
        <v>2647</v>
      </c>
      <c r="K1432">
        <f>IF($A1432="","",IF(ISNUMBER($A1432),MONTH($A1432),MONTH(DATEVALUE($A1432))))</f>
        <v>4</v>
      </c>
    </row>
    <row r="1433" spans="1:11" ht="60" customHeight="1" x14ac:dyDescent="0.25">
      <c r="A1433" s="7" t="s">
        <v>1878</v>
      </c>
      <c r="B1433" s="7" t="s">
        <v>0</v>
      </c>
      <c r="C1433" s="7" t="s">
        <v>1880</v>
      </c>
      <c r="D1433" s="7" t="s">
        <v>4</v>
      </c>
      <c r="E1433" s="7" t="s">
        <v>18</v>
      </c>
      <c r="F1433" s="5">
        <v>3.24</v>
      </c>
      <c r="G1433" s="7" t="s">
        <v>1881</v>
      </c>
      <c r="H1433" s="7" t="s">
        <v>1880</v>
      </c>
      <c r="I1433" s="7" t="s">
        <v>2647</v>
      </c>
      <c r="K1433">
        <f>IF($A1433="","",IF(ISNUMBER($A1433),MONTH($A1433),MONTH(DATEVALUE($A1433))))</f>
        <v>4</v>
      </c>
    </row>
    <row r="1434" spans="1:11" ht="60" customHeight="1" x14ac:dyDescent="0.25">
      <c r="A1434" s="8" t="s">
        <v>1878</v>
      </c>
      <c r="B1434" s="8" t="s">
        <v>0</v>
      </c>
      <c r="C1434" s="8" t="s">
        <v>567</v>
      </c>
      <c r="D1434" s="8" t="s">
        <v>4</v>
      </c>
      <c r="E1434" s="8" t="s">
        <v>18</v>
      </c>
      <c r="F1434" s="6">
        <v>16.23</v>
      </c>
      <c r="G1434" s="8" t="s">
        <v>1882</v>
      </c>
      <c r="H1434" s="8" t="s">
        <v>567</v>
      </c>
      <c r="I1434" s="8" t="s">
        <v>2647</v>
      </c>
      <c r="K1434">
        <f>IF($A1434="","",IF(ISNUMBER($A1434),MONTH($A1434),MONTH(DATEVALUE($A1434))))</f>
        <v>4</v>
      </c>
    </row>
    <row r="1435" spans="1:11" ht="60" customHeight="1" x14ac:dyDescent="0.25">
      <c r="A1435" s="7" t="s">
        <v>1878</v>
      </c>
      <c r="B1435" s="7" t="s">
        <v>0</v>
      </c>
      <c r="C1435" s="7" t="s">
        <v>176</v>
      </c>
      <c r="D1435" s="7" t="s">
        <v>4</v>
      </c>
      <c r="E1435" s="7" t="s">
        <v>18</v>
      </c>
      <c r="F1435" s="5">
        <v>9.99</v>
      </c>
      <c r="G1435" s="7" t="s">
        <v>1883</v>
      </c>
      <c r="H1435" s="7" t="s">
        <v>176</v>
      </c>
      <c r="I1435" s="7" t="s">
        <v>2630</v>
      </c>
      <c r="K1435">
        <f>IF($A1435="","",IF(ISNUMBER($A1435),MONTH($A1435),MONTH(DATEVALUE($A1435))))</f>
        <v>4</v>
      </c>
    </row>
    <row r="1436" spans="1:11" ht="60" customHeight="1" x14ac:dyDescent="0.25">
      <c r="A1436" s="8" t="s">
        <v>1878</v>
      </c>
      <c r="B1436" s="8" t="s">
        <v>0</v>
      </c>
      <c r="C1436" s="8" t="s">
        <v>178</v>
      </c>
      <c r="D1436" s="8" t="s">
        <v>4</v>
      </c>
      <c r="E1436" s="8" t="s">
        <v>18</v>
      </c>
      <c r="F1436" s="6">
        <v>260</v>
      </c>
      <c r="G1436" s="8" t="s">
        <v>1884</v>
      </c>
      <c r="H1436" s="8" t="s">
        <v>178</v>
      </c>
      <c r="I1436" s="8" t="s">
        <v>2638</v>
      </c>
      <c r="K1436">
        <f>IF($A1436="","",IF(ISNUMBER($A1436),MONTH($A1436),MONTH(DATEVALUE($A1436))))</f>
        <v>4</v>
      </c>
    </row>
    <row r="1437" spans="1:11" ht="60" customHeight="1" x14ac:dyDescent="0.25">
      <c r="A1437" s="7" t="s">
        <v>1878</v>
      </c>
      <c r="B1437" s="7" t="s">
        <v>0</v>
      </c>
      <c r="C1437" s="7" t="s">
        <v>1885</v>
      </c>
      <c r="D1437" s="7" t="s">
        <v>4</v>
      </c>
      <c r="E1437" s="7" t="s">
        <v>18</v>
      </c>
      <c r="F1437" s="5">
        <v>29.97</v>
      </c>
      <c r="G1437" s="7" t="s">
        <v>1886</v>
      </c>
      <c r="H1437" s="7" t="s">
        <v>1885</v>
      </c>
      <c r="I1437" s="7" t="s">
        <v>2627</v>
      </c>
      <c r="K1437">
        <f>IF($A1437="","",IF(ISNUMBER($A1437),MONTH($A1437),MONTH(DATEVALUE($A1437))))</f>
        <v>4</v>
      </c>
    </row>
    <row r="1438" spans="1:11" ht="60" customHeight="1" x14ac:dyDescent="0.25">
      <c r="A1438" s="8" t="s">
        <v>1887</v>
      </c>
      <c r="B1438" s="8" t="s">
        <v>0</v>
      </c>
      <c r="C1438" s="8" t="s">
        <v>1888</v>
      </c>
      <c r="D1438" s="8" t="s">
        <v>4</v>
      </c>
      <c r="E1438" s="8" t="s">
        <v>18</v>
      </c>
      <c r="F1438" s="6">
        <v>81.3</v>
      </c>
      <c r="G1438" s="8" t="s">
        <v>1889</v>
      </c>
      <c r="H1438" s="8" t="s">
        <v>1888</v>
      </c>
      <c r="I1438" s="8" t="s">
        <v>2627</v>
      </c>
      <c r="K1438">
        <f>IF($A1438="","",IF(ISNUMBER($A1438),MONTH($A1438),MONTH(DATEVALUE($A1438))))</f>
        <v>4</v>
      </c>
    </row>
    <row r="1439" spans="1:11" ht="60" customHeight="1" x14ac:dyDescent="0.25">
      <c r="A1439" s="7" t="s">
        <v>1890</v>
      </c>
      <c r="B1439" s="7" t="s">
        <v>0</v>
      </c>
      <c r="C1439" s="7" t="s">
        <v>1096</v>
      </c>
      <c r="D1439" s="7" t="s">
        <v>4</v>
      </c>
      <c r="E1439" s="7" t="s">
        <v>18</v>
      </c>
      <c r="F1439" s="5">
        <v>-413.9</v>
      </c>
      <c r="G1439" s="7" t="s">
        <v>1101</v>
      </c>
      <c r="H1439" s="7" t="s">
        <v>1096</v>
      </c>
      <c r="I1439" s="7" t="s">
        <v>2647</v>
      </c>
      <c r="K1439">
        <f>IF($A1439="","",IF(ISNUMBER($A1439),MONTH($A1439),MONTH(DATEVALUE($A1439))))</f>
        <v>4</v>
      </c>
    </row>
    <row r="1440" spans="1:11" ht="60" customHeight="1" x14ac:dyDescent="0.25">
      <c r="A1440" s="8" t="s">
        <v>1890</v>
      </c>
      <c r="B1440" s="8" t="s">
        <v>0</v>
      </c>
      <c r="C1440" s="8" t="s">
        <v>1096</v>
      </c>
      <c r="D1440" s="8" t="s">
        <v>4</v>
      </c>
      <c r="E1440" s="8" t="s">
        <v>18</v>
      </c>
      <c r="F1440" s="6">
        <v>-147.31</v>
      </c>
      <c r="G1440" s="8" t="s">
        <v>1101</v>
      </c>
      <c r="H1440" s="8" t="s">
        <v>1096</v>
      </c>
      <c r="I1440" s="8" t="s">
        <v>2647</v>
      </c>
      <c r="K1440">
        <f>IF($A1440="","",IF(ISNUMBER($A1440),MONTH($A1440),MONTH(DATEVALUE($A1440))))</f>
        <v>4</v>
      </c>
    </row>
    <row r="1441" spans="1:11" ht="60" customHeight="1" x14ac:dyDescent="0.25">
      <c r="A1441" s="7" t="s">
        <v>1890</v>
      </c>
      <c r="B1441" s="7" t="s">
        <v>0</v>
      </c>
      <c r="C1441" s="7" t="s">
        <v>1096</v>
      </c>
      <c r="D1441" s="7" t="s">
        <v>4</v>
      </c>
      <c r="E1441" s="7" t="s">
        <v>18</v>
      </c>
      <c r="F1441" s="5">
        <v>-71.400000000000006</v>
      </c>
      <c r="G1441" s="7" t="s">
        <v>1101</v>
      </c>
      <c r="H1441" s="7" t="s">
        <v>1096</v>
      </c>
      <c r="I1441" s="7" t="s">
        <v>2647</v>
      </c>
      <c r="K1441">
        <f>IF($A1441="","",IF(ISNUMBER($A1441),MONTH($A1441),MONTH(DATEVALUE($A1441))))</f>
        <v>4</v>
      </c>
    </row>
    <row r="1442" spans="1:11" ht="60" customHeight="1" x14ac:dyDescent="0.25">
      <c r="A1442" s="8" t="s">
        <v>1890</v>
      </c>
      <c r="B1442" s="8" t="s">
        <v>0</v>
      </c>
      <c r="C1442" s="8" t="s">
        <v>1102</v>
      </c>
      <c r="D1442" s="8" t="s">
        <v>4</v>
      </c>
      <c r="E1442" s="8" t="s">
        <v>18</v>
      </c>
      <c r="F1442" s="6">
        <v>71.400000000000006</v>
      </c>
      <c r="G1442" s="8" t="s">
        <v>1891</v>
      </c>
      <c r="H1442" s="8" t="s">
        <v>1096</v>
      </c>
      <c r="I1442" s="8" t="s">
        <v>2647</v>
      </c>
      <c r="K1442">
        <f>IF($A1442="","",IF(ISNUMBER($A1442),MONTH($A1442),MONTH(DATEVALUE($A1442))))</f>
        <v>4</v>
      </c>
    </row>
    <row r="1443" spans="1:11" ht="60" customHeight="1" x14ac:dyDescent="0.25">
      <c r="A1443" s="7" t="s">
        <v>1890</v>
      </c>
      <c r="B1443" s="7" t="s">
        <v>0</v>
      </c>
      <c r="C1443" s="7" t="s">
        <v>1102</v>
      </c>
      <c r="D1443" s="7" t="s">
        <v>4</v>
      </c>
      <c r="E1443" s="7" t="s">
        <v>18</v>
      </c>
      <c r="F1443" s="5">
        <v>147.31</v>
      </c>
      <c r="G1443" s="7" t="s">
        <v>1892</v>
      </c>
      <c r="H1443" s="7" t="s">
        <v>1096</v>
      </c>
      <c r="I1443" s="7" t="s">
        <v>2647</v>
      </c>
      <c r="K1443">
        <f>IF($A1443="","",IF(ISNUMBER($A1443),MONTH($A1443),MONTH(DATEVALUE($A1443))))</f>
        <v>4</v>
      </c>
    </row>
    <row r="1444" spans="1:11" ht="60" customHeight="1" x14ac:dyDescent="0.25">
      <c r="A1444" s="8" t="s">
        <v>1890</v>
      </c>
      <c r="B1444" s="8" t="s">
        <v>0</v>
      </c>
      <c r="C1444" s="8" t="s">
        <v>1102</v>
      </c>
      <c r="D1444" s="8" t="s">
        <v>4</v>
      </c>
      <c r="E1444" s="8" t="s">
        <v>18</v>
      </c>
      <c r="F1444" s="6">
        <v>413.9</v>
      </c>
      <c r="G1444" s="8" t="s">
        <v>1893</v>
      </c>
      <c r="H1444" s="8" t="s">
        <v>1096</v>
      </c>
      <c r="I1444" s="8" t="s">
        <v>2647</v>
      </c>
      <c r="K1444">
        <f>IF($A1444="","",IF(ISNUMBER($A1444),MONTH($A1444),MONTH(DATEVALUE($A1444))))</f>
        <v>4</v>
      </c>
    </row>
    <row r="1445" spans="1:11" ht="60" customHeight="1" x14ac:dyDescent="0.25">
      <c r="A1445" s="7" t="s">
        <v>1890</v>
      </c>
      <c r="B1445" s="7" t="s">
        <v>0</v>
      </c>
      <c r="C1445" s="7" t="s">
        <v>1894</v>
      </c>
      <c r="D1445" s="7" t="s">
        <v>4</v>
      </c>
      <c r="E1445" s="7" t="s">
        <v>18</v>
      </c>
      <c r="F1445" s="5">
        <v>39.97</v>
      </c>
      <c r="G1445" s="7" t="s">
        <v>1895</v>
      </c>
      <c r="H1445" s="7" t="s">
        <v>1894</v>
      </c>
      <c r="I1445" s="7" t="s">
        <v>2627</v>
      </c>
      <c r="K1445">
        <f>IF($A1445="","",IF(ISNUMBER($A1445),MONTH($A1445),MONTH(DATEVALUE($A1445))))</f>
        <v>4</v>
      </c>
    </row>
    <row r="1446" spans="1:11" ht="60" customHeight="1" x14ac:dyDescent="0.25">
      <c r="A1446" s="8" t="s">
        <v>1890</v>
      </c>
      <c r="B1446" s="8" t="s">
        <v>0</v>
      </c>
      <c r="C1446" s="8" t="s">
        <v>1896</v>
      </c>
      <c r="D1446" s="8" t="s">
        <v>4</v>
      </c>
      <c r="E1446" s="8" t="s">
        <v>18</v>
      </c>
      <c r="F1446" s="6">
        <v>51.02</v>
      </c>
      <c r="G1446" s="8" t="s">
        <v>1897</v>
      </c>
      <c r="H1446" s="8" t="s">
        <v>1896</v>
      </c>
      <c r="I1446" s="8" t="s">
        <v>2664</v>
      </c>
      <c r="K1446">
        <f>IF($A1446="","",IF(ISNUMBER($A1446),MONTH($A1446),MONTH(DATEVALUE($A1446))))</f>
        <v>4</v>
      </c>
    </row>
    <row r="1447" spans="1:11" ht="60" customHeight="1" x14ac:dyDescent="0.25">
      <c r="A1447" s="7" t="s">
        <v>1890</v>
      </c>
      <c r="B1447" s="7" t="s">
        <v>0</v>
      </c>
      <c r="C1447" s="7" t="s">
        <v>1898</v>
      </c>
      <c r="D1447" s="7" t="s">
        <v>4</v>
      </c>
      <c r="E1447" s="7" t="s">
        <v>18</v>
      </c>
      <c r="F1447" s="5">
        <v>8.8699999999999992</v>
      </c>
      <c r="G1447" s="7" t="s">
        <v>1899</v>
      </c>
      <c r="H1447" s="7" t="s">
        <v>1898</v>
      </c>
      <c r="I1447" s="8" t="s">
        <v>2664</v>
      </c>
      <c r="K1447">
        <f>IF($A1447="","",IF(ISNUMBER($A1447),MONTH($A1447),MONTH(DATEVALUE($A1447))))</f>
        <v>4</v>
      </c>
    </row>
    <row r="1448" spans="1:11" ht="60" customHeight="1" x14ac:dyDescent="0.25">
      <c r="A1448" s="8" t="s">
        <v>1900</v>
      </c>
      <c r="B1448" s="8" t="s">
        <v>0</v>
      </c>
      <c r="C1448" s="8" t="s">
        <v>1901</v>
      </c>
      <c r="D1448" s="8" t="s">
        <v>4</v>
      </c>
      <c r="E1448" s="8" t="s">
        <v>18</v>
      </c>
      <c r="F1448" s="6">
        <v>3.34</v>
      </c>
      <c r="G1448" s="8" t="s">
        <v>1902</v>
      </c>
      <c r="H1448" s="8" t="s">
        <v>1901</v>
      </c>
      <c r="I1448" s="8" t="s">
        <v>2664</v>
      </c>
      <c r="K1448">
        <f>IF($A1448="","",IF(ISNUMBER($A1448),MONTH($A1448),MONTH(DATEVALUE($A1448))))</f>
        <v>4</v>
      </c>
    </row>
    <row r="1449" spans="1:11" ht="60" customHeight="1" x14ac:dyDescent="0.25">
      <c r="A1449" s="7" t="s">
        <v>1900</v>
      </c>
      <c r="B1449" s="7" t="s">
        <v>0</v>
      </c>
      <c r="C1449" s="7" t="s">
        <v>104</v>
      </c>
      <c r="D1449" s="7" t="s">
        <v>4</v>
      </c>
      <c r="E1449" s="7" t="s">
        <v>18</v>
      </c>
      <c r="F1449" s="5">
        <v>13.99</v>
      </c>
      <c r="G1449" s="7" t="s">
        <v>1903</v>
      </c>
      <c r="H1449" s="7" t="s">
        <v>104</v>
      </c>
      <c r="I1449" s="7" t="s">
        <v>2632</v>
      </c>
      <c r="K1449">
        <f>IF($A1449="","",IF(ISNUMBER($A1449),MONTH($A1449),MONTH(DATEVALUE($A1449))))</f>
        <v>4</v>
      </c>
    </row>
    <row r="1450" spans="1:11" ht="60" customHeight="1" x14ac:dyDescent="0.25">
      <c r="A1450" s="8" t="s">
        <v>1900</v>
      </c>
      <c r="B1450" s="8" t="s">
        <v>0</v>
      </c>
      <c r="C1450" s="8" t="s">
        <v>211</v>
      </c>
      <c r="D1450" s="8" t="s">
        <v>4</v>
      </c>
      <c r="E1450" s="8" t="s">
        <v>18</v>
      </c>
      <c r="F1450" s="6">
        <v>52.14</v>
      </c>
      <c r="G1450" s="8" t="s">
        <v>1904</v>
      </c>
      <c r="H1450" s="8" t="s">
        <v>211</v>
      </c>
      <c r="I1450" s="8" t="s">
        <v>2630</v>
      </c>
      <c r="K1450">
        <f>IF($A1450="","",IF(ISNUMBER($A1450),MONTH($A1450),MONTH(DATEVALUE($A1450))))</f>
        <v>4</v>
      </c>
    </row>
    <row r="1451" spans="1:11" ht="60" customHeight="1" x14ac:dyDescent="0.25">
      <c r="A1451" s="7" t="s">
        <v>1905</v>
      </c>
      <c r="B1451" s="7" t="s">
        <v>0</v>
      </c>
      <c r="C1451" s="7" t="s">
        <v>1096</v>
      </c>
      <c r="D1451" s="7" t="s">
        <v>4</v>
      </c>
      <c r="E1451" s="7" t="s">
        <v>18</v>
      </c>
      <c r="F1451" s="5">
        <v>-423.8</v>
      </c>
      <c r="G1451" s="7" t="s">
        <v>1101</v>
      </c>
      <c r="H1451" s="7" t="s">
        <v>1096</v>
      </c>
      <c r="I1451" s="7" t="s">
        <v>2647</v>
      </c>
      <c r="K1451">
        <f>IF($A1451="","",IF(ISNUMBER($A1451),MONTH($A1451),MONTH(DATEVALUE($A1451))))</f>
        <v>4</v>
      </c>
    </row>
    <row r="1452" spans="1:11" ht="60" customHeight="1" x14ac:dyDescent="0.25">
      <c r="A1452" s="8" t="s">
        <v>1905</v>
      </c>
      <c r="B1452" s="8" t="s">
        <v>0</v>
      </c>
      <c r="C1452" s="8" t="s">
        <v>1096</v>
      </c>
      <c r="D1452" s="8" t="s">
        <v>4</v>
      </c>
      <c r="E1452" s="8" t="s">
        <v>18</v>
      </c>
      <c r="F1452" s="6">
        <v>-247.81</v>
      </c>
      <c r="G1452" s="8" t="s">
        <v>1101</v>
      </c>
      <c r="H1452" s="8" t="s">
        <v>1096</v>
      </c>
      <c r="I1452" s="8" t="s">
        <v>2647</v>
      </c>
      <c r="K1452">
        <f>IF($A1452="","",IF(ISNUMBER($A1452),MONTH($A1452),MONTH(DATEVALUE($A1452))))</f>
        <v>4</v>
      </c>
    </row>
    <row r="1453" spans="1:11" ht="60" customHeight="1" x14ac:dyDescent="0.25">
      <c r="A1453" s="7" t="s">
        <v>1905</v>
      </c>
      <c r="B1453" s="7" t="s">
        <v>0</v>
      </c>
      <c r="C1453" s="7" t="s">
        <v>1102</v>
      </c>
      <c r="D1453" s="7" t="s">
        <v>4</v>
      </c>
      <c r="E1453" s="7" t="s">
        <v>18</v>
      </c>
      <c r="F1453" s="5">
        <v>247.81</v>
      </c>
      <c r="G1453" s="7" t="s">
        <v>1906</v>
      </c>
      <c r="H1453" s="7" t="s">
        <v>1096</v>
      </c>
      <c r="I1453" s="7" t="s">
        <v>2647</v>
      </c>
      <c r="K1453">
        <f>IF($A1453="","",IF(ISNUMBER($A1453),MONTH($A1453),MONTH(DATEVALUE($A1453))))</f>
        <v>4</v>
      </c>
    </row>
    <row r="1454" spans="1:11" ht="60" customHeight="1" x14ac:dyDescent="0.25">
      <c r="A1454" s="8" t="s">
        <v>1905</v>
      </c>
      <c r="B1454" s="8" t="s">
        <v>0</v>
      </c>
      <c r="C1454" s="8" t="s">
        <v>1102</v>
      </c>
      <c r="D1454" s="8" t="s">
        <v>4</v>
      </c>
      <c r="E1454" s="8" t="s">
        <v>18</v>
      </c>
      <c r="F1454" s="6">
        <v>423.8</v>
      </c>
      <c r="G1454" s="8" t="s">
        <v>1907</v>
      </c>
      <c r="H1454" s="8" t="s">
        <v>1096</v>
      </c>
      <c r="I1454" s="8" t="s">
        <v>2647</v>
      </c>
      <c r="K1454">
        <f>IF($A1454="","",IF(ISNUMBER($A1454),MONTH($A1454),MONTH(DATEVALUE($A1454))))</f>
        <v>4</v>
      </c>
    </row>
    <row r="1455" spans="1:11" ht="60" customHeight="1" x14ac:dyDescent="0.25">
      <c r="A1455" s="7" t="s">
        <v>1905</v>
      </c>
      <c r="B1455" s="7" t="s">
        <v>0</v>
      </c>
      <c r="C1455" s="7" t="s">
        <v>1908</v>
      </c>
      <c r="D1455" s="7" t="s">
        <v>4</v>
      </c>
      <c r="E1455" s="7" t="s">
        <v>18</v>
      </c>
      <c r="F1455" s="5">
        <v>17.329999999999998</v>
      </c>
      <c r="G1455" s="7" t="s">
        <v>1909</v>
      </c>
      <c r="H1455" s="7" t="s">
        <v>1908</v>
      </c>
      <c r="I1455" s="8" t="s">
        <v>2664</v>
      </c>
      <c r="K1455">
        <f>IF($A1455="","",IF(ISNUMBER($A1455),MONTH($A1455),MONTH(DATEVALUE($A1455))))</f>
        <v>4</v>
      </c>
    </row>
    <row r="1456" spans="1:11" ht="60" customHeight="1" x14ac:dyDescent="0.25">
      <c r="A1456" s="8" t="s">
        <v>1910</v>
      </c>
      <c r="B1456" s="8" t="s">
        <v>0</v>
      </c>
      <c r="C1456" s="8" t="s">
        <v>217</v>
      </c>
      <c r="D1456" s="8" t="s">
        <v>4</v>
      </c>
      <c r="E1456" s="8" t="s">
        <v>18</v>
      </c>
      <c r="F1456" s="6">
        <v>119.52</v>
      </c>
      <c r="G1456" s="8" t="s">
        <v>1911</v>
      </c>
      <c r="H1456" s="8" t="s">
        <v>217</v>
      </c>
      <c r="I1456" s="8" t="s">
        <v>2632</v>
      </c>
      <c r="K1456">
        <f>IF($A1456="","",IF(ISNUMBER($A1456),MONTH($A1456),MONTH(DATEVALUE($A1456))))</f>
        <v>4</v>
      </c>
    </row>
    <row r="1457" spans="1:11" ht="60" customHeight="1" x14ac:dyDescent="0.25">
      <c r="A1457" s="7" t="s">
        <v>1910</v>
      </c>
      <c r="B1457" s="7" t="s">
        <v>0</v>
      </c>
      <c r="C1457" s="7" t="s">
        <v>1096</v>
      </c>
      <c r="D1457" s="7" t="s">
        <v>4</v>
      </c>
      <c r="E1457" s="7" t="s">
        <v>18</v>
      </c>
      <c r="F1457" s="5">
        <v>-413.9</v>
      </c>
      <c r="G1457" s="7" t="s">
        <v>1101</v>
      </c>
      <c r="H1457" s="7" t="s">
        <v>1096</v>
      </c>
      <c r="I1457" s="7" t="s">
        <v>2647</v>
      </c>
      <c r="K1457">
        <f>IF($A1457="","",IF(ISNUMBER($A1457),MONTH($A1457),MONTH(DATEVALUE($A1457))))</f>
        <v>4</v>
      </c>
    </row>
    <row r="1458" spans="1:11" ht="60" customHeight="1" x14ac:dyDescent="0.25">
      <c r="A1458" s="8" t="s">
        <v>1910</v>
      </c>
      <c r="B1458" s="8" t="s">
        <v>0</v>
      </c>
      <c r="C1458" s="8" t="s">
        <v>1096</v>
      </c>
      <c r="D1458" s="8" t="s">
        <v>4</v>
      </c>
      <c r="E1458" s="8" t="s">
        <v>18</v>
      </c>
      <c r="F1458" s="6">
        <v>-206.95</v>
      </c>
      <c r="G1458" s="8" t="s">
        <v>1101</v>
      </c>
      <c r="H1458" s="8" t="s">
        <v>1096</v>
      </c>
      <c r="I1458" s="8" t="s">
        <v>2647</v>
      </c>
      <c r="K1458">
        <f>IF($A1458="","",IF(ISNUMBER($A1458),MONTH($A1458),MONTH(DATEVALUE($A1458))))</f>
        <v>4</v>
      </c>
    </row>
    <row r="1459" spans="1:11" ht="60" customHeight="1" x14ac:dyDescent="0.25">
      <c r="A1459" s="7" t="s">
        <v>1910</v>
      </c>
      <c r="B1459" s="7" t="s">
        <v>0</v>
      </c>
      <c r="C1459" s="7" t="s">
        <v>1096</v>
      </c>
      <c r="D1459" s="7" t="s">
        <v>4</v>
      </c>
      <c r="E1459" s="7" t="s">
        <v>18</v>
      </c>
      <c r="F1459" s="5">
        <v>-134</v>
      </c>
      <c r="G1459" s="7" t="s">
        <v>1101</v>
      </c>
      <c r="H1459" s="7" t="s">
        <v>1096</v>
      </c>
      <c r="I1459" s="7" t="s">
        <v>2647</v>
      </c>
      <c r="K1459">
        <f>IF($A1459="","",IF(ISNUMBER($A1459),MONTH($A1459),MONTH(DATEVALUE($A1459))))</f>
        <v>4</v>
      </c>
    </row>
    <row r="1460" spans="1:11" ht="60" customHeight="1" x14ac:dyDescent="0.25">
      <c r="A1460" s="8" t="s">
        <v>1910</v>
      </c>
      <c r="B1460" s="8" t="s">
        <v>0</v>
      </c>
      <c r="C1460" s="8" t="s">
        <v>1102</v>
      </c>
      <c r="D1460" s="8" t="s">
        <v>4</v>
      </c>
      <c r="E1460" s="8" t="s">
        <v>18</v>
      </c>
      <c r="F1460" s="6">
        <v>134</v>
      </c>
      <c r="G1460" s="8" t="s">
        <v>1912</v>
      </c>
      <c r="H1460" s="8" t="s">
        <v>1096</v>
      </c>
      <c r="I1460" s="8" t="s">
        <v>2647</v>
      </c>
      <c r="K1460">
        <f>IF($A1460="","",IF(ISNUMBER($A1460),MONTH($A1460),MONTH(DATEVALUE($A1460))))</f>
        <v>4</v>
      </c>
    </row>
    <row r="1461" spans="1:11" ht="60" customHeight="1" x14ac:dyDescent="0.25">
      <c r="A1461" s="7" t="s">
        <v>1910</v>
      </c>
      <c r="B1461" s="7" t="s">
        <v>0</v>
      </c>
      <c r="C1461" s="7" t="s">
        <v>1102</v>
      </c>
      <c r="D1461" s="7" t="s">
        <v>4</v>
      </c>
      <c r="E1461" s="7" t="s">
        <v>18</v>
      </c>
      <c r="F1461" s="5">
        <v>206.95</v>
      </c>
      <c r="G1461" s="7" t="s">
        <v>1913</v>
      </c>
      <c r="H1461" s="7" t="s">
        <v>1096</v>
      </c>
      <c r="I1461" s="7" t="s">
        <v>2647</v>
      </c>
      <c r="K1461">
        <f>IF($A1461="","",IF(ISNUMBER($A1461),MONTH($A1461),MONTH(DATEVALUE($A1461))))</f>
        <v>4</v>
      </c>
    </row>
    <row r="1462" spans="1:11" ht="60" customHeight="1" x14ac:dyDescent="0.25">
      <c r="A1462" s="8" t="s">
        <v>1910</v>
      </c>
      <c r="B1462" s="8" t="s">
        <v>0</v>
      </c>
      <c r="C1462" s="8" t="s">
        <v>1102</v>
      </c>
      <c r="D1462" s="8" t="s">
        <v>4</v>
      </c>
      <c r="E1462" s="8" t="s">
        <v>18</v>
      </c>
      <c r="F1462" s="6">
        <v>413.9</v>
      </c>
      <c r="G1462" s="8" t="s">
        <v>1914</v>
      </c>
      <c r="H1462" s="8" t="s">
        <v>1096</v>
      </c>
      <c r="I1462" s="8" t="s">
        <v>2647</v>
      </c>
      <c r="K1462">
        <f>IF($A1462="","",IF(ISNUMBER($A1462),MONTH($A1462),MONTH(DATEVALUE($A1462))))</f>
        <v>4</v>
      </c>
    </row>
    <row r="1463" spans="1:11" ht="60" customHeight="1" x14ac:dyDescent="0.25">
      <c r="A1463" s="7" t="s">
        <v>1910</v>
      </c>
      <c r="B1463" s="7" t="s">
        <v>0</v>
      </c>
      <c r="C1463" s="7" t="s">
        <v>1915</v>
      </c>
      <c r="D1463" s="7" t="s">
        <v>4</v>
      </c>
      <c r="E1463" s="7" t="s">
        <v>18</v>
      </c>
      <c r="F1463" s="5">
        <v>263.14999999999998</v>
      </c>
      <c r="G1463" s="7" t="s">
        <v>1916</v>
      </c>
      <c r="H1463" s="7" t="s">
        <v>1915</v>
      </c>
      <c r="I1463" s="7" t="s">
        <v>2627</v>
      </c>
      <c r="K1463">
        <f>IF($A1463="","",IF(ISNUMBER($A1463),MONTH($A1463),MONTH(DATEVALUE($A1463))))</f>
        <v>4</v>
      </c>
    </row>
    <row r="1464" spans="1:11" ht="60" customHeight="1" x14ac:dyDescent="0.25">
      <c r="A1464" s="8" t="s">
        <v>1910</v>
      </c>
      <c r="B1464" s="8" t="s">
        <v>0</v>
      </c>
      <c r="C1464" s="8" t="s">
        <v>1758</v>
      </c>
      <c r="D1464" s="8" t="s">
        <v>4</v>
      </c>
      <c r="E1464" s="8" t="s">
        <v>18</v>
      </c>
      <c r="F1464" s="6">
        <v>20</v>
      </c>
      <c r="G1464" s="8" t="s">
        <v>1917</v>
      </c>
      <c r="H1464" s="8" t="s">
        <v>1758</v>
      </c>
      <c r="I1464" s="8" t="s">
        <v>2630</v>
      </c>
      <c r="K1464">
        <f>IF($A1464="","",IF(ISNUMBER($A1464),MONTH($A1464),MONTH(DATEVALUE($A1464))))</f>
        <v>4</v>
      </c>
    </row>
    <row r="1465" spans="1:11" ht="60" customHeight="1" x14ac:dyDescent="0.25">
      <c r="A1465" s="7" t="s">
        <v>1918</v>
      </c>
      <c r="B1465" s="7" t="s">
        <v>0</v>
      </c>
      <c r="C1465" s="7" t="s">
        <v>1096</v>
      </c>
      <c r="D1465" s="7" t="s">
        <v>4</v>
      </c>
      <c r="E1465" s="7" t="s">
        <v>18</v>
      </c>
      <c r="F1465" s="5">
        <v>-413.9</v>
      </c>
      <c r="G1465" s="7" t="s">
        <v>1101</v>
      </c>
      <c r="H1465" s="7" t="s">
        <v>1096</v>
      </c>
      <c r="I1465" s="7" t="s">
        <v>2647</v>
      </c>
      <c r="K1465">
        <f>IF($A1465="","",IF(ISNUMBER($A1465),MONTH($A1465),MONTH(DATEVALUE($A1465))))</f>
        <v>3</v>
      </c>
    </row>
    <row r="1466" spans="1:11" ht="60" customHeight="1" x14ac:dyDescent="0.25">
      <c r="A1466" s="8" t="s">
        <v>1918</v>
      </c>
      <c r="B1466" s="8" t="s">
        <v>0</v>
      </c>
      <c r="C1466" s="8" t="s">
        <v>1102</v>
      </c>
      <c r="D1466" s="8" t="s">
        <v>4</v>
      </c>
      <c r="E1466" s="8" t="s">
        <v>18</v>
      </c>
      <c r="F1466" s="6">
        <v>413.9</v>
      </c>
      <c r="G1466" s="8" t="s">
        <v>1919</v>
      </c>
      <c r="H1466" s="8" t="s">
        <v>1096</v>
      </c>
      <c r="I1466" s="8" t="s">
        <v>2647</v>
      </c>
      <c r="K1466">
        <f>IF($A1466="","",IF(ISNUMBER($A1466),MONTH($A1466),MONTH(DATEVALUE($A1466))))</f>
        <v>3</v>
      </c>
    </row>
    <row r="1467" spans="1:11" ht="60" customHeight="1" x14ac:dyDescent="0.25">
      <c r="A1467" s="7" t="s">
        <v>1918</v>
      </c>
      <c r="B1467" s="7" t="s">
        <v>0</v>
      </c>
      <c r="C1467" s="7" t="s">
        <v>171</v>
      </c>
      <c r="D1467" s="7" t="s">
        <v>4</v>
      </c>
      <c r="E1467" s="7" t="s">
        <v>18</v>
      </c>
      <c r="F1467" s="5">
        <v>175.8</v>
      </c>
      <c r="G1467" s="7" t="s">
        <v>1920</v>
      </c>
      <c r="H1467" s="7" t="s">
        <v>171</v>
      </c>
      <c r="I1467" s="7" t="s">
        <v>2633</v>
      </c>
      <c r="K1467">
        <f>IF($A1467="","",IF(ISNUMBER($A1467),MONTH($A1467),MONTH(DATEVALUE($A1467))))</f>
        <v>3</v>
      </c>
    </row>
    <row r="1468" spans="1:11" ht="60" customHeight="1" x14ac:dyDescent="0.25">
      <c r="A1468" s="8" t="s">
        <v>1921</v>
      </c>
      <c r="B1468" s="8" t="s">
        <v>0</v>
      </c>
      <c r="C1468" s="8" t="s">
        <v>1922</v>
      </c>
      <c r="D1468" s="8" t="s">
        <v>1113</v>
      </c>
      <c r="E1468" s="8" t="s">
        <v>1114</v>
      </c>
      <c r="F1468" s="6">
        <v>179.52</v>
      </c>
      <c r="G1468" s="8" t="s">
        <v>1923</v>
      </c>
      <c r="H1468" s="8" t="s">
        <v>1922</v>
      </c>
      <c r="I1468" s="8" t="s">
        <v>2664</v>
      </c>
      <c r="K1468">
        <f>IF($A1468="","",IF(ISNUMBER($A1468),MONTH($A1468),MONTH(DATEVALUE($A1468))))</f>
        <v>3</v>
      </c>
    </row>
    <row r="1469" spans="1:11" ht="60" customHeight="1" x14ac:dyDescent="0.25">
      <c r="A1469" s="7" t="s">
        <v>1921</v>
      </c>
      <c r="B1469" s="7" t="s">
        <v>0</v>
      </c>
      <c r="C1469" s="7" t="s">
        <v>1922</v>
      </c>
      <c r="D1469" s="7" t="s">
        <v>1113</v>
      </c>
      <c r="E1469" s="7" t="s">
        <v>1114</v>
      </c>
      <c r="F1469" s="5">
        <v>179.52</v>
      </c>
      <c r="G1469" s="7" t="s">
        <v>1924</v>
      </c>
      <c r="H1469" s="7" t="s">
        <v>1922</v>
      </c>
      <c r="I1469" s="8" t="s">
        <v>2664</v>
      </c>
      <c r="K1469">
        <f>IF($A1469="","",IF(ISNUMBER($A1469),MONTH($A1469),MONTH(DATEVALUE($A1469))))</f>
        <v>3</v>
      </c>
    </row>
    <row r="1470" spans="1:11" ht="60" customHeight="1" x14ac:dyDescent="0.25">
      <c r="A1470" s="8" t="s">
        <v>1921</v>
      </c>
      <c r="B1470" s="8" t="s">
        <v>0</v>
      </c>
      <c r="C1470" s="8" t="s">
        <v>1922</v>
      </c>
      <c r="D1470" s="8" t="s">
        <v>1113</v>
      </c>
      <c r="E1470" s="8" t="s">
        <v>1114</v>
      </c>
      <c r="F1470" s="6">
        <v>179.52</v>
      </c>
      <c r="G1470" s="8" t="s">
        <v>1925</v>
      </c>
      <c r="H1470" s="8" t="s">
        <v>1922</v>
      </c>
      <c r="I1470" s="8" t="s">
        <v>2664</v>
      </c>
      <c r="K1470">
        <f>IF($A1470="","",IF(ISNUMBER($A1470),MONTH($A1470),MONTH(DATEVALUE($A1470))))</f>
        <v>3</v>
      </c>
    </row>
    <row r="1471" spans="1:11" ht="60" customHeight="1" x14ac:dyDescent="0.25">
      <c r="A1471" s="7" t="s">
        <v>1921</v>
      </c>
      <c r="B1471" s="7" t="s">
        <v>0</v>
      </c>
      <c r="C1471" s="7" t="s">
        <v>1922</v>
      </c>
      <c r="D1471" s="7" t="s">
        <v>1113</v>
      </c>
      <c r="E1471" s="7" t="s">
        <v>1114</v>
      </c>
      <c r="F1471" s="5">
        <v>179.52</v>
      </c>
      <c r="G1471" s="7" t="s">
        <v>1926</v>
      </c>
      <c r="H1471" s="7" t="s">
        <v>1922</v>
      </c>
      <c r="I1471" s="8" t="s">
        <v>2664</v>
      </c>
      <c r="K1471">
        <f>IF($A1471="","",IF(ISNUMBER($A1471),MONTH($A1471),MONTH(DATEVALUE($A1471))))</f>
        <v>3</v>
      </c>
    </row>
    <row r="1472" spans="1:11" ht="60" customHeight="1" x14ac:dyDescent="0.25">
      <c r="A1472" s="8" t="s">
        <v>1921</v>
      </c>
      <c r="B1472" s="8" t="s">
        <v>227</v>
      </c>
      <c r="C1472" s="8" t="s">
        <v>852</v>
      </c>
      <c r="D1472" s="8" t="s">
        <v>4</v>
      </c>
      <c r="E1472" s="8" t="s">
        <v>18</v>
      </c>
      <c r="F1472" s="6">
        <v>96.97</v>
      </c>
      <c r="G1472" s="8" t="s">
        <v>1927</v>
      </c>
      <c r="H1472" s="8" t="s">
        <v>852</v>
      </c>
      <c r="I1472" s="8" t="s">
        <v>2633</v>
      </c>
      <c r="K1472">
        <f>IF($A1472="","",IF(ISNUMBER($A1472),MONTH($A1472),MONTH(DATEVALUE($A1472))))</f>
        <v>3</v>
      </c>
    </row>
    <row r="1473" spans="1:11" ht="60" customHeight="1" x14ac:dyDescent="0.25">
      <c r="A1473" s="7" t="s">
        <v>1921</v>
      </c>
      <c r="B1473" s="7" t="s">
        <v>227</v>
      </c>
      <c r="C1473" s="7" t="s">
        <v>1928</v>
      </c>
      <c r="D1473" s="7" t="s">
        <v>4</v>
      </c>
      <c r="E1473" s="7" t="s">
        <v>18</v>
      </c>
      <c r="F1473" s="5">
        <v>20</v>
      </c>
      <c r="G1473" s="7" t="s">
        <v>1929</v>
      </c>
      <c r="H1473" s="7" t="s">
        <v>1928</v>
      </c>
      <c r="I1473" s="7" t="s">
        <v>2633</v>
      </c>
      <c r="K1473">
        <f>IF($A1473="","",IF(ISNUMBER($A1473),MONTH($A1473),MONTH(DATEVALUE($A1473))))</f>
        <v>3</v>
      </c>
    </row>
    <row r="1474" spans="1:11" ht="60" customHeight="1" x14ac:dyDescent="0.25">
      <c r="A1474" s="8" t="s">
        <v>1921</v>
      </c>
      <c r="B1474" s="8" t="s">
        <v>0</v>
      </c>
      <c r="C1474" s="8" t="s">
        <v>1930</v>
      </c>
      <c r="D1474" s="8" t="s">
        <v>4</v>
      </c>
      <c r="E1474" s="8" t="s">
        <v>18</v>
      </c>
      <c r="F1474" s="6">
        <v>12</v>
      </c>
      <c r="G1474" s="8" t="s">
        <v>1931</v>
      </c>
      <c r="H1474" s="8" t="s">
        <v>1930</v>
      </c>
      <c r="I1474" s="8" t="s">
        <v>2633</v>
      </c>
      <c r="K1474">
        <f>IF($A1474="","",IF(ISNUMBER($A1474),MONTH($A1474),MONTH(DATEVALUE($A1474))))</f>
        <v>3</v>
      </c>
    </row>
    <row r="1475" spans="1:11" ht="60" customHeight="1" x14ac:dyDescent="0.25">
      <c r="A1475" s="7" t="s">
        <v>1921</v>
      </c>
      <c r="B1475" s="7" t="s">
        <v>227</v>
      </c>
      <c r="C1475" s="7" t="s">
        <v>1932</v>
      </c>
      <c r="D1475" s="7" t="s">
        <v>4</v>
      </c>
      <c r="E1475" s="7" t="s">
        <v>18</v>
      </c>
      <c r="F1475" s="5">
        <v>69</v>
      </c>
      <c r="G1475" s="7" t="s">
        <v>1933</v>
      </c>
      <c r="H1475" s="7" t="s">
        <v>1932</v>
      </c>
      <c r="I1475" s="7" t="s">
        <v>2633</v>
      </c>
      <c r="K1475">
        <f>IF($A1475="","",IF(ISNUMBER($A1475),MONTH($A1475),MONTH(DATEVALUE($A1475))))</f>
        <v>3</v>
      </c>
    </row>
    <row r="1476" spans="1:11" ht="60" customHeight="1" x14ac:dyDescent="0.25">
      <c r="A1476" s="8" t="s">
        <v>1934</v>
      </c>
      <c r="B1476" s="8" t="s">
        <v>0</v>
      </c>
      <c r="C1476" s="8" t="s">
        <v>27</v>
      </c>
      <c r="D1476" s="8" t="s">
        <v>4</v>
      </c>
      <c r="E1476" s="8" t="s">
        <v>18</v>
      </c>
      <c r="F1476" s="6">
        <v>20</v>
      </c>
      <c r="G1476" s="8" t="s">
        <v>1935</v>
      </c>
      <c r="H1476" s="8" t="s">
        <v>27</v>
      </c>
      <c r="I1476" s="8" t="s">
        <v>2628</v>
      </c>
      <c r="K1476">
        <f>IF($A1476="","",IF(ISNUMBER($A1476),MONTH($A1476),MONTH(DATEVALUE($A1476))))</f>
        <v>3</v>
      </c>
    </row>
    <row r="1477" spans="1:11" ht="60" customHeight="1" x14ac:dyDescent="0.25">
      <c r="A1477" s="7" t="s">
        <v>1934</v>
      </c>
      <c r="B1477" s="7" t="s">
        <v>0</v>
      </c>
      <c r="C1477" s="7" t="s">
        <v>668</v>
      </c>
      <c r="D1477" s="7" t="s">
        <v>4</v>
      </c>
      <c r="E1477" s="7" t="s">
        <v>18</v>
      </c>
      <c r="F1477" s="5">
        <v>143.26</v>
      </c>
      <c r="G1477" s="7" t="s">
        <v>1936</v>
      </c>
      <c r="H1477" s="7" t="s">
        <v>668</v>
      </c>
      <c r="I1477" s="7" t="s">
        <v>2633</v>
      </c>
      <c r="K1477">
        <f>IF($A1477="","",IF(ISNUMBER($A1477),MONTH($A1477),MONTH(DATEVALUE($A1477))))</f>
        <v>3</v>
      </c>
    </row>
    <row r="1478" spans="1:11" ht="60" customHeight="1" x14ac:dyDescent="0.25">
      <c r="A1478" s="8" t="s">
        <v>1934</v>
      </c>
      <c r="B1478" s="8" t="s">
        <v>227</v>
      </c>
      <c r="C1478" s="8" t="s">
        <v>874</v>
      </c>
      <c r="D1478" s="8" t="s">
        <v>4</v>
      </c>
      <c r="E1478" s="8" t="s">
        <v>18</v>
      </c>
      <c r="F1478" s="6">
        <v>110</v>
      </c>
      <c r="G1478" s="8" t="s">
        <v>1937</v>
      </c>
      <c r="H1478" s="8" t="s">
        <v>874</v>
      </c>
      <c r="I1478" s="8" t="s">
        <v>2632</v>
      </c>
      <c r="K1478">
        <f>IF($A1478="","",IF(ISNUMBER($A1478),MONTH($A1478),MONTH(DATEVALUE($A1478))))</f>
        <v>3</v>
      </c>
    </row>
    <row r="1479" spans="1:11" ht="60" customHeight="1" x14ac:dyDescent="0.25">
      <c r="A1479" s="7" t="s">
        <v>1938</v>
      </c>
      <c r="B1479" s="7" t="s">
        <v>0</v>
      </c>
      <c r="C1479" s="7" t="s">
        <v>188</v>
      </c>
      <c r="D1479" s="7" t="s">
        <v>4</v>
      </c>
      <c r="E1479" s="7" t="s">
        <v>18</v>
      </c>
      <c r="F1479" s="5">
        <v>-12000</v>
      </c>
      <c r="G1479" s="7" t="s">
        <v>189</v>
      </c>
      <c r="H1479" s="7" t="s">
        <v>188</v>
      </c>
      <c r="I1479" s="7" t="s">
        <v>2629</v>
      </c>
      <c r="K1479">
        <f>IF($A1479="","",IF(ISNUMBER($A1479),MONTH($A1479),MONTH(DATEVALUE($A1479))))</f>
        <v>3</v>
      </c>
    </row>
    <row r="1480" spans="1:11" ht="60" customHeight="1" x14ac:dyDescent="0.25">
      <c r="A1480" s="8" t="s">
        <v>1938</v>
      </c>
      <c r="B1480" s="8" t="s">
        <v>0</v>
      </c>
      <c r="C1480" s="8" t="s">
        <v>299</v>
      </c>
      <c r="D1480" s="8" t="s">
        <v>4</v>
      </c>
      <c r="E1480" s="8" t="s">
        <v>18</v>
      </c>
      <c r="F1480" s="6">
        <v>545.12</v>
      </c>
      <c r="G1480" s="8" t="s">
        <v>1939</v>
      </c>
      <c r="H1480" s="8" t="s">
        <v>299</v>
      </c>
      <c r="I1480" s="8" t="s">
        <v>2632</v>
      </c>
      <c r="K1480">
        <f>IF($A1480="","",IF(ISNUMBER($A1480),MONTH($A1480),MONTH(DATEVALUE($A1480))))</f>
        <v>3</v>
      </c>
    </row>
    <row r="1481" spans="1:11" ht="60" customHeight="1" x14ac:dyDescent="0.25">
      <c r="A1481" s="7" t="s">
        <v>1938</v>
      </c>
      <c r="B1481" s="7" t="s">
        <v>0</v>
      </c>
      <c r="C1481" s="7" t="s">
        <v>63</v>
      </c>
      <c r="D1481" s="7" t="s">
        <v>4</v>
      </c>
      <c r="E1481" s="7" t="s">
        <v>18</v>
      </c>
      <c r="F1481" s="5">
        <v>124.31</v>
      </c>
      <c r="G1481" s="7" t="s">
        <v>1940</v>
      </c>
      <c r="H1481" s="7" t="s">
        <v>63</v>
      </c>
      <c r="I1481" s="7" t="s">
        <v>2633</v>
      </c>
      <c r="K1481">
        <f>IF($A1481="","",IF(ISNUMBER($A1481),MONTH($A1481),MONTH(DATEVALUE($A1481))))</f>
        <v>3</v>
      </c>
    </row>
    <row r="1482" spans="1:11" ht="60" customHeight="1" x14ac:dyDescent="0.25">
      <c r="A1482" s="8" t="s">
        <v>1941</v>
      </c>
      <c r="B1482" s="8" t="s">
        <v>0</v>
      </c>
      <c r="C1482" s="8" t="s">
        <v>1942</v>
      </c>
      <c r="D1482" s="8" t="s">
        <v>4</v>
      </c>
      <c r="E1482" s="8" t="s">
        <v>18</v>
      </c>
      <c r="F1482" s="6">
        <v>135</v>
      </c>
      <c r="G1482" s="8" t="s">
        <v>1943</v>
      </c>
      <c r="H1482" s="8" t="s">
        <v>1942</v>
      </c>
      <c r="I1482" s="8" t="s">
        <v>2636</v>
      </c>
      <c r="K1482">
        <f>IF($A1482="","",IF(ISNUMBER($A1482),MONTH($A1482),MONTH(DATEVALUE($A1482))))</f>
        <v>3</v>
      </c>
    </row>
    <row r="1483" spans="1:11" ht="60" customHeight="1" x14ac:dyDescent="0.25">
      <c r="A1483" s="7" t="s">
        <v>1941</v>
      </c>
      <c r="B1483" s="7" t="s">
        <v>0</v>
      </c>
      <c r="C1483" s="7" t="s">
        <v>1944</v>
      </c>
      <c r="D1483" s="7" t="s">
        <v>4</v>
      </c>
      <c r="E1483" s="7" t="s">
        <v>18</v>
      </c>
      <c r="F1483" s="5">
        <v>11.99</v>
      </c>
      <c r="G1483" s="7" t="s">
        <v>1945</v>
      </c>
      <c r="H1483" s="7" t="s">
        <v>1944</v>
      </c>
      <c r="I1483" s="7" t="s">
        <v>2627</v>
      </c>
      <c r="K1483">
        <f>IF($A1483="","",IF(ISNUMBER($A1483),MONTH($A1483),MONTH(DATEVALUE($A1483))))</f>
        <v>3</v>
      </c>
    </row>
    <row r="1484" spans="1:11" ht="60" customHeight="1" x14ac:dyDescent="0.25">
      <c r="A1484" s="8" t="s">
        <v>1941</v>
      </c>
      <c r="B1484" s="8" t="s">
        <v>0</v>
      </c>
      <c r="C1484" s="8" t="s">
        <v>1002</v>
      </c>
      <c r="D1484" s="8" t="s">
        <v>4</v>
      </c>
      <c r="E1484" s="8" t="s">
        <v>18</v>
      </c>
      <c r="F1484" s="6">
        <v>295</v>
      </c>
      <c r="G1484" s="8" t="s">
        <v>1946</v>
      </c>
      <c r="H1484" s="8" t="s">
        <v>1002</v>
      </c>
      <c r="I1484" s="8" t="s">
        <v>2632</v>
      </c>
      <c r="K1484">
        <f>IF($A1484="","",IF(ISNUMBER($A1484),MONTH($A1484),MONTH(DATEVALUE($A1484))))</f>
        <v>3</v>
      </c>
    </row>
    <row r="1485" spans="1:11" ht="60" customHeight="1" x14ac:dyDescent="0.25">
      <c r="A1485" s="7" t="s">
        <v>1941</v>
      </c>
      <c r="B1485" s="7" t="s">
        <v>0</v>
      </c>
      <c r="C1485" s="7" t="s">
        <v>27</v>
      </c>
      <c r="D1485" s="7" t="s">
        <v>4</v>
      </c>
      <c r="E1485" s="7" t="s">
        <v>18</v>
      </c>
      <c r="F1485" s="5">
        <v>20</v>
      </c>
      <c r="G1485" s="7" t="s">
        <v>1947</v>
      </c>
      <c r="H1485" s="7" t="s">
        <v>27</v>
      </c>
      <c r="I1485" s="7" t="s">
        <v>2628</v>
      </c>
      <c r="K1485">
        <f>IF($A1485="","",IF(ISNUMBER($A1485),MONTH($A1485),MONTH(DATEVALUE($A1485))))</f>
        <v>3</v>
      </c>
    </row>
    <row r="1486" spans="1:11" ht="60" customHeight="1" x14ac:dyDescent="0.25">
      <c r="A1486" s="8" t="s">
        <v>1941</v>
      </c>
      <c r="B1486" s="8" t="s">
        <v>0</v>
      </c>
      <c r="C1486" s="8" t="s">
        <v>1787</v>
      </c>
      <c r="D1486" s="8" t="s">
        <v>4</v>
      </c>
      <c r="E1486" s="8" t="s">
        <v>18</v>
      </c>
      <c r="F1486" s="6">
        <v>39.99</v>
      </c>
      <c r="G1486" s="8" t="s">
        <v>1948</v>
      </c>
      <c r="H1486" s="8" t="s">
        <v>1787</v>
      </c>
      <c r="I1486" s="8" t="s">
        <v>2630</v>
      </c>
      <c r="K1486">
        <f>IF($A1486="","",IF(ISNUMBER($A1486),MONTH($A1486),MONTH(DATEVALUE($A1486))))</f>
        <v>3</v>
      </c>
    </row>
    <row r="1487" spans="1:11" ht="60" customHeight="1" x14ac:dyDescent="0.25">
      <c r="A1487" s="7" t="s">
        <v>1941</v>
      </c>
      <c r="B1487" s="7" t="s">
        <v>0</v>
      </c>
      <c r="C1487" s="7" t="s">
        <v>63</v>
      </c>
      <c r="D1487" s="7" t="s">
        <v>4</v>
      </c>
      <c r="E1487" s="7" t="s">
        <v>18</v>
      </c>
      <c r="F1487" s="5">
        <v>2.35</v>
      </c>
      <c r="G1487" s="7" t="s">
        <v>1949</v>
      </c>
      <c r="H1487" s="7" t="s">
        <v>63</v>
      </c>
      <c r="I1487" s="7" t="s">
        <v>2633</v>
      </c>
      <c r="K1487">
        <f>IF($A1487="","",IF(ISNUMBER($A1487),MONTH($A1487),MONTH(DATEVALUE($A1487))))</f>
        <v>3</v>
      </c>
    </row>
    <row r="1488" spans="1:11" ht="60" customHeight="1" x14ac:dyDescent="0.25">
      <c r="A1488" s="8" t="s">
        <v>1941</v>
      </c>
      <c r="B1488" s="8" t="s">
        <v>0</v>
      </c>
      <c r="C1488" s="8" t="s">
        <v>63</v>
      </c>
      <c r="D1488" s="8" t="s">
        <v>4</v>
      </c>
      <c r="E1488" s="8" t="s">
        <v>18</v>
      </c>
      <c r="F1488" s="6">
        <v>20.76</v>
      </c>
      <c r="G1488" s="8" t="s">
        <v>1949</v>
      </c>
      <c r="H1488" s="8" t="s">
        <v>63</v>
      </c>
      <c r="I1488" s="8" t="s">
        <v>2633</v>
      </c>
      <c r="K1488">
        <f>IF($A1488="","",IF(ISNUMBER($A1488),MONTH($A1488),MONTH(DATEVALUE($A1488))))</f>
        <v>3</v>
      </c>
    </row>
    <row r="1489" spans="1:11" ht="60" customHeight="1" x14ac:dyDescent="0.25">
      <c r="A1489" s="7" t="s">
        <v>1941</v>
      </c>
      <c r="B1489" s="7" t="s">
        <v>0</v>
      </c>
      <c r="C1489" s="7" t="s">
        <v>171</v>
      </c>
      <c r="D1489" s="7" t="s">
        <v>4</v>
      </c>
      <c r="E1489" s="7" t="s">
        <v>18</v>
      </c>
      <c r="F1489" s="5">
        <v>214.35</v>
      </c>
      <c r="G1489" s="7" t="s">
        <v>1950</v>
      </c>
      <c r="H1489" s="7" t="s">
        <v>171</v>
      </c>
      <c r="I1489" s="7" t="s">
        <v>2633</v>
      </c>
      <c r="K1489">
        <f>IF($A1489="","",IF(ISNUMBER($A1489),MONTH($A1489),MONTH(DATEVALUE($A1489))))</f>
        <v>3</v>
      </c>
    </row>
    <row r="1490" spans="1:11" ht="60" customHeight="1" x14ac:dyDescent="0.25">
      <c r="A1490" s="8" t="s">
        <v>1951</v>
      </c>
      <c r="B1490" s="8" t="s">
        <v>0</v>
      </c>
      <c r="C1490" s="8" t="s">
        <v>1952</v>
      </c>
      <c r="D1490" s="8" t="s">
        <v>4</v>
      </c>
      <c r="E1490" s="8" t="s">
        <v>18</v>
      </c>
      <c r="F1490" s="6">
        <v>213.57</v>
      </c>
      <c r="G1490" s="8" t="s">
        <v>1953</v>
      </c>
      <c r="H1490" s="8" t="s">
        <v>1952</v>
      </c>
      <c r="I1490" s="8" t="s">
        <v>2652</v>
      </c>
      <c r="K1490">
        <f>IF($A1490="","",IF(ISNUMBER($A1490),MONTH($A1490),MONTH(DATEVALUE($A1490))))</f>
        <v>3</v>
      </c>
    </row>
    <row r="1491" spans="1:11" ht="60" customHeight="1" x14ac:dyDescent="0.25">
      <c r="A1491" s="7" t="s">
        <v>1954</v>
      </c>
      <c r="B1491" s="7" t="s">
        <v>0</v>
      </c>
      <c r="C1491" s="7" t="s">
        <v>1096</v>
      </c>
      <c r="D1491" s="7" t="s">
        <v>4</v>
      </c>
      <c r="E1491" s="7" t="s">
        <v>18</v>
      </c>
      <c r="F1491" s="5">
        <v>-529.75</v>
      </c>
      <c r="G1491" s="7" t="s">
        <v>1101</v>
      </c>
      <c r="H1491" s="7" t="s">
        <v>1096</v>
      </c>
      <c r="I1491" s="7" t="s">
        <v>2647</v>
      </c>
      <c r="K1491">
        <f>IF($A1491="","",IF(ISNUMBER($A1491),MONTH($A1491),MONTH(DATEVALUE($A1491))))</f>
        <v>3</v>
      </c>
    </row>
    <row r="1492" spans="1:11" ht="60" customHeight="1" x14ac:dyDescent="0.25">
      <c r="A1492" s="8" t="s">
        <v>1954</v>
      </c>
      <c r="B1492" s="8" t="s">
        <v>0</v>
      </c>
      <c r="C1492" s="8" t="s">
        <v>1102</v>
      </c>
      <c r="D1492" s="8" t="s">
        <v>4</v>
      </c>
      <c r="E1492" s="8" t="s">
        <v>18</v>
      </c>
      <c r="F1492" s="6">
        <v>529.75</v>
      </c>
      <c r="G1492" s="8" t="s">
        <v>1955</v>
      </c>
      <c r="H1492" s="8" t="s">
        <v>1096</v>
      </c>
      <c r="I1492" s="8" t="s">
        <v>2647</v>
      </c>
      <c r="K1492">
        <f>IF($A1492="","",IF(ISNUMBER($A1492),MONTH($A1492),MONTH(DATEVALUE($A1492))))</f>
        <v>3</v>
      </c>
    </row>
    <row r="1493" spans="1:11" ht="60" customHeight="1" x14ac:dyDescent="0.25">
      <c r="A1493" s="7" t="s">
        <v>1954</v>
      </c>
      <c r="B1493" s="7" t="s">
        <v>0</v>
      </c>
      <c r="C1493" s="7" t="s">
        <v>1956</v>
      </c>
      <c r="D1493" s="7" t="s">
        <v>4</v>
      </c>
      <c r="E1493" s="7" t="s">
        <v>18</v>
      </c>
      <c r="F1493" s="5">
        <v>15.98</v>
      </c>
      <c r="G1493" s="7" t="s">
        <v>1957</v>
      </c>
      <c r="H1493" s="7" t="s">
        <v>1956</v>
      </c>
      <c r="I1493" s="7" t="s">
        <v>2627</v>
      </c>
      <c r="K1493">
        <f>IF($A1493="","",IF(ISNUMBER($A1493),MONTH($A1493),MONTH(DATEVALUE($A1493))))</f>
        <v>3</v>
      </c>
    </row>
    <row r="1494" spans="1:11" ht="60" customHeight="1" x14ac:dyDescent="0.25">
      <c r="A1494" s="8" t="s">
        <v>1954</v>
      </c>
      <c r="B1494" s="8" t="s">
        <v>0</v>
      </c>
      <c r="C1494" s="8" t="s">
        <v>1958</v>
      </c>
      <c r="D1494" s="8" t="s">
        <v>4</v>
      </c>
      <c r="E1494" s="8" t="s">
        <v>18</v>
      </c>
      <c r="F1494" s="6">
        <v>61.56</v>
      </c>
      <c r="G1494" s="8" t="s">
        <v>1959</v>
      </c>
      <c r="H1494" s="8" t="s">
        <v>1958</v>
      </c>
      <c r="I1494" s="8" t="s">
        <v>2652</v>
      </c>
      <c r="K1494">
        <f>IF($A1494="","",IF(ISNUMBER($A1494),MONTH($A1494),MONTH(DATEVALUE($A1494))))</f>
        <v>3</v>
      </c>
    </row>
    <row r="1495" spans="1:11" ht="60" customHeight="1" x14ac:dyDescent="0.25">
      <c r="A1495" s="7" t="s">
        <v>1954</v>
      </c>
      <c r="B1495" s="7" t="s">
        <v>0</v>
      </c>
      <c r="C1495" s="7" t="s">
        <v>1960</v>
      </c>
      <c r="D1495" s="7" t="s">
        <v>4</v>
      </c>
      <c r="E1495" s="7" t="s">
        <v>18</v>
      </c>
      <c r="F1495" s="5">
        <v>620</v>
      </c>
      <c r="G1495" s="7" t="s">
        <v>1961</v>
      </c>
      <c r="H1495" s="7" t="s">
        <v>1960</v>
      </c>
      <c r="I1495" s="8" t="s">
        <v>2652</v>
      </c>
      <c r="K1495">
        <f>IF($A1495="","",IF(ISNUMBER($A1495),MONTH($A1495),MONTH(DATEVALUE($A1495))))</f>
        <v>3</v>
      </c>
    </row>
    <row r="1496" spans="1:11" ht="60" customHeight="1" x14ac:dyDescent="0.25">
      <c r="A1496" s="8" t="s">
        <v>1954</v>
      </c>
      <c r="B1496" s="8" t="s">
        <v>0</v>
      </c>
      <c r="C1496" s="8" t="s">
        <v>1440</v>
      </c>
      <c r="D1496" s="8" t="s">
        <v>1113</v>
      </c>
      <c r="E1496" s="8" t="s">
        <v>1114</v>
      </c>
      <c r="F1496" s="6">
        <v>569.59</v>
      </c>
      <c r="G1496" s="8" t="s">
        <v>1962</v>
      </c>
      <c r="H1496" s="8" t="s">
        <v>1440</v>
      </c>
      <c r="I1496" s="8" t="s">
        <v>2652</v>
      </c>
      <c r="K1496">
        <f>IF($A1496="","",IF(ISNUMBER($A1496),MONTH($A1496),MONTH(DATEVALUE($A1496))))</f>
        <v>3</v>
      </c>
    </row>
    <row r="1497" spans="1:11" ht="60" customHeight="1" x14ac:dyDescent="0.25">
      <c r="A1497" s="7" t="s">
        <v>1963</v>
      </c>
      <c r="B1497" s="7" t="s">
        <v>0</v>
      </c>
      <c r="C1497" s="7" t="s">
        <v>1096</v>
      </c>
      <c r="D1497" s="7" t="s">
        <v>4</v>
      </c>
      <c r="E1497" s="7" t="s">
        <v>18</v>
      </c>
      <c r="F1497" s="5">
        <v>-50.07</v>
      </c>
      <c r="G1497" s="7" t="s">
        <v>1101</v>
      </c>
      <c r="H1497" s="7" t="s">
        <v>1096</v>
      </c>
      <c r="I1497" s="7" t="s">
        <v>2647</v>
      </c>
      <c r="K1497">
        <f>IF($A1497="","",IF(ISNUMBER($A1497),MONTH($A1497),MONTH(DATEVALUE($A1497))))</f>
        <v>3</v>
      </c>
    </row>
    <row r="1498" spans="1:11" ht="60" customHeight="1" x14ac:dyDescent="0.25">
      <c r="A1498" s="8" t="s">
        <v>1963</v>
      </c>
      <c r="B1498" s="8" t="s">
        <v>0</v>
      </c>
      <c r="C1498" s="8" t="s">
        <v>1096</v>
      </c>
      <c r="D1498" s="8" t="s">
        <v>4</v>
      </c>
      <c r="E1498" s="8" t="s">
        <v>18</v>
      </c>
      <c r="F1498" s="6">
        <v>-23.17</v>
      </c>
      <c r="G1498" s="8" t="s">
        <v>1101</v>
      </c>
      <c r="H1498" s="8" t="s">
        <v>1096</v>
      </c>
      <c r="I1498" s="8" t="s">
        <v>2647</v>
      </c>
      <c r="K1498">
        <f>IF($A1498="","",IF(ISNUMBER($A1498),MONTH($A1498),MONTH(DATEVALUE($A1498))))</f>
        <v>3</v>
      </c>
    </row>
    <row r="1499" spans="1:11" ht="60" customHeight="1" x14ac:dyDescent="0.25">
      <c r="A1499" s="7" t="s">
        <v>1963</v>
      </c>
      <c r="B1499" s="7" t="s">
        <v>0</v>
      </c>
      <c r="C1499" s="7" t="s">
        <v>1096</v>
      </c>
      <c r="D1499" s="7" t="s">
        <v>4</v>
      </c>
      <c r="E1499" s="7" t="s">
        <v>18</v>
      </c>
      <c r="F1499" s="5">
        <v>-21.79</v>
      </c>
      <c r="G1499" s="7" t="s">
        <v>1101</v>
      </c>
      <c r="H1499" s="7" t="s">
        <v>1096</v>
      </c>
      <c r="I1499" s="7" t="s">
        <v>2647</v>
      </c>
      <c r="K1499">
        <f>IF($A1499="","",IF(ISNUMBER($A1499),MONTH($A1499),MONTH(DATEVALUE($A1499))))</f>
        <v>3</v>
      </c>
    </row>
    <row r="1500" spans="1:11" ht="60" customHeight="1" x14ac:dyDescent="0.25">
      <c r="A1500" s="8" t="s">
        <v>1963</v>
      </c>
      <c r="B1500" s="8" t="s">
        <v>0</v>
      </c>
      <c r="C1500" s="8" t="s">
        <v>1096</v>
      </c>
      <c r="D1500" s="8" t="s">
        <v>4</v>
      </c>
      <c r="E1500" s="8" t="s">
        <v>18</v>
      </c>
      <c r="F1500" s="6">
        <v>-3.24</v>
      </c>
      <c r="G1500" s="8" t="s">
        <v>1964</v>
      </c>
      <c r="H1500" s="8" t="s">
        <v>1096</v>
      </c>
      <c r="I1500" s="8" t="s">
        <v>2647</v>
      </c>
      <c r="K1500">
        <f>IF($A1500="","",IF(ISNUMBER($A1500),MONTH($A1500),MONTH(DATEVALUE($A1500))))</f>
        <v>3</v>
      </c>
    </row>
    <row r="1501" spans="1:11" ht="60" customHeight="1" x14ac:dyDescent="0.25">
      <c r="A1501" s="7" t="s">
        <v>1963</v>
      </c>
      <c r="B1501" s="7" t="s">
        <v>0</v>
      </c>
      <c r="C1501" s="7" t="s">
        <v>1102</v>
      </c>
      <c r="D1501" s="7" t="s">
        <v>4</v>
      </c>
      <c r="E1501" s="7" t="s">
        <v>18</v>
      </c>
      <c r="F1501" s="5">
        <v>21.79</v>
      </c>
      <c r="G1501" s="7" t="s">
        <v>1965</v>
      </c>
      <c r="H1501" s="7" t="s">
        <v>1096</v>
      </c>
      <c r="I1501" s="7" t="s">
        <v>2647</v>
      </c>
      <c r="K1501">
        <f>IF($A1501="","",IF(ISNUMBER($A1501),MONTH($A1501),MONTH(DATEVALUE($A1501))))</f>
        <v>3</v>
      </c>
    </row>
    <row r="1502" spans="1:11" ht="60" customHeight="1" x14ac:dyDescent="0.25">
      <c r="A1502" s="8" t="s">
        <v>1963</v>
      </c>
      <c r="B1502" s="8" t="s">
        <v>0</v>
      </c>
      <c r="C1502" s="8" t="s">
        <v>1102</v>
      </c>
      <c r="D1502" s="8" t="s">
        <v>4</v>
      </c>
      <c r="E1502" s="8" t="s">
        <v>18</v>
      </c>
      <c r="F1502" s="6">
        <v>23.17</v>
      </c>
      <c r="G1502" s="8" t="s">
        <v>1966</v>
      </c>
      <c r="H1502" s="8" t="s">
        <v>1096</v>
      </c>
      <c r="I1502" s="8" t="s">
        <v>2647</v>
      </c>
      <c r="K1502">
        <f>IF($A1502="","",IF(ISNUMBER($A1502),MONTH($A1502),MONTH(DATEVALUE($A1502))))</f>
        <v>3</v>
      </c>
    </row>
    <row r="1503" spans="1:11" ht="60" customHeight="1" x14ac:dyDescent="0.25">
      <c r="A1503" s="7" t="s">
        <v>1963</v>
      </c>
      <c r="B1503" s="7" t="s">
        <v>0</v>
      </c>
      <c r="C1503" s="7" t="s">
        <v>1102</v>
      </c>
      <c r="D1503" s="7" t="s">
        <v>4</v>
      </c>
      <c r="E1503" s="7" t="s">
        <v>18</v>
      </c>
      <c r="F1503" s="5">
        <v>50.07</v>
      </c>
      <c r="G1503" s="7" t="s">
        <v>1967</v>
      </c>
      <c r="H1503" s="7" t="s">
        <v>1096</v>
      </c>
      <c r="I1503" s="7" t="s">
        <v>2647</v>
      </c>
      <c r="K1503">
        <f>IF($A1503="","",IF(ISNUMBER($A1503),MONTH($A1503),MONTH(DATEVALUE($A1503))))</f>
        <v>3</v>
      </c>
    </row>
    <row r="1504" spans="1:11" ht="60" customHeight="1" x14ac:dyDescent="0.25">
      <c r="A1504" s="8" t="s">
        <v>1963</v>
      </c>
      <c r="B1504" s="8" t="s">
        <v>0</v>
      </c>
      <c r="C1504" s="8" t="s">
        <v>819</v>
      </c>
      <c r="D1504" s="8" t="s">
        <v>4</v>
      </c>
      <c r="E1504" s="8" t="s">
        <v>18</v>
      </c>
      <c r="F1504" s="6">
        <v>65.930000000000007</v>
      </c>
      <c r="G1504" s="8" t="s">
        <v>1968</v>
      </c>
      <c r="H1504" s="8" t="s">
        <v>819</v>
      </c>
      <c r="I1504" s="8" t="s">
        <v>2652</v>
      </c>
      <c r="K1504">
        <f>IF($A1504="","",IF(ISNUMBER($A1504),MONTH($A1504),MONTH(DATEVALUE($A1504))))</f>
        <v>3</v>
      </c>
    </row>
    <row r="1505" spans="1:11" ht="60" customHeight="1" x14ac:dyDescent="0.25">
      <c r="A1505" s="7" t="s">
        <v>1963</v>
      </c>
      <c r="B1505" s="7" t="s">
        <v>0</v>
      </c>
      <c r="C1505" s="7" t="s">
        <v>802</v>
      </c>
      <c r="D1505" s="7" t="s">
        <v>4</v>
      </c>
      <c r="E1505" s="7" t="s">
        <v>18</v>
      </c>
      <c r="F1505" s="5">
        <v>49.95</v>
      </c>
      <c r="G1505" s="7" t="s">
        <v>1969</v>
      </c>
      <c r="H1505" s="7" t="s">
        <v>802</v>
      </c>
      <c r="I1505" s="8" t="s">
        <v>2652</v>
      </c>
      <c r="K1505">
        <f>IF($A1505="","",IF(ISNUMBER($A1505),MONTH($A1505),MONTH(DATEVALUE($A1505))))</f>
        <v>3</v>
      </c>
    </row>
    <row r="1506" spans="1:11" ht="60" customHeight="1" x14ac:dyDescent="0.25">
      <c r="A1506" s="8" t="s">
        <v>1970</v>
      </c>
      <c r="B1506" s="8" t="s">
        <v>0</v>
      </c>
      <c r="C1506" s="8" t="s">
        <v>1096</v>
      </c>
      <c r="D1506" s="8" t="s">
        <v>4</v>
      </c>
      <c r="E1506" s="8" t="s">
        <v>18</v>
      </c>
      <c r="F1506" s="6">
        <v>-620.85</v>
      </c>
      <c r="G1506" s="8" t="s">
        <v>1101</v>
      </c>
      <c r="H1506" s="8" t="s">
        <v>1096</v>
      </c>
      <c r="I1506" s="8" t="s">
        <v>2647</v>
      </c>
      <c r="K1506">
        <f>IF($A1506="","",IF(ISNUMBER($A1506),MONTH($A1506),MONTH(DATEVALUE($A1506))))</f>
        <v>3</v>
      </c>
    </row>
    <row r="1507" spans="1:11" ht="60" customHeight="1" x14ac:dyDescent="0.25">
      <c r="A1507" s="7" t="s">
        <v>1970</v>
      </c>
      <c r="B1507" s="7" t="s">
        <v>0</v>
      </c>
      <c r="C1507" s="7" t="s">
        <v>1096</v>
      </c>
      <c r="D1507" s="7" t="s">
        <v>4</v>
      </c>
      <c r="E1507" s="7" t="s">
        <v>18</v>
      </c>
      <c r="F1507" s="5">
        <v>-77.650000000000006</v>
      </c>
      <c r="G1507" s="7" t="s">
        <v>1101</v>
      </c>
      <c r="H1507" s="7" t="s">
        <v>1096</v>
      </c>
      <c r="I1507" s="7" t="s">
        <v>2647</v>
      </c>
      <c r="K1507">
        <f>IF($A1507="","",IF(ISNUMBER($A1507),MONTH($A1507),MONTH(DATEVALUE($A1507))))</f>
        <v>3</v>
      </c>
    </row>
    <row r="1508" spans="1:11" ht="60" customHeight="1" x14ac:dyDescent="0.25">
      <c r="A1508" s="8" t="s">
        <v>1970</v>
      </c>
      <c r="B1508" s="8" t="s">
        <v>0</v>
      </c>
      <c r="C1508" s="8" t="s">
        <v>1096</v>
      </c>
      <c r="D1508" s="8" t="s">
        <v>4</v>
      </c>
      <c r="E1508" s="8" t="s">
        <v>18</v>
      </c>
      <c r="F1508" s="6">
        <v>-26.22</v>
      </c>
      <c r="G1508" s="8" t="s">
        <v>1101</v>
      </c>
      <c r="H1508" s="8" t="s">
        <v>1096</v>
      </c>
      <c r="I1508" s="8" t="s">
        <v>2647</v>
      </c>
      <c r="K1508">
        <f>IF($A1508="","",IF(ISNUMBER($A1508),MONTH($A1508),MONTH(DATEVALUE($A1508))))</f>
        <v>3</v>
      </c>
    </row>
    <row r="1509" spans="1:11" ht="60" customHeight="1" x14ac:dyDescent="0.25">
      <c r="A1509" s="7" t="s">
        <v>1970</v>
      </c>
      <c r="B1509" s="7" t="s">
        <v>0</v>
      </c>
      <c r="C1509" s="7" t="s">
        <v>1102</v>
      </c>
      <c r="D1509" s="7" t="s">
        <v>4</v>
      </c>
      <c r="E1509" s="7" t="s">
        <v>18</v>
      </c>
      <c r="F1509" s="5">
        <v>26.22</v>
      </c>
      <c r="G1509" s="7" t="s">
        <v>1971</v>
      </c>
      <c r="H1509" s="7" t="s">
        <v>1096</v>
      </c>
      <c r="I1509" s="7" t="s">
        <v>2647</v>
      </c>
      <c r="K1509">
        <f>IF($A1509="","",IF(ISNUMBER($A1509),MONTH($A1509),MONTH(DATEVALUE($A1509))))</f>
        <v>3</v>
      </c>
    </row>
    <row r="1510" spans="1:11" ht="60" customHeight="1" x14ac:dyDescent="0.25">
      <c r="A1510" s="8" t="s">
        <v>1970</v>
      </c>
      <c r="B1510" s="8" t="s">
        <v>0</v>
      </c>
      <c r="C1510" s="8" t="s">
        <v>1102</v>
      </c>
      <c r="D1510" s="8" t="s">
        <v>4</v>
      </c>
      <c r="E1510" s="8" t="s">
        <v>18</v>
      </c>
      <c r="F1510" s="6">
        <v>77.650000000000006</v>
      </c>
      <c r="G1510" s="8" t="s">
        <v>1972</v>
      </c>
      <c r="H1510" s="8" t="s">
        <v>1096</v>
      </c>
      <c r="I1510" s="8" t="s">
        <v>2647</v>
      </c>
      <c r="K1510">
        <f>IF($A1510="","",IF(ISNUMBER($A1510),MONTH($A1510),MONTH(DATEVALUE($A1510))))</f>
        <v>3</v>
      </c>
    </row>
    <row r="1511" spans="1:11" ht="60" customHeight="1" x14ac:dyDescent="0.25">
      <c r="A1511" s="7" t="s">
        <v>1970</v>
      </c>
      <c r="B1511" s="7" t="s">
        <v>0</v>
      </c>
      <c r="C1511" s="7" t="s">
        <v>1102</v>
      </c>
      <c r="D1511" s="7" t="s">
        <v>4</v>
      </c>
      <c r="E1511" s="7" t="s">
        <v>18</v>
      </c>
      <c r="F1511" s="5">
        <v>620.85</v>
      </c>
      <c r="G1511" s="7" t="s">
        <v>1973</v>
      </c>
      <c r="H1511" s="7" t="s">
        <v>1096</v>
      </c>
      <c r="I1511" s="7" t="s">
        <v>2647</v>
      </c>
      <c r="K1511">
        <f>IF($A1511="","",IF(ISNUMBER($A1511),MONTH($A1511),MONTH(DATEVALUE($A1511))))</f>
        <v>3</v>
      </c>
    </row>
    <row r="1512" spans="1:11" ht="60" customHeight="1" x14ac:dyDescent="0.25">
      <c r="A1512" s="8" t="s">
        <v>1970</v>
      </c>
      <c r="B1512" s="8" t="s">
        <v>0</v>
      </c>
      <c r="C1512" s="8" t="s">
        <v>522</v>
      </c>
      <c r="D1512" s="8" t="s">
        <v>4</v>
      </c>
      <c r="E1512" s="8" t="s">
        <v>18</v>
      </c>
      <c r="F1512" s="6">
        <v>43.34</v>
      </c>
      <c r="G1512" s="8" t="s">
        <v>1974</v>
      </c>
      <c r="H1512" s="8" t="s">
        <v>522</v>
      </c>
      <c r="I1512" s="8" t="s">
        <v>2647</v>
      </c>
      <c r="K1512">
        <f>IF($A1512="","",IF(ISNUMBER($A1512),MONTH($A1512),MONTH(DATEVALUE($A1512))))</f>
        <v>3</v>
      </c>
    </row>
    <row r="1513" spans="1:11" ht="60" customHeight="1" x14ac:dyDescent="0.25">
      <c r="A1513" s="7" t="s">
        <v>1970</v>
      </c>
      <c r="B1513" s="7" t="s">
        <v>0</v>
      </c>
      <c r="C1513" s="7" t="s">
        <v>1975</v>
      </c>
      <c r="D1513" s="7" t="s">
        <v>4</v>
      </c>
      <c r="E1513" s="7" t="s">
        <v>18</v>
      </c>
      <c r="F1513" s="5">
        <v>39.97</v>
      </c>
      <c r="G1513" s="7" t="s">
        <v>1976</v>
      </c>
      <c r="H1513" s="7" t="s">
        <v>1975</v>
      </c>
      <c r="I1513" s="7" t="s">
        <v>2627</v>
      </c>
      <c r="K1513">
        <f>IF($A1513="","",IF(ISNUMBER($A1513),MONTH($A1513),MONTH(DATEVALUE($A1513))))</f>
        <v>3</v>
      </c>
    </row>
    <row r="1514" spans="1:11" ht="60" customHeight="1" x14ac:dyDescent="0.25">
      <c r="A1514" s="8" t="s">
        <v>1970</v>
      </c>
      <c r="B1514" s="8" t="s">
        <v>0</v>
      </c>
      <c r="C1514" s="8" t="s">
        <v>802</v>
      </c>
      <c r="D1514" s="8" t="s">
        <v>4</v>
      </c>
      <c r="E1514" s="8" t="s">
        <v>18</v>
      </c>
      <c r="F1514" s="6">
        <v>92.21</v>
      </c>
      <c r="G1514" s="8" t="s">
        <v>1977</v>
      </c>
      <c r="H1514" s="8" t="s">
        <v>802</v>
      </c>
      <c r="I1514" s="8" t="s">
        <v>2652</v>
      </c>
      <c r="K1514">
        <f>IF($A1514="","",IF(ISNUMBER($A1514),MONTH($A1514),MONTH(DATEVALUE($A1514))))</f>
        <v>3</v>
      </c>
    </row>
    <row r="1515" spans="1:11" ht="60" customHeight="1" x14ac:dyDescent="0.25">
      <c r="A1515" s="7" t="s">
        <v>1978</v>
      </c>
      <c r="B1515" s="7" t="s">
        <v>0</v>
      </c>
      <c r="C1515" s="7" t="s">
        <v>1979</v>
      </c>
      <c r="D1515" s="7" t="s">
        <v>4</v>
      </c>
      <c r="E1515" s="7" t="s">
        <v>18</v>
      </c>
      <c r="F1515" s="5">
        <v>502.9</v>
      </c>
      <c r="G1515" s="7" t="s">
        <v>1980</v>
      </c>
      <c r="H1515" s="7" t="s">
        <v>1979</v>
      </c>
      <c r="I1515" s="8" t="s">
        <v>2652</v>
      </c>
      <c r="K1515">
        <f>IF($A1515="","",IF(ISNUMBER($A1515),MONTH($A1515),MONTH(DATEVALUE($A1515))))</f>
        <v>3</v>
      </c>
    </row>
    <row r="1516" spans="1:11" ht="60" customHeight="1" x14ac:dyDescent="0.25">
      <c r="A1516" s="8" t="s">
        <v>1978</v>
      </c>
      <c r="B1516" s="8" t="s">
        <v>0</v>
      </c>
      <c r="C1516" s="8" t="s">
        <v>1981</v>
      </c>
      <c r="D1516" s="8" t="s">
        <v>1113</v>
      </c>
      <c r="E1516" s="8" t="s">
        <v>1114</v>
      </c>
      <c r="F1516" s="6">
        <v>167</v>
      </c>
      <c r="G1516" s="8" t="s">
        <v>1982</v>
      </c>
      <c r="H1516" s="8" t="s">
        <v>1981</v>
      </c>
      <c r="I1516" s="8" t="s">
        <v>2664</v>
      </c>
      <c r="K1516">
        <f>IF($A1516="","",IF(ISNUMBER($A1516),MONTH($A1516),MONTH(DATEVALUE($A1516))))</f>
        <v>3</v>
      </c>
    </row>
    <row r="1517" spans="1:11" ht="60" customHeight="1" x14ac:dyDescent="0.25">
      <c r="A1517" s="7" t="s">
        <v>1978</v>
      </c>
      <c r="B1517" s="7" t="s">
        <v>0</v>
      </c>
      <c r="C1517" s="7" t="s">
        <v>1981</v>
      </c>
      <c r="D1517" s="7" t="s">
        <v>1113</v>
      </c>
      <c r="E1517" s="7" t="s">
        <v>1114</v>
      </c>
      <c r="F1517" s="5">
        <v>167</v>
      </c>
      <c r="G1517" s="7" t="s">
        <v>1983</v>
      </c>
      <c r="H1517" s="7" t="s">
        <v>1981</v>
      </c>
      <c r="I1517" s="7" t="s">
        <v>2664</v>
      </c>
      <c r="K1517">
        <f>IF($A1517="","",IF(ISNUMBER($A1517),MONTH($A1517),MONTH(DATEVALUE($A1517))))</f>
        <v>3</v>
      </c>
    </row>
    <row r="1518" spans="1:11" ht="60" customHeight="1" x14ac:dyDescent="0.25">
      <c r="A1518" s="8" t="s">
        <v>1978</v>
      </c>
      <c r="B1518" s="8" t="s">
        <v>0</v>
      </c>
      <c r="C1518" s="8" t="s">
        <v>1981</v>
      </c>
      <c r="D1518" s="8" t="s">
        <v>1113</v>
      </c>
      <c r="E1518" s="8" t="s">
        <v>1114</v>
      </c>
      <c r="F1518" s="6">
        <v>167</v>
      </c>
      <c r="G1518" s="8" t="s">
        <v>1984</v>
      </c>
      <c r="H1518" s="8" t="s">
        <v>1981</v>
      </c>
      <c r="I1518" s="8" t="s">
        <v>2664</v>
      </c>
      <c r="K1518">
        <f>IF($A1518="","",IF(ISNUMBER($A1518),MONTH($A1518),MONTH(DATEVALUE($A1518))))</f>
        <v>3</v>
      </c>
    </row>
    <row r="1519" spans="1:11" ht="60" customHeight="1" x14ac:dyDescent="0.25">
      <c r="A1519" s="7" t="s">
        <v>1978</v>
      </c>
      <c r="B1519" s="7" t="s">
        <v>0</v>
      </c>
      <c r="C1519" s="7" t="s">
        <v>1981</v>
      </c>
      <c r="D1519" s="7" t="s">
        <v>1113</v>
      </c>
      <c r="E1519" s="7" t="s">
        <v>1114</v>
      </c>
      <c r="F1519" s="5">
        <v>167</v>
      </c>
      <c r="G1519" s="7" t="s">
        <v>1985</v>
      </c>
      <c r="H1519" s="7" t="s">
        <v>1981</v>
      </c>
      <c r="I1519" s="7" t="s">
        <v>2664</v>
      </c>
      <c r="K1519">
        <f>IF($A1519="","",IF(ISNUMBER($A1519),MONTH($A1519),MONTH(DATEVALUE($A1519))))</f>
        <v>3</v>
      </c>
    </row>
    <row r="1520" spans="1:11" ht="60" customHeight="1" x14ac:dyDescent="0.25">
      <c r="A1520" s="8" t="s">
        <v>1978</v>
      </c>
      <c r="B1520" s="8" t="s">
        <v>0</v>
      </c>
      <c r="C1520" s="8" t="s">
        <v>1986</v>
      </c>
      <c r="D1520" s="8" t="s">
        <v>1113</v>
      </c>
      <c r="E1520" s="8" t="s">
        <v>1114</v>
      </c>
      <c r="F1520" s="6">
        <v>448</v>
      </c>
      <c r="G1520" s="8" t="s">
        <v>1987</v>
      </c>
      <c r="H1520" s="8" t="s">
        <v>1986</v>
      </c>
      <c r="I1520" s="8" t="s">
        <v>2635</v>
      </c>
      <c r="K1520">
        <f>IF($A1520="","",IF(ISNUMBER($A1520),MONTH($A1520),MONTH(DATEVALUE($A1520))))</f>
        <v>3</v>
      </c>
    </row>
    <row r="1521" spans="1:11" ht="60" customHeight="1" x14ac:dyDescent="0.25">
      <c r="A1521" s="7" t="s">
        <v>1988</v>
      </c>
      <c r="B1521" s="7" t="s">
        <v>0</v>
      </c>
      <c r="C1521" s="7" t="s">
        <v>44</v>
      </c>
      <c r="D1521" s="7" t="s">
        <v>4</v>
      </c>
      <c r="E1521" s="7" t="s">
        <v>18</v>
      </c>
      <c r="F1521" s="5">
        <v>584</v>
      </c>
      <c r="G1521" s="7" t="s">
        <v>1989</v>
      </c>
      <c r="H1521" s="7" t="s">
        <v>44</v>
      </c>
      <c r="I1521" s="7" t="s">
        <v>2630</v>
      </c>
      <c r="K1521">
        <f>IF($A1521="","",IF(ISNUMBER($A1521),MONTH($A1521),MONTH(DATEVALUE($A1521))))</f>
        <v>3</v>
      </c>
    </row>
    <row r="1522" spans="1:11" ht="60" customHeight="1" x14ac:dyDescent="0.25">
      <c r="A1522" s="8" t="s">
        <v>1988</v>
      </c>
      <c r="B1522" s="8" t="s">
        <v>0</v>
      </c>
      <c r="C1522" s="8" t="s">
        <v>1990</v>
      </c>
      <c r="D1522" s="8" t="s">
        <v>4</v>
      </c>
      <c r="E1522" s="8" t="s">
        <v>18</v>
      </c>
      <c r="F1522" s="6">
        <v>16.97</v>
      </c>
      <c r="G1522" s="8" t="s">
        <v>1991</v>
      </c>
      <c r="H1522" s="8" t="s">
        <v>1990</v>
      </c>
      <c r="I1522" s="8" t="s">
        <v>2627</v>
      </c>
      <c r="K1522">
        <f>IF($A1522="","",IF(ISNUMBER($A1522),MONTH($A1522),MONTH(DATEVALUE($A1522))))</f>
        <v>3</v>
      </c>
    </row>
    <row r="1523" spans="1:11" ht="60" customHeight="1" x14ac:dyDescent="0.25">
      <c r="A1523" s="7" t="s">
        <v>1992</v>
      </c>
      <c r="B1523" s="7" t="s">
        <v>0</v>
      </c>
      <c r="C1523" s="7" t="s">
        <v>1096</v>
      </c>
      <c r="D1523" s="7" t="s">
        <v>4</v>
      </c>
      <c r="E1523" s="7" t="s">
        <v>18</v>
      </c>
      <c r="F1523" s="5">
        <v>-247.41</v>
      </c>
      <c r="G1523" s="7" t="s">
        <v>1101</v>
      </c>
      <c r="H1523" s="7" t="s">
        <v>1096</v>
      </c>
      <c r="I1523" s="7" t="s">
        <v>2647</v>
      </c>
      <c r="K1523">
        <f>IF($A1523="","",IF(ISNUMBER($A1523),MONTH($A1523),MONTH(DATEVALUE($A1523))))</f>
        <v>3</v>
      </c>
    </row>
    <row r="1524" spans="1:11" ht="60" customHeight="1" x14ac:dyDescent="0.25">
      <c r="A1524" s="8" t="s">
        <v>1992</v>
      </c>
      <c r="B1524" s="8" t="s">
        <v>0</v>
      </c>
      <c r="C1524" s="8" t="s">
        <v>1102</v>
      </c>
      <c r="D1524" s="8" t="s">
        <v>4</v>
      </c>
      <c r="E1524" s="8" t="s">
        <v>18</v>
      </c>
      <c r="F1524" s="6">
        <v>247.41</v>
      </c>
      <c r="G1524" s="8" t="s">
        <v>1993</v>
      </c>
      <c r="H1524" s="8" t="s">
        <v>1096</v>
      </c>
      <c r="I1524" s="8" t="s">
        <v>2647</v>
      </c>
      <c r="K1524">
        <f>IF($A1524="","",IF(ISNUMBER($A1524),MONTH($A1524),MONTH(DATEVALUE($A1524))))</f>
        <v>3</v>
      </c>
    </row>
    <row r="1525" spans="1:11" ht="60" customHeight="1" x14ac:dyDescent="0.25">
      <c r="A1525" s="7" t="s">
        <v>1992</v>
      </c>
      <c r="B1525" s="7" t="s">
        <v>0</v>
      </c>
      <c r="C1525" s="7" t="s">
        <v>1994</v>
      </c>
      <c r="D1525" s="7" t="s">
        <v>4</v>
      </c>
      <c r="E1525" s="7" t="s">
        <v>18</v>
      </c>
      <c r="F1525" s="5">
        <v>168.39</v>
      </c>
      <c r="G1525" s="7" t="s">
        <v>1995</v>
      </c>
      <c r="H1525" s="7" t="s">
        <v>1994</v>
      </c>
      <c r="I1525" s="7" t="s">
        <v>2652</v>
      </c>
      <c r="K1525">
        <f>IF($A1525="","",IF(ISNUMBER($A1525),MONTH($A1525),MONTH(DATEVALUE($A1525))))</f>
        <v>3</v>
      </c>
    </row>
    <row r="1526" spans="1:11" ht="60" customHeight="1" x14ac:dyDescent="0.25">
      <c r="A1526" s="8" t="s">
        <v>1992</v>
      </c>
      <c r="B1526" s="8" t="s">
        <v>0</v>
      </c>
      <c r="C1526" s="8" t="s">
        <v>1958</v>
      </c>
      <c r="D1526" s="8" t="s">
        <v>4</v>
      </c>
      <c r="E1526" s="8" t="s">
        <v>18</v>
      </c>
      <c r="F1526" s="6">
        <v>705.99</v>
      </c>
      <c r="G1526" s="8" t="s">
        <v>1959</v>
      </c>
      <c r="H1526" s="8" t="s">
        <v>1958</v>
      </c>
      <c r="I1526" s="8" t="s">
        <v>2652</v>
      </c>
      <c r="K1526">
        <f>IF($A1526="","",IF(ISNUMBER($A1526),MONTH($A1526),MONTH(DATEVALUE($A1526))))</f>
        <v>3</v>
      </c>
    </row>
    <row r="1527" spans="1:11" ht="60" customHeight="1" x14ac:dyDescent="0.25">
      <c r="A1527" s="7" t="s">
        <v>1992</v>
      </c>
      <c r="B1527" s="7" t="s">
        <v>0</v>
      </c>
      <c r="C1527" s="7" t="s">
        <v>1996</v>
      </c>
      <c r="D1527" s="7" t="s">
        <v>4</v>
      </c>
      <c r="E1527" s="7" t="s">
        <v>18</v>
      </c>
      <c r="F1527" s="5">
        <v>268.55</v>
      </c>
      <c r="G1527" s="7" t="s">
        <v>1997</v>
      </c>
      <c r="H1527" s="7" t="s">
        <v>1996</v>
      </c>
      <c r="I1527" s="7" t="s">
        <v>2652</v>
      </c>
      <c r="K1527">
        <f>IF($A1527="","",IF(ISNUMBER($A1527),MONTH($A1527),MONTH(DATEVALUE($A1527))))</f>
        <v>3</v>
      </c>
    </row>
    <row r="1528" spans="1:11" ht="60" customHeight="1" x14ac:dyDescent="0.25">
      <c r="A1528" s="8" t="s">
        <v>1992</v>
      </c>
      <c r="B1528" s="8" t="s">
        <v>0</v>
      </c>
      <c r="C1528" s="8" t="s">
        <v>1998</v>
      </c>
      <c r="D1528" s="8" t="s">
        <v>4</v>
      </c>
      <c r="E1528" s="8" t="s">
        <v>18</v>
      </c>
      <c r="F1528" s="6">
        <v>11.64</v>
      </c>
      <c r="G1528" s="8" t="s">
        <v>1999</v>
      </c>
      <c r="H1528" s="8" t="s">
        <v>1998</v>
      </c>
      <c r="I1528" s="8" t="s">
        <v>2652</v>
      </c>
      <c r="K1528">
        <f>IF($A1528="","",IF(ISNUMBER($A1528),MONTH($A1528),MONTH(DATEVALUE($A1528))))</f>
        <v>3</v>
      </c>
    </row>
    <row r="1529" spans="1:11" ht="60" customHeight="1" x14ac:dyDescent="0.25">
      <c r="A1529" s="7" t="s">
        <v>2000</v>
      </c>
      <c r="B1529" s="7" t="s">
        <v>0</v>
      </c>
      <c r="C1529" s="7" t="s">
        <v>2001</v>
      </c>
      <c r="D1529" s="7" t="s">
        <v>4</v>
      </c>
      <c r="E1529" s="7" t="s">
        <v>18</v>
      </c>
      <c r="F1529" s="5">
        <v>15.98</v>
      </c>
      <c r="G1529" s="7" t="s">
        <v>2002</v>
      </c>
      <c r="H1529" s="7" t="s">
        <v>2001</v>
      </c>
      <c r="I1529" s="7" t="s">
        <v>2627</v>
      </c>
      <c r="K1529">
        <f>IF($A1529="","",IF(ISNUMBER($A1529),MONTH($A1529),MONTH(DATEVALUE($A1529))))</f>
        <v>3</v>
      </c>
    </row>
    <row r="1530" spans="1:11" ht="60" customHeight="1" x14ac:dyDescent="0.25">
      <c r="A1530" s="8" t="s">
        <v>2000</v>
      </c>
      <c r="B1530" s="8" t="s">
        <v>0</v>
      </c>
      <c r="C1530" s="8" t="s">
        <v>242</v>
      </c>
      <c r="D1530" s="8" t="s">
        <v>4</v>
      </c>
      <c r="E1530" s="8" t="s">
        <v>18</v>
      </c>
      <c r="F1530" s="6">
        <v>111.02</v>
      </c>
      <c r="G1530" s="8" t="s">
        <v>243</v>
      </c>
      <c r="H1530" s="8" t="s">
        <v>242</v>
      </c>
      <c r="I1530" s="8" t="s">
        <v>2635</v>
      </c>
      <c r="K1530">
        <f>IF($A1530="","",IF(ISNUMBER($A1530),MONTH($A1530),MONTH(DATEVALUE($A1530))))</f>
        <v>3</v>
      </c>
    </row>
    <row r="1531" spans="1:11" ht="60" customHeight="1" x14ac:dyDescent="0.25">
      <c r="A1531" s="7" t="s">
        <v>2000</v>
      </c>
      <c r="B1531" s="7" t="s">
        <v>0</v>
      </c>
      <c r="C1531" s="7" t="s">
        <v>668</v>
      </c>
      <c r="D1531" s="7" t="s">
        <v>4</v>
      </c>
      <c r="E1531" s="7" t="s">
        <v>18</v>
      </c>
      <c r="F1531" s="5">
        <v>126.85</v>
      </c>
      <c r="G1531" s="7" t="s">
        <v>2003</v>
      </c>
      <c r="H1531" s="7" t="s">
        <v>668</v>
      </c>
      <c r="I1531" s="7" t="s">
        <v>2633</v>
      </c>
      <c r="K1531">
        <f>IF($A1531="","",IF(ISNUMBER($A1531),MONTH($A1531),MONTH(DATEVALUE($A1531))))</f>
        <v>3</v>
      </c>
    </row>
    <row r="1532" spans="1:11" ht="60" customHeight="1" x14ac:dyDescent="0.25">
      <c r="A1532" s="8" t="s">
        <v>2000</v>
      </c>
      <c r="B1532" s="8" t="s">
        <v>0</v>
      </c>
      <c r="C1532" s="8" t="s">
        <v>2004</v>
      </c>
      <c r="D1532" s="8" t="s">
        <v>4</v>
      </c>
      <c r="E1532" s="8" t="s">
        <v>18</v>
      </c>
      <c r="F1532" s="6">
        <v>28.76</v>
      </c>
      <c r="G1532" s="8" t="s">
        <v>2005</v>
      </c>
      <c r="H1532" s="8" t="s">
        <v>2004</v>
      </c>
      <c r="I1532" s="8" t="s">
        <v>2645</v>
      </c>
      <c r="K1532">
        <f>IF($A1532="","",IF(ISNUMBER($A1532),MONTH($A1532),MONTH(DATEVALUE($A1532))))</f>
        <v>3</v>
      </c>
    </row>
    <row r="1533" spans="1:11" ht="60" customHeight="1" x14ac:dyDescent="0.25">
      <c r="A1533" s="7" t="s">
        <v>2000</v>
      </c>
      <c r="B1533" s="7" t="s">
        <v>0</v>
      </c>
      <c r="C1533" s="7" t="s">
        <v>2006</v>
      </c>
      <c r="D1533" s="7" t="s">
        <v>4</v>
      </c>
      <c r="E1533" s="7" t="s">
        <v>18</v>
      </c>
      <c r="F1533" s="5">
        <v>44.09</v>
      </c>
      <c r="G1533" s="7" t="s">
        <v>2007</v>
      </c>
      <c r="H1533" s="7" t="s">
        <v>2006</v>
      </c>
      <c r="I1533" s="7" t="s">
        <v>2635</v>
      </c>
      <c r="K1533">
        <f>IF($A1533="","",IF(ISNUMBER($A1533),MONTH($A1533),MONTH(DATEVALUE($A1533))))</f>
        <v>3</v>
      </c>
    </row>
    <row r="1534" spans="1:11" ht="60" customHeight="1" x14ac:dyDescent="0.25">
      <c r="A1534" s="8" t="s">
        <v>2000</v>
      </c>
      <c r="B1534" s="8" t="s">
        <v>0</v>
      </c>
      <c r="C1534" s="8" t="s">
        <v>2006</v>
      </c>
      <c r="D1534" s="8" t="s">
        <v>4</v>
      </c>
      <c r="E1534" s="8" t="s">
        <v>18</v>
      </c>
      <c r="F1534" s="6">
        <v>680.19</v>
      </c>
      <c r="G1534" s="8" t="s">
        <v>2008</v>
      </c>
      <c r="H1534" s="8" t="s">
        <v>2006</v>
      </c>
      <c r="I1534" s="8" t="s">
        <v>2635</v>
      </c>
      <c r="K1534">
        <f>IF($A1534="","",IF(ISNUMBER($A1534),MONTH($A1534),MONTH(DATEVALUE($A1534))))</f>
        <v>3</v>
      </c>
    </row>
    <row r="1535" spans="1:11" ht="60" customHeight="1" x14ac:dyDescent="0.25">
      <c r="A1535" s="7" t="s">
        <v>2009</v>
      </c>
      <c r="B1535" s="7" t="s">
        <v>0</v>
      </c>
      <c r="C1535" s="7" t="s">
        <v>2010</v>
      </c>
      <c r="D1535" s="7" t="s">
        <v>4</v>
      </c>
      <c r="E1535" s="7" t="s">
        <v>18</v>
      </c>
      <c r="F1535" s="5">
        <v>1075.4100000000001</v>
      </c>
      <c r="G1535" s="7" t="s">
        <v>2011</v>
      </c>
      <c r="H1535" s="7" t="s">
        <v>2010</v>
      </c>
      <c r="I1535" s="7" t="s">
        <v>2664</v>
      </c>
      <c r="K1535">
        <f>IF($A1535="","",IF(ISNUMBER($A1535),MONTH($A1535),MONTH(DATEVALUE($A1535))))</f>
        <v>3</v>
      </c>
    </row>
    <row r="1536" spans="1:11" ht="60" customHeight="1" x14ac:dyDescent="0.25">
      <c r="A1536" s="8" t="s">
        <v>2009</v>
      </c>
      <c r="B1536" s="8" t="s">
        <v>0</v>
      </c>
      <c r="C1536" s="8" t="s">
        <v>2012</v>
      </c>
      <c r="D1536" s="8" t="s">
        <v>4</v>
      </c>
      <c r="E1536" s="8" t="s">
        <v>18</v>
      </c>
      <c r="F1536" s="6">
        <v>13.98</v>
      </c>
      <c r="G1536" s="8" t="s">
        <v>2013</v>
      </c>
      <c r="H1536" s="8" t="s">
        <v>2012</v>
      </c>
      <c r="I1536" s="8" t="s">
        <v>2627</v>
      </c>
      <c r="K1536">
        <f>IF($A1536="","",IF(ISNUMBER($A1536),MONTH($A1536),MONTH(DATEVALUE($A1536))))</f>
        <v>3</v>
      </c>
    </row>
    <row r="1537" spans="1:11" ht="60" customHeight="1" x14ac:dyDescent="0.25">
      <c r="A1537" s="7" t="s">
        <v>2009</v>
      </c>
      <c r="B1537" s="7" t="s">
        <v>0</v>
      </c>
      <c r="C1537" s="7" t="s">
        <v>2014</v>
      </c>
      <c r="D1537" s="7" t="s">
        <v>4</v>
      </c>
      <c r="E1537" s="7" t="s">
        <v>18</v>
      </c>
      <c r="F1537" s="5">
        <v>121.55</v>
      </c>
      <c r="G1537" s="7" t="s">
        <v>2015</v>
      </c>
      <c r="H1537" s="7" t="s">
        <v>2014</v>
      </c>
      <c r="I1537" s="7" t="s">
        <v>2639</v>
      </c>
      <c r="K1537">
        <f>IF($A1537="","",IF(ISNUMBER($A1537),MONTH($A1537),MONTH(DATEVALUE($A1537))))</f>
        <v>3</v>
      </c>
    </row>
    <row r="1538" spans="1:11" ht="60" customHeight="1" x14ac:dyDescent="0.25">
      <c r="A1538" s="8" t="s">
        <v>2009</v>
      </c>
      <c r="B1538" s="8" t="s">
        <v>0</v>
      </c>
      <c r="C1538" s="8" t="s">
        <v>1027</v>
      </c>
      <c r="D1538" s="8" t="s">
        <v>1113</v>
      </c>
      <c r="E1538" s="8" t="s">
        <v>1114</v>
      </c>
      <c r="F1538" s="6">
        <v>107.91</v>
      </c>
      <c r="G1538" s="8" t="s">
        <v>2016</v>
      </c>
      <c r="H1538" s="8" t="s">
        <v>1027</v>
      </c>
      <c r="I1538" s="8" t="s">
        <v>2636</v>
      </c>
      <c r="K1538">
        <f>IF($A1538="","",IF(ISNUMBER($A1538),MONTH($A1538),MONTH(DATEVALUE($A1538))))</f>
        <v>3</v>
      </c>
    </row>
    <row r="1539" spans="1:11" ht="60" customHeight="1" x14ac:dyDescent="0.25">
      <c r="A1539" s="7" t="s">
        <v>2009</v>
      </c>
      <c r="B1539" s="7" t="s">
        <v>0</v>
      </c>
      <c r="C1539" s="7" t="s">
        <v>1027</v>
      </c>
      <c r="D1539" s="7" t="s">
        <v>1113</v>
      </c>
      <c r="E1539" s="7" t="s">
        <v>1114</v>
      </c>
      <c r="F1539" s="5">
        <v>107.91</v>
      </c>
      <c r="G1539" s="7" t="s">
        <v>2017</v>
      </c>
      <c r="H1539" s="7" t="s">
        <v>1027</v>
      </c>
      <c r="I1539" s="7" t="s">
        <v>2665</v>
      </c>
      <c r="K1539">
        <f>IF($A1539="","",IF(ISNUMBER($A1539),MONTH($A1539),MONTH(DATEVALUE($A1539))))</f>
        <v>3</v>
      </c>
    </row>
    <row r="1540" spans="1:11" ht="60" customHeight="1" x14ac:dyDescent="0.25">
      <c r="A1540" s="8" t="s">
        <v>2009</v>
      </c>
      <c r="B1540" s="8" t="s">
        <v>0</v>
      </c>
      <c r="C1540" s="8" t="s">
        <v>1027</v>
      </c>
      <c r="D1540" s="8" t="s">
        <v>1113</v>
      </c>
      <c r="E1540" s="8" t="s">
        <v>1114</v>
      </c>
      <c r="F1540" s="6">
        <v>132.76</v>
      </c>
      <c r="G1540" s="8" t="s">
        <v>2018</v>
      </c>
      <c r="H1540" s="8" t="s">
        <v>1027</v>
      </c>
      <c r="I1540" s="7" t="s">
        <v>2665</v>
      </c>
      <c r="K1540">
        <f>IF($A1540="","",IF(ISNUMBER($A1540),MONTH($A1540),MONTH(DATEVALUE($A1540))))</f>
        <v>3</v>
      </c>
    </row>
    <row r="1541" spans="1:11" ht="60" customHeight="1" x14ac:dyDescent="0.25">
      <c r="A1541" s="7" t="s">
        <v>2009</v>
      </c>
      <c r="B1541" s="7" t="s">
        <v>0</v>
      </c>
      <c r="C1541" s="7" t="s">
        <v>1027</v>
      </c>
      <c r="D1541" s="7" t="s">
        <v>1113</v>
      </c>
      <c r="E1541" s="7" t="s">
        <v>1114</v>
      </c>
      <c r="F1541" s="5">
        <v>132.76</v>
      </c>
      <c r="G1541" s="7" t="s">
        <v>2019</v>
      </c>
      <c r="H1541" s="7" t="s">
        <v>1027</v>
      </c>
      <c r="I1541" s="7" t="s">
        <v>2665</v>
      </c>
      <c r="K1541">
        <f>IF($A1541="","",IF(ISNUMBER($A1541),MONTH($A1541),MONTH(DATEVALUE($A1541))))</f>
        <v>3</v>
      </c>
    </row>
    <row r="1542" spans="1:11" ht="60" customHeight="1" x14ac:dyDescent="0.25">
      <c r="A1542" s="8" t="s">
        <v>2009</v>
      </c>
      <c r="B1542" s="8" t="s">
        <v>0</v>
      </c>
      <c r="C1542" s="8" t="s">
        <v>1027</v>
      </c>
      <c r="D1542" s="8" t="s">
        <v>1113</v>
      </c>
      <c r="E1542" s="8" t="s">
        <v>1114</v>
      </c>
      <c r="F1542" s="6">
        <v>328.97</v>
      </c>
      <c r="G1542" s="8" t="s">
        <v>2020</v>
      </c>
      <c r="H1542" s="8" t="s">
        <v>1027</v>
      </c>
      <c r="I1542" s="7" t="s">
        <v>2665</v>
      </c>
      <c r="K1542">
        <f>IF($A1542="","",IF(ISNUMBER($A1542),MONTH($A1542),MONTH(DATEVALUE($A1542))))</f>
        <v>3</v>
      </c>
    </row>
    <row r="1543" spans="1:11" ht="60" customHeight="1" x14ac:dyDescent="0.25">
      <c r="A1543" s="7" t="s">
        <v>2009</v>
      </c>
      <c r="B1543" s="7" t="s">
        <v>0</v>
      </c>
      <c r="C1543" s="7" t="s">
        <v>1027</v>
      </c>
      <c r="D1543" s="7" t="s">
        <v>1113</v>
      </c>
      <c r="E1543" s="7" t="s">
        <v>1114</v>
      </c>
      <c r="F1543" s="5">
        <v>328.97</v>
      </c>
      <c r="G1543" s="7" t="s">
        <v>2021</v>
      </c>
      <c r="H1543" s="7" t="s">
        <v>1027</v>
      </c>
      <c r="I1543" s="7" t="s">
        <v>2665</v>
      </c>
      <c r="K1543">
        <f>IF($A1543="","",IF(ISNUMBER($A1543),MONTH($A1543),MONTH(DATEVALUE($A1543))))</f>
        <v>3</v>
      </c>
    </row>
    <row r="1544" spans="1:11" ht="60" customHeight="1" x14ac:dyDescent="0.25">
      <c r="A1544" s="8" t="s">
        <v>2009</v>
      </c>
      <c r="B1544" s="8" t="s">
        <v>0</v>
      </c>
      <c r="C1544" s="8" t="s">
        <v>1027</v>
      </c>
      <c r="D1544" s="8" t="s">
        <v>1113</v>
      </c>
      <c r="E1544" s="8" t="s">
        <v>1114</v>
      </c>
      <c r="F1544" s="6">
        <v>328.97</v>
      </c>
      <c r="G1544" s="8" t="s">
        <v>2022</v>
      </c>
      <c r="H1544" s="8" t="s">
        <v>1027</v>
      </c>
      <c r="I1544" s="7" t="s">
        <v>2665</v>
      </c>
      <c r="K1544">
        <f>IF($A1544="","",IF(ISNUMBER($A1544),MONTH($A1544),MONTH(DATEVALUE($A1544))))</f>
        <v>3</v>
      </c>
    </row>
    <row r="1545" spans="1:11" ht="60" customHeight="1" x14ac:dyDescent="0.25">
      <c r="A1545" s="7" t="s">
        <v>2009</v>
      </c>
      <c r="B1545" s="7" t="s">
        <v>0</v>
      </c>
      <c r="C1545" s="7" t="s">
        <v>1027</v>
      </c>
      <c r="D1545" s="7" t="s">
        <v>1113</v>
      </c>
      <c r="E1545" s="7" t="s">
        <v>1114</v>
      </c>
      <c r="F1545" s="5">
        <v>328.97</v>
      </c>
      <c r="G1545" s="7" t="s">
        <v>2023</v>
      </c>
      <c r="H1545" s="7" t="s">
        <v>1027</v>
      </c>
      <c r="I1545" s="7" t="s">
        <v>2665</v>
      </c>
      <c r="K1545">
        <f>IF($A1545="","",IF(ISNUMBER($A1545),MONTH($A1545),MONTH(DATEVALUE($A1545))))</f>
        <v>3</v>
      </c>
    </row>
    <row r="1546" spans="1:11" ht="60" customHeight="1" x14ac:dyDescent="0.25">
      <c r="A1546" s="8" t="s">
        <v>2009</v>
      </c>
      <c r="B1546" s="8" t="s">
        <v>0</v>
      </c>
      <c r="C1546" s="8" t="s">
        <v>1027</v>
      </c>
      <c r="D1546" s="8" t="s">
        <v>1113</v>
      </c>
      <c r="E1546" s="8" t="s">
        <v>1114</v>
      </c>
      <c r="F1546" s="6">
        <v>328.97</v>
      </c>
      <c r="G1546" s="8" t="s">
        <v>2024</v>
      </c>
      <c r="H1546" s="8" t="s">
        <v>1027</v>
      </c>
      <c r="I1546" s="7" t="s">
        <v>2665</v>
      </c>
      <c r="K1546">
        <f>IF($A1546="","",IF(ISNUMBER($A1546),MONTH($A1546),MONTH(DATEVALUE($A1546))))</f>
        <v>3</v>
      </c>
    </row>
    <row r="1547" spans="1:11" ht="60" customHeight="1" x14ac:dyDescent="0.25">
      <c r="A1547" s="7" t="s">
        <v>2009</v>
      </c>
      <c r="B1547" s="7" t="s">
        <v>0</v>
      </c>
      <c r="C1547" s="7" t="s">
        <v>1027</v>
      </c>
      <c r="D1547" s="7" t="s">
        <v>1113</v>
      </c>
      <c r="E1547" s="7" t="s">
        <v>1114</v>
      </c>
      <c r="F1547" s="5">
        <v>472.96</v>
      </c>
      <c r="G1547" s="7" t="s">
        <v>2025</v>
      </c>
      <c r="H1547" s="7" t="s">
        <v>1027</v>
      </c>
      <c r="I1547" s="7" t="s">
        <v>2665</v>
      </c>
      <c r="K1547">
        <f>IF($A1547="","",IF(ISNUMBER($A1547),MONTH($A1547),MONTH(DATEVALUE($A1547))))</f>
        <v>3</v>
      </c>
    </row>
    <row r="1548" spans="1:11" ht="60" customHeight="1" x14ac:dyDescent="0.25">
      <c r="A1548" s="8" t="s">
        <v>2009</v>
      </c>
      <c r="B1548" s="8" t="s">
        <v>0</v>
      </c>
      <c r="C1548" s="8" t="s">
        <v>1027</v>
      </c>
      <c r="D1548" s="8" t="s">
        <v>1113</v>
      </c>
      <c r="E1548" s="8" t="s">
        <v>1114</v>
      </c>
      <c r="F1548" s="6">
        <v>472.96</v>
      </c>
      <c r="G1548" s="8" t="s">
        <v>2026</v>
      </c>
      <c r="H1548" s="8" t="s">
        <v>1027</v>
      </c>
      <c r="I1548" s="7" t="s">
        <v>2665</v>
      </c>
      <c r="K1548">
        <f>IF($A1548="","",IF(ISNUMBER($A1548),MONTH($A1548),MONTH(DATEVALUE($A1548))))</f>
        <v>3</v>
      </c>
    </row>
    <row r="1549" spans="1:11" ht="60" customHeight="1" x14ac:dyDescent="0.25">
      <c r="A1549" s="7" t="s">
        <v>2009</v>
      </c>
      <c r="B1549" s="7" t="s">
        <v>0</v>
      </c>
      <c r="C1549" s="7" t="s">
        <v>1027</v>
      </c>
      <c r="D1549" s="7" t="s">
        <v>1113</v>
      </c>
      <c r="E1549" s="7" t="s">
        <v>1114</v>
      </c>
      <c r="F1549" s="5">
        <v>472.96</v>
      </c>
      <c r="G1549" s="7" t="s">
        <v>2027</v>
      </c>
      <c r="H1549" s="7" t="s">
        <v>1027</v>
      </c>
      <c r="I1549" s="7" t="s">
        <v>2665</v>
      </c>
      <c r="K1549">
        <f>IF($A1549="","",IF(ISNUMBER($A1549),MONTH($A1549),MONTH(DATEVALUE($A1549))))</f>
        <v>3</v>
      </c>
    </row>
    <row r="1550" spans="1:11" ht="60" customHeight="1" x14ac:dyDescent="0.25">
      <c r="A1550" s="8" t="s">
        <v>2009</v>
      </c>
      <c r="B1550" s="8" t="s">
        <v>0</v>
      </c>
      <c r="C1550" s="8" t="s">
        <v>1027</v>
      </c>
      <c r="D1550" s="8" t="s">
        <v>1113</v>
      </c>
      <c r="E1550" s="8" t="s">
        <v>1114</v>
      </c>
      <c r="F1550" s="6">
        <v>472.96</v>
      </c>
      <c r="G1550" s="8" t="s">
        <v>2028</v>
      </c>
      <c r="H1550" s="8" t="s">
        <v>1027</v>
      </c>
      <c r="I1550" s="7" t="s">
        <v>2665</v>
      </c>
      <c r="K1550">
        <f>IF($A1550="","",IF(ISNUMBER($A1550),MONTH($A1550),MONTH(DATEVALUE($A1550))))</f>
        <v>3</v>
      </c>
    </row>
    <row r="1551" spans="1:11" ht="60" customHeight="1" x14ac:dyDescent="0.25">
      <c r="A1551" s="7" t="s">
        <v>2009</v>
      </c>
      <c r="B1551" s="7" t="s">
        <v>0</v>
      </c>
      <c r="C1551" s="7" t="s">
        <v>167</v>
      </c>
      <c r="D1551" s="7" t="s">
        <v>4</v>
      </c>
      <c r="E1551" s="7" t="s">
        <v>18</v>
      </c>
      <c r="F1551" s="5">
        <v>175.2</v>
      </c>
      <c r="G1551" s="7" t="s">
        <v>2029</v>
      </c>
      <c r="H1551" s="7" t="s">
        <v>167</v>
      </c>
      <c r="I1551" s="7" t="s">
        <v>2639</v>
      </c>
      <c r="K1551">
        <f>IF($A1551="","",IF(ISNUMBER($A1551),MONTH($A1551),MONTH(DATEVALUE($A1551))))</f>
        <v>3</v>
      </c>
    </row>
    <row r="1552" spans="1:11" ht="60" customHeight="1" x14ac:dyDescent="0.25">
      <c r="A1552" s="8" t="s">
        <v>2009</v>
      </c>
      <c r="B1552" s="8" t="s">
        <v>0</v>
      </c>
      <c r="C1552" s="8" t="s">
        <v>68</v>
      </c>
      <c r="D1552" s="8" t="s">
        <v>4</v>
      </c>
      <c r="E1552" s="8" t="s">
        <v>18</v>
      </c>
      <c r="F1552" s="6">
        <v>202.5</v>
      </c>
      <c r="G1552" s="8" t="s">
        <v>2030</v>
      </c>
      <c r="H1552" s="8" t="s">
        <v>68</v>
      </c>
      <c r="I1552" s="8" t="s">
        <v>2632</v>
      </c>
      <c r="K1552">
        <f>IF($A1552="","",IF(ISNUMBER($A1552),MONTH($A1552),MONTH(DATEVALUE($A1552))))</f>
        <v>3</v>
      </c>
    </row>
    <row r="1553" spans="1:11" ht="60" customHeight="1" x14ac:dyDescent="0.25">
      <c r="A1553" s="7" t="s">
        <v>2009</v>
      </c>
      <c r="B1553" s="7" t="s">
        <v>227</v>
      </c>
      <c r="C1553" s="7" t="s">
        <v>2031</v>
      </c>
      <c r="D1553" s="7" t="s">
        <v>4</v>
      </c>
      <c r="E1553" s="7" t="s">
        <v>18</v>
      </c>
      <c r="F1553" s="5">
        <v>185</v>
      </c>
      <c r="G1553" s="7" t="s">
        <v>2032</v>
      </c>
      <c r="H1553" s="7" t="s">
        <v>2031</v>
      </c>
      <c r="I1553" s="7" t="s">
        <v>2632</v>
      </c>
      <c r="K1553">
        <f>IF($A1553="","",IF(ISNUMBER($A1553),MONTH($A1553),MONTH(DATEVALUE($A1553))))</f>
        <v>3</v>
      </c>
    </row>
    <row r="1554" spans="1:11" ht="60" customHeight="1" x14ac:dyDescent="0.25">
      <c r="A1554" s="8" t="s">
        <v>2009</v>
      </c>
      <c r="B1554" s="8" t="s">
        <v>0</v>
      </c>
      <c r="C1554" s="8" t="s">
        <v>2033</v>
      </c>
      <c r="D1554" s="8" t="s">
        <v>4</v>
      </c>
      <c r="E1554" s="8" t="s">
        <v>18</v>
      </c>
      <c r="F1554" s="6">
        <v>5</v>
      </c>
      <c r="G1554" s="8" t="s">
        <v>2034</v>
      </c>
      <c r="H1554" s="8" t="s">
        <v>2033</v>
      </c>
      <c r="I1554" s="8" t="s">
        <v>2633</v>
      </c>
      <c r="K1554">
        <f>IF($A1554="","",IF(ISNUMBER($A1554),MONTH($A1554),MONTH(DATEVALUE($A1554))))</f>
        <v>3</v>
      </c>
    </row>
    <row r="1555" spans="1:11" ht="60" customHeight="1" x14ac:dyDescent="0.25">
      <c r="A1555" s="7" t="s">
        <v>2009</v>
      </c>
      <c r="B1555" s="7" t="s">
        <v>0</v>
      </c>
      <c r="C1555" s="7" t="s">
        <v>2035</v>
      </c>
      <c r="D1555" s="7" t="s">
        <v>4</v>
      </c>
      <c r="E1555" s="7" t="s">
        <v>18</v>
      </c>
      <c r="F1555" s="5">
        <v>55.24</v>
      </c>
      <c r="G1555" s="7" t="s">
        <v>2036</v>
      </c>
      <c r="H1555" s="7" t="s">
        <v>2035</v>
      </c>
      <c r="I1555" s="7" t="s">
        <v>2633</v>
      </c>
      <c r="K1555">
        <f>IF($A1555="","",IF(ISNUMBER($A1555),MONTH($A1555),MONTH(DATEVALUE($A1555))))</f>
        <v>3</v>
      </c>
    </row>
    <row r="1556" spans="1:11" ht="60" customHeight="1" x14ac:dyDescent="0.25">
      <c r="A1556" s="8" t="s">
        <v>2037</v>
      </c>
      <c r="B1556" s="8" t="s">
        <v>0</v>
      </c>
      <c r="C1556" s="8" t="s">
        <v>1096</v>
      </c>
      <c r="D1556" s="8" t="s">
        <v>4</v>
      </c>
      <c r="E1556" s="8" t="s">
        <v>18</v>
      </c>
      <c r="F1556" s="6">
        <v>-620.85</v>
      </c>
      <c r="G1556" s="8" t="s">
        <v>1101</v>
      </c>
      <c r="H1556" s="8" t="s">
        <v>1096</v>
      </c>
      <c r="I1556" s="8" t="s">
        <v>2647</v>
      </c>
      <c r="K1556">
        <f>IF($A1556="","",IF(ISNUMBER($A1556),MONTH($A1556),MONTH(DATEVALUE($A1556))))</f>
        <v>3</v>
      </c>
    </row>
    <row r="1557" spans="1:11" ht="60" customHeight="1" x14ac:dyDescent="0.25">
      <c r="A1557" s="7" t="s">
        <v>2037</v>
      </c>
      <c r="B1557" s="7" t="s">
        <v>0</v>
      </c>
      <c r="C1557" s="7" t="s">
        <v>1096</v>
      </c>
      <c r="D1557" s="7" t="s">
        <v>4</v>
      </c>
      <c r="E1557" s="7" t="s">
        <v>18</v>
      </c>
      <c r="F1557" s="5">
        <v>-129.9</v>
      </c>
      <c r="G1557" s="7" t="s">
        <v>1101</v>
      </c>
      <c r="H1557" s="7" t="s">
        <v>1096</v>
      </c>
      <c r="I1557" s="7" t="s">
        <v>2647</v>
      </c>
      <c r="K1557">
        <f>IF($A1557="","",IF(ISNUMBER($A1557),MONTH($A1557),MONTH(DATEVALUE($A1557))))</f>
        <v>3</v>
      </c>
    </row>
    <row r="1558" spans="1:11" ht="60" customHeight="1" x14ac:dyDescent="0.25">
      <c r="A1558" s="8" t="s">
        <v>2037</v>
      </c>
      <c r="B1558" s="8" t="s">
        <v>0</v>
      </c>
      <c r="C1558" s="8" t="s">
        <v>1102</v>
      </c>
      <c r="D1558" s="8" t="s">
        <v>4</v>
      </c>
      <c r="E1558" s="8" t="s">
        <v>18</v>
      </c>
      <c r="F1558" s="6">
        <v>129.9</v>
      </c>
      <c r="G1558" s="8" t="s">
        <v>2038</v>
      </c>
      <c r="H1558" s="8" t="s">
        <v>1096</v>
      </c>
      <c r="I1558" s="8" t="s">
        <v>2647</v>
      </c>
      <c r="K1558">
        <f>IF($A1558="","",IF(ISNUMBER($A1558),MONTH($A1558),MONTH(DATEVALUE($A1558))))</f>
        <v>3</v>
      </c>
    </row>
    <row r="1559" spans="1:11" ht="60" customHeight="1" x14ac:dyDescent="0.25">
      <c r="A1559" s="7" t="s">
        <v>2037</v>
      </c>
      <c r="B1559" s="7" t="s">
        <v>0</v>
      </c>
      <c r="C1559" s="7" t="s">
        <v>1102</v>
      </c>
      <c r="D1559" s="7" t="s">
        <v>4</v>
      </c>
      <c r="E1559" s="7" t="s">
        <v>18</v>
      </c>
      <c r="F1559" s="5">
        <v>620.85</v>
      </c>
      <c r="G1559" s="7" t="s">
        <v>2039</v>
      </c>
      <c r="H1559" s="7" t="s">
        <v>1096</v>
      </c>
      <c r="I1559" s="7" t="s">
        <v>2647</v>
      </c>
      <c r="K1559">
        <f>IF($A1559="","",IF(ISNUMBER($A1559),MONTH($A1559),MONTH(DATEVALUE($A1559))))</f>
        <v>3</v>
      </c>
    </row>
    <row r="1560" spans="1:11" ht="60" customHeight="1" x14ac:dyDescent="0.25">
      <c r="A1560" s="8" t="s">
        <v>2037</v>
      </c>
      <c r="B1560" s="8" t="s">
        <v>0</v>
      </c>
      <c r="C1560" s="8" t="s">
        <v>2040</v>
      </c>
      <c r="D1560" s="8" t="s">
        <v>4</v>
      </c>
      <c r="E1560" s="8" t="s">
        <v>18</v>
      </c>
      <c r="F1560" s="6">
        <v>162.02000000000001</v>
      </c>
      <c r="G1560" s="8" t="s">
        <v>2041</v>
      </c>
      <c r="H1560" s="8" t="s">
        <v>2040</v>
      </c>
      <c r="I1560" s="8" t="s">
        <v>2639</v>
      </c>
      <c r="K1560">
        <f>IF($A1560="","",IF(ISNUMBER($A1560),MONTH($A1560),MONTH(DATEVALUE($A1560))))</f>
        <v>3</v>
      </c>
    </row>
    <row r="1561" spans="1:11" ht="60" customHeight="1" x14ac:dyDescent="0.25">
      <c r="A1561" s="7" t="s">
        <v>2037</v>
      </c>
      <c r="B1561" s="7" t="s">
        <v>0</v>
      </c>
      <c r="C1561" s="7" t="s">
        <v>492</v>
      </c>
      <c r="D1561" s="7" t="s">
        <v>4</v>
      </c>
      <c r="E1561" s="7" t="s">
        <v>18</v>
      </c>
      <c r="F1561" s="5">
        <v>2000</v>
      </c>
      <c r="G1561" s="7" t="s">
        <v>2042</v>
      </c>
      <c r="H1561" s="7" t="s">
        <v>492</v>
      </c>
      <c r="I1561" s="7" t="s">
        <v>2638</v>
      </c>
      <c r="K1561">
        <f>IF($A1561="","",IF(ISNUMBER($A1561),MONTH($A1561),MONTH(DATEVALUE($A1561))))</f>
        <v>3</v>
      </c>
    </row>
    <row r="1562" spans="1:11" ht="60" customHeight="1" x14ac:dyDescent="0.25">
      <c r="A1562" s="8" t="s">
        <v>2037</v>
      </c>
      <c r="B1562" s="8" t="s">
        <v>0</v>
      </c>
      <c r="C1562" s="8" t="s">
        <v>68</v>
      </c>
      <c r="D1562" s="8" t="s">
        <v>4</v>
      </c>
      <c r="E1562" s="8" t="s">
        <v>18</v>
      </c>
      <c r="F1562" s="6">
        <v>200</v>
      </c>
      <c r="G1562" s="8" t="s">
        <v>2043</v>
      </c>
      <c r="H1562" s="8" t="s">
        <v>68</v>
      </c>
      <c r="I1562" s="8" t="s">
        <v>2632</v>
      </c>
      <c r="K1562">
        <f>IF($A1562="","",IF(ISNUMBER($A1562),MONTH($A1562),MONTH(DATEVALUE($A1562))))</f>
        <v>3</v>
      </c>
    </row>
    <row r="1563" spans="1:11" ht="60" customHeight="1" x14ac:dyDescent="0.25">
      <c r="A1563" s="7" t="s">
        <v>2037</v>
      </c>
      <c r="B1563" s="7" t="s">
        <v>0</v>
      </c>
      <c r="C1563" s="7" t="s">
        <v>61</v>
      </c>
      <c r="D1563" s="7" t="s">
        <v>4</v>
      </c>
      <c r="E1563" s="7" t="s">
        <v>18</v>
      </c>
      <c r="F1563" s="5">
        <v>50</v>
      </c>
      <c r="G1563" s="7" t="s">
        <v>2044</v>
      </c>
      <c r="H1563" s="7" t="s">
        <v>61</v>
      </c>
      <c r="I1563" s="7" t="s">
        <v>2630</v>
      </c>
      <c r="K1563">
        <f>IF($A1563="","",IF(ISNUMBER($A1563),MONTH($A1563),MONTH(DATEVALUE($A1563))))</f>
        <v>3</v>
      </c>
    </row>
    <row r="1564" spans="1:11" ht="60" customHeight="1" x14ac:dyDescent="0.25">
      <c r="A1564" s="8" t="s">
        <v>2037</v>
      </c>
      <c r="B1564" s="8" t="s">
        <v>0</v>
      </c>
      <c r="C1564" s="8" t="s">
        <v>2035</v>
      </c>
      <c r="D1564" s="8" t="s">
        <v>4</v>
      </c>
      <c r="E1564" s="8" t="s">
        <v>18</v>
      </c>
      <c r="F1564" s="6">
        <v>225.99</v>
      </c>
      <c r="G1564" s="8" t="s">
        <v>2045</v>
      </c>
      <c r="H1564" s="8" t="s">
        <v>2035</v>
      </c>
      <c r="I1564" s="8" t="s">
        <v>2633</v>
      </c>
      <c r="K1564">
        <f>IF($A1564="","",IF(ISNUMBER($A1564),MONTH($A1564),MONTH(DATEVALUE($A1564))))</f>
        <v>3</v>
      </c>
    </row>
    <row r="1565" spans="1:11" ht="60" customHeight="1" x14ac:dyDescent="0.25">
      <c r="A1565" s="7" t="s">
        <v>2046</v>
      </c>
      <c r="B1565" s="7" t="s">
        <v>0</v>
      </c>
      <c r="C1565" s="7" t="s">
        <v>2047</v>
      </c>
      <c r="D1565" s="7" t="s">
        <v>4</v>
      </c>
      <c r="E1565" s="7" t="s">
        <v>18</v>
      </c>
      <c r="F1565" s="5">
        <v>43.7</v>
      </c>
      <c r="G1565" s="7" t="s">
        <v>2048</v>
      </c>
      <c r="H1565" s="7" t="s">
        <v>2047</v>
      </c>
      <c r="I1565" s="7" t="s">
        <v>2633</v>
      </c>
      <c r="K1565">
        <f>IF($A1565="","",IF(ISNUMBER($A1565),MONTH($A1565),MONTH(DATEVALUE($A1565))))</f>
        <v>3</v>
      </c>
    </row>
    <row r="1566" spans="1:11" ht="60" customHeight="1" x14ac:dyDescent="0.25">
      <c r="A1566" s="8" t="s">
        <v>2046</v>
      </c>
      <c r="B1566" s="8" t="s">
        <v>0</v>
      </c>
      <c r="C1566" s="8" t="s">
        <v>2049</v>
      </c>
      <c r="D1566" s="8" t="s">
        <v>4</v>
      </c>
      <c r="E1566" s="8" t="s">
        <v>18</v>
      </c>
      <c r="F1566" s="6">
        <v>344.63</v>
      </c>
      <c r="G1566" s="8" t="s">
        <v>2050</v>
      </c>
      <c r="H1566" s="8" t="s">
        <v>2049</v>
      </c>
      <c r="I1566" s="8" t="s">
        <v>2627</v>
      </c>
      <c r="K1566">
        <f>IF($A1566="","",IF(ISNUMBER($A1566),MONTH($A1566),MONTH(DATEVALUE($A1566))))</f>
        <v>3</v>
      </c>
    </row>
    <row r="1567" spans="1:11" ht="60" customHeight="1" x14ac:dyDescent="0.25">
      <c r="A1567" s="7" t="s">
        <v>2051</v>
      </c>
      <c r="B1567" s="7" t="s">
        <v>0</v>
      </c>
      <c r="C1567" s="7" t="s">
        <v>1096</v>
      </c>
      <c r="D1567" s="7" t="s">
        <v>4</v>
      </c>
      <c r="E1567" s="7" t="s">
        <v>18</v>
      </c>
      <c r="F1567" s="5">
        <v>-66.25</v>
      </c>
      <c r="G1567" s="7" t="s">
        <v>1101</v>
      </c>
      <c r="H1567" s="7" t="s">
        <v>1096</v>
      </c>
      <c r="I1567" s="7" t="s">
        <v>2647</v>
      </c>
      <c r="K1567">
        <f>IF($A1567="","",IF(ISNUMBER($A1567),MONTH($A1567),MONTH(DATEVALUE($A1567))))</f>
        <v>3</v>
      </c>
    </row>
    <row r="1568" spans="1:11" ht="60" customHeight="1" x14ac:dyDescent="0.25">
      <c r="A1568" s="8" t="s">
        <v>2051</v>
      </c>
      <c r="B1568" s="8" t="s">
        <v>0</v>
      </c>
      <c r="C1568" s="8" t="s">
        <v>1102</v>
      </c>
      <c r="D1568" s="8" t="s">
        <v>4</v>
      </c>
      <c r="E1568" s="8" t="s">
        <v>18</v>
      </c>
      <c r="F1568" s="6">
        <v>66.25</v>
      </c>
      <c r="G1568" s="8" t="s">
        <v>2052</v>
      </c>
      <c r="H1568" s="8" t="s">
        <v>1096</v>
      </c>
      <c r="I1568" s="8" t="s">
        <v>2647</v>
      </c>
      <c r="K1568">
        <f>IF($A1568="","",IF(ISNUMBER($A1568),MONTH($A1568),MONTH(DATEVALUE($A1568))))</f>
        <v>3</v>
      </c>
    </row>
    <row r="1569" spans="1:11" ht="60" customHeight="1" x14ac:dyDescent="0.25">
      <c r="A1569" s="7" t="s">
        <v>2051</v>
      </c>
      <c r="B1569" s="7" t="s">
        <v>0</v>
      </c>
      <c r="C1569" s="7" t="s">
        <v>2053</v>
      </c>
      <c r="D1569" s="7" t="s">
        <v>4</v>
      </c>
      <c r="E1569" s="7" t="s">
        <v>18</v>
      </c>
      <c r="F1569" s="5">
        <v>29.97</v>
      </c>
      <c r="G1569" s="7" t="s">
        <v>2054</v>
      </c>
      <c r="H1569" s="7" t="s">
        <v>2053</v>
      </c>
      <c r="I1569" s="7" t="s">
        <v>2627</v>
      </c>
      <c r="K1569">
        <f>IF($A1569="","",IF(ISNUMBER($A1569),MONTH($A1569),MONTH(DATEVALUE($A1569))))</f>
        <v>3</v>
      </c>
    </row>
    <row r="1570" spans="1:11" ht="60" customHeight="1" x14ac:dyDescent="0.25">
      <c r="A1570" s="8" t="s">
        <v>2051</v>
      </c>
      <c r="B1570" s="8" t="s">
        <v>0</v>
      </c>
      <c r="C1570" s="8" t="s">
        <v>2055</v>
      </c>
      <c r="D1570" s="8" t="s">
        <v>4</v>
      </c>
      <c r="E1570" s="8" t="s">
        <v>18</v>
      </c>
      <c r="F1570" s="6">
        <v>276.56</v>
      </c>
      <c r="G1570" s="8" t="s">
        <v>2056</v>
      </c>
      <c r="H1570" s="8" t="s">
        <v>2055</v>
      </c>
      <c r="I1570" s="8" t="s">
        <v>2633</v>
      </c>
      <c r="K1570">
        <f>IF($A1570="","",IF(ISNUMBER($A1570),MONTH($A1570),MONTH(DATEVALUE($A1570))))</f>
        <v>3</v>
      </c>
    </row>
    <row r="1571" spans="1:11" ht="60" customHeight="1" x14ac:dyDescent="0.25">
      <c r="A1571" s="7" t="s">
        <v>2051</v>
      </c>
      <c r="B1571" s="7" t="s">
        <v>0</v>
      </c>
      <c r="C1571" s="7" t="s">
        <v>2057</v>
      </c>
      <c r="D1571" s="7" t="s">
        <v>4</v>
      </c>
      <c r="E1571" s="7" t="s">
        <v>18</v>
      </c>
      <c r="F1571" s="5">
        <v>10.5</v>
      </c>
      <c r="G1571" s="7" t="s">
        <v>2058</v>
      </c>
      <c r="H1571" s="7" t="s">
        <v>2057</v>
      </c>
      <c r="I1571" s="7" t="s">
        <v>2633</v>
      </c>
      <c r="K1571">
        <f>IF($A1571="","",IF(ISNUMBER($A1571),MONTH($A1571),MONTH(DATEVALUE($A1571))))</f>
        <v>3</v>
      </c>
    </row>
    <row r="1572" spans="1:11" ht="60" customHeight="1" x14ac:dyDescent="0.25">
      <c r="A1572" s="8" t="s">
        <v>2051</v>
      </c>
      <c r="B1572" s="8" t="s">
        <v>0</v>
      </c>
      <c r="C1572" s="8" t="s">
        <v>2057</v>
      </c>
      <c r="D1572" s="8" t="s">
        <v>4</v>
      </c>
      <c r="E1572" s="8" t="s">
        <v>18</v>
      </c>
      <c r="F1572" s="6">
        <v>19.48</v>
      </c>
      <c r="G1572" s="8" t="s">
        <v>2059</v>
      </c>
      <c r="H1572" s="8" t="s">
        <v>2057</v>
      </c>
      <c r="I1572" s="8" t="s">
        <v>2633</v>
      </c>
      <c r="K1572">
        <f>IF($A1572="","",IF(ISNUMBER($A1572),MONTH($A1572),MONTH(DATEVALUE($A1572))))</f>
        <v>3</v>
      </c>
    </row>
    <row r="1573" spans="1:11" ht="60" customHeight="1" x14ac:dyDescent="0.25">
      <c r="A1573" s="7" t="s">
        <v>2051</v>
      </c>
      <c r="B1573" s="7" t="s">
        <v>0</v>
      </c>
      <c r="C1573" s="7" t="s">
        <v>2060</v>
      </c>
      <c r="D1573" s="7" t="s">
        <v>4</v>
      </c>
      <c r="E1573" s="7" t="s">
        <v>18</v>
      </c>
      <c r="F1573" s="5">
        <v>12.98</v>
      </c>
      <c r="G1573" s="7" t="s">
        <v>2061</v>
      </c>
      <c r="H1573" s="7" t="s">
        <v>2060</v>
      </c>
      <c r="I1573" s="7" t="s">
        <v>2630</v>
      </c>
      <c r="K1573">
        <f>IF($A1573="","",IF(ISNUMBER($A1573),MONTH($A1573),MONTH(DATEVALUE($A1573))))</f>
        <v>3</v>
      </c>
    </row>
    <row r="1574" spans="1:11" ht="60" customHeight="1" x14ac:dyDescent="0.25">
      <c r="A1574" s="8" t="s">
        <v>2051</v>
      </c>
      <c r="B1574" s="8" t="s">
        <v>0</v>
      </c>
      <c r="C1574" s="8" t="s">
        <v>2062</v>
      </c>
      <c r="D1574" s="8" t="s">
        <v>1113</v>
      </c>
      <c r="E1574" s="8" t="s">
        <v>1114</v>
      </c>
      <c r="F1574" s="6">
        <v>33.08</v>
      </c>
      <c r="G1574" s="8" t="s">
        <v>2063</v>
      </c>
      <c r="H1574" s="8" t="s">
        <v>2062</v>
      </c>
      <c r="I1574" s="8" t="s">
        <v>2645</v>
      </c>
      <c r="K1574">
        <f>IF($A1574="","",IF(ISNUMBER($A1574),MONTH($A1574),MONTH(DATEVALUE($A1574))))</f>
        <v>3</v>
      </c>
    </row>
    <row r="1575" spans="1:11" ht="60" customHeight="1" x14ac:dyDescent="0.25">
      <c r="A1575" s="7" t="s">
        <v>2051</v>
      </c>
      <c r="B1575" s="7" t="s">
        <v>0</v>
      </c>
      <c r="C1575" s="7" t="s">
        <v>282</v>
      </c>
      <c r="D1575" s="7" t="s">
        <v>4</v>
      </c>
      <c r="E1575" s="7" t="s">
        <v>18</v>
      </c>
      <c r="F1575" s="5">
        <v>291.99</v>
      </c>
      <c r="G1575" s="7" t="s">
        <v>2064</v>
      </c>
      <c r="H1575" s="7" t="s">
        <v>282</v>
      </c>
      <c r="I1575" s="7" t="s">
        <v>2633</v>
      </c>
      <c r="K1575">
        <f>IF($A1575="","",IF(ISNUMBER($A1575),MONTH($A1575),MONTH(DATEVALUE($A1575))))</f>
        <v>3</v>
      </c>
    </row>
    <row r="1576" spans="1:11" ht="60" customHeight="1" x14ac:dyDescent="0.25">
      <c r="A1576" s="8" t="s">
        <v>2065</v>
      </c>
      <c r="B1576" s="8" t="s">
        <v>0</v>
      </c>
      <c r="C1576" s="8" t="s">
        <v>214</v>
      </c>
      <c r="D1576" s="8" t="s">
        <v>4</v>
      </c>
      <c r="E1576" s="8" t="s">
        <v>18</v>
      </c>
      <c r="F1576" s="6">
        <v>7</v>
      </c>
      <c r="G1576" s="8" t="s">
        <v>2066</v>
      </c>
      <c r="H1576" s="8" t="s">
        <v>214</v>
      </c>
      <c r="I1576" s="8" t="s">
        <v>2633</v>
      </c>
      <c r="K1576">
        <f>IF($A1576="","",IF(ISNUMBER($A1576),MONTH($A1576),MONTH(DATEVALUE($A1576))))</f>
        <v>3</v>
      </c>
    </row>
    <row r="1577" spans="1:11" ht="60" customHeight="1" x14ac:dyDescent="0.25">
      <c r="A1577" s="7" t="s">
        <v>2065</v>
      </c>
      <c r="B1577" s="7" t="s">
        <v>0</v>
      </c>
      <c r="C1577" s="7" t="s">
        <v>214</v>
      </c>
      <c r="D1577" s="7" t="s">
        <v>4</v>
      </c>
      <c r="E1577" s="7" t="s">
        <v>18</v>
      </c>
      <c r="F1577" s="5">
        <v>10.25</v>
      </c>
      <c r="G1577" s="7" t="s">
        <v>2067</v>
      </c>
      <c r="H1577" s="7" t="s">
        <v>214</v>
      </c>
      <c r="I1577" s="7" t="s">
        <v>2633</v>
      </c>
      <c r="K1577">
        <f>IF($A1577="","",IF(ISNUMBER($A1577),MONTH($A1577),MONTH(DATEVALUE($A1577))))</f>
        <v>3</v>
      </c>
    </row>
    <row r="1578" spans="1:11" ht="60" customHeight="1" x14ac:dyDescent="0.25">
      <c r="A1578" s="8" t="s">
        <v>2065</v>
      </c>
      <c r="B1578" s="8" t="s">
        <v>0</v>
      </c>
      <c r="C1578" s="8" t="s">
        <v>1096</v>
      </c>
      <c r="D1578" s="8" t="s">
        <v>4</v>
      </c>
      <c r="E1578" s="8" t="s">
        <v>18</v>
      </c>
      <c r="F1578" s="6">
        <v>-116.88</v>
      </c>
      <c r="G1578" s="8" t="s">
        <v>1101</v>
      </c>
      <c r="H1578" s="8" t="s">
        <v>1096</v>
      </c>
      <c r="I1578" s="8" t="s">
        <v>2647</v>
      </c>
      <c r="K1578">
        <f>IF($A1578="","",IF(ISNUMBER($A1578),MONTH($A1578),MONTH(DATEVALUE($A1578))))</f>
        <v>3</v>
      </c>
    </row>
    <row r="1579" spans="1:11" ht="60" customHeight="1" x14ac:dyDescent="0.25">
      <c r="A1579" s="7" t="s">
        <v>2065</v>
      </c>
      <c r="B1579" s="7" t="s">
        <v>0</v>
      </c>
      <c r="C1579" s="7" t="s">
        <v>1102</v>
      </c>
      <c r="D1579" s="7" t="s">
        <v>4</v>
      </c>
      <c r="E1579" s="7" t="s">
        <v>18</v>
      </c>
      <c r="F1579" s="5">
        <v>116.88</v>
      </c>
      <c r="G1579" s="7" t="s">
        <v>2068</v>
      </c>
      <c r="H1579" s="7" t="s">
        <v>1096</v>
      </c>
      <c r="I1579" s="7" t="s">
        <v>2647</v>
      </c>
      <c r="K1579">
        <f>IF($A1579="","",IF(ISNUMBER($A1579),MONTH($A1579),MONTH(DATEVALUE($A1579))))</f>
        <v>3</v>
      </c>
    </row>
    <row r="1580" spans="1:11" ht="60" customHeight="1" x14ac:dyDescent="0.25">
      <c r="A1580" s="8" t="s">
        <v>2065</v>
      </c>
      <c r="B1580" s="8" t="s">
        <v>0</v>
      </c>
      <c r="C1580" s="8" t="s">
        <v>2069</v>
      </c>
      <c r="D1580" s="8" t="s">
        <v>4</v>
      </c>
      <c r="E1580" s="8" t="s">
        <v>18</v>
      </c>
      <c r="F1580" s="6">
        <v>29.97</v>
      </c>
      <c r="G1580" s="8" t="s">
        <v>2070</v>
      </c>
      <c r="H1580" s="8" t="s">
        <v>2069</v>
      </c>
      <c r="I1580" s="8" t="s">
        <v>2627</v>
      </c>
      <c r="K1580">
        <f>IF($A1580="","",IF(ISNUMBER($A1580),MONTH($A1580),MONTH(DATEVALUE($A1580))))</f>
        <v>3</v>
      </c>
    </row>
    <row r="1581" spans="1:11" ht="60" customHeight="1" x14ac:dyDescent="0.25">
      <c r="A1581" s="7" t="s">
        <v>2065</v>
      </c>
      <c r="B1581" s="7" t="s">
        <v>0</v>
      </c>
      <c r="C1581" s="7" t="s">
        <v>2071</v>
      </c>
      <c r="D1581" s="7" t="s">
        <v>4</v>
      </c>
      <c r="E1581" s="7" t="s">
        <v>18</v>
      </c>
      <c r="F1581" s="5">
        <v>49</v>
      </c>
      <c r="G1581" s="7" t="s">
        <v>2072</v>
      </c>
      <c r="H1581" s="7" t="s">
        <v>2071</v>
      </c>
      <c r="I1581" s="7" t="s">
        <v>2630</v>
      </c>
      <c r="K1581">
        <f>IF($A1581="","",IF(ISNUMBER($A1581),MONTH($A1581),MONTH(DATEVALUE($A1581))))</f>
        <v>3</v>
      </c>
    </row>
    <row r="1582" spans="1:11" ht="60" customHeight="1" x14ac:dyDescent="0.25">
      <c r="A1582" s="8" t="s">
        <v>2065</v>
      </c>
      <c r="B1582" s="8" t="s">
        <v>227</v>
      </c>
      <c r="C1582" s="8" t="s">
        <v>2073</v>
      </c>
      <c r="D1582" s="8" t="s">
        <v>4</v>
      </c>
      <c r="E1582" s="8" t="s">
        <v>18</v>
      </c>
      <c r="F1582" s="6">
        <v>185</v>
      </c>
      <c r="G1582" s="8" t="s">
        <v>2074</v>
      </c>
      <c r="H1582" s="8" t="s">
        <v>2073</v>
      </c>
      <c r="I1582" s="8" t="s">
        <v>2632</v>
      </c>
      <c r="K1582">
        <f>IF($A1582="","",IF(ISNUMBER($A1582),MONTH($A1582),MONTH(DATEVALUE($A1582))))</f>
        <v>3</v>
      </c>
    </row>
    <row r="1583" spans="1:11" ht="60" customHeight="1" x14ac:dyDescent="0.25">
      <c r="A1583" s="7" t="s">
        <v>2065</v>
      </c>
      <c r="B1583" s="7" t="s">
        <v>0</v>
      </c>
      <c r="C1583" s="7" t="s">
        <v>1689</v>
      </c>
      <c r="D1583" s="7" t="s">
        <v>4</v>
      </c>
      <c r="E1583" s="7" t="s">
        <v>18</v>
      </c>
      <c r="F1583" s="5">
        <v>127.6</v>
      </c>
      <c r="G1583" s="7" t="s">
        <v>2075</v>
      </c>
      <c r="H1583" s="7" t="s">
        <v>1689</v>
      </c>
      <c r="I1583" s="7" t="s">
        <v>2645</v>
      </c>
      <c r="K1583">
        <f>IF($A1583="","",IF(ISNUMBER($A1583),MONTH($A1583),MONTH(DATEVALUE($A1583))))</f>
        <v>3</v>
      </c>
    </row>
    <row r="1584" spans="1:11" ht="60" customHeight="1" x14ac:dyDescent="0.25">
      <c r="A1584" s="8" t="s">
        <v>2076</v>
      </c>
      <c r="B1584" s="8" t="s">
        <v>0</v>
      </c>
      <c r="C1584" s="8" t="s">
        <v>1096</v>
      </c>
      <c r="D1584" s="8" t="s">
        <v>4</v>
      </c>
      <c r="E1584" s="8" t="s">
        <v>18</v>
      </c>
      <c r="F1584" s="6">
        <v>-317.85000000000002</v>
      </c>
      <c r="G1584" s="8" t="s">
        <v>1101</v>
      </c>
      <c r="H1584" s="8" t="s">
        <v>1096</v>
      </c>
      <c r="I1584" s="8" t="s">
        <v>2647</v>
      </c>
      <c r="K1584">
        <f>IF($A1584="","",IF(ISNUMBER($A1584),MONTH($A1584),MONTH(DATEVALUE($A1584))))</f>
        <v>3</v>
      </c>
    </row>
    <row r="1585" spans="1:11" ht="60" customHeight="1" x14ac:dyDescent="0.25">
      <c r="A1585" s="7" t="s">
        <v>2076</v>
      </c>
      <c r="B1585" s="7" t="s">
        <v>0</v>
      </c>
      <c r="C1585" s="7" t="s">
        <v>1102</v>
      </c>
      <c r="D1585" s="7" t="s">
        <v>4</v>
      </c>
      <c r="E1585" s="7" t="s">
        <v>18</v>
      </c>
      <c r="F1585" s="5">
        <v>317.85000000000002</v>
      </c>
      <c r="G1585" s="7" t="s">
        <v>2077</v>
      </c>
      <c r="H1585" s="7" t="s">
        <v>1096</v>
      </c>
      <c r="I1585" s="7" t="s">
        <v>2647</v>
      </c>
      <c r="K1585">
        <f>IF($A1585="","",IF(ISNUMBER($A1585),MONTH($A1585),MONTH(DATEVALUE($A1585))))</f>
        <v>3</v>
      </c>
    </row>
    <row r="1586" spans="1:11" ht="60" customHeight="1" x14ac:dyDescent="0.25">
      <c r="A1586" s="8" t="s">
        <v>2076</v>
      </c>
      <c r="B1586" s="8" t="s">
        <v>0</v>
      </c>
      <c r="C1586" s="8" t="s">
        <v>108</v>
      </c>
      <c r="D1586" s="8" t="s">
        <v>4</v>
      </c>
      <c r="E1586" s="8" t="s">
        <v>18</v>
      </c>
      <c r="F1586" s="6">
        <v>12.98</v>
      </c>
      <c r="G1586" s="8" t="s">
        <v>2078</v>
      </c>
      <c r="H1586" s="8" t="s">
        <v>108</v>
      </c>
      <c r="I1586" s="8" t="s">
        <v>2630</v>
      </c>
      <c r="K1586">
        <f>IF($A1586="","",IF(ISNUMBER($A1586),MONTH($A1586),MONTH(DATEVALUE($A1586))))</f>
        <v>3</v>
      </c>
    </row>
    <row r="1587" spans="1:11" ht="60" customHeight="1" x14ac:dyDescent="0.25">
      <c r="A1587" s="7" t="s">
        <v>2079</v>
      </c>
      <c r="B1587" s="7" t="s">
        <v>0</v>
      </c>
      <c r="C1587" s="7" t="s">
        <v>1096</v>
      </c>
      <c r="D1587" s="7" t="s">
        <v>4</v>
      </c>
      <c r="E1587" s="7" t="s">
        <v>18</v>
      </c>
      <c r="F1587" s="5">
        <v>-413.9</v>
      </c>
      <c r="G1587" s="7" t="s">
        <v>1101</v>
      </c>
      <c r="H1587" s="7" t="s">
        <v>1096</v>
      </c>
      <c r="I1587" s="7" t="s">
        <v>2647</v>
      </c>
      <c r="K1587">
        <f>IF($A1587="","",IF(ISNUMBER($A1587),MONTH($A1587),MONTH(DATEVALUE($A1587))))</f>
        <v>3</v>
      </c>
    </row>
    <row r="1588" spans="1:11" ht="60" customHeight="1" x14ac:dyDescent="0.25">
      <c r="A1588" s="8" t="s">
        <v>2079</v>
      </c>
      <c r="B1588" s="8" t="s">
        <v>0</v>
      </c>
      <c r="C1588" s="8" t="s">
        <v>1102</v>
      </c>
      <c r="D1588" s="8" t="s">
        <v>4</v>
      </c>
      <c r="E1588" s="8" t="s">
        <v>18</v>
      </c>
      <c r="F1588" s="6">
        <v>413.9</v>
      </c>
      <c r="G1588" s="8" t="s">
        <v>2080</v>
      </c>
      <c r="H1588" s="8" t="s">
        <v>1096</v>
      </c>
      <c r="I1588" s="8" t="s">
        <v>2647</v>
      </c>
      <c r="K1588">
        <f>IF($A1588="","",IF(ISNUMBER($A1588),MONTH($A1588),MONTH(DATEVALUE($A1588))))</f>
        <v>3</v>
      </c>
    </row>
    <row r="1589" spans="1:11" ht="60" customHeight="1" x14ac:dyDescent="0.25">
      <c r="A1589" s="7" t="s">
        <v>2079</v>
      </c>
      <c r="B1589" s="7" t="s">
        <v>0</v>
      </c>
      <c r="C1589" s="7" t="s">
        <v>2081</v>
      </c>
      <c r="D1589" s="7" t="s">
        <v>4</v>
      </c>
      <c r="E1589" s="7" t="s">
        <v>18</v>
      </c>
      <c r="F1589" s="5">
        <v>57.73</v>
      </c>
      <c r="G1589" s="7" t="s">
        <v>2082</v>
      </c>
      <c r="H1589" s="7" t="s">
        <v>2081</v>
      </c>
      <c r="I1589" s="7" t="s">
        <v>2627</v>
      </c>
      <c r="K1589">
        <f>IF($A1589="","",IF(ISNUMBER($A1589),MONTH($A1589),MONTH(DATEVALUE($A1589))))</f>
        <v>3</v>
      </c>
    </row>
    <row r="1590" spans="1:11" ht="60" customHeight="1" x14ac:dyDescent="0.25">
      <c r="A1590" s="8" t="s">
        <v>2079</v>
      </c>
      <c r="B1590" s="8" t="s">
        <v>0</v>
      </c>
      <c r="C1590" s="8" t="s">
        <v>1112</v>
      </c>
      <c r="D1590" s="8" t="s">
        <v>1113</v>
      </c>
      <c r="E1590" s="8" t="s">
        <v>1114</v>
      </c>
      <c r="F1590" s="6">
        <v>34.1</v>
      </c>
      <c r="G1590" s="8" t="s">
        <v>2083</v>
      </c>
      <c r="H1590" s="8" t="s">
        <v>1112</v>
      </c>
      <c r="I1590" s="8" t="s">
        <v>2634</v>
      </c>
      <c r="K1590">
        <f>IF($A1590="","",IF(ISNUMBER($A1590),MONTH($A1590),MONTH(DATEVALUE($A1590))))</f>
        <v>3</v>
      </c>
    </row>
    <row r="1591" spans="1:11" ht="60" customHeight="1" x14ac:dyDescent="0.25">
      <c r="A1591" s="7" t="s">
        <v>2079</v>
      </c>
      <c r="B1591" s="7" t="s">
        <v>0</v>
      </c>
      <c r="C1591" s="7" t="s">
        <v>171</v>
      </c>
      <c r="D1591" s="7" t="s">
        <v>1113</v>
      </c>
      <c r="E1591" s="7" t="s">
        <v>1114</v>
      </c>
      <c r="F1591" s="5">
        <v>106.25</v>
      </c>
      <c r="G1591" s="7" t="s">
        <v>2084</v>
      </c>
      <c r="H1591" s="7" t="s">
        <v>171</v>
      </c>
      <c r="I1591" s="7" t="s">
        <v>2633</v>
      </c>
      <c r="K1591">
        <f>IF($A1591="","",IF(ISNUMBER($A1591),MONTH($A1591),MONTH(DATEVALUE($A1591))))</f>
        <v>3</v>
      </c>
    </row>
    <row r="1592" spans="1:11" ht="60" customHeight="1" x14ac:dyDescent="0.25">
      <c r="A1592" s="8" t="s">
        <v>2085</v>
      </c>
      <c r="B1592" s="8" t="s">
        <v>0</v>
      </c>
      <c r="C1592" s="8" t="s">
        <v>1096</v>
      </c>
      <c r="D1592" s="8" t="s">
        <v>4</v>
      </c>
      <c r="E1592" s="8" t="s">
        <v>18</v>
      </c>
      <c r="F1592" s="6">
        <v>-317.85000000000002</v>
      </c>
      <c r="G1592" s="8" t="s">
        <v>1101</v>
      </c>
      <c r="H1592" s="8" t="s">
        <v>1096</v>
      </c>
      <c r="I1592" s="8" t="s">
        <v>2647</v>
      </c>
      <c r="K1592">
        <f>IF($A1592="","",IF(ISNUMBER($A1592),MONTH($A1592),MONTH(DATEVALUE($A1592))))</f>
        <v>3</v>
      </c>
    </row>
    <row r="1593" spans="1:11" ht="60" customHeight="1" x14ac:dyDescent="0.25">
      <c r="A1593" s="7" t="s">
        <v>2085</v>
      </c>
      <c r="B1593" s="7" t="s">
        <v>0</v>
      </c>
      <c r="C1593" s="7" t="s">
        <v>1096</v>
      </c>
      <c r="D1593" s="7" t="s">
        <v>4</v>
      </c>
      <c r="E1593" s="7" t="s">
        <v>18</v>
      </c>
      <c r="F1593" s="5">
        <v>-38.96</v>
      </c>
      <c r="G1593" s="7" t="s">
        <v>1101</v>
      </c>
      <c r="H1593" s="7" t="s">
        <v>1096</v>
      </c>
      <c r="I1593" s="7" t="s">
        <v>2647</v>
      </c>
      <c r="K1593">
        <f>IF($A1593="","",IF(ISNUMBER($A1593),MONTH($A1593),MONTH(DATEVALUE($A1593))))</f>
        <v>3</v>
      </c>
    </row>
    <row r="1594" spans="1:11" ht="60" customHeight="1" x14ac:dyDescent="0.25">
      <c r="A1594" s="8" t="s">
        <v>2085</v>
      </c>
      <c r="B1594" s="8" t="s">
        <v>0</v>
      </c>
      <c r="C1594" s="8" t="s">
        <v>1102</v>
      </c>
      <c r="D1594" s="8" t="s">
        <v>4</v>
      </c>
      <c r="E1594" s="8" t="s">
        <v>18</v>
      </c>
      <c r="F1594" s="6">
        <v>38.96</v>
      </c>
      <c r="G1594" s="8" t="s">
        <v>2086</v>
      </c>
      <c r="H1594" s="8" t="s">
        <v>1096</v>
      </c>
      <c r="I1594" s="8" t="s">
        <v>2647</v>
      </c>
      <c r="K1594">
        <f>IF($A1594="","",IF(ISNUMBER($A1594),MONTH($A1594),MONTH(DATEVALUE($A1594))))</f>
        <v>3</v>
      </c>
    </row>
    <row r="1595" spans="1:11" ht="60" customHeight="1" x14ac:dyDescent="0.25">
      <c r="A1595" s="7" t="s">
        <v>2085</v>
      </c>
      <c r="B1595" s="7" t="s">
        <v>0</v>
      </c>
      <c r="C1595" s="7" t="s">
        <v>1102</v>
      </c>
      <c r="D1595" s="7" t="s">
        <v>4</v>
      </c>
      <c r="E1595" s="7" t="s">
        <v>18</v>
      </c>
      <c r="F1595" s="5">
        <v>317.85000000000002</v>
      </c>
      <c r="G1595" s="7" t="s">
        <v>2087</v>
      </c>
      <c r="H1595" s="7" t="s">
        <v>1096</v>
      </c>
      <c r="I1595" s="7" t="s">
        <v>2647</v>
      </c>
      <c r="K1595">
        <f>IF($A1595="","",IF(ISNUMBER($A1595),MONTH($A1595),MONTH(DATEVALUE($A1595))))</f>
        <v>3</v>
      </c>
    </row>
    <row r="1596" spans="1:11" ht="60" customHeight="1" x14ac:dyDescent="0.25">
      <c r="A1596" s="8" t="s">
        <v>2085</v>
      </c>
      <c r="B1596" s="8" t="s">
        <v>227</v>
      </c>
      <c r="C1596" s="8" t="s">
        <v>852</v>
      </c>
      <c r="D1596" s="8" t="s">
        <v>1113</v>
      </c>
      <c r="E1596" s="8" t="s">
        <v>1114</v>
      </c>
      <c r="F1596" s="6">
        <v>68.98</v>
      </c>
      <c r="G1596" s="8" t="s">
        <v>2088</v>
      </c>
      <c r="H1596" s="8" t="s">
        <v>852</v>
      </c>
      <c r="I1596" s="8" t="s">
        <v>2633</v>
      </c>
      <c r="K1596">
        <f>IF($A1596="","",IF(ISNUMBER($A1596),MONTH($A1596),MONTH(DATEVALUE($A1596))))</f>
        <v>3</v>
      </c>
    </row>
    <row r="1597" spans="1:11" ht="60" customHeight="1" x14ac:dyDescent="0.25">
      <c r="A1597" s="7" t="s">
        <v>2085</v>
      </c>
      <c r="B1597" s="7" t="s">
        <v>227</v>
      </c>
      <c r="C1597" s="7" t="s">
        <v>852</v>
      </c>
      <c r="D1597" s="7" t="s">
        <v>1113</v>
      </c>
      <c r="E1597" s="7" t="s">
        <v>1114</v>
      </c>
      <c r="F1597" s="5">
        <v>388.8</v>
      </c>
      <c r="G1597" s="7" t="s">
        <v>2089</v>
      </c>
      <c r="H1597" s="7" t="s">
        <v>852</v>
      </c>
      <c r="I1597" s="7" t="s">
        <v>2633</v>
      </c>
      <c r="K1597">
        <f>IF($A1597="","",IF(ISNUMBER($A1597),MONTH($A1597),MONTH(DATEVALUE($A1597))))</f>
        <v>3</v>
      </c>
    </row>
    <row r="1598" spans="1:11" ht="60" customHeight="1" x14ac:dyDescent="0.25">
      <c r="A1598" s="8" t="s">
        <v>2085</v>
      </c>
      <c r="B1598" s="8" t="s">
        <v>0</v>
      </c>
      <c r="C1598" s="8" t="s">
        <v>2090</v>
      </c>
      <c r="D1598" s="8" t="s">
        <v>4</v>
      </c>
      <c r="E1598" s="8" t="s">
        <v>18</v>
      </c>
      <c r="F1598" s="6">
        <v>46.04</v>
      </c>
      <c r="G1598" s="8" t="s">
        <v>2091</v>
      </c>
      <c r="H1598" s="8" t="s">
        <v>2090</v>
      </c>
      <c r="I1598" s="8" t="s">
        <v>2633</v>
      </c>
      <c r="K1598">
        <f>IF($A1598="","",IF(ISNUMBER($A1598),MONTH($A1598),MONTH(DATEVALUE($A1598))))</f>
        <v>3</v>
      </c>
    </row>
    <row r="1599" spans="1:11" ht="60" customHeight="1" x14ac:dyDescent="0.25">
      <c r="A1599" s="7" t="s">
        <v>2085</v>
      </c>
      <c r="B1599" s="7" t="s">
        <v>0</v>
      </c>
      <c r="C1599" s="7" t="s">
        <v>132</v>
      </c>
      <c r="D1599" s="7" t="s">
        <v>4</v>
      </c>
      <c r="E1599" s="7" t="s">
        <v>18</v>
      </c>
      <c r="F1599" s="5">
        <v>24</v>
      </c>
      <c r="G1599" s="7" t="s">
        <v>2092</v>
      </c>
      <c r="H1599" s="7" t="s">
        <v>132</v>
      </c>
      <c r="I1599" s="7" t="s">
        <v>2630</v>
      </c>
      <c r="K1599">
        <f>IF($A1599="","",IF(ISNUMBER($A1599),MONTH($A1599),MONTH(DATEVALUE($A1599))))</f>
        <v>3</v>
      </c>
    </row>
    <row r="1600" spans="1:11" ht="60" customHeight="1" x14ac:dyDescent="0.25">
      <c r="A1600" s="8" t="s">
        <v>2093</v>
      </c>
      <c r="B1600" s="8" t="s">
        <v>0</v>
      </c>
      <c r="C1600" s="8" t="s">
        <v>2094</v>
      </c>
      <c r="D1600" s="8" t="s">
        <v>4</v>
      </c>
      <c r="E1600" s="8" t="s">
        <v>18</v>
      </c>
      <c r="F1600" s="6">
        <v>112.86</v>
      </c>
      <c r="G1600" s="8" t="s">
        <v>2095</v>
      </c>
      <c r="H1600" s="8" t="s">
        <v>2094</v>
      </c>
      <c r="I1600" s="8" t="s">
        <v>2633</v>
      </c>
      <c r="K1600">
        <f>IF($A1600="","",IF(ISNUMBER($A1600),MONTH($A1600),MONTH(DATEVALUE($A1600))))</f>
        <v>3</v>
      </c>
    </row>
    <row r="1601" spans="1:11" ht="60" customHeight="1" x14ac:dyDescent="0.25">
      <c r="A1601" s="7" t="s">
        <v>2093</v>
      </c>
      <c r="B1601" s="7" t="s">
        <v>0</v>
      </c>
      <c r="C1601" s="7" t="s">
        <v>2096</v>
      </c>
      <c r="D1601" s="7" t="s">
        <v>4</v>
      </c>
      <c r="E1601" s="7" t="s">
        <v>18</v>
      </c>
      <c r="F1601" s="5">
        <v>166.27</v>
      </c>
      <c r="G1601" s="7" t="s">
        <v>2097</v>
      </c>
      <c r="H1601" s="7" t="s">
        <v>2096</v>
      </c>
      <c r="I1601" s="7" t="s">
        <v>2633</v>
      </c>
      <c r="K1601">
        <f>IF($A1601="","",IF(ISNUMBER($A1601),MONTH($A1601),MONTH(DATEVALUE($A1601))))</f>
        <v>3</v>
      </c>
    </row>
    <row r="1602" spans="1:11" ht="60" customHeight="1" x14ac:dyDescent="0.25">
      <c r="A1602" s="8" t="s">
        <v>2098</v>
      </c>
      <c r="B1602" s="8" t="s">
        <v>0</v>
      </c>
      <c r="C1602" s="8" t="s">
        <v>214</v>
      </c>
      <c r="D1602" s="8" t="s">
        <v>4</v>
      </c>
      <c r="E1602" s="8" t="s">
        <v>18</v>
      </c>
      <c r="F1602" s="6">
        <v>14.25</v>
      </c>
      <c r="G1602" s="8" t="s">
        <v>2099</v>
      </c>
      <c r="H1602" s="8" t="s">
        <v>214</v>
      </c>
      <c r="I1602" s="8" t="s">
        <v>2633</v>
      </c>
      <c r="K1602">
        <f>IF($A1602="","",IF(ISNUMBER($A1602),MONTH($A1602),MONTH(DATEVALUE($A1602))))</f>
        <v>3</v>
      </c>
    </row>
    <row r="1603" spans="1:11" ht="60" customHeight="1" x14ac:dyDescent="0.25">
      <c r="A1603" s="7" t="s">
        <v>2098</v>
      </c>
      <c r="B1603" s="7" t="s">
        <v>0</v>
      </c>
      <c r="C1603" s="7" t="s">
        <v>1096</v>
      </c>
      <c r="D1603" s="7" t="s">
        <v>4</v>
      </c>
      <c r="E1603" s="7" t="s">
        <v>18</v>
      </c>
      <c r="F1603" s="5">
        <v>-413.9</v>
      </c>
      <c r="G1603" s="7" t="s">
        <v>1101</v>
      </c>
      <c r="H1603" s="7" t="s">
        <v>1096</v>
      </c>
      <c r="I1603" s="7" t="s">
        <v>2647</v>
      </c>
      <c r="K1603">
        <f>IF($A1603="","",IF(ISNUMBER($A1603),MONTH($A1603),MONTH(DATEVALUE($A1603))))</f>
        <v>3</v>
      </c>
    </row>
    <row r="1604" spans="1:11" ht="60" customHeight="1" x14ac:dyDescent="0.25">
      <c r="A1604" s="8" t="s">
        <v>2098</v>
      </c>
      <c r="B1604" s="8" t="s">
        <v>0</v>
      </c>
      <c r="C1604" s="8" t="s">
        <v>1102</v>
      </c>
      <c r="D1604" s="8" t="s">
        <v>4</v>
      </c>
      <c r="E1604" s="8" t="s">
        <v>18</v>
      </c>
      <c r="F1604" s="6">
        <v>413.9</v>
      </c>
      <c r="G1604" s="8" t="s">
        <v>2100</v>
      </c>
      <c r="H1604" s="8" t="s">
        <v>1096</v>
      </c>
      <c r="I1604" s="8" t="s">
        <v>2647</v>
      </c>
      <c r="K1604">
        <f>IF($A1604="","",IF(ISNUMBER($A1604),MONTH($A1604),MONTH(DATEVALUE($A1604))))</f>
        <v>3</v>
      </c>
    </row>
    <row r="1605" spans="1:11" ht="60" customHeight="1" x14ac:dyDescent="0.25">
      <c r="A1605" s="7" t="s">
        <v>2098</v>
      </c>
      <c r="B1605" s="7" t="s">
        <v>0</v>
      </c>
      <c r="C1605" s="7" t="s">
        <v>1262</v>
      </c>
      <c r="D1605" s="7" t="s">
        <v>4</v>
      </c>
      <c r="E1605" s="7" t="s">
        <v>18</v>
      </c>
      <c r="F1605" s="5">
        <v>523.64</v>
      </c>
      <c r="G1605" s="7" t="s">
        <v>2101</v>
      </c>
      <c r="H1605" s="7" t="s">
        <v>1262</v>
      </c>
      <c r="I1605" s="7" t="s">
        <v>2662</v>
      </c>
      <c r="K1605">
        <f>IF($A1605="","",IF(ISNUMBER($A1605),MONTH($A1605),MONTH(DATEVALUE($A1605))))</f>
        <v>3</v>
      </c>
    </row>
    <row r="1606" spans="1:11" ht="60" customHeight="1" x14ac:dyDescent="0.25">
      <c r="A1606" s="8" t="s">
        <v>2098</v>
      </c>
      <c r="B1606" s="8" t="s">
        <v>0</v>
      </c>
      <c r="C1606" s="8" t="s">
        <v>2102</v>
      </c>
      <c r="D1606" s="8" t="s">
        <v>4</v>
      </c>
      <c r="E1606" s="8" t="s">
        <v>18</v>
      </c>
      <c r="F1606" s="6">
        <v>299.76</v>
      </c>
      <c r="G1606" s="8" t="s">
        <v>2103</v>
      </c>
      <c r="H1606" s="8" t="s">
        <v>2102</v>
      </c>
      <c r="I1606" s="8" t="s">
        <v>2627</v>
      </c>
      <c r="K1606">
        <f>IF($A1606="","",IF(ISNUMBER($A1606),MONTH($A1606),MONTH(DATEVALUE($A1606))))</f>
        <v>3</v>
      </c>
    </row>
    <row r="1607" spans="1:11" ht="60" customHeight="1" x14ac:dyDescent="0.25">
      <c r="A1607" s="7" t="s">
        <v>2098</v>
      </c>
      <c r="B1607" s="7" t="s">
        <v>0</v>
      </c>
      <c r="C1607" s="7" t="s">
        <v>1027</v>
      </c>
      <c r="D1607" s="7" t="s">
        <v>1113</v>
      </c>
      <c r="E1607" s="7" t="s">
        <v>1114</v>
      </c>
      <c r="F1607" s="5">
        <v>52.35</v>
      </c>
      <c r="G1607" s="7" t="s">
        <v>2104</v>
      </c>
      <c r="H1607" s="7" t="s">
        <v>1027</v>
      </c>
      <c r="I1607" s="7" t="s">
        <v>2665</v>
      </c>
      <c r="K1607">
        <f>IF($A1607="","",IF(ISNUMBER($A1607),MONTH($A1607),MONTH(DATEVALUE($A1607))))</f>
        <v>3</v>
      </c>
    </row>
    <row r="1608" spans="1:11" ht="60" customHeight="1" x14ac:dyDescent="0.25">
      <c r="A1608" s="8" t="s">
        <v>2098</v>
      </c>
      <c r="B1608" s="8" t="s">
        <v>0</v>
      </c>
      <c r="C1608" s="8" t="s">
        <v>1027</v>
      </c>
      <c r="D1608" s="8" t="s">
        <v>1113</v>
      </c>
      <c r="E1608" s="8" t="s">
        <v>1114</v>
      </c>
      <c r="F1608" s="6">
        <v>409.18</v>
      </c>
      <c r="G1608" s="8" t="s">
        <v>2105</v>
      </c>
      <c r="H1608" s="8" t="s">
        <v>1027</v>
      </c>
      <c r="I1608" s="8" t="s">
        <v>2665</v>
      </c>
      <c r="K1608">
        <f>IF($A1608="","",IF(ISNUMBER($A1608),MONTH($A1608),MONTH(DATEVALUE($A1608))))</f>
        <v>3</v>
      </c>
    </row>
    <row r="1609" spans="1:11" ht="60" customHeight="1" x14ac:dyDescent="0.25">
      <c r="A1609" s="7" t="s">
        <v>2098</v>
      </c>
      <c r="B1609" s="7" t="s">
        <v>0</v>
      </c>
      <c r="C1609" s="7" t="s">
        <v>27</v>
      </c>
      <c r="D1609" s="7" t="s">
        <v>4</v>
      </c>
      <c r="E1609" s="7" t="s">
        <v>18</v>
      </c>
      <c r="F1609" s="5">
        <v>20</v>
      </c>
      <c r="G1609" s="7" t="s">
        <v>2106</v>
      </c>
      <c r="H1609" s="7" t="s">
        <v>27</v>
      </c>
      <c r="I1609" s="7" t="s">
        <v>2628</v>
      </c>
      <c r="K1609">
        <f>IF($A1609="","",IF(ISNUMBER($A1609),MONTH($A1609),MONTH(DATEVALUE($A1609))))</f>
        <v>3</v>
      </c>
    </row>
    <row r="1610" spans="1:11" ht="60" customHeight="1" x14ac:dyDescent="0.25">
      <c r="A1610" s="8" t="s">
        <v>2098</v>
      </c>
      <c r="B1610" s="8" t="s">
        <v>0</v>
      </c>
      <c r="C1610" s="8" t="s">
        <v>1632</v>
      </c>
      <c r="D1610" s="8" t="s">
        <v>1113</v>
      </c>
      <c r="E1610" s="8" t="s">
        <v>1114</v>
      </c>
      <c r="F1610" s="6">
        <v>1545</v>
      </c>
      <c r="G1610" s="8" t="s">
        <v>2107</v>
      </c>
      <c r="H1610" s="8" t="s">
        <v>1632</v>
      </c>
      <c r="I1610" s="8" t="s">
        <v>2661</v>
      </c>
      <c r="K1610">
        <f>IF($A1610="","",IF(ISNUMBER($A1610),MONTH($A1610),MONTH(DATEVALUE($A1610))))</f>
        <v>3</v>
      </c>
    </row>
    <row r="1611" spans="1:11" ht="60" customHeight="1" x14ac:dyDescent="0.25">
      <c r="A1611" s="7" t="s">
        <v>2098</v>
      </c>
      <c r="B1611" s="7" t="s">
        <v>0</v>
      </c>
      <c r="C1611" s="7" t="s">
        <v>2108</v>
      </c>
      <c r="D1611" s="7" t="s">
        <v>4</v>
      </c>
      <c r="E1611" s="7" t="s">
        <v>18</v>
      </c>
      <c r="F1611" s="5">
        <v>159.11000000000001</v>
      </c>
      <c r="G1611" s="7" t="s">
        <v>2109</v>
      </c>
      <c r="H1611" s="7" t="s">
        <v>2108</v>
      </c>
      <c r="I1611" s="7" t="s">
        <v>2633</v>
      </c>
      <c r="K1611">
        <f>IF($A1611="","",IF(ISNUMBER($A1611),MONTH($A1611),MONTH(DATEVALUE($A1611))))</f>
        <v>3</v>
      </c>
    </row>
    <row r="1612" spans="1:11" ht="60" customHeight="1" x14ac:dyDescent="0.25">
      <c r="A1612" s="8" t="s">
        <v>2110</v>
      </c>
      <c r="B1612" s="8" t="s">
        <v>0</v>
      </c>
      <c r="C1612" s="8" t="s">
        <v>522</v>
      </c>
      <c r="D1612" s="8" t="s">
        <v>4</v>
      </c>
      <c r="E1612" s="8" t="s">
        <v>18</v>
      </c>
      <c r="F1612" s="6">
        <v>108.2</v>
      </c>
      <c r="G1612" s="8" t="s">
        <v>2111</v>
      </c>
      <c r="H1612" s="8" t="s">
        <v>522</v>
      </c>
      <c r="I1612" s="8" t="s">
        <v>2647</v>
      </c>
      <c r="K1612">
        <f>IF($A1612="","",IF(ISNUMBER($A1612),MONTH($A1612),MONTH(DATEVALUE($A1612))))</f>
        <v>3</v>
      </c>
    </row>
    <row r="1613" spans="1:11" ht="60" customHeight="1" x14ac:dyDescent="0.25">
      <c r="A1613" s="7" t="s">
        <v>2110</v>
      </c>
      <c r="B1613" s="7" t="s">
        <v>0</v>
      </c>
      <c r="C1613" s="7" t="s">
        <v>1283</v>
      </c>
      <c r="D1613" s="7" t="s">
        <v>4</v>
      </c>
      <c r="E1613" s="7" t="s">
        <v>18</v>
      </c>
      <c r="F1613" s="5">
        <v>459</v>
      </c>
      <c r="G1613" s="7" t="s">
        <v>2112</v>
      </c>
      <c r="H1613" s="7" t="s">
        <v>1283</v>
      </c>
      <c r="I1613" s="7" t="s">
        <v>2650</v>
      </c>
      <c r="K1613">
        <f>IF($A1613="","",IF(ISNUMBER($A1613),MONTH($A1613),MONTH(DATEVALUE($A1613))))</f>
        <v>3</v>
      </c>
    </row>
    <row r="1614" spans="1:11" ht="60" customHeight="1" x14ac:dyDescent="0.25">
      <c r="A1614" s="8" t="s">
        <v>2110</v>
      </c>
      <c r="B1614" s="8" t="s">
        <v>0</v>
      </c>
      <c r="C1614" s="8" t="s">
        <v>2113</v>
      </c>
      <c r="D1614" s="8" t="s">
        <v>4</v>
      </c>
      <c r="E1614" s="8" t="s">
        <v>18</v>
      </c>
      <c r="F1614" s="6">
        <v>10.99</v>
      </c>
      <c r="G1614" s="8" t="s">
        <v>2114</v>
      </c>
      <c r="H1614" s="8" t="s">
        <v>2113</v>
      </c>
      <c r="I1614" s="8" t="s">
        <v>2627</v>
      </c>
      <c r="K1614">
        <f>IF($A1614="","",IF(ISNUMBER($A1614),MONTH($A1614),MONTH(DATEVALUE($A1614))))</f>
        <v>3</v>
      </c>
    </row>
    <row r="1615" spans="1:11" ht="60" customHeight="1" x14ac:dyDescent="0.25">
      <c r="A1615" s="7" t="s">
        <v>2110</v>
      </c>
      <c r="B1615" s="7" t="s">
        <v>0</v>
      </c>
      <c r="C1615" s="7" t="s">
        <v>1027</v>
      </c>
      <c r="D1615" s="7" t="s">
        <v>1113</v>
      </c>
      <c r="E1615" s="7" t="s">
        <v>1114</v>
      </c>
      <c r="F1615" s="5">
        <v>526.96</v>
      </c>
      <c r="G1615" s="7" t="s">
        <v>2115</v>
      </c>
      <c r="H1615" s="7" t="s">
        <v>1027</v>
      </c>
      <c r="I1615" s="7" t="s">
        <v>2665</v>
      </c>
      <c r="K1615">
        <f>IF($A1615="","",IF(ISNUMBER($A1615),MONTH($A1615),MONTH(DATEVALUE($A1615))))</f>
        <v>3</v>
      </c>
    </row>
    <row r="1616" spans="1:11" ht="60" customHeight="1" x14ac:dyDescent="0.25">
      <c r="A1616" s="8" t="s">
        <v>2110</v>
      </c>
      <c r="B1616" s="8" t="s">
        <v>0</v>
      </c>
      <c r="C1616" s="8" t="s">
        <v>2116</v>
      </c>
      <c r="D1616" s="8" t="s">
        <v>4</v>
      </c>
      <c r="E1616" s="8" t="s">
        <v>18</v>
      </c>
      <c r="F1616" s="6">
        <v>31.53</v>
      </c>
      <c r="G1616" s="8" t="s">
        <v>2117</v>
      </c>
      <c r="H1616" s="8" t="s">
        <v>2116</v>
      </c>
      <c r="I1616" s="8" t="s">
        <v>2635</v>
      </c>
      <c r="K1616">
        <f>IF($A1616="","",IF(ISNUMBER($A1616),MONTH($A1616),MONTH(DATEVALUE($A1616))))</f>
        <v>3</v>
      </c>
    </row>
    <row r="1617" spans="1:11" ht="60" customHeight="1" x14ac:dyDescent="0.25">
      <c r="A1617" s="7" t="s">
        <v>2110</v>
      </c>
      <c r="B1617" s="7" t="s">
        <v>0</v>
      </c>
      <c r="C1617" s="7" t="s">
        <v>762</v>
      </c>
      <c r="D1617" s="7" t="s">
        <v>4</v>
      </c>
      <c r="E1617" s="7" t="s">
        <v>18</v>
      </c>
      <c r="F1617" s="5">
        <v>59.5</v>
      </c>
      <c r="G1617" s="7" t="s">
        <v>2118</v>
      </c>
      <c r="H1617" s="7" t="s">
        <v>762</v>
      </c>
      <c r="I1617" s="7" t="s">
        <v>2650</v>
      </c>
      <c r="K1617">
        <f>IF($A1617="","",IF(ISNUMBER($A1617),MONTH($A1617),MONTH(DATEVALUE($A1617))))</f>
        <v>3</v>
      </c>
    </row>
    <row r="1618" spans="1:11" ht="60" customHeight="1" x14ac:dyDescent="0.25">
      <c r="A1618" s="8" t="s">
        <v>2110</v>
      </c>
      <c r="B1618" s="8" t="s">
        <v>0</v>
      </c>
      <c r="C1618" s="8" t="s">
        <v>63</v>
      </c>
      <c r="D1618" s="8" t="s">
        <v>4</v>
      </c>
      <c r="E1618" s="8" t="s">
        <v>18</v>
      </c>
      <c r="F1618" s="6">
        <v>31.8</v>
      </c>
      <c r="G1618" s="8" t="s">
        <v>2119</v>
      </c>
      <c r="H1618" s="8" t="s">
        <v>63</v>
      </c>
      <c r="I1618" s="8" t="s">
        <v>2633</v>
      </c>
      <c r="K1618">
        <f>IF($A1618="","",IF(ISNUMBER($A1618),MONTH($A1618),MONTH(DATEVALUE($A1618))))</f>
        <v>3</v>
      </c>
    </row>
    <row r="1619" spans="1:11" ht="60" customHeight="1" x14ac:dyDescent="0.25">
      <c r="A1619" s="7" t="s">
        <v>2120</v>
      </c>
      <c r="B1619" s="7" t="s">
        <v>0</v>
      </c>
      <c r="C1619" s="7" t="s">
        <v>1704</v>
      </c>
      <c r="D1619" s="7" t="s">
        <v>1113</v>
      </c>
      <c r="E1619" s="7" t="s">
        <v>1114</v>
      </c>
      <c r="F1619" s="5">
        <v>3527.15</v>
      </c>
      <c r="G1619" s="7" t="s">
        <v>2121</v>
      </c>
      <c r="H1619" s="7" t="s">
        <v>1704</v>
      </c>
      <c r="I1619" s="7" t="s">
        <v>2665</v>
      </c>
      <c r="K1619">
        <f>IF($A1619="","",IF(ISNUMBER($A1619),MONTH($A1619),MONTH(DATEVALUE($A1619))))</f>
        <v>3</v>
      </c>
    </row>
    <row r="1620" spans="1:11" ht="60" customHeight="1" x14ac:dyDescent="0.25">
      <c r="A1620" s="8" t="s">
        <v>2120</v>
      </c>
      <c r="B1620" s="8" t="s">
        <v>0</v>
      </c>
      <c r="C1620" s="8" t="s">
        <v>1096</v>
      </c>
      <c r="D1620" s="8" t="s">
        <v>4</v>
      </c>
      <c r="E1620" s="8" t="s">
        <v>18</v>
      </c>
      <c r="F1620" s="6">
        <v>-413.9</v>
      </c>
      <c r="G1620" s="8" t="s">
        <v>1101</v>
      </c>
      <c r="H1620" s="8" t="s">
        <v>1096</v>
      </c>
      <c r="I1620" s="8" t="s">
        <v>2647</v>
      </c>
      <c r="K1620">
        <f>IF($A1620="","",IF(ISNUMBER($A1620),MONTH($A1620),MONTH(DATEVALUE($A1620))))</f>
        <v>3</v>
      </c>
    </row>
    <row r="1621" spans="1:11" ht="60" customHeight="1" x14ac:dyDescent="0.25">
      <c r="A1621" s="7" t="s">
        <v>2120</v>
      </c>
      <c r="B1621" s="7" t="s">
        <v>0</v>
      </c>
      <c r="C1621" s="7" t="s">
        <v>1102</v>
      </c>
      <c r="D1621" s="7" t="s">
        <v>4</v>
      </c>
      <c r="E1621" s="7" t="s">
        <v>18</v>
      </c>
      <c r="F1621" s="5">
        <v>413.9</v>
      </c>
      <c r="G1621" s="7" t="s">
        <v>2122</v>
      </c>
      <c r="H1621" s="7" t="s">
        <v>1096</v>
      </c>
      <c r="I1621" s="7" t="s">
        <v>2647</v>
      </c>
      <c r="K1621">
        <f>IF($A1621="","",IF(ISNUMBER($A1621),MONTH($A1621),MONTH(DATEVALUE($A1621))))</f>
        <v>3</v>
      </c>
    </row>
    <row r="1622" spans="1:11" ht="60" customHeight="1" x14ac:dyDescent="0.25">
      <c r="A1622" s="8" t="s">
        <v>2120</v>
      </c>
      <c r="B1622" s="8" t="s">
        <v>0</v>
      </c>
      <c r="C1622" s="8" t="s">
        <v>2123</v>
      </c>
      <c r="D1622" s="8" t="s">
        <v>4</v>
      </c>
      <c r="E1622" s="8" t="s">
        <v>18</v>
      </c>
      <c r="F1622" s="6">
        <v>3.24</v>
      </c>
      <c r="G1622" s="8" t="s">
        <v>2124</v>
      </c>
      <c r="H1622" s="8" t="s">
        <v>2123</v>
      </c>
      <c r="I1622" s="8" t="s">
        <v>2647</v>
      </c>
      <c r="K1622">
        <f>IF($A1622="","",IF(ISNUMBER($A1622),MONTH($A1622),MONTH(DATEVALUE($A1622))))</f>
        <v>3</v>
      </c>
    </row>
    <row r="1623" spans="1:11" ht="60" customHeight="1" x14ac:dyDescent="0.25">
      <c r="A1623" s="7" t="s">
        <v>2120</v>
      </c>
      <c r="B1623" s="7" t="s">
        <v>0</v>
      </c>
      <c r="C1623" s="7" t="s">
        <v>573</v>
      </c>
      <c r="D1623" s="7" t="s">
        <v>4</v>
      </c>
      <c r="E1623" s="7" t="s">
        <v>18</v>
      </c>
      <c r="F1623" s="5">
        <v>15.48</v>
      </c>
      <c r="G1623" s="7" t="s">
        <v>2125</v>
      </c>
      <c r="H1623" s="7" t="s">
        <v>573</v>
      </c>
      <c r="I1623" s="7" t="s">
        <v>2635</v>
      </c>
      <c r="K1623">
        <f>IF($A1623="","",IF(ISNUMBER($A1623),MONTH($A1623),MONTH(DATEVALUE($A1623))))</f>
        <v>3</v>
      </c>
    </row>
    <row r="1624" spans="1:11" ht="60" customHeight="1" x14ac:dyDescent="0.25">
      <c r="A1624" s="8" t="s">
        <v>2120</v>
      </c>
      <c r="B1624" s="8" t="s">
        <v>0</v>
      </c>
      <c r="C1624" s="8" t="s">
        <v>2126</v>
      </c>
      <c r="D1624" s="8" t="s">
        <v>1113</v>
      </c>
      <c r="E1624" s="8" t="s">
        <v>1114</v>
      </c>
      <c r="F1624" s="6">
        <v>2099.33</v>
      </c>
      <c r="G1624" s="8" t="s">
        <v>2127</v>
      </c>
      <c r="H1624" s="8" t="s">
        <v>2126</v>
      </c>
      <c r="I1624" s="8" t="s">
        <v>2645</v>
      </c>
      <c r="K1624">
        <f>IF($A1624="","",IF(ISNUMBER($A1624),MONTH($A1624),MONTH(DATEVALUE($A1624))))</f>
        <v>3</v>
      </c>
    </row>
    <row r="1625" spans="1:11" ht="60" customHeight="1" x14ac:dyDescent="0.25">
      <c r="A1625" s="7" t="s">
        <v>2120</v>
      </c>
      <c r="B1625" s="7" t="s">
        <v>0</v>
      </c>
      <c r="C1625" s="7" t="s">
        <v>176</v>
      </c>
      <c r="D1625" s="7" t="s">
        <v>4</v>
      </c>
      <c r="E1625" s="7" t="s">
        <v>18</v>
      </c>
      <c r="F1625" s="5">
        <v>9.99</v>
      </c>
      <c r="G1625" s="7" t="s">
        <v>2128</v>
      </c>
      <c r="H1625" s="7" t="s">
        <v>176</v>
      </c>
      <c r="I1625" s="7" t="s">
        <v>2630</v>
      </c>
      <c r="K1625">
        <f>IF($A1625="","",IF(ISNUMBER($A1625),MONTH($A1625),MONTH(DATEVALUE($A1625))))</f>
        <v>3</v>
      </c>
    </row>
    <row r="1626" spans="1:11" ht="60" customHeight="1" x14ac:dyDescent="0.25">
      <c r="A1626" s="8" t="s">
        <v>2120</v>
      </c>
      <c r="B1626" s="8" t="s">
        <v>0</v>
      </c>
      <c r="C1626" s="8" t="s">
        <v>575</v>
      </c>
      <c r="D1626" s="8" t="s">
        <v>1113</v>
      </c>
      <c r="E1626" s="8" t="s">
        <v>1114</v>
      </c>
      <c r="F1626" s="6">
        <v>20.45</v>
      </c>
      <c r="G1626" s="8" t="s">
        <v>2129</v>
      </c>
      <c r="H1626" s="8" t="s">
        <v>575</v>
      </c>
      <c r="I1626" s="8" t="s">
        <v>2633</v>
      </c>
      <c r="K1626">
        <f>IF($A1626="","",IF(ISNUMBER($A1626),MONTH($A1626),MONTH(DATEVALUE($A1626))))</f>
        <v>3</v>
      </c>
    </row>
    <row r="1627" spans="1:11" ht="60" customHeight="1" x14ac:dyDescent="0.25">
      <c r="A1627" s="7" t="s">
        <v>2120</v>
      </c>
      <c r="B1627" s="7" t="s">
        <v>0</v>
      </c>
      <c r="C1627" s="7" t="s">
        <v>178</v>
      </c>
      <c r="D1627" s="7" t="s">
        <v>4</v>
      </c>
      <c r="E1627" s="7" t="s">
        <v>18</v>
      </c>
      <c r="F1627" s="5">
        <v>260</v>
      </c>
      <c r="G1627" s="7" t="s">
        <v>2130</v>
      </c>
      <c r="H1627" s="7" t="s">
        <v>178</v>
      </c>
      <c r="I1627" s="7" t="s">
        <v>2638</v>
      </c>
      <c r="K1627">
        <f>IF($A1627="","",IF(ISNUMBER($A1627),MONTH($A1627),MONTH(DATEVALUE($A1627))))</f>
        <v>3</v>
      </c>
    </row>
    <row r="1628" spans="1:11" ht="60" customHeight="1" x14ac:dyDescent="0.25">
      <c r="A1628" s="8" t="s">
        <v>2120</v>
      </c>
      <c r="B1628" s="8" t="s">
        <v>0</v>
      </c>
      <c r="C1628" s="8" t="s">
        <v>2131</v>
      </c>
      <c r="D1628" s="8" t="s">
        <v>4</v>
      </c>
      <c r="E1628" s="8" t="s">
        <v>18</v>
      </c>
      <c r="F1628" s="6">
        <v>29.97</v>
      </c>
      <c r="G1628" s="8" t="s">
        <v>2132</v>
      </c>
      <c r="H1628" s="8" t="s">
        <v>2131</v>
      </c>
      <c r="I1628" s="8" t="s">
        <v>2627</v>
      </c>
      <c r="K1628">
        <f>IF($A1628="","",IF(ISNUMBER($A1628),MONTH($A1628),MONTH(DATEVALUE($A1628))))</f>
        <v>3</v>
      </c>
    </row>
    <row r="1629" spans="1:11" ht="60" customHeight="1" x14ac:dyDescent="0.25">
      <c r="A1629" s="7" t="s">
        <v>2120</v>
      </c>
      <c r="B1629" s="7" t="s">
        <v>0</v>
      </c>
      <c r="C1629" s="7" t="s">
        <v>299</v>
      </c>
      <c r="D1629" s="7" t="s">
        <v>4</v>
      </c>
      <c r="E1629" s="7" t="s">
        <v>18</v>
      </c>
      <c r="F1629" s="5">
        <v>1549.58</v>
      </c>
      <c r="G1629" s="7" t="s">
        <v>2133</v>
      </c>
      <c r="H1629" s="7" t="s">
        <v>299</v>
      </c>
      <c r="I1629" s="7" t="s">
        <v>2632</v>
      </c>
      <c r="K1629">
        <f>IF($A1629="","",IF(ISNUMBER($A1629),MONTH($A1629),MONTH(DATEVALUE($A1629))))</f>
        <v>3</v>
      </c>
    </row>
    <row r="1630" spans="1:11" ht="60" customHeight="1" x14ac:dyDescent="0.25">
      <c r="A1630" s="8" t="s">
        <v>2120</v>
      </c>
      <c r="B1630" s="8" t="s">
        <v>0</v>
      </c>
      <c r="C1630" s="8" t="s">
        <v>2062</v>
      </c>
      <c r="D1630" s="8" t="s">
        <v>1113</v>
      </c>
      <c r="E1630" s="8" t="s">
        <v>1114</v>
      </c>
      <c r="F1630" s="6">
        <v>231.53</v>
      </c>
      <c r="G1630" s="8" t="s">
        <v>2134</v>
      </c>
      <c r="H1630" s="8" t="s">
        <v>2062</v>
      </c>
      <c r="I1630" s="8" t="s">
        <v>2645</v>
      </c>
      <c r="K1630">
        <f>IF($A1630="","",IF(ISNUMBER($A1630),MONTH($A1630),MONTH(DATEVALUE($A1630))))</f>
        <v>3</v>
      </c>
    </row>
    <row r="1631" spans="1:11" ht="60" customHeight="1" x14ac:dyDescent="0.25">
      <c r="A1631" s="7" t="s">
        <v>2135</v>
      </c>
      <c r="B1631" s="7" t="s">
        <v>0</v>
      </c>
      <c r="C1631" s="7" t="s">
        <v>1096</v>
      </c>
      <c r="D1631" s="7" t="s">
        <v>4</v>
      </c>
      <c r="E1631" s="7" t="s">
        <v>18</v>
      </c>
      <c r="F1631" s="5">
        <v>-129.87</v>
      </c>
      <c r="G1631" s="7" t="s">
        <v>1101</v>
      </c>
      <c r="H1631" s="7" t="s">
        <v>1096</v>
      </c>
      <c r="I1631" s="7" t="s">
        <v>2647</v>
      </c>
      <c r="K1631">
        <f>IF($A1631="","",IF(ISNUMBER($A1631),MONTH($A1631),MONTH(DATEVALUE($A1631))))</f>
        <v>3</v>
      </c>
    </row>
    <row r="1632" spans="1:11" ht="60" customHeight="1" x14ac:dyDescent="0.25">
      <c r="A1632" s="8" t="s">
        <v>2135</v>
      </c>
      <c r="B1632" s="8" t="s">
        <v>0</v>
      </c>
      <c r="C1632" s="8" t="s">
        <v>1102</v>
      </c>
      <c r="D1632" s="8" t="s">
        <v>4</v>
      </c>
      <c r="E1632" s="8" t="s">
        <v>18</v>
      </c>
      <c r="F1632" s="6">
        <v>129.87</v>
      </c>
      <c r="G1632" s="8" t="s">
        <v>2136</v>
      </c>
      <c r="H1632" s="8" t="s">
        <v>1096</v>
      </c>
      <c r="I1632" s="8" t="s">
        <v>2647</v>
      </c>
      <c r="K1632">
        <f>IF($A1632="","",IF(ISNUMBER($A1632),MONTH($A1632),MONTH(DATEVALUE($A1632))))</f>
        <v>3</v>
      </c>
    </row>
    <row r="1633" spans="1:11" ht="60" customHeight="1" x14ac:dyDescent="0.25">
      <c r="A1633" s="7" t="s">
        <v>2135</v>
      </c>
      <c r="B1633" s="7" t="s">
        <v>0</v>
      </c>
      <c r="C1633" s="7" t="s">
        <v>522</v>
      </c>
      <c r="D1633" s="7" t="s">
        <v>4</v>
      </c>
      <c r="E1633" s="7" t="s">
        <v>18</v>
      </c>
      <c r="F1633" s="5">
        <v>22.44</v>
      </c>
      <c r="G1633" s="7" t="s">
        <v>2137</v>
      </c>
      <c r="H1633" s="7" t="s">
        <v>522</v>
      </c>
      <c r="I1633" s="7" t="s">
        <v>2647</v>
      </c>
      <c r="K1633">
        <f>IF($A1633="","",IF(ISNUMBER($A1633),MONTH($A1633),MONTH(DATEVALUE($A1633))))</f>
        <v>3</v>
      </c>
    </row>
    <row r="1634" spans="1:11" ht="60" customHeight="1" x14ac:dyDescent="0.25">
      <c r="A1634" s="8" t="s">
        <v>2135</v>
      </c>
      <c r="B1634" s="8" t="s">
        <v>0</v>
      </c>
      <c r="C1634" s="8" t="s">
        <v>567</v>
      </c>
      <c r="D1634" s="8" t="s">
        <v>4</v>
      </c>
      <c r="E1634" s="8" t="s">
        <v>18</v>
      </c>
      <c r="F1634" s="6">
        <v>16.23</v>
      </c>
      <c r="G1634" s="8" t="s">
        <v>2138</v>
      </c>
      <c r="H1634" s="8" t="s">
        <v>567</v>
      </c>
      <c r="I1634" s="8" t="s">
        <v>2647</v>
      </c>
      <c r="K1634">
        <f>IF($A1634="","",IF(ISNUMBER($A1634),MONTH($A1634),MONTH(DATEVALUE($A1634))))</f>
        <v>3</v>
      </c>
    </row>
    <row r="1635" spans="1:11" ht="60" customHeight="1" x14ac:dyDescent="0.25">
      <c r="A1635" s="7" t="s">
        <v>2135</v>
      </c>
      <c r="B1635" s="7" t="s">
        <v>0</v>
      </c>
      <c r="C1635" s="7" t="s">
        <v>2139</v>
      </c>
      <c r="D1635" s="7" t="s">
        <v>4</v>
      </c>
      <c r="E1635" s="7" t="s">
        <v>18</v>
      </c>
      <c r="F1635" s="5">
        <v>16.97</v>
      </c>
      <c r="G1635" s="7" t="s">
        <v>2140</v>
      </c>
      <c r="H1635" s="7" t="s">
        <v>2139</v>
      </c>
      <c r="I1635" s="7" t="s">
        <v>2627</v>
      </c>
      <c r="K1635">
        <f>IF($A1635="","",IF(ISNUMBER($A1635),MONTH($A1635),MONTH(DATEVALUE($A1635))))</f>
        <v>3</v>
      </c>
    </row>
    <row r="1636" spans="1:11" ht="60" customHeight="1" x14ac:dyDescent="0.25">
      <c r="A1636" s="8" t="s">
        <v>2141</v>
      </c>
      <c r="B1636" s="8" t="s">
        <v>0</v>
      </c>
      <c r="C1636" s="8" t="s">
        <v>2142</v>
      </c>
      <c r="D1636" s="8" t="s">
        <v>4</v>
      </c>
      <c r="E1636" s="8" t="s">
        <v>18</v>
      </c>
      <c r="F1636" s="6">
        <v>12</v>
      </c>
      <c r="G1636" s="8" t="s">
        <v>2143</v>
      </c>
      <c r="H1636" s="8" t="s">
        <v>2142</v>
      </c>
      <c r="I1636" s="8" t="s">
        <v>2636</v>
      </c>
      <c r="K1636">
        <f>IF($A1636="","",IF(ISNUMBER($A1636),MONTH($A1636),MONTH(DATEVALUE($A1636))))</f>
        <v>3</v>
      </c>
    </row>
    <row r="1637" spans="1:11" ht="60" customHeight="1" x14ac:dyDescent="0.25">
      <c r="A1637" s="7" t="s">
        <v>2141</v>
      </c>
      <c r="B1637" s="7" t="s">
        <v>0</v>
      </c>
      <c r="C1637" s="7" t="s">
        <v>2144</v>
      </c>
      <c r="D1637" s="7" t="s">
        <v>4</v>
      </c>
      <c r="E1637" s="7" t="s">
        <v>18</v>
      </c>
      <c r="F1637" s="5">
        <v>1267.8599999999999</v>
      </c>
      <c r="G1637" s="7" t="s">
        <v>2145</v>
      </c>
      <c r="H1637" s="7" t="s">
        <v>2144</v>
      </c>
      <c r="I1637" s="7" t="s">
        <v>2662</v>
      </c>
      <c r="K1637">
        <f>IF($A1637="","",IF(ISNUMBER($A1637),MONTH($A1637),MONTH(DATEVALUE($A1637))))</f>
        <v>3</v>
      </c>
    </row>
    <row r="1638" spans="1:11" ht="60" customHeight="1" x14ac:dyDescent="0.25">
      <c r="A1638" s="8" t="s">
        <v>2141</v>
      </c>
      <c r="B1638" s="8" t="s">
        <v>0</v>
      </c>
      <c r="C1638" s="8" t="s">
        <v>2146</v>
      </c>
      <c r="D1638" s="8" t="s">
        <v>4</v>
      </c>
      <c r="E1638" s="8" t="s">
        <v>18</v>
      </c>
      <c r="F1638" s="6">
        <v>39.97</v>
      </c>
      <c r="G1638" s="8" t="s">
        <v>2147</v>
      </c>
      <c r="H1638" s="8" t="s">
        <v>2146</v>
      </c>
      <c r="I1638" s="8" t="s">
        <v>2627</v>
      </c>
      <c r="K1638">
        <f>IF($A1638="","",IF(ISNUMBER($A1638),MONTH($A1638),MONTH(DATEVALUE($A1638))))</f>
        <v>3</v>
      </c>
    </row>
    <row r="1639" spans="1:11" ht="60" customHeight="1" x14ac:dyDescent="0.25">
      <c r="A1639" s="7" t="s">
        <v>2148</v>
      </c>
      <c r="B1639" s="7" t="s">
        <v>0</v>
      </c>
      <c r="C1639" s="7" t="s">
        <v>1096</v>
      </c>
      <c r="D1639" s="7" t="s">
        <v>4</v>
      </c>
      <c r="E1639" s="7" t="s">
        <v>18</v>
      </c>
      <c r="F1639" s="5">
        <v>-206.95</v>
      </c>
      <c r="G1639" s="7" t="s">
        <v>1101</v>
      </c>
      <c r="H1639" s="7" t="s">
        <v>1096</v>
      </c>
      <c r="I1639" s="7" t="s">
        <v>2647</v>
      </c>
      <c r="K1639">
        <f>IF($A1639="","",IF(ISNUMBER($A1639),MONTH($A1639),MONTH(DATEVALUE($A1639))))</f>
        <v>3</v>
      </c>
    </row>
    <row r="1640" spans="1:11" ht="60" customHeight="1" x14ac:dyDescent="0.25">
      <c r="A1640" s="8" t="s">
        <v>2148</v>
      </c>
      <c r="B1640" s="8" t="s">
        <v>0</v>
      </c>
      <c r="C1640" s="8" t="s">
        <v>1096</v>
      </c>
      <c r="D1640" s="8" t="s">
        <v>4</v>
      </c>
      <c r="E1640" s="8" t="s">
        <v>18</v>
      </c>
      <c r="F1640" s="6">
        <v>-147.19999999999999</v>
      </c>
      <c r="G1640" s="8" t="s">
        <v>1101</v>
      </c>
      <c r="H1640" s="8" t="s">
        <v>1096</v>
      </c>
      <c r="I1640" s="8" t="s">
        <v>2647</v>
      </c>
      <c r="K1640">
        <f>IF($A1640="","",IF(ISNUMBER($A1640),MONTH($A1640),MONTH(DATEVALUE($A1640))))</f>
        <v>3</v>
      </c>
    </row>
    <row r="1641" spans="1:11" ht="60" customHeight="1" x14ac:dyDescent="0.25">
      <c r="A1641" s="7" t="s">
        <v>2148</v>
      </c>
      <c r="B1641" s="7" t="s">
        <v>0</v>
      </c>
      <c r="C1641" s="7" t="s">
        <v>1102</v>
      </c>
      <c r="D1641" s="7" t="s">
        <v>4</v>
      </c>
      <c r="E1641" s="7" t="s">
        <v>18</v>
      </c>
      <c r="F1641" s="5">
        <v>147.19999999999999</v>
      </c>
      <c r="G1641" s="7" t="s">
        <v>2149</v>
      </c>
      <c r="H1641" s="7" t="s">
        <v>1096</v>
      </c>
      <c r="I1641" s="7" t="s">
        <v>2647</v>
      </c>
      <c r="K1641">
        <f>IF($A1641="","",IF(ISNUMBER($A1641),MONTH($A1641),MONTH(DATEVALUE($A1641))))</f>
        <v>3</v>
      </c>
    </row>
    <row r="1642" spans="1:11" ht="60" customHeight="1" x14ac:dyDescent="0.25">
      <c r="A1642" s="8" t="s">
        <v>2148</v>
      </c>
      <c r="B1642" s="8" t="s">
        <v>0</v>
      </c>
      <c r="C1642" s="8" t="s">
        <v>1102</v>
      </c>
      <c r="D1642" s="8" t="s">
        <v>4</v>
      </c>
      <c r="E1642" s="8" t="s">
        <v>18</v>
      </c>
      <c r="F1642" s="6">
        <v>206.95</v>
      </c>
      <c r="G1642" s="8" t="s">
        <v>2150</v>
      </c>
      <c r="H1642" s="8" t="s">
        <v>1096</v>
      </c>
      <c r="I1642" s="8" t="s">
        <v>2647</v>
      </c>
      <c r="K1642">
        <f>IF($A1642="","",IF(ISNUMBER($A1642),MONTH($A1642),MONTH(DATEVALUE($A1642))))</f>
        <v>3</v>
      </c>
    </row>
    <row r="1643" spans="1:11" ht="60" customHeight="1" x14ac:dyDescent="0.25">
      <c r="A1643" s="7" t="s">
        <v>2148</v>
      </c>
      <c r="B1643" s="7" t="s">
        <v>0</v>
      </c>
      <c r="C1643" s="7" t="s">
        <v>104</v>
      </c>
      <c r="D1643" s="7" t="s">
        <v>4</v>
      </c>
      <c r="E1643" s="7" t="s">
        <v>18</v>
      </c>
      <c r="F1643" s="5">
        <v>13.99</v>
      </c>
      <c r="G1643" s="7" t="s">
        <v>2151</v>
      </c>
      <c r="H1643" s="7" t="s">
        <v>104</v>
      </c>
      <c r="I1643" s="7" t="s">
        <v>2632</v>
      </c>
      <c r="K1643">
        <f>IF($A1643="","",IF(ISNUMBER($A1643),MONTH($A1643),MONTH(DATEVALUE($A1643))))</f>
        <v>3</v>
      </c>
    </row>
    <row r="1644" spans="1:11" ht="60" customHeight="1" x14ac:dyDescent="0.25">
      <c r="A1644" s="8" t="s">
        <v>2148</v>
      </c>
      <c r="B1644" s="8" t="s">
        <v>0</v>
      </c>
      <c r="C1644" s="8" t="s">
        <v>2152</v>
      </c>
      <c r="D1644" s="8" t="s">
        <v>4</v>
      </c>
      <c r="E1644" s="8" t="s">
        <v>18</v>
      </c>
      <c r="F1644" s="6">
        <v>5</v>
      </c>
      <c r="G1644" s="8" t="s">
        <v>2153</v>
      </c>
      <c r="H1644" s="8" t="s">
        <v>2152</v>
      </c>
      <c r="I1644" s="8" t="s">
        <v>2636</v>
      </c>
      <c r="K1644">
        <f>IF($A1644="","",IF(ISNUMBER($A1644),MONTH($A1644),MONTH(DATEVALUE($A1644))))</f>
        <v>3</v>
      </c>
    </row>
    <row r="1645" spans="1:11" ht="60" customHeight="1" x14ac:dyDescent="0.25">
      <c r="A1645" s="7" t="s">
        <v>2148</v>
      </c>
      <c r="B1645" s="7" t="s">
        <v>0</v>
      </c>
      <c r="C1645" s="7" t="s">
        <v>2152</v>
      </c>
      <c r="D1645" s="7" t="s">
        <v>4</v>
      </c>
      <c r="E1645" s="7" t="s">
        <v>18</v>
      </c>
      <c r="F1645" s="5">
        <v>150.09</v>
      </c>
      <c r="G1645" s="7" t="s">
        <v>2154</v>
      </c>
      <c r="H1645" s="7" t="s">
        <v>2152</v>
      </c>
      <c r="I1645" s="7" t="s">
        <v>2636</v>
      </c>
      <c r="K1645">
        <f>IF($A1645="","",IF(ISNUMBER($A1645),MONTH($A1645),MONTH(DATEVALUE($A1645))))</f>
        <v>3</v>
      </c>
    </row>
    <row r="1646" spans="1:11" ht="60" customHeight="1" x14ac:dyDescent="0.25">
      <c r="A1646" s="8" t="s">
        <v>2148</v>
      </c>
      <c r="B1646" s="8" t="s">
        <v>0</v>
      </c>
      <c r="C1646" s="8" t="s">
        <v>211</v>
      </c>
      <c r="D1646" s="8" t="s">
        <v>4</v>
      </c>
      <c r="E1646" s="8" t="s">
        <v>18</v>
      </c>
      <c r="F1646" s="6">
        <v>52.14</v>
      </c>
      <c r="G1646" s="8" t="s">
        <v>2155</v>
      </c>
      <c r="H1646" s="8" t="s">
        <v>211</v>
      </c>
      <c r="I1646" s="8" t="s">
        <v>2630</v>
      </c>
      <c r="K1646">
        <f>IF($A1646="","",IF(ISNUMBER($A1646),MONTH($A1646),MONTH(DATEVALUE($A1646))))</f>
        <v>3</v>
      </c>
    </row>
    <row r="1647" spans="1:11" ht="60" customHeight="1" x14ac:dyDescent="0.25">
      <c r="A1647" s="7" t="s">
        <v>2156</v>
      </c>
      <c r="B1647" s="7" t="s">
        <v>0</v>
      </c>
      <c r="C1647" s="7" t="s">
        <v>2157</v>
      </c>
      <c r="D1647" s="7" t="s">
        <v>4</v>
      </c>
      <c r="E1647" s="7" t="s">
        <v>18</v>
      </c>
      <c r="F1647" s="5">
        <v>106.67</v>
      </c>
      <c r="G1647" s="7" t="s">
        <v>2158</v>
      </c>
      <c r="H1647" s="7" t="s">
        <v>2157</v>
      </c>
      <c r="I1647" s="7" t="s">
        <v>2662</v>
      </c>
      <c r="K1647">
        <f>IF($A1647="","",IF(ISNUMBER($A1647),MONTH($A1647),MONTH(DATEVALUE($A1647))))</f>
        <v>3</v>
      </c>
    </row>
    <row r="1648" spans="1:11" ht="60" customHeight="1" x14ac:dyDescent="0.25">
      <c r="A1648" s="8" t="s">
        <v>2156</v>
      </c>
      <c r="B1648" s="8" t="s">
        <v>0</v>
      </c>
      <c r="C1648" s="8" t="s">
        <v>2159</v>
      </c>
      <c r="D1648" s="8" t="s">
        <v>1113</v>
      </c>
      <c r="E1648" s="8" t="s">
        <v>1114</v>
      </c>
      <c r="F1648" s="6">
        <v>444.89</v>
      </c>
      <c r="G1648" s="8" t="s">
        <v>2160</v>
      </c>
      <c r="H1648" s="8" t="s">
        <v>2159</v>
      </c>
      <c r="I1648" s="8" t="s">
        <v>2665</v>
      </c>
      <c r="K1648">
        <f>IF($A1648="","",IF(ISNUMBER($A1648),MONTH($A1648),MONTH(DATEVALUE($A1648))))</f>
        <v>3</v>
      </c>
    </row>
    <row r="1649" spans="1:11" ht="60" customHeight="1" x14ac:dyDescent="0.25">
      <c r="A1649" s="7" t="s">
        <v>2156</v>
      </c>
      <c r="B1649" s="7" t="s">
        <v>0</v>
      </c>
      <c r="C1649" s="7" t="s">
        <v>1671</v>
      </c>
      <c r="D1649" s="7" t="s">
        <v>4</v>
      </c>
      <c r="E1649" s="7" t="s">
        <v>18</v>
      </c>
      <c r="F1649" s="5">
        <v>14.46</v>
      </c>
      <c r="G1649" s="7" t="s">
        <v>2161</v>
      </c>
      <c r="H1649" s="7" t="s">
        <v>1671</v>
      </c>
      <c r="I1649" s="7" t="s">
        <v>2636</v>
      </c>
      <c r="K1649">
        <f>IF($A1649="","",IF(ISNUMBER($A1649),MONTH($A1649),MONTH(DATEVALUE($A1649))))</f>
        <v>3</v>
      </c>
    </row>
    <row r="1650" spans="1:11" ht="60" customHeight="1" x14ac:dyDescent="0.25">
      <c r="A1650" s="8" t="s">
        <v>2156</v>
      </c>
      <c r="B1650" s="8" t="s">
        <v>0</v>
      </c>
      <c r="C1650" s="8" t="s">
        <v>580</v>
      </c>
      <c r="D1650" s="8" t="s">
        <v>4</v>
      </c>
      <c r="E1650" s="8" t="s">
        <v>18</v>
      </c>
      <c r="F1650" s="6">
        <v>108.37</v>
      </c>
      <c r="G1650" s="8" t="s">
        <v>2162</v>
      </c>
      <c r="H1650" s="8" t="s">
        <v>580</v>
      </c>
      <c r="I1650" s="8" t="s">
        <v>2645</v>
      </c>
      <c r="K1650">
        <f>IF($A1650="","",IF(ISNUMBER($A1650),MONTH($A1650),MONTH(DATEVALUE($A1650))))</f>
        <v>3</v>
      </c>
    </row>
    <row r="1651" spans="1:11" ht="60" customHeight="1" x14ac:dyDescent="0.25">
      <c r="A1651" s="7" t="s">
        <v>2163</v>
      </c>
      <c r="B1651" s="7" t="s">
        <v>0</v>
      </c>
      <c r="C1651" s="7" t="s">
        <v>217</v>
      </c>
      <c r="D1651" s="7" t="s">
        <v>4</v>
      </c>
      <c r="E1651" s="7" t="s">
        <v>18</v>
      </c>
      <c r="F1651" s="5">
        <v>119.52</v>
      </c>
      <c r="G1651" s="7" t="s">
        <v>2164</v>
      </c>
      <c r="H1651" s="7" t="s">
        <v>217</v>
      </c>
      <c r="I1651" s="7" t="s">
        <v>2632</v>
      </c>
      <c r="K1651">
        <f>IF($A1651="","",IF(ISNUMBER($A1651),MONTH($A1651),MONTH(DATEVALUE($A1651))))</f>
        <v>3</v>
      </c>
    </row>
    <row r="1652" spans="1:11" ht="60" customHeight="1" x14ac:dyDescent="0.25">
      <c r="A1652" s="8" t="s">
        <v>2163</v>
      </c>
      <c r="B1652" s="8" t="s">
        <v>0</v>
      </c>
      <c r="C1652" s="8" t="s">
        <v>1096</v>
      </c>
      <c r="D1652" s="8" t="s">
        <v>4</v>
      </c>
      <c r="E1652" s="8" t="s">
        <v>18</v>
      </c>
      <c r="F1652" s="6">
        <v>-413.9</v>
      </c>
      <c r="G1652" s="8" t="s">
        <v>1101</v>
      </c>
      <c r="H1652" s="8" t="s">
        <v>1096</v>
      </c>
      <c r="I1652" s="8" t="s">
        <v>2647</v>
      </c>
      <c r="K1652">
        <f>IF($A1652="","",IF(ISNUMBER($A1652),MONTH($A1652),MONTH(DATEVALUE($A1652))))</f>
        <v>3</v>
      </c>
    </row>
    <row r="1653" spans="1:11" ht="60" customHeight="1" x14ac:dyDescent="0.25">
      <c r="A1653" s="7" t="s">
        <v>2163</v>
      </c>
      <c r="B1653" s="7" t="s">
        <v>0</v>
      </c>
      <c r="C1653" s="7" t="s">
        <v>1102</v>
      </c>
      <c r="D1653" s="7" t="s">
        <v>4</v>
      </c>
      <c r="E1653" s="7" t="s">
        <v>18</v>
      </c>
      <c r="F1653" s="5">
        <v>413.9</v>
      </c>
      <c r="G1653" s="7" t="s">
        <v>2165</v>
      </c>
      <c r="H1653" s="7" t="s">
        <v>1096</v>
      </c>
      <c r="I1653" s="7" t="s">
        <v>2647</v>
      </c>
      <c r="K1653">
        <f>IF($A1653="","",IF(ISNUMBER($A1653),MONTH($A1653),MONTH(DATEVALUE($A1653))))</f>
        <v>3</v>
      </c>
    </row>
    <row r="1654" spans="1:11" ht="60" customHeight="1" x14ac:dyDescent="0.25">
      <c r="A1654" s="8" t="s">
        <v>2163</v>
      </c>
      <c r="B1654" s="8" t="s">
        <v>0</v>
      </c>
      <c r="C1654" s="8" t="s">
        <v>1979</v>
      </c>
      <c r="D1654" s="8" t="s">
        <v>4</v>
      </c>
      <c r="E1654" s="8" t="s">
        <v>18</v>
      </c>
      <c r="F1654" s="6">
        <v>546.97</v>
      </c>
      <c r="G1654" s="8" t="s">
        <v>2166</v>
      </c>
      <c r="H1654" s="8" t="s">
        <v>1979</v>
      </c>
      <c r="I1654" s="8" t="s">
        <v>2636</v>
      </c>
      <c r="K1654">
        <f>IF($A1654="","",IF(ISNUMBER($A1654),MONTH($A1654),MONTH(DATEVALUE($A1654))))</f>
        <v>3</v>
      </c>
    </row>
    <row r="1655" spans="1:11" ht="60" customHeight="1" x14ac:dyDescent="0.25">
      <c r="A1655" s="7" t="s">
        <v>2163</v>
      </c>
      <c r="B1655" s="7" t="s">
        <v>0</v>
      </c>
      <c r="C1655" s="7" t="s">
        <v>1979</v>
      </c>
      <c r="D1655" s="7" t="s">
        <v>4</v>
      </c>
      <c r="E1655" s="7" t="s">
        <v>18</v>
      </c>
      <c r="F1655" s="5">
        <v>750.96</v>
      </c>
      <c r="G1655" s="7" t="s">
        <v>2167</v>
      </c>
      <c r="H1655" s="7" t="s">
        <v>1979</v>
      </c>
      <c r="I1655" s="7" t="s">
        <v>2636</v>
      </c>
      <c r="K1655">
        <f>IF($A1655="","",IF(ISNUMBER($A1655),MONTH($A1655),MONTH(DATEVALUE($A1655))))</f>
        <v>3</v>
      </c>
    </row>
    <row r="1656" spans="1:11" ht="60" customHeight="1" x14ac:dyDescent="0.25">
      <c r="A1656" s="8" t="s">
        <v>2163</v>
      </c>
      <c r="B1656" s="8" t="s">
        <v>0</v>
      </c>
      <c r="C1656" s="8" t="s">
        <v>2168</v>
      </c>
      <c r="D1656" s="8" t="s">
        <v>4</v>
      </c>
      <c r="E1656" s="8" t="s">
        <v>18</v>
      </c>
      <c r="F1656" s="6">
        <v>-546.97</v>
      </c>
      <c r="G1656" s="8" t="s">
        <v>2169</v>
      </c>
      <c r="H1656" s="8" t="s">
        <v>2168</v>
      </c>
      <c r="I1656" s="7" t="s">
        <v>2636</v>
      </c>
      <c r="K1656">
        <f>IF($A1656="","",IF(ISNUMBER($A1656),MONTH($A1656),MONTH(DATEVALUE($A1656))))</f>
        <v>3</v>
      </c>
    </row>
    <row r="1657" spans="1:11" ht="60" customHeight="1" x14ac:dyDescent="0.25">
      <c r="A1657" s="7" t="s">
        <v>2163</v>
      </c>
      <c r="B1657" s="7" t="s">
        <v>0</v>
      </c>
      <c r="C1657" s="7" t="s">
        <v>2168</v>
      </c>
      <c r="D1657" s="7" t="s">
        <v>4</v>
      </c>
      <c r="E1657" s="7" t="s">
        <v>18</v>
      </c>
      <c r="F1657" s="5">
        <v>-257.60000000000002</v>
      </c>
      <c r="G1657" s="7" t="s">
        <v>2169</v>
      </c>
      <c r="H1657" s="7" t="s">
        <v>2168</v>
      </c>
      <c r="I1657" s="7" t="s">
        <v>2636</v>
      </c>
      <c r="K1657">
        <f>IF($A1657="","",IF(ISNUMBER($A1657),MONTH($A1657),MONTH(DATEVALUE($A1657))))</f>
        <v>3</v>
      </c>
    </row>
    <row r="1658" spans="1:11" ht="60" customHeight="1" x14ac:dyDescent="0.25">
      <c r="A1658" s="8" t="s">
        <v>2163</v>
      </c>
      <c r="B1658" s="8" t="s">
        <v>0</v>
      </c>
      <c r="C1658" s="8" t="s">
        <v>2170</v>
      </c>
      <c r="D1658" s="8" t="s">
        <v>4</v>
      </c>
      <c r="E1658" s="8" t="s">
        <v>18</v>
      </c>
      <c r="F1658" s="6">
        <v>29.97</v>
      </c>
      <c r="G1658" s="8" t="s">
        <v>2171</v>
      </c>
      <c r="H1658" s="8" t="s">
        <v>2170</v>
      </c>
      <c r="I1658" s="8" t="s">
        <v>2627</v>
      </c>
      <c r="K1658">
        <f>IF($A1658="","",IF(ISNUMBER($A1658),MONTH($A1658),MONTH(DATEVALUE($A1658))))</f>
        <v>3</v>
      </c>
    </row>
    <row r="1659" spans="1:11" ht="60" customHeight="1" x14ac:dyDescent="0.25">
      <c r="A1659" s="7" t="s">
        <v>2163</v>
      </c>
      <c r="B1659" s="7" t="s">
        <v>0</v>
      </c>
      <c r="C1659" s="7" t="s">
        <v>1758</v>
      </c>
      <c r="D1659" s="7" t="s">
        <v>4</v>
      </c>
      <c r="E1659" s="7" t="s">
        <v>18</v>
      </c>
      <c r="F1659" s="5">
        <v>20</v>
      </c>
      <c r="G1659" s="7" t="s">
        <v>2172</v>
      </c>
      <c r="H1659" s="7" t="s">
        <v>1758</v>
      </c>
      <c r="I1659" s="7" t="s">
        <v>2630</v>
      </c>
      <c r="K1659">
        <f>IF($A1659="","",IF(ISNUMBER($A1659),MONTH($A1659),MONTH(DATEVALUE($A1659))))</f>
        <v>3</v>
      </c>
    </row>
    <row r="1660" spans="1:11" ht="60" customHeight="1" x14ac:dyDescent="0.25">
      <c r="A1660" s="8" t="s">
        <v>2173</v>
      </c>
      <c r="B1660" s="8" t="s">
        <v>0</v>
      </c>
      <c r="C1660" s="8" t="s">
        <v>1096</v>
      </c>
      <c r="D1660" s="8" t="s">
        <v>4</v>
      </c>
      <c r="E1660" s="8" t="s">
        <v>18</v>
      </c>
      <c r="F1660" s="6">
        <v>-423.8</v>
      </c>
      <c r="G1660" s="8" t="s">
        <v>1101</v>
      </c>
      <c r="H1660" s="8" t="s">
        <v>1096</v>
      </c>
      <c r="I1660" s="8" t="s">
        <v>2647</v>
      </c>
      <c r="K1660">
        <f>IF($A1660="","",IF(ISNUMBER($A1660),MONTH($A1660),MONTH(DATEVALUE($A1660))))</f>
        <v>2</v>
      </c>
    </row>
    <row r="1661" spans="1:11" ht="60" customHeight="1" x14ac:dyDescent="0.25">
      <c r="A1661" s="7" t="s">
        <v>2173</v>
      </c>
      <c r="B1661" s="7" t="s">
        <v>0</v>
      </c>
      <c r="C1661" s="7" t="s">
        <v>1096</v>
      </c>
      <c r="D1661" s="7" t="s">
        <v>4</v>
      </c>
      <c r="E1661" s="7" t="s">
        <v>18</v>
      </c>
      <c r="F1661" s="5">
        <v>-21.6</v>
      </c>
      <c r="G1661" s="7" t="s">
        <v>2174</v>
      </c>
      <c r="H1661" s="7" t="s">
        <v>1096</v>
      </c>
      <c r="I1661" s="7" t="s">
        <v>2647</v>
      </c>
      <c r="K1661">
        <f>IF($A1661="","",IF(ISNUMBER($A1661),MONTH($A1661),MONTH(DATEVALUE($A1661))))</f>
        <v>2</v>
      </c>
    </row>
    <row r="1662" spans="1:11" ht="60" customHeight="1" x14ac:dyDescent="0.25">
      <c r="A1662" s="8" t="s">
        <v>2173</v>
      </c>
      <c r="B1662" s="8" t="s">
        <v>0</v>
      </c>
      <c r="C1662" s="8" t="s">
        <v>1102</v>
      </c>
      <c r="D1662" s="8" t="s">
        <v>4</v>
      </c>
      <c r="E1662" s="8" t="s">
        <v>18</v>
      </c>
      <c r="F1662" s="6">
        <v>423.8</v>
      </c>
      <c r="G1662" s="8" t="s">
        <v>2175</v>
      </c>
      <c r="H1662" s="8" t="s">
        <v>1096</v>
      </c>
      <c r="I1662" s="8" t="s">
        <v>2647</v>
      </c>
      <c r="K1662">
        <f>IF($A1662="","",IF(ISNUMBER($A1662),MONTH($A1662),MONTH(DATEVALUE($A1662))))</f>
        <v>2</v>
      </c>
    </row>
    <row r="1663" spans="1:11" ht="60" customHeight="1" x14ac:dyDescent="0.25">
      <c r="A1663" s="7" t="s">
        <v>2173</v>
      </c>
      <c r="B1663" s="7" t="s">
        <v>0</v>
      </c>
      <c r="C1663" s="7" t="s">
        <v>27</v>
      </c>
      <c r="D1663" s="7" t="s">
        <v>4</v>
      </c>
      <c r="E1663" s="7" t="s">
        <v>18</v>
      </c>
      <c r="F1663" s="5">
        <v>20</v>
      </c>
      <c r="G1663" s="7" t="s">
        <v>2176</v>
      </c>
      <c r="H1663" s="7" t="s">
        <v>27</v>
      </c>
      <c r="I1663" s="7" t="s">
        <v>2628</v>
      </c>
      <c r="K1663">
        <f>IF($A1663="","",IF(ISNUMBER($A1663),MONTH($A1663),MONTH(DATEVALUE($A1663))))</f>
        <v>2</v>
      </c>
    </row>
    <row r="1664" spans="1:11" ht="60" customHeight="1" x14ac:dyDescent="0.25">
      <c r="A1664" s="8" t="s">
        <v>2177</v>
      </c>
      <c r="B1664" s="8" t="s">
        <v>0</v>
      </c>
      <c r="C1664" s="8" t="s">
        <v>1096</v>
      </c>
      <c r="D1664" s="8" t="s">
        <v>4</v>
      </c>
      <c r="E1664" s="8" t="s">
        <v>18</v>
      </c>
      <c r="F1664" s="6">
        <v>-413.9</v>
      </c>
      <c r="G1664" s="8" t="s">
        <v>1101</v>
      </c>
      <c r="H1664" s="8" t="s">
        <v>1096</v>
      </c>
      <c r="I1664" s="8" t="s">
        <v>2647</v>
      </c>
      <c r="K1664">
        <f>IF($A1664="","",IF(ISNUMBER($A1664),MONTH($A1664),MONTH(DATEVALUE($A1664))))</f>
        <v>2</v>
      </c>
    </row>
    <row r="1665" spans="1:11" ht="60" customHeight="1" x14ac:dyDescent="0.25">
      <c r="A1665" s="7" t="s">
        <v>2177</v>
      </c>
      <c r="B1665" s="7" t="s">
        <v>0</v>
      </c>
      <c r="C1665" s="7" t="s">
        <v>1096</v>
      </c>
      <c r="D1665" s="7" t="s">
        <v>4</v>
      </c>
      <c r="E1665" s="7" t="s">
        <v>18</v>
      </c>
      <c r="F1665" s="5">
        <v>-101.97</v>
      </c>
      <c r="G1665" s="7" t="s">
        <v>1101</v>
      </c>
      <c r="H1665" s="7" t="s">
        <v>1096</v>
      </c>
      <c r="I1665" s="7" t="s">
        <v>2647</v>
      </c>
      <c r="K1665">
        <f>IF($A1665="","",IF(ISNUMBER($A1665),MONTH($A1665),MONTH(DATEVALUE($A1665))))</f>
        <v>2</v>
      </c>
    </row>
    <row r="1666" spans="1:11" ht="60" customHeight="1" x14ac:dyDescent="0.25">
      <c r="A1666" s="8" t="s">
        <v>2177</v>
      </c>
      <c r="B1666" s="8" t="s">
        <v>0</v>
      </c>
      <c r="C1666" s="8" t="s">
        <v>1096</v>
      </c>
      <c r="D1666" s="8" t="s">
        <v>4</v>
      </c>
      <c r="E1666" s="8" t="s">
        <v>18</v>
      </c>
      <c r="F1666" s="6">
        <v>-72.680000000000007</v>
      </c>
      <c r="G1666" s="8" t="s">
        <v>1101</v>
      </c>
      <c r="H1666" s="8" t="s">
        <v>1096</v>
      </c>
      <c r="I1666" s="8" t="s">
        <v>2647</v>
      </c>
      <c r="K1666">
        <f>IF($A1666="","",IF(ISNUMBER($A1666),MONTH($A1666),MONTH(DATEVALUE($A1666))))</f>
        <v>2</v>
      </c>
    </row>
    <row r="1667" spans="1:11" ht="60" customHeight="1" x14ac:dyDescent="0.25">
      <c r="A1667" s="7" t="s">
        <v>2177</v>
      </c>
      <c r="B1667" s="7" t="s">
        <v>0</v>
      </c>
      <c r="C1667" s="7" t="s">
        <v>1096</v>
      </c>
      <c r="D1667" s="7" t="s">
        <v>4</v>
      </c>
      <c r="E1667" s="7" t="s">
        <v>18</v>
      </c>
      <c r="F1667" s="5">
        <v>-49.67</v>
      </c>
      <c r="G1667" s="7" t="s">
        <v>1101</v>
      </c>
      <c r="H1667" s="7" t="s">
        <v>1096</v>
      </c>
      <c r="I1667" s="7" t="s">
        <v>2647</v>
      </c>
      <c r="K1667">
        <f>IF($A1667="","",IF(ISNUMBER($A1667),MONTH($A1667),MONTH(DATEVALUE($A1667))))</f>
        <v>2</v>
      </c>
    </row>
    <row r="1668" spans="1:11" ht="60" customHeight="1" x14ac:dyDescent="0.25">
      <c r="A1668" s="8" t="s">
        <v>2177</v>
      </c>
      <c r="B1668" s="8" t="s">
        <v>0</v>
      </c>
      <c r="C1668" s="8" t="s">
        <v>1102</v>
      </c>
      <c r="D1668" s="8" t="s">
        <v>4</v>
      </c>
      <c r="E1668" s="8" t="s">
        <v>18</v>
      </c>
      <c r="F1668" s="6">
        <v>49.67</v>
      </c>
      <c r="G1668" s="8" t="s">
        <v>2178</v>
      </c>
      <c r="H1668" s="8" t="s">
        <v>1096</v>
      </c>
      <c r="I1668" s="8" t="s">
        <v>2647</v>
      </c>
      <c r="K1668">
        <f>IF($A1668="","",IF(ISNUMBER($A1668),MONTH($A1668),MONTH(DATEVALUE($A1668))))</f>
        <v>2</v>
      </c>
    </row>
    <row r="1669" spans="1:11" ht="60" customHeight="1" x14ac:dyDescent="0.25">
      <c r="A1669" s="7" t="s">
        <v>2177</v>
      </c>
      <c r="B1669" s="7" t="s">
        <v>0</v>
      </c>
      <c r="C1669" s="7" t="s">
        <v>1102</v>
      </c>
      <c r="D1669" s="7" t="s">
        <v>4</v>
      </c>
      <c r="E1669" s="7" t="s">
        <v>18</v>
      </c>
      <c r="F1669" s="5">
        <v>72.680000000000007</v>
      </c>
      <c r="G1669" s="7" t="s">
        <v>2179</v>
      </c>
      <c r="H1669" s="7" t="s">
        <v>1096</v>
      </c>
      <c r="I1669" s="7" t="s">
        <v>2647</v>
      </c>
      <c r="K1669">
        <f>IF($A1669="","",IF(ISNUMBER($A1669),MONTH($A1669),MONTH(DATEVALUE($A1669))))</f>
        <v>2</v>
      </c>
    </row>
    <row r="1670" spans="1:11" ht="60" customHeight="1" x14ac:dyDescent="0.25">
      <c r="A1670" s="8" t="s">
        <v>2177</v>
      </c>
      <c r="B1670" s="8" t="s">
        <v>0</v>
      </c>
      <c r="C1670" s="8" t="s">
        <v>1102</v>
      </c>
      <c r="D1670" s="8" t="s">
        <v>4</v>
      </c>
      <c r="E1670" s="8" t="s">
        <v>18</v>
      </c>
      <c r="F1670" s="6">
        <v>101.97</v>
      </c>
      <c r="G1670" s="8" t="s">
        <v>2180</v>
      </c>
      <c r="H1670" s="8" t="s">
        <v>1096</v>
      </c>
      <c r="I1670" s="8" t="s">
        <v>2647</v>
      </c>
      <c r="K1670">
        <f>IF($A1670="","",IF(ISNUMBER($A1670),MONTH($A1670),MONTH(DATEVALUE($A1670))))</f>
        <v>2</v>
      </c>
    </row>
    <row r="1671" spans="1:11" ht="60" customHeight="1" x14ac:dyDescent="0.25">
      <c r="A1671" s="7" t="s">
        <v>2177</v>
      </c>
      <c r="B1671" s="7" t="s">
        <v>0</v>
      </c>
      <c r="C1671" s="7" t="s">
        <v>1102</v>
      </c>
      <c r="D1671" s="7" t="s">
        <v>4</v>
      </c>
      <c r="E1671" s="7" t="s">
        <v>18</v>
      </c>
      <c r="F1671" s="5">
        <v>413.9</v>
      </c>
      <c r="G1671" s="7" t="s">
        <v>2181</v>
      </c>
      <c r="H1671" s="7" t="s">
        <v>1096</v>
      </c>
      <c r="I1671" s="7" t="s">
        <v>2647</v>
      </c>
      <c r="K1671">
        <f>IF($A1671="","",IF(ISNUMBER($A1671),MONTH($A1671),MONTH(DATEVALUE($A1671))))</f>
        <v>2</v>
      </c>
    </row>
    <row r="1672" spans="1:11" ht="60" customHeight="1" x14ac:dyDescent="0.25">
      <c r="A1672" s="8" t="s">
        <v>2177</v>
      </c>
      <c r="B1672" s="8" t="s">
        <v>0</v>
      </c>
      <c r="C1672" s="8" t="s">
        <v>522</v>
      </c>
      <c r="D1672" s="8" t="s">
        <v>4</v>
      </c>
      <c r="E1672" s="8" t="s">
        <v>18</v>
      </c>
      <c r="F1672" s="6">
        <v>84.75</v>
      </c>
      <c r="G1672" s="8" t="s">
        <v>2182</v>
      </c>
      <c r="H1672" s="8" t="s">
        <v>522</v>
      </c>
      <c r="I1672" s="8" t="s">
        <v>2647</v>
      </c>
      <c r="K1672">
        <f>IF($A1672="","",IF(ISNUMBER($A1672),MONTH($A1672),MONTH(DATEVALUE($A1672))))</f>
        <v>2</v>
      </c>
    </row>
    <row r="1673" spans="1:11" ht="60" customHeight="1" x14ac:dyDescent="0.25">
      <c r="A1673" s="7" t="s">
        <v>2177</v>
      </c>
      <c r="B1673" s="7" t="s">
        <v>0</v>
      </c>
      <c r="C1673" s="7" t="s">
        <v>2183</v>
      </c>
      <c r="D1673" s="7" t="s">
        <v>4</v>
      </c>
      <c r="E1673" s="7" t="s">
        <v>18</v>
      </c>
      <c r="F1673" s="5">
        <v>11.99</v>
      </c>
      <c r="G1673" s="7" t="s">
        <v>2184</v>
      </c>
      <c r="H1673" s="7" t="s">
        <v>2183</v>
      </c>
      <c r="I1673" s="7" t="s">
        <v>2627</v>
      </c>
      <c r="K1673">
        <f>IF($A1673="","",IF(ISNUMBER($A1673),MONTH($A1673),MONTH(DATEVALUE($A1673))))</f>
        <v>2</v>
      </c>
    </row>
    <row r="1674" spans="1:11" ht="60" customHeight="1" x14ac:dyDescent="0.25">
      <c r="A1674" s="8" t="s">
        <v>2177</v>
      </c>
      <c r="B1674" s="8" t="s">
        <v>0</v>
      </c>
      <c r="C1674" s="8" t="s">
        <v>27</v>
      </c>
      <c r="D1674" s="8" t="s">
        <v>4</v>
      </c>
      <c r="E1674" s="8" t="s">
        <v>18</v>
      </c>
      <c r="F1674" s="6">
        <v>20</v>
      </c>
      <c r="G1674" s="8" t="s">
        <v>2185</v>
      </c>
      <c r="H1674" s="8" t="s">
        <v>27</v>
      </c>
      <c r="I1674" s="8" t="s">
        <v>2628</v>
      </c>
      <c r="K1674">
        <f>IF($A1674="","",IF(ISNUMBER($A1674),MONTH($A1674),MONTH(DATEVALUE($A1674))))</f>
        <v>2</v>
      </c>
    </row>
    <row r="1675" spans="1:11" ht="60" customHeight="1" x14ac:dyDescent="0.25">
      <c r="A1675" s="7" t="s">
        <v>2177</v>
      </c>
      <c r="B1675" s="7" t="s">
        <v>0</v>
      </c>
      <c r="C1675" s="7" t="s">
        <v>390</v>
      </c>
      <c r="D1675" s="7" t="s">
        <v>4</v>
      </c>
      <c r="E1675" s="7" t="s">
        <v>18</v>
      </c>
      <c r="F1675" s="5">
        <v>139</v>
      </c>
      <c r="G1675" s="7" t="s">
        <v>2186</v>
      </c>
      <c r="H1675" s="7" t="s">
        <v>390</v>
      </c>
      <c r="I1675" s="7" t="s">
        <v>2641</v>
      </c>
      <c r="K1675">
        <f>IF($A1675="","",IF(ISNUMBER($A1675),MONTH($A1675),MONTH(DATEVALUE($A1675))))</f>
        <v>2</v>
      </c>
    </row>
    <row r="1676" spans="1:11" ht="60" customHeight="1" x14ac:dyDescent="0.25">
      <c r="A1676" s="8" t="s">
        <v>2177</v>
      </c>
      <c r="B1676" s="8" t="s">
        <v>0</v>
      </c>
      <c r="C1676" s="8" t="s">
        <v>1787</v>
      </c>
      <c r="D1676" s="8" t="s">
        <v>4</v>
      </c>
      <c r="E1676" s="8" t="s">
        <v>18</v>
      </c>
      <c r="F1676" s="6">
        <v>39.99</v>
      </c>
      <c r="G1676" s="8" t="s">
        <v>2187</v>
      </c>
      <c r="H1676" s="8" t="s">
        <v>1787</v>
      </c>
      <c r="I1676" s="8" t="s">
        <v>2630</v>
      </c>
      <c r="K1676">
        <f>IF($A1676="","",IF(ISNUMBER($A1676),MONTH($A1676),MONTH(DATEVALUE($A1676))))</f>
        <v>2</v>
      </c>
    </row>
    <row r="1677" spans="1:11" ht="60" customHeight="1" x14ac:dyDescent="0.25">
      <c r="A1677" s="7" t="s">
        <v>2188</v>
      </c>
      <c r="B1677" s="7" t="s">
        <v>0</v>
      </c>
      <c r="C1677" s="7" t="s">
        <v>1096</v>
      </c>
      <c r="D1677" s="7" t="s">
        <v>4</v>
      </c>
      <c r="E1677" s="7" t="s">
        <v>18</v>
      </c>
      <c r="F1677" s="5">
        <v>-413.9</v>
      </c>
      <c r="G1677" s="7" t="s">
        <v>1101</v>
      </c>
      <c r="H1677" s="7" t="s">
        <v>1096</v>
      </c>
      <c r="I1677" s="7" t="s">
        <v>2647</v>
      </c>
      <c r="K1677">
        <f>IF($A1677="","",IF(ISNUMBER($A1677),MONTH($A1677),MONTH(DATEVALUE($A1677))))</f>
        <v>2</v>
      </c>
    </row>
    <row r="1678" spans="1:11" ht="60" customHeight="1" x14ac:dyDescent="0.25">
      <c r="A1678" s="8" t="s">
        <v>2188</v>
      </c>
      <c r="B1678" s="8" t="s">
        <v>0</v>
      </c>
      <c r="C1678" s="8" t="s">
        <v>1102</v>
      </c>
      <c r="D1678" s="8" t="s">
        <v>4</v>
      </c>
      <c r="E1678" s="8" t="s">
        <v>18</v>
      </c>
      <c r="F1678" s="6">
        <v>413.9</v>
      </c>
      <c r="G1678" s="8" t="s">
        <v>2189</v>
      </c>
      <c r="H1678" s="8" t="s">
        <v>1096</v>
      </c>
      <c r="I1678" s="8" t="s">
        <v>2647</v>
      </c>
      <c r="K1678">
        <f>IF($A1678="","",IF(ISNUMBER($A1678),MONTH($A1678),MONTH(DATEVALUE($A1678))))</f>
        <v>2</v>
      </c>
    </row>
    <row r="1679" spans="1:11" ht="60" customHeight="1" x14ac:dyDescent="0.25">
      <c r="A1679" s="7" t="s">
        <v>2188</v>
      </c>
      <c r="B1679" s="7" t="s">
        <v>227</v>
      </c>
      <c r="C1679" s="7" t="s">
        <v>2190</v>
      </c>
      <c r="D1679" s="7" t="s">
        <v>1113</v>
      </c>
      <c r="E1679" s="7" t="s">
        <v>1114</v>
      </c>
      <c r="F1679" s="5">
        <v>1503.12</v>
      </c>
      <c r="G1679" s="7" t="s">
        <v>2191</v>
      </c>
      <c r="H1679" s="7" t="s">
        <v>2190</v>
      </c>
      <c r="I1679" s="7" t="s">
        <v>2633</v>
      </c>
      <c r="K1679">
        <f>IF($A1679="","",IF(ISNUMBER($A1679),MONTH($A1679),MONTH(DATEVALUE($A1679))))</f>
        <v>2</v>
      </c>
    </row>
    <row r="1680" spans="1:11" ht="60" customHeight="1" x14ac:dyDescent="0.25">
      <c r="A1680" s="8" t="s">
        <v>2192</v>
      </c>
      <c r="B1680" s="8" t="s">
        <v>0</v>
      </c>
      <c r="C1680" s="8" t="s">
        <v>1096</v>
      </c>
      <c r="D1680" s="8" t="s">
        <v>4</v>
      </c>
      <c r="E1680" s="8" t="s">
        <v>18</v>
      </c>
      <c r="F1680" s="6">
        <v>-219.8</v>
      </c>
      <c r="G1680" s="8" t="s">
        <v>1101</v>
      </c>
      <c r="H1680" s="8" t="s">
        <v>1096</v>
      </c>
      <c r="I1680" s="8" t="s">
        <v>2647</v>
      </c>
      <c r="K1680">
        <f>IF($A1680="","",IF(ISNUMBER($A1680),MONTH($A1680),MONTH(DATEVALUE($A1680))))</f>
        <v>2</v>
      </c>
    </row>
    <row r="1681" spans="1:11" ht="60" customHeight="1" x14ac:dyDescent="0.25">
      <c r="A1681" s="7" t="s">
        <v>2192</v>
      </c>
      <c r="B1681" s="7" t="s">
        <v>0</v>
      </c>
      <c r="C1681" s="7" t="s">
        <v>1102</v>
      </c>
      <c r="D1681" s="7" t="s">
        <v>4</v>
      </c>
      <c r="E1681" s="7" t="s">
        <v>18</v>
      </c>
      <c r="F1681" s="5">
        <v>219.8</v>
      </c>
      <c r="G1681" s="7" t="s">
        <v>2193</v>
      </c>
      <c r="H1681" s="7" t="s">
        <v>1096</v>
      </c>
      <c r="I1681" s="7" t="s">
        <v>2647</v>
      </c>
      <c r="K1681">
        <f>IF($A1681="","",IF(ISNUMBER($A1681),MONTH($A1681),MONTH(DATEVALUE($A1681))))</f>
        <v>2</v>
      </c>
    </row>
    <row r="1682" spans="1:11" ht="60" customHeight="1" x14ac:dyDescent="0.25">
      <c r="A1682" s="8" t="s">
        <v>2192</v>
      </c>
      <c r="B1682" s="8" t="s">
        <v>0</v>
      </c>
      <c r="C1682" s="8" t="s">
        <v>522</v>
      </c>
      <c r="D1682" s="8" t="s">
        <v>4</v>
      </c>
      <c r="E1682" s="8" t="s">
        <v>18</v>
      </c>
      <c r="F1682" s="6">
        <v>13.44</v>
      </c>
      <c r="G1682" s="8" t="s">
        <v>2194</v>
      </c>
      <c r="H1682" s="8" t="s">
        <v>522</v>
      </c>
      <c r="I1682" s="8" t="s">
        <v>2647</v>
      </c>
      <c r="K1682">
        <f>IF($A1682="","",IF(ISNUMBER($A1682),MONTH($A1682),MONTH(DATEVALUE($A1682))))</f>
        <v>2</v>
      </c>
    </row>
    <row r="1683" spans="1:11" ht="60" customHeight="1" x14ac:dyDescent="0.25">
      <c r="A1683" s="7" t="s">
        <v>2192</v>
      </c>
      <c r="B1683" s="7" t="s">
        <v>0</v>
      </c>
      <c r="C1683" s="7" t="s">
        <v>2195</v>
      </c>
      <c r="D1683" s="7" t="s">
        <v>4</v>
      </c>
      <c r="E1683" s="7" t="s">
        <v>18</v>
      </c>
      <c r="F1683" s="5">
        <v>16.98</v>
      </c>
      <c r="G1683" s="7" t="s">
        <v>2196</v>
      </c>
      <c r="H1683" s="7" t="s">
        <v>2195</v>
      </c>
      <c r="I1683" s="7" t="s">
        <v>2627</v>
      </c>
      <c r="K1683">
        <f>IF($A1683="","",IF(ISNUMBER($A1683),MONTH($A1683),MONTH(DATEVALUE($A1683))))</f>
        <v>2</v>
      </c>
    </row>
    <row r="1684" spans="1:11" ht="60" customHeight="1" x14ac:dyDescent="0.25">
      <c r="A1684" s="8" t="s">
        <v>2192</v>
      </c>
      <c r="B1684" s="8" t="s">
        <v>0</v>
      </c>
      <c r="C1684" s="8" t="s">
        <v>2197</v>
      </c>
      <c r="D1684" s="8" t="s">
        <v>4</v>
      </c>
      <c r="E1684" s="8" t="s">
        <v>18</v>
      </c>
      <c r="F1684" s="6">
        <v>25.94</v>
      </c>
      <c r="G1684" s="8" t="s">
        <v>2198</v>
      </c>
      <c r="H1684" s="8" t="s">
        <v>2197</v>
      </c>
      <c r="I1684" s="8" t="s">
        <v>2634</v>
      </c>
      <c r="K1684">
        <f>IF($A1684="","",IF(ISNUMBER($A1684),MONTH($A1684),MONTH(DATEVALUE($A1684))))</f>
        <v>2</v>
      </c>
    </row>
    <row r="1685" spans="1:11" ht="60" customHeight="1" x14ac:dyDescent="0.25">
      <c r="A1685" s="7" t="s">
        <v>2199</v>
      </c>
      <c r="B1685" s="7" t="s">
        <v>0</v>
      </c>
      <c r="C1685" s="7" t="s">
        <v>1096</v>
      </c>
      <c r="D1685" s="7" t="s">
        <v>4</v>
      </c>
      <c r="E1685" s="7" t="s">
        <v>18</v>
      </c>
      <c r="F1685" s="5">
        <v>-317.85000000000002</v>
      </c>
      <c r="G1685" s="7" t="s">
        <v>1101</v>
      </c>
      <c r="H1685" s="7" t="s">
        <v>1096</v>
      </c>
      <c r="I1685" s="7" t="s">
        <v>2647</v>
      </c>
      <c r="K1685">
        <f>IF($A1685="","",IF(ISNUMBER($A1685),MONTH($A1685),MONTH(DATEVALUE($A1685))))</f>
        <v>2</v>
      </c>
    </row>
    <row r="1686" spans="1:11" ht="60" customHeight="1" x14ac:dyDescent="0.25">
      <c r="A1686" s="8" t="s">
        <v>2199</v>
      </c>
      <c r="B1686" s="8" t="s">
        <v>0</v>
      </c>
      <c r="C1686" s="8" t="s">
        <v>1096</v>
      </c>
      <c r="D1686" s="8" t="s">
        <v>4</v>
      </c>
      <c r="E1686" s="8" t="s">
        <v>18</v>
      </c>
      <c r="F1686" s="6">
        <v>-206.95</v>
      </c>
      <c r="G1686" s="8" t="s">
        <v>1101</v>
      </c>
      <c r="H1686" s="8" t="s">
        <v>1096</v>
      </c>
      <c r="I1686" s="8" t="s">
        <v>2647</v>
      </c>
      <c r="K1686">
        <f>IF($A1686="","",IF(ISNUMBER($A1686),MONTH($A1686),MONTH(DATEVALUE($A1686))))</f>
        <v>2</v>
      </c>
    </row>
    <row r="1687" spans="1:11" ht="60" customHeight="1" x14ac:dyDescent="0.25">
      <c r="A1687" s="7" t="s">
        <v>2199</v>
      </c>
      <c r="B1687" s="7" t="s">
        <v>0</v>
      </c>
      <c r="C1687" s="7" t="s">
        <v>1102</v>
      </c>
      <c r="D1687" s="7" t="s">
        <v>4</v>
      </c>
      <c r="E1687" s="7" t="s">
        <v>18</v>
      </c>
      <c r="F1687" s="5">
        <v>206.95</v>
      </c>
      <c r="G1687" s="7" t="s">
        <v>2200</v>
      </c>
      <c r="H1687" s="7" t="s">
        <v>1096</v>
      </c>
      <c r="I1687" s="7" t="s">
        <v>2647</v>
      </c>
      <c r="K1687">
        <f>IF($A1687="","",IF(ISNUMBER($A1687),MONTH($A1687),MONTH(DATEVALUE($A1687))))</f>
        <v>2</v>
      </c>
    </row>
    <row r="1688" spans="1:11" ht="60" customHeight="1" x14ac:dyDescent="0.25">
      <c r="A1688" s="8" t="s">
        <v>2199</v>
      </c>
      <c r="B1688" s="8" t="s">
        <v>0</v>
      </c>
      <c r="C1688" s="8" t="s">
        <v>1102</v>
      </c>
      <c r="D1688" s="8" t="s">
        <v>4</v>
      </c>
      <c r="E1688" s="8" t="s">
        <v>18</v>
      </c>
      <c r="F1688" s="6">
        <v>317.85000000000002</v>
      </c>
      <c r="G1688" s="8" t="s">
        <v>2201</v>
      </c>
      <c r="H1688" s="8" t="s">
        <v>1096</v>
      </c>
      <c r="I1688" s="8" t="s">
        <v>2647</v>
      </c>
      <c r="K1688">
        <f>IF($A1688="","",IF(ISNUMBER($A1688),MONTH($A1688),MONTH(DATEVALUE($A1688))))</f>
        <v>2</v>
      </c>
    </row>
    <row r="1689" spans="1:11" ht="60" customHeight="1" x14ac:dyDescent="0.25">
      <c r="A1689" s="7" t="s">
        <v>2199</v>
      </c>
      <c r="B1689" s="7" t="s">
        <v>0</v>
      </c>
      <c r="C1689" s="7" t="s">
        <v>30</v>
      </c>
      <c r="D1689" s="7" t="s">
        <v>4</v>
      </c>
      <c r="E1689" s="7" t="s">
        <v>18</v>
      </c>
      <c r="F1689" s="5">
        <v>-48648.58</v>
      </c>
      <c r="G1689" s="7" t="s">
        <v>31</v>
      </c>
      <c r="H1689" s="7" t="s">
        <v>30</v>
      </c>
      <c r="I1689" s="7" t="s">
        <v>2629</v>
      </c>
      <c r="K1689">
        <f>IF($A1689="","",IF(ISNUMBER($A1689),MONTH($A1689),MONTH(DATEVALUE($A1689))))</f>
        <v>2</v>
      </c>
    </row>
    <row r="1690" spans="1:11" ht="60" customHeight="1" x14ac:dyDescent="0.25">
      <c r="A1690" s="8" t="s">
        <v>2202</v>
      </c>
      <c r="B1690" s="8" t="s">
        <v>0</v>
      </c>
      <c r="C1690" s="8" t="s">
        <v>2203</v>
      </c>
      <c r="D1690" s="8" t="s">
        <v>4</v>
      </c>
      <c r="E1690" s="8" t="s">
        <v>18</v>
      </c>
      <c r="F1690" s="6">
        <v>41.97</v>
      </c>
      <c r="G1690" s="8" t="s">
        <v>2204</v>
      </c>
      <c r="H1690" s="8" t="s">
        <v>2203</v>
      </c>
      <c r="I1690" s="8" t="s">
        <v>2627</v>
      </c>
      <c r="K1690">
        <f>IF($A1690="","",IF(ISNUMBER($A1690),MONTH($A1690),MONTH(DATEVALUE($A1690))))</f>
        <v>2</v>
      </c>
    </row>
    <row r="1691" spans="1:11" ht="60" customHeight="1" x14ac:dyDescent="0.25">
      <c r="A1691" s="7" t="s">
        <v>2202</v>
      </c>
      <c r="B1691" s="7" t="s">
        <v>0</v>
      </c>
      <c r="C1691" s="7" t="s">
        <v>2205</v>
      </c>
      <c r="D1691" s="7" t="s">
        <v>4</v>
      </c>
      <c r="E1691" s="7" t="s">
        <v>18</v>
      </c>
      <c r="F1691" s="5">
        <v>5000</v>
      </c>
      <c r="G1691" s="7" t="s">
        <v>2206</v>
      </c>
      <c r="H1691" s="7" t="s">
        <v>2205</v>
      </c>
      <c r="I1691" s="7" t="s">
        <v>2634</v>
      </c>
      <c r="K1691">
        <f>IF($A1691="","",IF(ISNUMBER($A1691),MONTH($A1691),MONTH(DATEVALUE($A1691))))</f>
        <v>2</v>
      </c>
    </row>
    <row r="1692" spans="1:11" ht="60" customHeight="1" x14ac:dyDescent="0.25">
      <c r="A1692" s="8" t="s">
        <v>2207</v>
      </c>
      <c r="B1692" s="8" t="s">
        <v>0</v>
      </c>
      <c r="C1692" s="8" t="s">
        <v>1096</v>
      </c>
      <c r="D1692" s="8" t="s">
        <v>4</v>
      </c>
      <c r="E1692" s="8" t="s">
        <v>18</v>
      </c>
      <c r="F1692" s="6">
        <v>-413.9</v>
      </c>
      <c r="G1692" s="8" t="s">
        <v>1101</v>
      </c>
      <c r="H1692" s="8" t="s">
        <v>1096</v>
      </c>
      <c r="I1692" s="8" t="s">
        <v>2647</v>
      </c>
      <c r="K1692">
        <f>IF($A1692="","",IF(ISNUMBER($A1692),MONTH($A1692),MONTH(DATEVALUE($A1692))))</f>
        <v>2</v>
      </c>
    </row>
    <row r="1693" spans="1:11" ht="60" customHeight="1" x14ac:dyDescent="0.25">
      <c r="A1693" s="7" t="s">
        <v>2207</v>
      </c>
      <c r="B1693" s="7" t="s">
        <v>0</v>
      </c>
      <c r="C1693" s="7" t="s">
        <v>1096</v>
      </c>
      <c r="D1693" s="7" t="s">
        <v>4</v>
      </c>
      <c r="E1693" s="7" t="s">
        <v>18</v>
      </c>
      <c r="F1693" s="5">
        <v>-105.95</v>
      </c>
      <c r="G1693" s="7" t="s">
        <v>1101</v>
      </c>
      <c r="H1693" s="7" t="s">
        <v>1096</v>
      </c>
      <c r="I1693" s="7" t="s">
        <v>2647</v>
      </c>
      <c r="K1693">
        <f>IF($A1693="","",IF(ISNUMBER($A1693),MONTH($A1693),MONTH(DATEVALUE($A1693))))</f>
        <v>2</v>
      </c>
    </row>
    <row r="1694" spans="1:11" ht="60" customHeight="1" x14ac:dyDescent="0.25">
      <c r="A1694" s="8" t="s">
        <v>2207</v>
      </c>
      <c r="B1694" s="8" t="s">
        <v>0</v>
      </c>
      <c r="C1694" s="8" t="s">
        <v>1102</v>
      </c>
      <c r="D1694" s="8" t="s">
        <v>4</v>
      </c>
      <c r="E1694" s="8" t="s">
        <v>18</v>
      </c>
      <c r="F1694" s="6">
        <v>105.95</v>
      </c>
      <c r="G1694" s="8" t="s">
        <v>2208</v>
      </c>
      <c r="H1694" s="8" t="s">
        <v>1096</v>
      </c>
      <c r="I1694" s="8" t="s">
        <v>2647</v>
      </c>
      <c r="K1694">
        <f>IF($A1694="","",IF(ISNUMBER($A1694),MONTH($A1694),MONTH(DATEVALUE($A1694))))</f>
        <v>2</v>
      </c>
    </row>
    <row r="1695" spans="1:11" ht="60" customHeight="1" x14ac:dyDescent="0.25">
      <c r="A1695" s="7" t="s">
        <v>2207</v>
      </c>
      <c r="B1695" s="7" t="s">
        <v>0</v>
      </c>
      <c r="C1695" s="7" t="s">
        <v>1102</v>
      </c>
      <c r="D1695" s="7" t="s">
        <v>4</v>
      </c>
      <c r="E1695" s="7" t="s">
        <v>18</v>
      </c>
      <c r="F1695" s="5">
        <v>413.9</v>
      </c>
      <c r="G1695" s="7" t="s">
        <v>2209</v>
      </c>
      <c r="H1695" s="7" t="s">
        <v>1096</v>
      </c>
      <c r="I1695" s="7" t="s">
        <v>2647</v>
      </c>
      <c r="K1695">
        <f>IF($A1695="","",IF(ISNUMBER($A1695),MONTH($A1695),MONTH(DATEVALUE($A1695))))</f>
        <v>2</v>
      </c>
    </row>
    <row r="1696" spans="1:11" ht="60" customHeight="1" x14ac:dyDescent="0.25">
      <c r="A1696" s="8" t="s">
        <v>2207</v>
      </c>
      <c r="B1696" s="8" t="s">
        <v>0</v>
      </c>
      <c r="C1696" s="8" t="s">
        <v>124</v>
      </c>
      <c r="D1696" s="8" t="s">
        <v>1113</v>
      </c>
      <c r="E1696" s="8" t="s">
        <v>1114</v>
      </c>
      <c r="F1696" s="6">
        <v>35</v>
      </c>
      <c r="G1696" s="8" t="s">
        <v>2210</v>
      </c>
      <c r="H1696" s="8" t="s">
        <v>124</v>
      </c>
      <c r="I1696" s="8" t="s">
        <v>2665</v>
      </c>
      <c r="K1696">
        <f>IF($A1696="","",IF(ISNUMBER($A1696),MONTH($A1696),MONTH(DATEVALUE($A1696))))</f>
        <v>2</v>
      </c>
    </row>
    <row r="1697" spans="1:11" ht="60" customHeight="1" x14ac:dyDescent="0.25">
      <c r="A1697" s="7" t="s">
        <v>2207</v>
      </c>
      <c r="B1697" s="7" t="s">
        <v>0</v>
      </c>
      <c r="C1697" s="7" t="s">
        <v>124</v>
      </c>
      <c r="D1697" s="7" t="s">
        <v>1113</v>
      </c>
      <c r="E1697" s="7" t="s">
        <v>1114</v>
      </c>
      <c r="F1697" s="5">
        <v>35</v>
      </c>
      <c r="G1697" s="7" t="s">
        <v>2211</v>
      </c>
      <c r="H1697" s="7" t="s">
        <v>124</v>
      </c>
      <c r="I1697" s="7" t="s">
        <v>2665</v>
      </c>
      <c r="K1697">
        <f>IF($A1697="","",IF(ISNUMBER($A1697),MONTH($A1697),MONTH(DATEVALUE($A1697))))</f>
        <v>2</v>
      </c>
    </row>
    <row r="1698" spans="1:11" ht="60" customHeight="1" x14ac:dyDescent="0.25">
      <c r="A1698" s="8" t="s">
        <v>2207</v>
      </c>
      <c r="B1698" s="8" t="s">
        <v>0</v>
      </c>
      <c r="C1698" s="8" t="s">
        <v>124</v>
      </c>
      <c r="D1698" s="8" t="s">
        <v>1113</v>
      </c>
      <c r="E1698" s="8" t="s">
        <v>1114</v>
      </c>
      <c r="F1698" s="6">
        <v>45</v>
      </c>
      <c r="G1698" s="8" t="s">
        <v>2212</v>
      </c>
      <c r="H1698" s="8" t="s">
        <v>124</v>
      </c>
      <c r="I1698" s="7" t="s">
        <v>2665</v>
      </c>
      <c r="K1698">
        <f>IF($A1698="","",IF(ISNUMBER($A1698),MONTH($A1698),MONTH(DATEVALUE($A1698))))</f>
        <v>2</v>
      </c>
    </row>
    <row r="1699" spans="1:11" ht="60" customHeight="1" x14ac:dyDescent="0.25">
      <c r="A1699" s="7" t="s">
        <v>2213</v>
      </c>
      <c r="B1699" s="7" t="s">
        <v>0</v>
      </c>
      <c r="C1699" s="7" t="s">
        <v>1096</v>
      </c>
      <c r="D1699" s="7" t="s">
        <v>4</v>
      </c>
      <c r="E1699" s="7" t="s">
        <v>18</v>
      </c>
      <c r="F1699" s="5">
        <v>-317.85000000000002</v>
      </c>
      <c r="G1699" s="7" t="s">
        <v>1101</v>
      </c>
      <c r="H1699" s="7" t="s">
        <v>1096</v>
      </c>
      <c r="I1699" s="7" t="s">
        <v>2647</v>
      </c>
      <c r="K1699">
        <f>IF($A1699="","",IF(ISNUMBER($A1699),MONTH($A1699),MONTH(DATEVALUE($A1699))))</f>
        <v>2</v>
      </c>
    </row>
    <row r="1700" spans="1:11" ht="60" customHeight="1" x14ac:dyDescent="0.25">
      <c r="A1700" s="8" t="s">
        <v>2213</v>
      </c>
      <c r="B1700" s="8" t="s">
        <v>0</v>
      </c>
      <c r="C1700" s="8" t="s">
        <v>1096</v>
      </c>
      <c r="D1700" s="8" t="s">
        <v>4</v>
      </c>
      <c r="E1700" s="8" t="s">
        <v>18</v>
      </c>
      <c r="F1700" s="6">
        <v>-72.680000000000007</v>
      </c>
      <c r="G1700" s="8" t="s">
        <v>1101</v>
      </c>
      <c r="H1700" s="8" t="s">
        <v>1096</v>
      </c>
      <c r="I1700" s="8" t="s">
        <v>2647</v>
      </c>
      <c r="K1700">
        <f>IF($A1700="","",IF(ISNUMBER($A1700),MONTH($A1700),MONTH(DATEVALUE($A1700))))</f>
        <v>2</v>
      </c>
    </row>
    <row r="1701" spans="1:11" ht="60" customHeight="1" x14ac:dyDescent="0.25">
      <c r="A1701" s="7" t="s">
        <v>2213</v>
      </c>
      <c r="B1701" s="7" t="s">
        <v>0</v>
      </c>
      <c r="C1701" s="7" t="s">
        <v>1096</v>
      </c>
      <c r="D1701" s="7" t="s">
        <v>4</v>
      </c>
      <c r="E1701" s="7" t="s">
        <v>18</v>
      </c>
      <c r="F1701" s="5">
        <v>-55.21</v>
      </c>
      <c r="G1701" s="7" t="s">
        <v>1101</v>
      </c>
      <c r="H1701" s="7" t="s">
        <v>1096</v>
      </c>
      <c r="I1701" s="7" t="s">
        <v>2647</v>
      </c>
      <c r="K1701">
        <f>IF($A1701="","",IF(ISNUMBER($A1701),MONTH($A1701),MONTH(DATEVALUE($A1701))))</f>
        <v>2</v>
      </c>
    </row>
    <row r="1702" spans="1:11" ht="60" customHeight="1" x14ac:dyDescent="0.25">
      <c r="A1702" s="8" t="s">
        <v>2213</v>
      </c>
      <c r="B1702" s="8" t="s">
        <v>0</v>
      </c>
      <c r="C1702" s="8" t="s">
        <v>1102</v>
      </c>
      <c r="D1702" s="8" t="s">
        <v>4</v>
      </c>
      <c r="E1702" s="8" t="s">
        <v>18</v>
      </c>
      <c r="F1702" s="6">
        <v>55.21</v>
      </c>
      <c r="G1702" s="8" t="s">
        <v>2214</v>
      </c>
      <c r="H1702" s="8" t="s">
        <v>1096</v>
      </c>
      <c r="I1702" s="8" t="s">
        <v>2647</v>
      </c>
      <c r="K1702">
        <f>IF($A1702="","",IF(ISNUMBER($A1702),MONTH($A1702),MONTH(DATEVALUE($A1702))))</f>
        <v>2</v>
      </c>
    </row>
    <row r="1703" spans="1:11" ht="60" customHeight="1" x14ac:dyDescent="0.25">
      <c r="A1703" s="7" t="s">
        <v>2213</v>
      </c>
      <c r="B1703" s="7" t="s">
        <v>0</v>
      </c>
      <c r="C1703" s="7" t="s">
        <v>1102</v>
      </c>
      <c r="D1703" s="7" t="s">
        <v>4</v>
      </c>
      <c r="E1703" s="7" t="s">
        <v>18</v>
      </c>
      <c r="F1703" s="5">
        <v>72.680000000000007</v>
      </c>
      <c r="G1703" s="7" t="s">
        <v>2215</v>
      </c>
      <c r="H1703" s="7" t="s">
        <v>1096</v>
      </c>
      <c r="I1703" s="7" t="s">
        <v>2647</v>
      </c>
      <c r="K1703">
        <f>IF($A1703="","",IF(ISNUMBER($A1703),MONTH($A1703),MONTH(DATEVALUE($A1703))))</f>
        <v>2</v>
      </c>
    </row>
    <row r="1704" spans="1:11" ht="60" customHeight="1" x14ac:dyDescent="0.25">
      <c r="A1704" s="8" t="s">
        <v>2213</v>
      </c>
      <c r="B1704" s="8" t="s">
        <v>0</v>
      </c>
      <c r="C1704" s="8" t="s">
        <v>1102</v>
      </c>
      <c r="D1704" s="8" t="s">
        <v>4</v>
      </c>
      <c r="E1704" s="8" t="s">
        <v>18</v>
      </c>
      <c r="F1704" s="6">
        <v>317.85000000000002</v>
      </c>
      <c r="G1704" s="8" t="s">
        <v>2216</v>
      </c>
      <c r="H1704" s="8" t="s">
        <v>1096</v>
      </c>
      <c r="I1704" s="8" t="s">
        <v>2647</v>
      </c>
      <c r="K1704">
        <f>IF($A1704="","",IF(ISNUMBER($A1704),MONTH($A1704),MONTH(DATEVALUE($A1704))))</f>
        <v>2</v>
      </c>
    </row>
    <row r="1705" spans="1:11" ht="60" customHeight="1" x14ac:dyDescent="0.25">
      <c r="A1705" s="7" t="s">
        <v>2213</v>
      </c>
      <c r="B1705" s="7" t="s">
        <v>0</v>
      </c>
      <c r="C1705" s="7" t="s">
        <v>44</v>
      </c>
      <c r="D1705" s="7" t="s">
        <v>4</v>
      </c>
      <c r="E1705" s="7" t="s">
        <v>18</v>
      </c>
      <c r="F1705" s="5">
        <v>584</v>
      </c>
      <c r="G1705" s="7" t="s">
        <v>2217</v>
      </c>
      <c r="H1705" s="7" t="s">
        <v>44</v>
      </c>
      <c r="I1705" s="7" t="s">
        <v>2630</v>
      </c>
      <c r="K1705">
        <f>IF($A1705="","",IF(ISNUMBER($A1705),MONTH($A1705),MONTH(DATEVALUE($A1705))))</f>
        <v>2</v>
      </c>
    </row>
    <row r="1706" spans="1:11" ht="60" customHeight="1" x14ac:dyDescent="0.25">
      <c r="A1706" s="8" t="s">
        <v>2213</v>
      </c>
      <c r="B1706" s="8" t="s">
        <v>0</v>
      </c>
      <c r="C1706" s="8" t="s">
        <v>2218</v>
      </c>
      <c r="D1706" s="8" t="s">
        <v>4</v>
      </c>
      <c r="E1706" s="8" t="s">
        <v>18</v>
      </c>
      <c r="F1706" s="6">
        <v>18.97</v>
      </c>
      <c r="G1706" s="8" t="s">
        <v>2219</v>
      </c>
      <c r="H1706" s="8" t="s">
        <v>2218</v>
      </c>
      <c r="I1706" s="8" t="s">
        <v>2627</v>
      </c>
      <c r="K1706">
        <f>IF($A1706="","",IF(ISNUMBER($A1706),MONTH($A1706),MONTH(DATEVALUE($A1706))))</f>
        <v>2</v>
      </c>
    </row>
    <row r="1707" spans="1:11" ht="60" customHeight="1" x14ac:dyDescent="0.25">
      <c r="A1707" s="7" t="s">
        <v>2220</v>
      </c>
      <c r="B1707" s="7" t="s">
        <v>0</v>
      </c>
      <c r="C1707" s="7" t="s">
        <v>1096</v>
      </c>
      <c r="D1707" s="7" t="s">
        <v>4</v>
      </c>
      <c r="E1707" s="7" t="s">
        <v>18</v>
      </c>
      <c r="F1707" s="5">
        <v>-85.49</v>
      </c>
      <c r="G1707" s="7" t="s">
        <v>1101</v>
      </c>
      <c r="H1707" s="7" t="s">
        <v>1096</v>
      </c>
      <c r="I1707" s="7" t="s">
        <v>2647</v>
      </c>
      <c r="K1707">
        <f>IF($A1707="","",IF(ISNUMBER($A1707),MONTH($A1707),MONTH(DATEVALUE($A1707))))</f>
        <v>2</v>
      </c>
    </row>
    <row r="1708" spans="1:11" ht="60" customHeight="1" x14ac:dyDescent="0.25">
      <c r="A1708" s="8" t="s">
        <v>2220</v>
      </c>
      <c r="B1708" s="8" t="s">
        <v>0</v>
      </c>
      <c r="C1708" s="8" t="s">
        <v>1096</v>
      </c>
      <c r="D1708" s="8" t="s">
        <v>4</v>
      </c>
      <c r="E1708" s="8" t="s">
        <v>18</v>
      </c>
      <c r="F1708" s="6">
        <v>-37.78</v>
      </c>
      <c r="G1708" s="8" t="s">
        <v>1101</v>
      </c>
      <c r="H1708" s="8" t="s">
        <v>1096</v>
      </c>
      <c r="I1708" s="8" t="s">
        <v>2647</v>
      </c>
      <c r="K1708">
        <f>IF($A1708="","",IF(ISNUMBER($A1708),MONTH($A1708),MONTH(DATEVALUE($A1708))))</f>
        <v>2</v>
      </c>
    </row>
    <row r="1709" spans="1:11" ht="60" customHeight="1" x14ac:dyDescent="0.25">
      <c r="A1709" s="7" t="s">
        <v>2220</v>
      </c>
      <c r="B1709" s="7" t="s">
        <v>0</v>
      </c>
      <c r="C1709" s="7" t="s">
        <v>1102</v>
      </c>
      <c r="D1709" s="7" t="s">
        <v>4</v>
      </c>
      <c r="E1709" s="7" t="s">
        <v>18</v>
      </c>
      <c r="F1709" s="5">
        <v>37.78</v>
      </c>
      <c r="G1709" s="7" t="s">
        <v>2221</v>
      </c>
      <c r="H1709" s="7" t="s">
        <v>1096</v>
      </c>
      <c r="I1709" s="7" t="s">
        <v>2647</v>
      </c>
      <c r="K1709">
        <f>IF($A1709="","",IF(ISNUMBER($A1709),MONTH($A1709),MONTH(DATEVALUE($A1709))))</f>
        <v>2</v>
      </c>
    </row>
    <row r="1710" spans="1:11" ht="60" customHeight="1" x14ac:dyDescent="0.25">
      <c r="A1710" s="8" t="s">
        <v>2220</v>
      </c>
      <c r="B1710" s="8" t="s">
        <v>0</v>
      </c>
      <c r="C1710" s="8" t="s">
        <v>1102</v>
      </c>
      <c r="D1710" s="8" t="s">
        <v>4</v>
      </c>
      <c r="E1710" s="8" t="s">
        <v>18</v>
      </c>
      <c r="F1710" s="6">
        <v>85.49</v>
      </c>
      <c r="G1710" s="8" t="s">
        <v>2222</v>
      </c>
      <c r="H1710" s="8" t="s">
        <v>1096</v>
      </c>
      <c r="I1710" s="8" t="s">
        <v>2647</v>
      </c>
      <c r="K1710">
        <f>IF($A1710="","",IF(ISNUMBER($A1710),MONTH($A1710),MONTH(DATEVALUE($A1710))))</f>
        <v>2</v>
      </c>
    </row>
    <row r="1711" spans="1:11" ht="60" customHeight="1" x14ac:dyDescent="0.25">
      <c r="A1711" s="7" t="s">
        <v>2220</v>
      </c>
      <c r="B1711" s="7" t="s">
        <v>0</v>
      </c>
      <c r="C1711" s="7" t="s">
        <v>1797</v>
      </c>
      <c r="D1711" s="7" t="s">
        <v>4</v>
      </c>
      <c r="E1711" s="7" t="s">
        <v>18</v>
      </c>
      <c r="F1711" s="5">
        <v>139</v>
      </c>
      <c r="G1711" s="7" t="s">
        <v>2223</v>
      </c>
      <c r="H1711" s="7" t="s">
        <v>1797</v>
      </c>
      <c r="I1711" s="7" t="s">
        <v>2641</v>
      </c>
      <c r="K1711">
        <f>IF($A1711="","",IF(ISNUMBER($A1711),MONTH($A1711),MONTH(DATEVALUE($A1711))))</f>
        <v>2</v>
      </c>
    </row>
    <row r="1712" spans="1:11" ht="60" customHeight="1" x14ac:dyDescent="0.25">
      <c r="A1712" s="8" t="s">
        <v>2224</v>
      </c>
      <c r="B1712" s="8" t="s">
        <v>0</v>
      </c>
      <c r="C1712" s="8" t="s">
        <v>2225</v>
      </c>
      <c r="D1712" s="8" t="s">
        <v>4</v>
      </c>
      <c r="E1712" s="8" t="s">
        <v>18</v>
      </c>
      <c r="F1712" s="6">
        <v>61.32</v>
      </c>
      <c r="G1712" s="8" t="s">
        <v>2226</v>
      </c>
      <c r="H1712" s="8" t="s">
        <v>2225</v>
      </c>
      <c r="I1712" s="8" t="s">
        <v>2627</v>
      </c>
      <c r="K1712">
        <f>IF($A1712="","",IF(ISNUMBER($A1712),MONTH($A1712),MONTH(DATEVALUE($A1712))))</f>
        <v>2</v>
      </c>
    </row>
    <row r="1713" spans="1:11" ht="60" customHeight="1" x14ac:dyDescent="0.25">
      <c r="A1713" s="7" t="s">
        <v>2224</v>
      </c>
      <c r="B1713" s="7" t="s">
        <v>0</v>
      </c>
      <c r="C1713" s="7" t="s">
        <v>392</v>
      </c>
      <c r="D1713" s="7" t="s">
        <v>4</v>
      </c>
      <c r="E1713" s="7" t="s">
        <v>18</v>
      </c>
      <c r="F1713" s="5">
        <v>159</v>
      </c>
      <c r="G1713" s="7" t="s">
        <v>2227</v>
      </c>
      <c r="H1713" s="7" t="s">
        <v>392</v>
      </c>
      <c r="I1713" s="7" t="s">
        <v>2641</v>
      </c>
      <c r="K1713">
        <f>IF($A1713="","",IF(ISNUMBER($A1713),MONTH($A1713),MONTH(DATEVALUE($A1713))))</f>
        <v>2</v>
      </c>
    </row>
    <row r="1714" spans="1:11" ht="60" customHeight="1" x14ac:dyDescent="0.25">
      <c r="A1714" s="8" t="s">
        <v>2228</v>
      </c>
      <c r="B1714" s="8" t="s">
        <v>0</v>
      </c>
      <c r="C1714" s="8" t="s">
        <v>1096</v>
      </c>
      <c r="D1714" s="8" t="s">
        <v>4</v>
      </c>
      <c r="E1714" s="8" t="s">
        <v>18</v>
      </c>
      <c r="F1714" s="6">
        <v>-620.85</v>
      </c>
      <c r="G1714" s="8" t="s">
        <v>1101</v>
      </c>
      <c r="H1714" s="8" t="s">
        <v>1096</v>
      </c>
      <c r="I1714" s="8" t="s">
        <v>2647</v>
      </c>
      <c r="K1714">
        <f>IF($A1714="","",IF(ISNUMBER($A1714),MONTH($A1714),MONTH(DATEVALUE($A1714))))</f>
        <v>2</v>
      </c>
    </row>
    <row r="1715" spans="1:11" ht="60" customHeight="1" x14ac:dyDescent="0.25">
      <c r="A1715" s="7" t="s">
        <v>2228</v>
      </c>
      <c r="B1715" s="7" t="s">
        <v>0</v>
      </c>
      <c r="C1715" s="7" t="s">
        <v>1102</v>
      </c>
      <c r="D1715" s="7" t="s">
        <v>4</v>
      </c>
      <c r="E1715" s="7" t="s">
        <v>18</v>
      </c>
      <c r="F1715" s="5">
        <v>620.85</v>
      </c>
      <c r="G1715" s="7" t="s">
        <v>2229</v>
      </c>
      <c r="H1715" s="7" t="s">
        <v>1096</v>
      </c>
      <c r="I1715" s="7" t="s">
        <v>2647</v>
      </c>
      <c r="K1715">
        <f>IF($A1715="","",IF(ISNUMBER($A1715),MONTH($A1715),MONTH(DATEVALUE($A1715))))</f>
        <v>2</v>
      </c>
    </row>
    <row r="1716" spans="1:11" ht="60" customHeight="1" x14ac:dyDescent="0.25">
      <c r="A1716" s="8" t="s">
        <v>2228</v>
      </c>
      <c r="B1716" s="8" t="s">
        <v>0</v>
      </c>
      <c r="C1716" s="8" t="s">
        <v>2230</v>
      </c>
      <c r="D1716" s="8" t="s">
        <v>4</v>
      </c>
      <c r="E1716" s="8" t="s">
        <v>18</v>
      </c>
      <c r="F1716" s="6">
        <v>14.98</v>
      </c>
      <c r="G1716" s="8" t="s">
        <v>2231</v>
      </c>
      <c r="H1716" s="8" t="s">
        <v>2230</v>
      </c>
      <c r="I1716" s="8" t="s">
        <v>2627</v>
      </c>
      <c r="K1716">
        <f>IF($A1716="","",IF(ISNUMBER($A1716),MONTH($A1716),MONTH(DATEVALUE($A1716))))</f>
        <v>2</v>
      </c>
    </row>
    <row r="1717" spans="1:11" ht="60" customHeight="1" x14ac:dyDescent="0.25">
      <c r="A1717" s="7" t="s">
        <v>2232</v>
      </c>
      <c r="B1717" s="7" t="s">
        <v>0</v>
      </c>
      <c r="C1717" s="7" t="s">
        <v>124</v>
      </c>
      <c r="D1717" s="7" t="s">
        <v>1113</v>
      </c>
      <c r="E1717" s="7" t="s">
        <v>1114</v>
      </c>
      <c r="F1717" s="5">
        <v>35</v>
      </c>
      <c r="G1717" s="7" t="s">
        <v>2233</v>
      </c>
      <c r="H1717" s="7" t="s">
        <v>124</v>
      </c>
      <c r="I1717" s="7" t="s">
        <v>2665</v>
      </c>
      <c r="K1717">
        <f>IF($A1717="","",IF(ISNUMBER($A1717),MONTH($A1717),MONTH(DATEVALUE($A1717))))</f>
        <v>2</v>
      </c>
    </row>
    <row r="1718" spans="1:11" ht="60" customHeight="1" x14ac:dyDescent="0.25">
      <c r="A1718" s="8" t="s">
        <v>2232</v>
      </c>
      <c r="B1718" s="8" t="s">
        <v>0</v>
      </c>
      <c r="C1718" s="8" t="s">
        <v>124</v>
      </c>
      <c r="D1718" s="8" t="s">
        <v>1113</v>
      </c>
      <c r="E1718" s="8" t="s">
        <v>1114</v>
      </c>
      <c r="F1718" s="6">
        <v>45</v>
      </c>
      <c r="G1718" s="8" t="s">
        <v>2234</v>
      </c>
      <c r="H1718" s="8" t="s">
        <v>124</v>
      </c>
      <c r="I1718" s="8" t="s">
        <v>2665</v>
      </c>
      <c r="K1718">
        <f>IF($A1718="","",IF(ISNUMBER($A1718),MONTH($A1718),MONTH(DATEVALUE($A1718))))</f>
        <v>2</v>
      </c>
    </row>
    <row r="1719" spans="1:11" ht="60" customHeight="1" x14ac:dyDescent="0.25">
      <c r="A1719" s="7" t="s">
        <v>2232</v>
      </c>
      <c r="B1719" s="7" t="s">
        <v>0</v>
      </c>
      <c r="C1719" s="7" t="s">
        <v>1596</v>
      </c>
      <c r="D1719" s="7" t="s">
        <v>1113</v>
      </c>
      <c r="E1719" s="7" t="s">
        <v>1114</v>
      </c>
      <c r="F1719" s="5">
        <v>87.31</v>
      </c>
      <c r="G1719" s="7" t="s">
        <v>2235</v>
      </c>
      <c r="H1719" s="7" t="s">
        <v>1596</v>
      </c>
      <c r="I1719" s="8" t="s">
        <v>2665</v>
      </c>
      <c r="K1719">
        <f>IF($A1719="","",IF(ISNUMBER($A1719),MONTH($A1719),MONTH(DATEVALUE($A1719))))</f>
        <v>2</v>
      </c>
    </row>
    <row r="1720" spans="1:11" ht="60" customHeight="1" x14ac:dyDescent="0.25">
      <c r="A1720" s="8" t="s">
        <v>2232</v>
      </c>
      <c r="B1720" s="8" t="s">
        <v>0</v>
      </c>
      <c r="C1720" s="8" t="s">
        <v>492</v>
      </c>
      <c r="D1720" s="8" t="s">
        <v>4</v>
      </c>
      <c r="E1720" s="8" t="s">
        <v>18</v>
      </c>
      <c r="F1720" s="6">
        <v>2000</v>
      </c>
      <c r="G1720" s="8" t="s">
        <v>2236</v>
      </c>
      <c r="H1720" s="8" t="s">
        <v>492</v>
      </c>
      <c r="I1720" s="8" t="s">
        <v>2638</v>
      </c>
      <c r="K1720">
        <f>IF($A1720="","",IF(ISNUMBER($A1720),MONTH($A1720),MONTH(DATEVALUE($A1720))))</f>
        <v>2</v>
      </c>
    </row>
    <row r="1721" spans="1:11" ht="60" customHeight="1" x14ac:dyDescent="0.25">
      <c r="A1721" s="7" t="s">
        <v>2232</v>
      </c>
      <c r="B1721" s="7" t="s">
        <v>0</v>
      </c>
      <c r="C1721" s="7" t="s">
        <v>61</v>
      </c>
      <c r="D1721" s="7" t="s">
        <v>4</v>
      </c>
      <c r="E1721" s="7" t="s">
        <v>18</v>
      </c>
      <c r="F1721" s="5">
        <v>50</v>
      </c>
      <c r="G1721" s="7" t="s">
        <v>2237</v>
      </c>
      <c r="H1721" s="7" t="s">
        <v>61</v>
      </c>
      <c r="I1721" s="7" t="s">
        <v>2630</v>
      </c>
      <c r="K1721">
        <f>IF($A1721="","",IF(ISNUMBER($A1721),MONTH($A1721),MONTH(DATEVALUE($A1721))))</f>
        <v>2</v>
      </c>
    </row>
    <row r="1722" spans="1:11" ht="60" customHeight="1" x14ac:dyDescent="0.25">
      <c r="A1722" s="8" t="s">
        <v>2232</v>
      </c>
      <c r="B1722" s="8" t="s">
        <v>0</v>
      </c>
      <c r="C1722" s="8" t="s">
        <v>1440</v>
      </c>
      <c r="D1722" s="8" t="s">
        <v>1113</v>
      </c>
      <c r="E1722" s="8" t="s">
        <v>1114</v>
      </c>
      <c r="F1722" s="6">
        <v>29.99</v>
      </c>
      <c r="G1722" s="8" t="s">
        <v>2238</v>
      </c>
      <c r="H1722" s="8" t="s">
        <v>1440</v>
      </c>
      <c r="I1722" s="8" t="s">
        <v>2665</v>
      </c>
      <c r="K1722">
        <f>IF($A1722="","",IF(ISNUMBER($A1722),MONTH($A1722),MONTH(DATEVALUE($A1722))))</f>
        <v>2</v>
      </c>
    </row>
    <row r="1723" spans="1:11" ht="60" customHeight="1" x14ac:dyDescent="0.25">
      <c r="A1723" s="7" t="s">
        <v>2232</v>
      </c>
      <c r="B1723" s="7" t="s">
        <v>0</v>
      </c>
      <c r="C1723" s="7" t="s">
        <v>1440</v>
      </c>
      <c r="D1723" s="7" t="s">
        <v>1113</v>
      </c>
      <c r="E1723" s="7" t="s">
        <v>1114</v>
      </c>
      <c r="F1723" s="5">
        <v>29.99</v>
      </c>
      <c r="G1723" s="7" t="s">
        <v>2239</v>
      </c>
      <c r="H1723" s="7" t="s">
        <v>1440</v>
      </c>
      <c r="I1723" s="8" t="s">
        <v>2665</v>
      </c>
      <c r="K1723">
        <f>IF($A1723="","",IF(ISNUMBER($A1723),MONTH($A1723),MONTH(DATEVALUE($A1723))))</f>
        <v>2</v>
      </c>
    </row>
    <row r="1724" spans="1:11" ht="60" customHeight="1" x14ac:dyDescent="0.25">
      <c r="A1724" s="8" t="s">
        <v>2232</v>
      </c>
      <c r="B1724" s="8" t="s">
        <v>0</v>
      </c>
      <c r="C1724" s="8" t="s">
        <v>1440</v>
      </c>
      <c r="D1724" s="8" t="s">
        <v>1113</v>
      </c>
      <c r="E1724" s="8" t="s">
        <v>1114</v>
      </c>
      <c r="F1724" s="6">
        <v>416.97</v>
      </c>
      <c r="G1724" s="8" t="s">
        <v>2240</v>
      </c>
      <c r="H1724" s="8" t="s">
        <v>1440</v>
      </c>
      <c r="I1724" s="8" t="s">
        <v>2665</v>
      </c>
      <c r="K1724">
        <f>IF($A1724="","",IF(ISNUMBER($A1724),MONTH($A1724),MONTH(DATEVALUE($A1724))))</f>
        <v>2</v>
      </c>
    </row>
    <row r="1725" spans="1:11" ht="60" customHeight="1" x14ac:dyDescent="0.25">
      <c r="A1725" s="7" t="s">
        <v>2241</v>
      </c>
      <c r="B1725" s="7" t="s">
        <v>0</v>
      </c>
      <c r="C1725" s="7" t="s">
        <v>2242</v>
      </c>
      <c r="D1725" s="7" t="s">
        <v>4</v>
      </c>
      <c r="E1725" s="7" t="s">
        <v>18</v>
      </c>
      <c r="F1725" s="5">
        <v>8.99</v>
      </c>
      <c r="G1725" s="7" t="s">
        <v>2243</v>
      </c>
      <c r="H1725" s="7" t="s">
        <v>2242</v>
      </c>
      <c r="I1725" s="7" t="s">
        <v>2627</v>
      </c>
      <c r="K1725">
        <f>IF($A1725="","",IF(ISNUMBER($A1725),MONTH($A1725),MONTH(DATEVALUE($A1725))))</f>
        <v>2</v>
      </c>
    </row>
    <row r="1726" spans="1:11" ht="60" customHeight="1" x14ac:dyDescent="0.25">
      <c r="A1726" s="8" t="s">
        <v>2244</v>
      </c>
      <c r="B1726" s="8" t="s">
        <v>0</v>
      </c>
      <c r="C1726" s="8" t="s">
        <v>1096</v>
      </c>
      <c r="D1726" s="8" t="s">
        <v>4</v>
      </c>
      <c r="E1726" s="8" t="s">
        <v>18</v>
      </c>
      <c r="F1726" s="6">
        <v>-423.8</v>
      </c>
      <c r="G1726" s="8" t="s">
        <v>1101</v>
      </c>
      <c r="H1726" s="8" t="s">
        <v>1096</v>
      </c>
      <c r="I1726" s="8" t="s">
        <v>2647</v>
      </c>
      <c r="K1726">
        <f>IF($A1726="","",IF(ISNUMBER($A1726),MONTH($A1726),MONTH(DATEVALUE($A1726))))</f>
        <v>2</v>
      </c>
    </row>
    <row r="1727" spans="1:11" ht="60" customHeight="1" x14ac:dyDescent="0.25">
      <c r="A1727" s="7" t="s">
        <v>2244</v>
      </c>
      <c r="B1727" s="7" t="s">
        <v>0</v>
      </c>
      <c r="C1727" s="7" t="s">
        <v>1096</v>
      </c>
      <c r="D1727" s="7" t="s">
        <v>4</v>
      </c>
      <c r="E1727" s="7" t="s">
        <v>18</v>
      </c>
      <c r="F1727" s="5">
        <v>-206.95</v>
      </c>
      <c r="G1727" s="7" t="s">
        <v>1101</v>
      </c>
      <c r="H1727" s="7" t="s">
        <v>1096</v>
      </c>
      <c r="I1727" s="7" t="s">
        <v>2647</v>
      </c>
      <c r="K1727">
        <f>IF($A1727="","",IF(ISNUMBER($A1727),MONTH($A1727),MONTH(DATEVALUE($A1727))))</f>
        <v>2</v>
      </c>
    </row>
    <row r="1728" spans="1:11" ht="60" customHeight="1" x14ac:dyDescent="0.25">
      <c r="A1728" s="8" t="s">
        <v>2244</v>
      </c>
      <c r="B1728" s="8" t="s">
        <v>0</v>
      </c>
      <c r="C1728" s="8" t="s">
        <v>1096</v>
      </c>
      <c r="D1728" s="8" t="s">
        <v>4</v>
      </c>
      <c r="E1728" s="8" t="s">
        <v>18</v>
      </c>
      <c r="F1728" s="6">
        <v>-206.95</v>
      </c>
      <c r="G1728" s="8" t="s">
        <v>1101</v>
      </c>
      <c r="H1728" s="8" t="s">
        <v>1096</v>
      </c>
      <c r="I1728" s="8" t="s">
        <v>2647</v>
      </c>
      <c r="K1728">
        <f>IF($A1728="","",IF(ISNUMBER($A1728),MONTH($A1728),MONTH(DATEVALUE($A1728))))</f>
        <v>2</v>
      </c>
    </row>
    <row r="1729" spans="1:11" ht="60" customHeight="1" x14ac:dyDescent="0.25">
      <c r="A1729" s="7" t="s">
        <v>2244</v>
      </c>
      <c r="B1729" s="7" t="s">
        <v>0</v>
      </c>
      <c r="C1729" s="7" t="s">
        <v>1102</v>
      </c>
      <c r="D1729" s="7" t="s">
        <v>4</v>
      </c>
      <c r="E1729" s="7" t="s">
        <v>18</v>
      </c>
      <c r="F1729" s="5">
        <v>206.95</v>
      </c>
      <c r="G1729" s="7" t="s">
        <v>2245</v>
      </c>
      <c r="H1729" s="7" t="s">
        <v>1096</v>
      </c>
      <c r="I1729" s="7" t="s">
        <v>2647</v>
      </c>
      <c r="K1729">
        <f>IF($A1729="","",IF(ISNUMBER($A1729),MONTH($A1729),MONTH(DATEVALUE($A1729))))</f>
        <v>2</v>
      </c>
    </row>
    <row r="1730" spans="1:11" ht="60" customHeight="1" x14ac:dyDescent="0.25">
      <c r="A1730" s="8" t="s">
        <v>2244</v>
      </c>
      <c r="B1730" s="8" t="s">
        <v>0</v>
      </c>
      <c r="C1730" s="8" t="s">
        <v>1102</v>
      </c>
      <c r="D1730" s="8" t="s">
        <v>4</v>
      </c>
      <c r="E1730" s="8" t="s">
        <v>18</v>
      </c>
      <c r="F1730" s="6">
        <v>206.95</v>
      </c>
      <c r="G1730" s="8" t="s">
        <v>2246</v>
      </c>
      <c r="H1730" s="8" t="s">
        <v>1096</v>
      </c>
      <c r="I1730" s="8" t="s">
        <v>2647</v>
      </c>
      <c r="K1730">
        <f>IF($A1730="","",IF(ISNUMBER($A1730),MONTH($A1730),MONTH(DATEVALUE($A1730))))</f>
        <v>2</v>
      </c>
    </row>
    <row r="1731" spans="1:11" ht="60" customHeight="1" x14ac:dyDescent="0.25">
      <c r="A1731" s="7" t="s">
        <v>2244</v>
      </c>
      <c r="B1731" s="7" t="s">
        <v>0</v>
      </c>
      <c r="C1731" s="7" t="s">
        <v>1102</v>
      </c>
      <c r="D1731" s="7" t="s">
        <v>4</v>
      </c>
      <c r="E1731" s="7" t="s">
        <v>18</v>
      </c>
      <c r="F1731" s="5">
        <v>423.8</v>
      </c>
      <c r="G1731" s="7" t="s">
        <v>2247</v>
      </c>
      <c r="H1731" s="7" t="s">
        <v>1096</v>
      </c>
      <c r="I1731" s="7" t="s">
        <v>2647</v>
      </c>
      <c r="K1731">
        <f>IF($A1731="","",IF(ISNUMBER($A1731),MONTH($A1731),MONTH(DATEVALUE($A1731))))</f>
        <v>2</v>
      </c>
    </row>
    <row r="1732" spans="1:11" ht="60" customHeight="1" x14ac:dyDescent="0.25">
      <c r="A1732" s="8" t="s">
        <v>2244</v>
      </c>
      <c r="B1732" s="8" t="s">
        <v>0</v>
      </c>
      <c r="C1732" s="8" t="s">
        <v>2248</v>
      </c>
      <c r="D1732" s="8" t="s">
        <v>4</v>
      </c>
      <c r="E1732" s="8" t="s">
        <v>18</v>
      </c>
      <c r="F1732" s="6">
        <v>31.97</v>
      </c>
      <c r="G1732" s="8" t="s">
        <v>2249</v>
      </c>
      <c r="H1732" s="8" t="s">
        <v>2248</v>
      </c>
      <c r="I1732" s="8" t="s">
        <v>2627</v>
      </c>
      <c r="K1732">
        <f>IF($A1732="","",IF(ISNUMBER($A1732),MONTH($A1732),MONTH(DATEVALUE($A1732))))</f>
        <v>2</v>
      </c>
    </row>
    <row r="1733" spans="1:11" ht="60" customHeight="1" x14ac:dyDescent="0.25">
      <c r="A1733" s="7" t="s">
        <v>2244</v>
      </c>
      <c r="B1733" s="7" t="s">
        <v>0</v>
      </c>
      <c r="C1733" s="7" t="s">
        <v>2250</v>
      </c>
      <c r="D1733" s="7" t="s">
        <v>4</v>
      </c>
      <c r="E1733" s="7" t="s">
        <v>18</v>
      </c>
      <c r="F1733" s="5">
        <v>12.98</v>
      </c>
      <c r="G1733" s="7" t="s">
        <v>2251</v>
      </c>
      <c r="H1733" s="7" t="s">
        <v>2250</v>
      </c>
      <c r="I1733" s="7" t="s">
        <v>2635</v>
      </c>
      <c r="K1733">
        <f>IF($A1733="","",IF(ISNUMBER($A1733),MONTH($A1733),MONTH(DATEVALUE($A1733))))</f>
        <v>2</v>
      </c>
    </row>
    <row r="1734" spans="1:11" ht="60" customHeight="1" x14ac:dyDescent="0.25">
      <c r="A1734" s="8" t="s">
        <v>2252</v>
      </c>
      <c r="B1734" s="8" t="s">
        <v>0</v>
      </c>
      <c r="C1734" s="8" t="s">
        <v>1096</v>
      </c>
      <c r="D1734" s="8" t="s">
        <v>4</v>
      </c>
      <c r="E1734" s="8" t="s">
        <v>18</v>
      </c>
      <c r="F1734" s="6">
        <v>-620.85</v>
      </c>
      <c r="G1734" s="8" t="s">
        <v>1101</v>
      </c>
      <c r="H1734" s="8" t="s">
        <v>1096</v>
      </c>
      <c r="I1734" s="8" t="s">
        <v>2647</v>
      </c>
      <c r="K1734">
        <f>IF($A1734="","",IF(ISNUMBER($A1734),MONTH($A1734),MONTH(DATEVALUE($A1734))))</f>
        <v>2</v>
      </c>
    </row>
    <row r="1735" spans="1:11" ht="60" customHeight="1" x14ac:dyDescent="0.25">
      <c r="A1735" s="7" t="s">
        <v>2252</v>
      </c>
      <c r="B1735" s="7" t="s">
        <v>0</v>
      </c>
      <c r="C1735" s="7" t="s">
        <v>1096</v>
      </c>
      <c r="D1735" s="7" t="s">
        <v>4</v>
      </c>
      <c r="E1735" s="7" t="s">
        <v>18</v>
      </c>
      <c r="F1735" s="5">
        <v>-65.900000000000006</v>
      </c>
      <c r="G1735" s="7" t="s">
        <v>1101</v>
      </c>
      <c r="H1735" s="7" t="s">
        <v>1096</v>
      </c>
      <c r="I1735" s="7" t="s">
        <v>2647</v>
      </c>
      <c r="K1735">
        <f>IF($A1735="","",IF(ISNUMBER($A1735),MONTH($A1735),MONTH(DATEVALUE($A1735))))</f>
        <v>2</v>
      </c>
    </row>
    <row r="1736" spans="1:11" ht="60" customHeight="1" x14ac:dyDescent="0.25">
      <c r="A1736" s="8" t="s">
        <v>2252</v>
      </c>
      <c r="B1736" s="8" t="s">
        <v>0</v>
      </c>
      <c r="C1736" s="8" t="s">
        <v>1102</v>
      </c>
      <c r="D1736" s="8" t="s">
        <v>4</v>
      </c>
      <c r="E1736" s="8" t="s">
        <v>18</v>
      </c>
      <c r="F1736" s="6">
        <v>65.900000000000006</v>
      </c>
      <c r="G1736" s="8" t="s">
        <v>2253</v>
      </c>
      <c r="H1736" s="8" t="s">
        <v>1096</v>
      </c>
      <c r="I1736" s="8" t="s">
        <v>2647</v>
      </c>
      <c r="K1736">
        <f>IF($A1736="","",IF(ISNUMBER($A1736),MONTH($A1736),MONTH(DATEVALUE($A1736))))</f>
        <v>2</v>
      </c>
    </row>
    <row r="1737" spans="1:11" ht="60" customHeight="1" x14ac:dyDescent="0.25">
      <c r="A1737" s="7" t="s">
        <v>2252</v>
      </c>
      <c r="B1737" s="7" t="s">
        <v>0</v>
      </c>
      <c r="C1737" s="7" t="s">
        <v>1102</v>
      </c>
      <c r="D1737" s="7" t="s">
        <v>4</v>
      </c>
      <c r="E1737" s="7" t="s">
        <v>18</v>
      </c>
      <c r="F1737" s="5">
        <v>620.85</v>
      </c>
      <c r="G1737" s="7" t="s">
        <v>2254</v>
      </c>
      <c r="H1737" s="7" t="s">
        <v>1096</v>
      </c>
      <c r="I1737" s="7" t="s">
        <v>2647</v>
      </c>
      <c r="K1737">
        <f>IF($A1737="","",IF(ISNUMBER($A1737),MONTH($A1737),MONTH(DATEVALUE($A1737))))</f>
        <v>2</v>
      </c>
    </row>
    <row r="1738" spans="1:11" ht="60" customHeight="1" x14ac:dyDescent="0.25">
      <c r="A1738" s="8" t="s">
        <v>2252</v>
      </c>
      <c r="B1738" s="8" t="s">
        <v>0</v>
      </c>
      <c r="C1738" s="8" t="s">
        <v>522</v>
      </c>
      <c r="D1738" s="8" t="s">
        <v>4</v>
      </c>
      <c r="E1738" s="8" t="s">
        <v>18</v>
      </c>
      <c r="F1738" s="6">
        <v>28.48</v>
      </c>
      <c r="G1738" s="8" t="s">
        <v>2255</v>
      </c>
      <c r="H1738" s="8" t="s">
        <v>522</v>
      </c>
      <c r="I1738" s="8" t="s">
        <v>2647</v>
      </c>
      <c r="K1738">
        <f>IF($A1738="","",IF(ISNUMBER($A1738),MONTH($A1738),MONTH(DATEVALUE($A1738))))</f>
        <v>2</v>
      </c>
    </row>
    <row r="1739" spans="1:11" ht="60" customHeight="1" x14ac:dyDescent="0.25">
      <c r="A1739" s="7" t="s">
        <v>2252</v>
      </c>
      <c r="B1739" s="7" t="s">
        <v>0</v>
      </c>
      <c r="C1739" s="7" t="s">
        <v>2256</v>
      </c>
      <c r="D1739" s="7" t="s">
        <v>4</v>
      </c>
      <c r="E1739" s="7" t="s">
        <v>18</v>
      </c>
      <c r="F1739" s="5">
        <v>31.97</v>
      </c>
      <c r="G1739" s="7" t="s">
        <v>2257</v>
      </c>
      <c r="H1739" s="7" t="s">
        <v>2256</v>
      </c>
      <c r="I1739" s="7" t="s">
        <v>2627</v>
      </c>
      <c r="K1739">
        <f>IF($A1739="","",IF(ISNUMBER($A1739),MONTH($A1739),MONTH(DATEVALUE($A1739))))</f>
        <v>2</v>
      </c>
    </row>
    <row r="1740" spans="1:11" ht="60" customHeight="1" x14ac:dyDescent="0.25">
      <c r="A1740" s="8" t="s">
        <v>2258</v>
      </c>
      <c r="B1740" s="8" t="s">
        <v>0</v>
      </c>
      <c r="C1740" s="8" t="s">
        <v>1096</v>
      </c>
      <c r="D1740" s="8" t="s">
        <v>4</v>
      </c>
      <c r="E1740" s="8" t="s">
        <v>18</v>
      </c>
      <c r="F1740" s="6">
        <v>-139.78</v>
      </c>
      <c r="G1740" s="8" t="s">
        <v>1101</v>
      </c>
      <c r="H1740" s="8" t="s">
        <v>1096</v>
      </c>
      <c r="I1740" s="8" t="s">
        <v>2647</v>
      </c>
      <c r="K1740">
        <f>IF($A1740="","",IF(ISNUMBER($A1740),MONTH($A1740),MONTH(DATEVALUE($A1740))))</f>
        <v>2</v>
      </c>
    </row>
    <row r="1741" spans="1:11" ht="60" customHeight="1" x14ac:dyDescent="0.25">
      <c r="A1741" s="7" t="s">
        <v>2258</v>
      </c>
      <c r="B1741" s="7" t="s">
        <v>0</v>
      </c>
      <c r="C1741" s="7" t="s">
        <v>1102</v>
      </c>
      <c r="D1741" s="7" t="s">
        <v>4</v>
      </c>
      <c r="E1741" s="7" t="s">
        <v>18</v>
      </c>
      <c r="F1741" s="5">
        <v>139.78</v>
      </c>
      <c r="G1741" s="7" t="s">
        <v>2259</v>
      </c>
      <c r="H1741" s="7" t="s">
        <v>1096</v>
      </c>
      <c r="I1741" s="7" t="s">
        <v>2647</v>
      </c>
      <c r="K1741">
        <f>IF($A1741="","",IF(ISNUMBER($A1741),MONTH($A1741),MONTH(DATEVALUE($A1741))))</f>
        <v>2</v>
      </c>
    </row>
    <row r="1742" spans="1:11" ht="60" customHeight="1" x14ac:dyDescent="0.25">
      <c r="A1742" s="8" t="s">
        <v>2258</v>
      </c>
      <c r="B1742" s="8" t="s">
        <v>0</v>
      </c>
      <c r="C1742" s="8" t="s">
        <v>1027</v>
      </c>
      <c r="D1742" s="8" t="s">
        <v>1113</v>
      </c>
      <c r="E1742" s="8" t="s">
        <v>1114</v>
      </c>
      <c r="F1742" s="6">
        <v>116</v>
      </c>
      <c r="G1742" s="8" t="s">
        <v>2260</v>
      </c>
      <c r="H1742" s="8" t="s">
        <v>1027</v>
      </c>
      <c r="I1742" s="8" t="s">
        <v>2665</v>
      </c>
      <c r="K1742">
        <f>IF($A1742="","",IF(ISNUMBER($A1742),MONTH($A1742),MONTH(DATEVALUE($A1742))))</f>
        <v>2</v>
      </c>
    </row>
    <row r="1743" spans="1:11" ht="60" customHeight="1" x14ac:dyDescent="0.25">
      <c r="A1743" s="7" t="s">
        <v>2258</v>
      </c>
      <c r="B1743" s="7" t="s">
        <v>0</v>
      </c>
      <c r="C1743" s="7" t="s">
        <v>108</v>
      </c>
      <c r="D1743" s="7" t="s">
        <v>4</v>
      </c>
      <c r="E1743" s="7" t="s">
        <v>18</v>
      </c>
      <c r="F1743" s="5">
        <v>12.98</v>
      </c>
      <c r="G1743" s="7" t="s">
        <v>2261</v>
      </c>
      <c r="H1743" s="7" t="s">
        <v>108</v>
      </c>
      <c r="I1743" s="7" t="s">
        <v>2630</v>
      </c>
      <c r="K1743">
        <f>IF($A1743="","",IF(ISNUMBER($A1743),MONTH($A1743),MONTH(DATEVALUE($A1743))))</f>
        <v>2</v>
      </c>
    </row>
    <row r="1744" spans="1:11" ht="60" customHeight="1" x14ac:dyDescent="0.25">
      <c r="A1744" s="8" t="s">
        <v>2262</v>
      </c>
      <c r="B1744" s="8" t="s">
        <v>0</v>
      </c>
      <c r="C1744" s="8" t="s">
        <v>1096</v>
      </c>
      <c r="D1744" s="8" t="s">
        <v>4</v>
      </c>
      <c r="E1744" s="8" t="s">
        <v>18</v>
      </c>
      <c r="F1744" s="6">
        <v>-413.9</v>
      </c>
      <c r="G1744" s="8" t="s">
        <v>1101</v>
      </c>
      <c r="H1744" s="8" t="s">
        <v>1096</v>
      </c>
      <c r="I1744" s="8" t="s">
        <v>2647</v>
      </c>
      <c r="K1744">
        <f>IF($A1744="","",IF(ISNUMBER($A1744),MONTH($A1744),MONTH(DATEVALUE($A1744))))</f>
        <v>2</v>
      </c>
    </row>
    <row r="1745" spans="1:11" ht="60" customHeight="1" x14ac:dyDescent="0.25">
      <c r="A1745" s="7" t="s">
        <v>2262</v>
      </c>
      <c r="B1745" s="7" t="s">
        <v>0</v>
      </c>
      <c r="C1745" s="7" t="s">
        <v>1102</v>
      </c>
      <c r="D1745" s="7" t="s">
        <v>4</v>
      </c>
      <c r="E1745" s="7" t="s">
        <v>18</v>
      </c>
      <c r="F1745" s="5">
        <v>413.9</v>
      </c>
      <c r="G1745" s="7" t="s">
        <v>2263</v>
      </c>
      <c r="H1745" s="7" t="s">
        <v>1096</v>
      </c>
      <c r="I1745" s="7" t="s">
        <v>2647</v>
      </c>
      <c r="K1745">
        <f>IF($A1745="","",IF(ISNUMBER($A1745),MONTH($A1745),MONTH(DATEVALUE($A1745))))</f>
        <v>2</v>
      </c>
    </row>
    <row r="1746" spans="1:11" ht="60" customHeight="1" x14ac:dyDescent="0.25">
      <c r="A1746" s="8" t="s">
        <v>2262</v>
      </c>
      <c r="B1746" s="8" t="s">
        <v>0</v>
      </c>
      <c r="C1746" s="8" t="s">
        <v>522</v>
      </c>
      <c r="D1746" s="8" t="s">
        <v>4</v>
      </c>
      <c r="E1746" s="8" t="s">
        <v>18</v>
      </c>
      <c r="F1746" s="6">
        <v>12.98</v>
      </c>
      <c r="G1746" s="8" t="s">
        <v>2264</v>
      </c>
      <c r="H1746" s="8" t="s">
        <v>522</v>
      </c>
      <c r="I1746" s="8" t="s">
        <v>2647</v>
      </c>
      <c r="K1746">
        <f>IF($A1746="","",IF(ISNUMBER($A1746),MONTH($A1746),MONTH(DATEVALUE($A1746))))</f>
        <v>2</v>
      </c>
    </row>
    <row r="1747" spans="1:11" ht="60" customHeight="1" x14ac:dyDescent="0.25">
      <c r="A1747" s="7" t="s">
        <v>2262</v>
      </c>
      <c r="B1747" s="7" t="s">
        <v>0</v>
      </c>
      <c r="C1747" s="7" t="s">
        <v>522</v>
      </c>
      <c r="D1747" s="7" t="s">
        <v>4</v>
      </c>
      <c r="E1747" s="7" t="s">
        <v>18</v>
      </c>
      <c r="F1747" s="5">
        <v>23.05</v>
      </c>
      <c r="G1747" s="7" t="s">
        <v>2265</v>
      </c>
      <c r="H1747" s="7" t="s">
        <v>522</v>
      </c>
      <c r="I1747" s="7" t="s">
        <v>2647</v>
      </c>
      <c r="K1747">
        <f>IF($A1747="","",IF(ISNUMBER($A1747),MONTH($A1747),MONTH(DATEVALUE($A1747))))</f>
        <v>2</v>
      </c>
    </row>
    <row r="1748" spans="1:11" ht="60" customHeight="1" x14ac:dyDescent="0.25">
      <c r="A1748" s="8" t="s">
        <v>2262</v>
      </c>
      <c r="B1748" s="8" t="s">
        <v>0</v>
      </c>
      <c r="C1748" s="8" t="s">
        <v>567</v>
      </c>
      <c r="D1748" s="8" t="s">
        <v>4</v>
      </c>
      <c r="E1748" s="8" t="s">
        <v>18</v>
      </c>
      <c r="F1748" s="6">
        <v>16.41</v>
      </c>
      <c r="G1748" s="8" t="s">
        <v>2266</v>
      </c>
      <c r="H1748" s="8" t="s">
        <v>567</v>
      </c>
      <c r="I1748" s="8" t="s">
        <v>2647</v>
      </c>
      <c r="K1748">
        <f>IF($A1748="","",IF(ISNUMBER($A1748),MONTH($A1748),MONTH(DATEVALUE($A1748))))</f>
        <v>2</v>
      </c>
    </row>
    <row r="1749" spans="1:11" ht="60" customHeight="1" x14ac:dyDescent="0.25">
      <c r="A1749" s="7" t="s">
        <v>2262</v>
      </c>
      <c r="B1749" s="7" t="s">
        <v>0</v>
      </c>
      <c r="C1749" s="7" t="s">
        <v>2267</v>
      </c>
      <c r="D1749" s="7" t="s">
        <v>4</v>
      </c>
      <c r="E1749" s="7" t="s">
        <v>18</v>
      </c>
      <c r="F1749" s="5">
        <v>60.73</v>
      </c>
      <c r="G1749" s="7" t="s">
        <v>2268</v>
      </c>
      <c r="H1749" s="7" t="s">
        <v>2267</v>
      </c>
      <c r="I1749" s="7" t="s">
        <v>2627</v>
      </c>
      <c r="K1749">
        <f>IF($A1749="","",IF(ISNUMBER($A1749),MONTH($A1749),MONTH(DATEVALUE($A1749))))</f>
        <v>2</v>
      </c>
    </row>
    <row r="1750" spans="1:11" ht="60" customHeight="1" x14ac:dyDescent="0.25">
      <c r="A1750" s="8" t="s">
        <v>2262</v>
      </c>
      <c r="B1750" s="8" t="s">
        <v>0</v>
      </c>
      <c r="C1750" s="8" t="s">
        <v>1112</v>
      </c>
      <c r="D1750" s="8" t="s">
        <v>1113</v>
      </c>
      <c r="E1750" s="8" t="s">
        <v>1114</v>
      </c>
      <c r="F1750" s="6">
        <v>31.97</v>
      </c>
      <c r="G1750" s="8" t="s">
        <v>2269</v>
      </c>
      <c r="H1750" s="8" t="s">
        <v>1112</v>
      </c>
      <c r="I1750" s="8" t="s">
        <v>2634</v>
      </c>
      <c r="K1750">
        <f>IF($A1750="","",IF(ISNUMBER($A1750),MONTH($A1750),MONTH(DATEVALUE($A1750))))</f>
        <v>2</v>
      </c>
    </row>
    <row r="1751" spans="1:11" ht="60" customHeight="1" x14ac:dyDescent="0.25">
      <c r="A1751" s="7" t="s">
        <v>2262</v>
      </c>
      <c r="B1751" s="7" t="s">
        <v>0</v>
      </c>
      <c r="C1751" s="7" t="s">
        <v>2270</v>
      </c>
      <c r="D1751" s="7" t="s">
        <v>4</v>
      </c>
      <c r="E1751" s="7" t="s">
        <v>18</v>
      </c>
      <c r="F1751" s="5">
        <v>192.61</v>
      </c>
      <c r="G1751" s="7" t="s">
        <v>2271</v>
      </c>
      <c r="H1751" s="7" t="s">
        <v>2270</v>
      </c>
      <c r="I1751" s="7" t="s">
        <v>2632</v>
      </c>
      <c r="K1751">
        <f>IF($A1751="","",IF(ISNUMBER($A1751),MONTH($A1751),MONTH(DATEVALUE($A1751))))</f>
        <v>2</v>
      </c>
    </row>
    <row r="1752" spans="1:11" ht="60" customHeight="1" x14ac:dyDescent="0.25">
      <c r="A1752" s="8" t="s">
        <v>2262</v>
      </c>
      <c r="B1752" s="8" t="s">
        <v>0</v>
      </c>
      <c r="C1752" s="8" t="s">
        <v>2270</v>
      </c>
      <c r="D1752" s="8" t="s">
        <v>4</v>
      </c>
      <c r="E1752" s="8" t="s">
        <v>18</v>
      </c>
      <c r="F1752" s="6">
        <v>524.1</v>
      </c>
      <c r="G1752" s="8" t="s">
        <v>2272</v>
      </c>
      <c r="H1752" s="8" t="s">
        <v>2270</v>
      </c>
      <c r="I1752" s="7" t="s">
        <v>2632</v>
      </c>
      <c r="K1752">
        <f>IF($A1752="","",IF(ISNUMBER($A1752),MONTH($A1752),MONTH(DATEVALUE($A1752))))</f>
        <v>2</v>
      </c>
    </row>
    <row r="1753" spans="1:11" ht="60" customHeight="1" x14ac:dyDescent="0.25">
      <c r="A1753" s="7" t="s">
        <v>2273</v>
      </c>
      <c r="B1753" s="7" t="s">
        <v>0</v>
      </c>
      <c r="C1753" s="7" t="s">
        <v>1096</v>
      </c>
      <c r="D1753" s="7" t="s">
        <v>4</v>
      </c>
      <c r="E1753" s="7" t="s">
        <v>18</v>
      </c>
      <c r="F1753" s="5">
        <v>-317.85000000000002</v>
      </c>
      <c r="G1753" s="7" t="s">
        <v>1101</v>
      </c>
      <c r="H1753" s="7" t="s">
        <v>1096</v>
      </c>
      <c r="I1753" s="7" t="s">
        <v>2647</v>
      </c>
      <c r="K1753">
        <f>IF($A1753="","",IF(ISNUMBER($A1753),MONTH($A1753),MONTH(DATEVALUE($A1753))))</f>
        <v>2</v>
      </c>
    </row>
    <row r="1754" spans="1:11" ht="60" customHeight="1" x14ac:dyDescent="0.25">
      <c r="A1754" s="8" t="s">
        <v>2273</v>
      </c>
      <c r="B1754" s="8" t="s">
        <v>0</v>
      </c>
      <c r="C1754" s="8" t="s">
        <v>1102</v>
      </c>
      <c r="D1754" s="8" t="s">
        <v>4</v>
      </c>
      <c r="E1754" s="8" t="s">
        <v>18</v>
      </c>
      <c r="F1754" s="6">
        <v>317.85000000000002</v>
      </c>
      <c r="G1754" s="8" t="s">
        <v>2274</v>
      </c>
      <c r="H1754" s="8" t="s">
        <v>1096</v>
      </c>
      <c r="I1754" s="8" t="s">
        <v>2647</v>
      </c>
      <c r="K1754">
        <f>IF($A1754="","",IF(ISNUMBER($A1754),MONTH($A1754),MONTH(DATEVALUE($A1754))))</f>
        <v>2</v>
      </c>
    </row>
    <row r="1755" spans="1:11" ht="60" customHeight="1" x14ac:dyDescent="0.25">
      <c r="A1755" s="7" t="s">
        <v>2273</v>
      </c>
      <c r="B1755" s="7" t="s">
        <v>0</v>
      </c>
      <c r="C1755" s="7" t="s">
        <v>2275</v>
      </c>
      <c r="D1755" s="7" t="s">
        <v>4</v>
      </c>
      <c r="E1755" s="7" t="s">
        <v>18</v>
      </c>
      <c r="F1755" s="5">
        <v>1674</v>
      </c>
      <c r="G1755" s="7" t="s">
        <v>2276</v>
      </c>
      <c r="H1755" s="7" t="s">
        <v>2275</v>
      </c>
      <c r="I1755" s="7" t="s">
        <v>2633</v>
      </c>
      <c r="K1755">
        <f>IF($A1755="","",IF(ISNUMBER($A1755),MONTH($A1755),MONTH(DATEVALUE($A1755))))</f>
        <v>2</v>
      </c>
    </row>
    <row r="1756" spans="1:11" ht="60" customHeight="1" x14ac:dyDescent="0.25">
      <c r="A1756" s="8" t="s">
        <v>2273</v>
      </c>
      <c r="B1756" s="8" t="s">
        <v>0</v>
      </c>
      <c r="C1756" s="8" t="s">
        <v>1027</v>
      </c>
      <c r="D1756" s="8" t="s">
        <v>1113</v>
      </c>
      <c r="E1756" s="8" t="s">
        <v>1114</v>
      </c>
      <c r="F1756" s="6">
        <v>34.96</v>
      </c>
      <c r="G1756" s="8" t="s">
        <v>2277</v>
      </c>
      <c r="H1756" s="8" t="s">
        <v>1027</v>
      </c>
      <c r="I1756" s="8" t="s">
        <v>2665</v>
      </c>
      <c r="K1756">
        <f>IF($A1756="","",IF(ISNUMBER($A1756),MONTH($A1756),MONTH(DATEVALUE($A1756))))</f>
        <v>2</v>
      </c>
    </row>
    <row r="1757" spans="1:11" ht="60" customHeight="1" x14ac:dyDescent="0.25">
      <c r="A1757" s="7" t="s">
        <v>2273</v>
      </c>
      <c r="B1757" s="7" t="s">
        <v>0</v>
      </c>
      <c r="C1757" s="7" t="s">
        <v>1027</v>
      </c>
      <c r="D1757" s="7" t="s">
        <v>1113</v>
      </c>
      <c r="E1757" s="7" t="s">
        <v>1114</v>
      </c>
      <c r="F1757" s="5">
        <v>34.96</v>
      </c>
      <c r="G1757" s="7" t="s">
        <v>2278</v>
      </c>
      <c r="H1757" s="7" t="s">
        <v>1027</v>
      </c>
      <c r="I1757" s="8" t="s">
        <v>2665</v>
      </c>
      <c r="K1757">
        <f>IF($A1757="","",IF(ISNUMBER($A1757),MONTH($A1757),MONTH(DATEVALUE($A1757))))</f>
        <v>2</v>
      </c>
    </row>
    <row r="1758" spans="1:11" ht="60" customHeight="1" x14ac:dyDescent="0.25">
      <c r="A1758" s="8" t="s">
        <v>2273</v>
      </c>
      <c r="B1758" s="8" t="s">
        <v>0</v>
      </c>
      <c r="C1758" s="8" t="s">
        <v>1027</v>
      </c>
      <c r="D1758" s="8" t="s">
        <v>1113</v>
      </c>
      <c r="E1758" s="8" t="s">
        <v>1114</v>
      </c>
      <c r="F1758" s="6">
        <v>322.48</v>
      </c>
      <c r="G1758" s="8" t="s">
        <v>2279</v>
      </c>
      <c r="H1758" s="8" t="s">
        <v>1027</v>
      </c>
      <c r="I1758" s="8" t="s">
        <v>2665</v>
      </c>
      <c r="K1758">
        <f>IF($A1758="","",IF(ISNUMBER($A1758),MONTH($A1758),MONTH(DATEVALUE($A1758))))</f>
        <v>2</v>
      </c>
    </row>
    <row r="1759" spans="1:11" ht="60" customHeight="1" x14ac:dyDescent="0.25">
      <c r="A1759" s="7" t="s">
        <v>2273</v>
      </c>
      <c r="B1759" s="7" t="s">
        <v>0</v>
      </c>
      <c r="C1759" s="7" t="s">
        <v>1027</v>
      </c>
      <c r="D1759" s="7" t="s">
        <v>1113</v>
      </c>
      <c r="E1759" s="7" t="s">
        <v>1114</v>
      </c>
      <c r="F1759" s="5">
        <v>322.48</v>
      </c>
      <c r="G1759" s="7" t="s">
        <v>2280</v>
      </c>
      <c r="H1759" s="7" t="s">
        <v>1027</v>
      </c>
      <c r="I1759" s="8" t="s">
        <v>2665</v>
      </c>
      <c r="K1759">
        <f>IF($A1759="","",IF(ISNUMBER($A1759),MONTH($A1759),MONTH(DATEVALUE($A1759))))</f>
        <v>2</v>
      </c>
    </row>
    <row r="1760" spans="1:11" ht="60" customHeight="1" x14ac:dyDescent="0.25">
      <c r="A1760" s="8" t="s">
        <v>2273</v>
      </c>
      <c r="B1760" s="8" t="s">
        <v>0</v>
      </c>
      <c r="C1760" s="8" t="s">
        <v>2281</v>
      </c>
      <c r="D1760" s="8" t="s">
        <v>4</v>
      </c>
      <c r="E1760" s="8" t="s">
        <v>18</v>
      </c>
      <c r="F1760" s="6">
        <v>405</v>
      </c>
      <c r="G1760" s="8" t="s">
        <v>2282</v>
      </c>
      <c r="H1760" s="8" t="s">
        <v>2281</v>
      </c>
      <c r="I1760" s="8" t="s">
        <v>2632</v>
      </c>
      <c r="K1760">
        <f>IF($A1760="","",IF(ISNUMBER($A1760),MONTH($A1760),MONTH(DATEVALUE($A1760))))</f>
        <v>2</v>
      </c>
    </row>
    <row r="1761" spans="1:11" ht="60" customHeight="1" x14ac:dyDescent="0.25">
      <c r="A1761" s="7" t="s">
        <v>2273</v>
      </c>
      <c r="B1761" s="7" t="s">
        <v>0</v>
      </c>
      <c r="C1761" s="7" t="s">
        <v>1632</v>
      </c>
      <c r="D1761" s="7" t="s">
        <v>4</v>
      </c>
      <c r="E1761" s="7" t="s">
        <v>18</v>
      </c>
      <c r="F1761" s="5">
        <v>1030</v>
      </c>
      <c r="G1761" s="7" t="s">
        <v>2283</v>
      </c>
      <c r="H1761" s="7" t="s">
        <v>1632</v>
      </c>
      <c r="I1761" s="7" t="s">
        <v>2661</v>
      </c>
      <c r="K1761">
        <f>IF($A1761="","",IF(ISNUMBER($A1761),MONTH($A1761),MONTH(DATEVALUE($A1761))))</f>
        <v>2</v>
      </c>
    </row>
    <row r="1762" spans="1:11" ht="60" customHeight="1" x14ac:dyDescent="0.25">
      <c r="A1762" s="8" t="s">
        <v>2273</v>
      </c>
      <c r="B1762" s="8" t="s">
        <v>0</v>
      </c>
      <c r="C1762" s="8" t="s">
        <v>132</v>
      </c>
      <c r="D1762" s="8" t="s">
        <v>4</v>
      </c>
      <c r="E1762" s="8" t="s">
        <v>18</v>
      </c>
      <c r="F1762" s="6">
        <v>24</v>
      </c>
      <c r="G1762" s="8" t="s">
        <v>2284</v>
      </c>
      <c r="H1762" s="8" t="s">
        <v>132</v>
      </c>
      <c r="I1762" s="8" t="s">
        <v>2630</v>
      </c>
      <c r="K1762">
        <f>IF($A1762="","",IF(ISNUMBER($A1762),MONTH($A1762),MONTH(DATEVALUE($A1762))))</f>
        <v>2</v>
      </c>
    </row>
    <row r="1763" spans="1:11" ht="60" customHeight="1" x14ac:dyDescent="0.25">
      <c r="A1763" s="7" t="s">
        <v>2285</v>
      </c>
      <c r="B1763" s="7" t="s">
        <v>0</v>
      </c>
      <c r="C1763" s="7" t="s">
        <v>1096</v>
      </c>
      <c r="D1763" s="7" t="s">
        <v>4</v>
      </c>
      <c r="E1763" s="7" t="s">
        <v>18</v>
      </c>
      <c r="F1763" s="5">
        <v>-329.7</v>
      </c>
      <c r="G1763" s="7" t="s">
        <v>1101</v>
      </c>
      <c r="H1763" s="7" t="s">
        <v>1096</v>
      </c>
      <c r="I1763" s="7" t="s">
        <v>2647</v>
      </c>
      <c r="K1763">
        <f>IF($A1763="","",IF(ISNUMBER($A1763),MONTH($A1763),MONTH(DATEVALUE($A1763))))</f>
        <v>2</v>
      </c>
    </row>
    <row r="1764" spans="1:11" ht="60" customHeight="1" x14ac:dyDescent="0.25">
      <c r="A1764" s="8" t="s">
        <v>2285</v>
      </c>
      <c r="B1764" s="8" t="s">
        <v>0</v>
      </c>
      <c r="C1764" s="8" t="s">
        <v>1096</v>
      </c>
      <c r="D1764" s="8" t="s">
        <v>4</v>
      </c>
      <c r="E1764" s="8" t="s">
        <v>18</v>
      </c>
      <c r="F1764" s="6">
        <v>-151.44</v>
      </c>
      <c r="G1764" s="8" t="s">
        <v>1101</v>
      </c>
      <c r="H1764" s="8" t="s">
        <v>1096</v>
      </c>
      <c r="I1764" s="8" t="s">
        <v>2647</v>
      </c>
      <c r="K1764">
        <f>IF($A1764="","",IF(ISNUMBER($A1764),MONTH($A1764),MONTH(DATEVALUE($A1764))))</f>
        <v>2</v>
      </c>
    </row>
    <row r="1765" spans="1:11" ht="60" customHeight="1" x14ac:dyDescent="0.25">
      <c r="A1765" s="7" t="s">
        <v>2285</v>
      </c>
      <c r="B1765" s="7" t="s">
        <v>0</v>
      </c>
      <c r="C1765" s="7" t="s">
        <v>1096</v>
      </c>
      <c r="D1765" s="7" t="s">
        <v>4</v>
      </c>
      <c r="E1765" s="7" t="s">
        <v>18</v>
      </c>
      <c r="F1765" s="5">
        <v>-9.73</v>
      </c>
      <c r="G1765" s="7" t="s">
        <v>1101</v>
      </c>
      <c r="H1765" s="7" t="s">
        <v>1096</v>
      </c>
      <c r="I1765" s="7" t="s">
        <v>2647</v>
      </c>
      <c r="K1765">
        <f>IF($A1765="","",IF(ISNUMBER($A1765),MONTH($A1765),MONTH(DATEVALUE($A1765))))</f>
        <v>2</v>
      </c>
    </row>
    <row r="1766" spans="1:11" ht="60" customHeight="1" x14ac:dyDescent="0.25">
      <c r="A1766" s="8" t="s">
        <v>2285</v>
      </c>
      <c r="B1766" s="8" t="s">
        <v>0</v>
      </c>
      <c r="C1766" s="8" t="s">
        <v>1102</v>
      </c>
      <c r="D1766" s="8" t="s">
        <v>4</v>
      </c>
      <c r="E1766" s="8" t="s">
        <v>18</v>
      </c>
      <c r="F1766" s="6">
        <v>9.73</v>
      </c>
      <c r="G1766" s="8" t="s">
        <v>2286</v>
      </c>
      <c r="H1766" s="8" t="s">
        <v>1096</v>
      </c>
      <c r="I1766" s="8" t="s">
        <v>2647</v>
      </c>
      <c r="K1766">
        <f>IF($A1766="","",IF(ISNUMBER($A1766),MONTH($A1766),MONTH(DATEVALUE($A1766))))</f>
        <v>2</v>
      </c>
    </row>
    <row r="1767" spans="1:11" ht="60" customHeight="1" x14ac:dyDescent="0.25">
      <c r="A1767" s="7" t="s">
        <v>2285</v>
      </c>
      <c r="B1767" s="7" t="s">
        <v>0</v>
      </c>
      <c r="C1767" s="7" t="s">
        <v>1102</v>
      </c>
      <c r="D1767" s="7" t="s">
        <v>4</v>
      </c>
      <c r="E1767" s="7" t="s">
        <v>18</v>
      </c>
      <c r="F1767" s="5">
        <v>151.44</v>
      </c>
      <c r="G1767" s="7" t="s">
        <v>2287</v>
      </c>
      <c r="H1767" s="7" t="s">
        <v>1096</v>
      </c>
      <c r="I1767" s="7" t="s">
        <v>2647</v>
      </c>
      <c r="K1767">
        <f>IF($A1767="","",IF(ISNUMBER($A1767),MONTH($A1767),MONTH(DATEVALUE($A1767))))</f>
        <v>2</v>
      </c>
    </row>
    <row r="1768" spans="1:11" ht="60" customHeight="1" x14ac:dyDescent="0.25">
      <c r="A1768" s="8" t="s">
        <v>2285</v>
      </c>
      <c r="B1768" s="8" t="s">
        <v>0</v>
      </c>
      <c r="C1768" s="8" t="s">
        <v>1102</v>
      </c>
      <c r="D1768" s="8" t="s">
        <v>4</v>
      </c>
      <c r="E1768" s="8" t="s">
        <v>18</v>
      </c>
      <c r="F1768" s="6">
        <v>329.7</v>
      </c>
      <c r="G1768" s="8" t="s">
        <v>2288</v>
      </c>
      <c r="H1768" s="8" t="s">
        <v>1096</v>
      </c>
      <c r="I1768" s="8" t="s">
        <v>2647</v>
      </c>
      <c r="K1768">
        <f>IF($A1768="","",IF(ISNUMBER($A1768),MONTH($A1768),MONTH(DATEVALUE($A1768))))</f>
        <v>2</v>
      </c>
    </row>
    <row r="1769" spans="1:11" ht="60" customHeight="1" x14ac:dyDescent="0.25">
      <c r="A1769" s="7" t="s">
        <v>2285</v>
      </c>
      <c r="B1769" s="7" t="s">
        <v>0</v>
      </c>
      <c r="C1769" s="7" t="s">
        <v>522</v>
      </c>
      <c r="D1769" s="7" t="s">
        <v>4</v>
      </c>
      <c r="E1769" s="7" t="s">
        <v>18</v>
      </c>
      <c r="F1769" s="5">
        <v>12.07</v>
      </c>
      <c r="G1769" s="7" t="s">
        <v>2289</v>
      </c>
      <c r="H1769" s="7" t="s">
        <v>522</v>
      </c>
      <c r="I1769" s="7" t="s">
        <v>2647</v>
      </c>
      <c r="K1769">
        <f>IF($A1769="","",IF(ISNUMBER($A1769),MONTH($A1769),MONTH(DATEVALUE($A1769))))</f>
        <v>2</v>
      </c>
    </row>
    <row r="1770" spans="1:11" ht="60" customHeight="1" x14ac:dyDescent="0.25">
      <c r="A1770" s="8" t="s">
        <v>2290</v>
      </c>
      <c r="B1770" s="8" t="s">
        <v>0</v>
      </c>
      <c r="C1770" s="8" t="s">
        <v>1096</v>
      </c>
      <c r="D1770" s="8" t="s">
        <v>4</v>
      </c>
      <c r="E1770" s="8" t="s">
        <v>18</v>
      </c>
      <c r="F1770" s="6">
        <v>-19.829999999999998</v>
      </c>
      <c r="G1770" s="8" t="s">
        <v>1101</v>
      </c>
      <c r="H1770" s="8" t="s">
        <v>1096</v>
      </c>
      <c r="I1770" s="8" t="s">
        <v>2647</v>
      </c>
      <c r="K1770">
        <f>IF($A1770="","",IF(ISNUMBER($A1770),MONTH($A1770),MONTH(DATEVALUE($A1770))))</f>
        <v>2</v>
      </c>
    </row>
    <row r="1771" spans="1:11" ht="60" customHeight="1" x14ac:dyDescent="0.25">
      <c r="A1771" s="7" t="s">
        <v>2290</v>
      </c>
      <c r="B1771" s="7" t="s">
        <v>0</v>
      </c>
      <c r="C1771" s="7" t="s">
        <v>1102</v>
      </c>
      <c r="D1771" s="7" t="s">
        <v>4</v>
      </c>
      <c r="E1771" s="7" t="s">
        <v>18</v>
      </c>
      <c r="F1771" s="5">
        <v>19.829999999999998</v>
      </c>
      <c r="G1771" s="7" t="s">
        <v>2291</v>
      </c>
      <c r="H1771" s="7" t="s">
        <v>1096</v>
      </c>
      <c r="I1771" s="7" t="s">
        <v>2647</v>
      </c>
      <c r="K1771">
        <f>IF($A1771="","",IF(ISNUMBER($A1771),MONTH($A1771),MONTH(DATEVALUE($A1771))))</f>
        <v>2</v>
      </c>
    </row>
    <row r="1772" spans="1:11" ht="60" customHeight="1" x14ac:dyDescent="0.25">
      <c r="A1772" s="8" t="s">
        <v>2290</v>
      </c>
      <c r="B1772" s="8" t="s">
        <v>0</v>
      </c>
      <c r="C1772" s="8" t="s">
        <v>522</v>
      </c>
      <c r="D1772" s="8" t="s">
        <v>4</v>
      </c>
      <c r="E1772" s="8" t="s">
        <v>18</v>
      </c>
      <c r="F1772" s="6">
        <v>23.87</v>
      </c>
      <c r="G1772" s="8" t="s">
        <v>2292</v>
      </c>
      <c r="H1772" s="8" t="s">
        <v>522</v>
      </c>
      <c r="I1772" s="8" t="s">
        <v>2647</v>
      </c>
      <c r="K1772">
        <f>IF($A1772="","",IF(ISNUMBER($A1772),MONTH($A1772),MONTH(DATEVALUE($A1772))))</f>
        <v>2</v>
      </c>
    </row>
    <row r="1773" spans="1:11" ht="60" customHeight="1" x14ac:dyDescent="0.25">
      <c r="A1773" s="7" t="s">
        <v>2290</v>
      </c>
      <c r="B1773" s="7" t="s">
        <v>0</v>
      </c>
      <c r="C1773" s="7" t="s">
        <v>2293</v>
      </c>
      <c r="D1773" s="7" t="s">
        <v>4</v>
      </c>
      <c r="E1773" s="7" t="s">
        <v>18</v>
      </c>
      <c r="F1773" s="5">
        <v>49.12</v>
      </c>
      <c r="G1773" s="7" t="s">
        <v>2294</v>
      </c>
      <c r="H1773" s="7" t="s">
        <v>2293</v>
      </c>
      <c r="I1773" s="7" t="s">
        <v>2636</v>
      </c>
      <c r="K1773">
        <f>IF($A1773="","",IF(ISNUMBER($A1773),MONTH($A1773),MONTH(DATEVALUE($A1773))))</f>
        <v>2</v>
      </c>
    </row>
    <row r="1774" spans="1:11" ht="60" customHeight="1" x14ac:dyDescent="0.25">
      <c r="A1774" s="8" t="s">
        <v>2290</v>
      </c>
      <c r="B1774" s="8" t="s">
        <v>0</v>
      </c>
      <c r="C1774" s="8" t="s">
        <v>2295</v>
      </c>
      <c r="D1774" s="8" t="s">
        <v>4</v>
      </c>
      <c r="E1774" s="8" t="s">
        <v>18</v>
      </c>
      <c r="F1774" s="6">
        <v>10.81</v>
      </c>
      <c r="G1774" s="8" t="s">
        <v>2296</v>
      </c>
      <c r="H1774" s="8" t="s">
        <v>2295</v>
      </c>
      <c r="I1774" s="8" t="s">
        <v>2635</v>
      </c>
      <c r="K1774">
        <f>IF($A1774="","",IF(ISNUMBER($A1774),MONTH($A1774),MONTH(DATEVALUE($A1774))))</f>
        <v>2</v>
      </c>
    </row>
    <row r="1775" spans="1:11" ht="60" customHeight="1" x14ac:dyDescent="0.25">
      <c r="A1775" s="7" t="s">
        <v>2290</v>
      </c>
      <c r="B1775" s="7" t="s">
        <v>0</v>
      </c>
      <c r="C1775" s="7" t="s">
        <v>2297</v>
      </c>
      <c r="D1775" s="7" t="s">
        <v>4</v>
      </c>
      <c r="E1775" s="7" t="s">
        <v>18</v>
      </c>
      <c r="F1775" s="5">
        <v>3.15</v>
      </c>
      <c r="G1775" s="7" t="s">
        <v>2298</v>
      </c>
      <c r="H1775" s="7" t="s">
        <v>2297</v>
      </c>
      <c r="I1775" s="7" t="s">
        <v>2633</v>
      </c>
      <c r="K1775">
        <f>IF($A1775="","",IF(ISNUMBER($A1775),MONTH($A1775),MONTH(DATEVALUE($A1775))))</f>
        <v>2</v>
      </c>
    </row>
    <row r="1776" spans="1:11" ht="60" customHeight="1" x14ac:dyDescent="0.25">
      <c r="A1776" s="8" t="s">
        <v>2290</v>
      </c>
      <c r="B1776" s="8" t="s">
        <v>0</v>
      </c>
      <c r="C1776" s="8" t="s">
        <v>27</v>
      </c>
      <c r="D1776" s="8" t="s">
        <v>4</v>
      </c>
      <c r="E1776" s="8" t="s">
        <v>18</v>
      </c>
      <c r="F1776" s="6">
        <v>20</v>
      </c>
      <c r="G1776" s="8" t="s">
        <v>2299</v>
      </c>
      <c r="H1776" s="8" t="s">
        <v>27</v>
      </c>
      <c r="I1776" s="8" t="s">
        <v>2628</v>
      </c>
      <c r="K1776">
        <f>IF($A1776="","",IF(ISNUMBER($A1776),MONTH($A1776),MONTH(DATEVALUE($A1776))))</f>
        <v>2</v>
      </c>
    </row>
    <row r="1777" spans="1:11" ht="60" customHeight="1" x14ac:dyDescent="0.25">
      <c r="A1777" s="7" t="s">
        <v>2290</v>
      </c>
      <c r="B1777" s="7" t="s">
        <v>0</v>
      </c>
      <c r="C1777" s="7" t="s">
        <v>2300</v>
      </c>
      <c r="D1777" s="7" t="s">
        <v>4</v>
      </c>
      <c r="E1777" s="7" t="s">
        <v>18</v>
      </c>
      <c r="F1777" s="5">
        <v>26.91</v>
      </c>
      <c r="G1777" s="7" t="s">
        <v>2301</v>
      </c>
      <c r="H1777" s="7" t="s">
        <v>2300</v>
      </c>
      <c r="I1777" s="7" t="s">
        <v>2633</v>
      </c>
      <c r="K1777">
        <f>IF($A1777="","",IF(ISNUMBER($A1777),MONTH($A1777),MONTH(DATEVALUE($A1777))))</f>
        <v>2</v>
      </c>
    </row>
    <row r="1778" spans="1:11" ht="60" customHeight="1" x14ac:dyDescent="0.25">
      <c r="A1778" s="8" t="s">
        <v>2302</v>
      </c>
      <c r="B1778" s="8" t="s">
        <v>0</v>
      </c>
      <c r="C1778" s="8" t="s">
        <v>1096</v>
      </c>
      <c r="D1778" s="8" t="s">
        <v>4</v>
      </c>
      <c r="E1778" s="8" t="s">
        <v>18</v>
      </c>
      <c r="F1778" s="6">
        <v>-413.9</v>
      </c>
      <c r="G1778" s="8" t="s">
        <v>1101</v>
      </c>
      <c r="H1778" s="8" t="s">
        <v>1096</v>
      </c>
      <c r="I1778" s="8" t="s">
        <v>2647</v>
      </c>
      <c r="K1778">
        <f>IF($A1778="","",IF(ISNUMBER($A1778),MONTH($A1778),MONTH(DATEVALUE($A1778))))</f>
        <v>2</v>
      </c>
    </row>
    <row r="1779" spans="1:11" ht="60" customHeight="1" x14ac:dyDescent="0.25">
      <c r="A1779" s="7" t="s">
        <v>2302</v>
      </c>
      <c r="B1779" s="7" t="s">
        <v>0</v>
      </c>
      <c r="C1779" s="7" t="s">
        <v>1096</v>
      </c>
      <c r="D1779" s="7" t="s">
        <v>4</v>
      </c>
      <c r="E1779" s="7" t="s">
        <v>18</v>
      </c>
      <c r="F1779" s="5">
        <v>-208.15</v>
      </c>
      <c r="G1779" s="7" t="s">
        <v>1101</v>
      </c>
      <c r="H1779" s="7" t="s">
        <v>1096</v>
      </c>
      <c r="I1779" s="7" t="s">
        <v>2647</v>
      </c>
      <c r="K1779">
        <f>IF($A1779="","",IF(ISNUMBER($A1779),MONTH($A1779),MONTH(DATEVALUE($A1779))))</f>
        <v>2</v>
      </c>
    </row>
    <row r="1780" spans="1:11" ht="60" customHeight="1" x14ac:dyDescent="0.25">
      <c r="A1780" s="8" t="s">
        <v>2302</v>
      </c>
      <c r="B1780" s="8" t="s">
        <v>0</v>
      </c>
      <c r="C1780" s="8" t="s">
        <v>1096</v>
      </c>
      <c r="D1780" s="8" t="s">
        <v>4</v>
      </c>
      <c r="E1780" s="8" t="s">
        <v>18</v>
      </c>
      <c r="F1780" s="6">
        <v>-47.6</v>
      </c>
      <c r="G1780" s="8" t="s">
        <v>1101</v>
      </c>
      <c r="H1780" s="8" t="s">
        <v>1096</v>
      </c>
      <c r="I1780" s="8" t="s">
        <v>2647</v>
      </c>
      <c r="K1780">
        <f>IF($A1780="","",IF(ISNUMBER($A1780),MONTH($A1780),MONTH(DATEVALUE($A1780))))</f>
        <v>2</v>
      </c>
    </row>
    <row r="1781" spans="1:11" ht="60" customHeight="1" x14ac:dyDescent="0.25">
      <c r="A1781" s="7" t="s">
        <v>2302</v>
      </c>
      <c r="B1781" s="7" t="s">
        <v>0</v>
      </c>
      <c r="C1781" s="7" t="s">
        <v>1096</v>
      </c>
      <c r="D1781" s="7" t="s">
        <v>4</v>
      </c>
      <c r="E1781" s="7" t="s">
        <v>18</v>
      </c>
      <c r="F1781" s="5">
        <v>-45.44</v>
      </c>
      <c r="G1781" s="7" t="s">
        <v>1101</v>
      </c>
      <c r="H1781" s="7" t="s">
        <v>1096</v>
      </c>
      <c r="I1781" s="7" t="s">
        <v>2647</v>
      </c>
      <c r="K1781">
        <f>IF($A1781="","",IF(ISNUMBER($A1781),MONTH($A1781),MONTH(DATEVALUE($A1781))))</f>
        <v>2</v>
      </c>
    </row>
    <row r="1782" spans="1:11" ht="60" customHeight="1" x14ac:dyDescent="0.25">
      <c r="A1782" s="8" t="s">
        <v>2302</v>
      </c>
      <c r="B1782" s="8" t="s">
        <v>0</v>
      </c>
      <c r="C1782" s="8" t="s">
        <v>1096</v>
      </c>
      <c r="D1782" s="8" t="s">
        <v>4</v>
      </c>
      <c r="E1782" s="8" t="s">
        <v>18</v>
      </c>
      <c r="F1782" s="6">
        <v>-43.2</v>
      </c>
      <c r="G1782" s="8" t="s">
        <v>1101</v>
      </c>
      <c r="H1782" s="8" t="s">
        <v>1096</v>
      </c>
      <c r="I1782" s="8" t="s">
        <v>2647</v>
      </c>
      <c r="K1782">
        <f>IF($A1782="","",IF(ISNUMBER($A1782),MONTH($A1782),MONTH(DATEVALUE($A1782))))</f>
        <v>2</v>
      </c>
    </row>
    <row r="1783" spans="1:11" ht="60" customHeight="1" x14ac:dyDescent="0.25">
      <c r="A1783" s="7" t="s">
        <v>2302</v>
      </c>
      <c r="B1783" s="7" t="s">
        <v>0</v>
      </c>
      <c r="C1783" s="7" t="s">
        <v>1102</v>
      </c>
      <c r="D1783" s="7" t="s">
        <v>4</v>
      </c>
      <c r="E1783" s="7" t="s">
        <v>18</v>
      </c>
      <c r="F1783" s="5">
        <v>43.2</v>
      </c>
      <c r="G1783" s="7" t="s">
        <v>2303</v>
      </c>
      <c r="H1783" s="7" t="s">
        <v>1096</v>
      </c>
      <c r="I1783" s="7" t="s">
        <v>2647</v>
      </c>
      <c r="K1783">
        <f>IF($A1783="","",IF(ISNUMBER($A1783),MONTH($A1783),MONTH(DATEVALUE($A1783))))</f>
        <v>2</v>
      </c>
    </row>
    <row r="1784" spans="1:11" ht="60" customHeight="1" x14ac:dyDescent="0.25">
      <c r="A1784" s="8" t="s">
        <v>2302</v>
      </c>
      <c r="B1784" s="8" t="s">
        <v>0</v>
      </c>
      <c r="C1784" s="8" t="s">
        <v>1102</v>
      </c>
      <c r="D1784" s="8" t="s">
        <v>4</v>
      </c>
      <c r="E1784" s="8" t="s">
        <v>18</v>
      </c>
      <c r="F1784" s="6">
        <v>45.44</v>
      </c>
      <c r="G1784" s="8" t="s">
        <v>2304</v>
      </c>
      <c r="H1784" s="8" t="s">
        <v>1096</v>
      </c>
      <c r="I1784" s="8" t="s">
        <v>2647</v>
      </c>
      <c r="K1784">
        <f>IF($A1784="","",IF(ISNUMBER($A1784),MONTH($A1784),MONTH(DATEVALUE($A1784))))</f>
        <v>2</v>
      </c>
    </row>
    <row r="1785" spans="1:11" ht="60" customHeight="1" x14ac:dyDescent="0.25">
      <c r="A1785" s="7" t="s">
        <v>2302</v>
      </c>
      <c r="B1785" s="7" t="s">
        <v>0</v>
      </c>
      <c r="C1785" s="7" t="s">
        <v>1102</v>
      </c>
      <c r="D1785" s="7" t="s">
        <v>4</v>
      </c>
      <c r="E1785" s="7" t="s">
        <v>18</v>
      </c>
      <c r="F1785" s="5">
        <v>47.6</v>
      </c>
      <c r="G1785" s="7" t="s">
        <v>2305</v>
      </c>
      <c r="H1785" s="7" t="s">
        <v>1096</v>
      </c>
      <c r="I1785" s="7" t="s">
        <v>2647</v>
      </c>
      <c r="K1785">
        <f>IF($A1785="","",IF(ISNUMBER($A1785),MONTH($A1785),MONTH(DATEVALUE($A1785))))</f>
        <v>2</v>
      </c>
    </row>
    <row r="1786" spans="1:11" ht="60" customHeight="1" x14ac:dyDescent="0.25">
      <c r="A1786" s="8" t="s">
        <v>2302</v>
      </c>
      <c r="B1786" s="8" t="s">
        <v>0</v>
      </c>
      <c r="C1786" s="8" t="s">
        <v>1102</v>
      </c>
      <c r="D1786" s="8" t="s">
        <v>4</v>
      </c>
      <c r="E1786" s="8" t="s">
        <v>18</v>
      </c>
      <c r="F1786" s="6">
        <v>208.15</v>
      </c>
      <c r="G1786" s="8" t="s">
        <v>2306</v>
      </c>
      <c r="H1786" s="8" t="s">
        <v>1096</v>
      </c>
      <c r="I1786" s="8" t="s">
        <v>2647</v>
      </c>
      <c r="K1786">
        <f>IF($A1786="","",IF(ISNUMBER($A1786),MONTH($A1786),MONTH(DATEVALUE($A1786))))</f>
        <v>2</v>
      </c>
    </row>
    <row r="1787" spans="1:11" ht="60" customHeight="1" x14ac:dyDescent="0.25">
      <c r="A1787" s="7" t="s">
        <v>2302</v>
      </c>
      <c r="B1787" s="7" t="s">
        <v>0</v>
      </c>
      <c r="C1787" s="7" t="s">
        <v>1102</v>
      </c>
      <c r="D1787" s="7" t="s">
        <v>4</v>
      </c>
      <c r="E1787" s="7" t="s">
        <v>18</v>
      </c>
      <c r="F1787" s="5">
        <v>413.9</v>
      </c>
      <c r="G1787" s="7" t="s">
        <v>2307</v>
      </c>
      <c r="H1787" s="7" t="s">
        <v>1096</v>
      </c>
      <c r="I1787" s="7" t="s">
        <v>2647</v>
      </c>
      <c r="K1787">
        <f>IF($A1787="","",IF(ISNUMBER($A1787),MONTH($A1787),MONTH(DATEVALUE($A1787))))</f>
        <v>2</v>
      </c>
    </row>
    <row r="1788" spans="1:11" ht="60" customHeight="1" x14ac:dyDescent="0.25">
      <c r="A1788" s="8" t="s">
        <v>2302</v>
      </c>
      <c r="B1788" s="8" t="s">
        <v>0</v>
      </c>
      <c r="C1788" s="8" t="s">
        <v>2308</v>
      </c>
      <c r="D1788" s="8" t="s">
        <v>4</v>
      </c>
      <c r="E1788" s="8" t="s">
        <v>18</v>
      </c>
      <c r="F1788" s="6">
        <v>10.99</v>
      </c>
      <c r="G1788" s="8" t="s">
        <v>2309</v>
      </c>
      <c r="H1788" s="8" t="s">
        <v>2308</v>
      </c>
      <c r="I1788" s="8" t="s">
        <v>2627</v>
      </c>
      <c r="K1788">
        <f>IF($A1788="","",IF(ISNUMBER($A1788),MONTH($A1788),MONTH(DATEVALUE($A1788))))</f>
        <v>2</v>
      </c>
    </row>
    <row r="1789" spans="1:11" ht="60" customHeight="1" x14ac:dyDescent="0.25">
      <c r="A1789" s="7" t="s">
        <v>2302</v>
      </c>
      <c r="B1789" s="7" t="s">
        <v>0</v>
      </c>
      <c r="C1789" s="7" t="s">
        <v>762</v>
      </c>
      <c r="D1789" s="7" t="s">
        <v>4</v>
      </c>
      <c r="E1789" s="7" t="s">
        <v>18</v>
      </c>
      <c r="F1789" s="5">
        <v>59.5</v>
      </c>
      <c r="G1789" s="7" t="s">
        <v>2310</v>
      </c>
      <c r="H1789" s="7" t="s">
        <v>762</v>
      </c>
      <c r="I1789" s="7" t="s">
        <v>2650</v>
      </c>
      <c r="K1789">
        <f>IF($A1789="","",IF(ISNUMBER($A1789),MONTH($A1789),MONTH(DATEVALUE($A1789))))</f>
        <v>2</v>
      </c>
    </row>
    <row r="1790" spans="1:11" ht="60" customHeight="1" x14ac:dyDescent="0.25">
      <c r="A1790" s="8" t="s">
        <v>2302</v>
      </c>
      <c r="B1790" s="8" t="s">
        <v>0</v>
      </c>
      <c r="C1790" s="8" t="s">
        <v>22</v>
      </c>
      <c r="D1790" s="8" t="s">
        <v>4</v>
      </c>
      <c r="E1790" s="8" t="s">
        <v>18</v>
      </c>
      <c r="F1790" s="6">
        <v>7200</v>
      </c>
      <c r="G1790" s="8" t="s">
        <v>2311</v>
      </c>
      <c r="H1790" s="8" t="s">
        <v>22</v>
      </c>
      <c r="I1790" s="8" t="s">
        <v>2626</v>
      </c>
      <c r="K1790">
        <f>IF($A1790="","",IF(ISNUMBER($A1790),MONTH($A1790),MONTH(DATEVALUE($A1790))))</f>
        <v>2</v>
      </c>
    </row>
    <row r="1791" spans="1:11" ht="60" customHeight="1" x14ac:dyDescent="0.25">
      <c r="A1791" s="7" t="s">
        <v>2312</v>
      </c>
      <c r="B1791" s="7" t="s">
        <v>0</v>
      </c>
      <c r="C1791" s="7" t="s">
        <v>2313</v>
      </c>
      <c r="D1791" s="7" t="s">
        <v>4</v>
      </c>
      <c r="E1791" s="7" t="s">
        <v>18</v>
      </c>
      <c r="F1791" s="5">
        <v>3.24</v>
      </c>
      <c r="G1791" s="7" t="s">
        <v>2314</v>
      </c>
      <c r="H1791" s="7" t="s">
        <v>2313</v>
      </c>
      <c r="I1791" s="7" t="s">
        <v>2647</v>
      </c>
      <c r="K1791">
        <f>IF($A1791="","",IF(ISNUMBER($A1791),MONTH($A1791),MONTH(DATEVALUE($A1791))))</f>
        <v>2</v>
      </c>
    </row>
    <row r="1792" spans="1:11" ht="60" customHeight="1" x14ac:dyDescent="0.25">
      <c r="A1792" s="8" t="s">
        <v>2312</v>
      </c>
      <c r="B1792" s="8" t="s">
        <v>0</v>
      </c>
      <c r="C1792" s="8" t="s">
        <v>567</v>
      </c>
      <c r="D1792" s="8" t="s">
        <v>4</v>
      </c>
      <c r="E1792" s="8" t="s">
        <v>18</v>
      </c>
      <c r="F1792" s="6">
        <v>16.23</v>
      </c>
      <c r="G1792" s="8" t="s">
        <v>2315</v>
      </c>
      <c r="H1792" s="8" t="s">
        <v>567</v>
      </c>
      <c r="I1792" s="8" t="s">
        <v>2647</v>
      </c>
      <c r="K1792">
        <f>IF($A1792="","",IF(ISNUMBER($A1792),MONTH($A1792),MONTH(DATEVALUE($A1792))))</f>
        <v>2</v>
      </c>
    </row>
    <row r="1793" spans="1:11" ht="60" customHeight="1" x14ac:dyDescent="0.25">
      <c r="A1793" s="7" t="s">
        <v>2312</v>
      </c>
      <c r="B1793" s="7" t="s">
        <v>0</v>
      </c>
      <c r="C1793" s="7" t="s">
        <v>126</v>
      </c>
      <c r="D1793" s="7" t="s">
        <v>4</v>
      </c>
      <c r="E1793" s="7" t="s">
        <v>18</v>
      </c>
      <c r="F1793" s="5">
        <v>40</v>
      </c>
      <c r="G1793" s="7" t="s">
        <v>2316</v>
      </c>
      <c r="H1793" s="7" t="s">
        <v>126</v>
      </c>
      <c r="I1793" s="7" t="s">
        <v>2636</v>
      </c>
      <c r="K1793">
        <f>IF($A1793="","",IF(ISNUMBER($A1793),MONTH($A1793),MONTH(DATEVALUE($A1793))))</f>
        <v>2</v>
      </c>
    </row>
    <row r="1794" spans="1:11" ht="60" customHeight="1" x14ac:dyDescent="0.25">
      <c r="A1794" s="8" t="s">
        <v>2312</v>
      </c>
      <c r="B1794" s="8" t="s">
        <v>0</v>
      </c>
      <c r="C1794" s="8" t="s">
        <v>176</v>
      </c>
      <c r="D1794" s="8" t="s">
        <v>4</v>
      </c>
      <c r="E1794" s="8" t="s">
        <v>18</v>
      </c>
      <c r="F1794" s="6">
        <v>9.99</v>
      </c>
      <c r="G1794" s="8" t="s">
        <v>2317</v>
      </c>
      <c r="H1794" s="8" t="s">
        <v>176</v>
      </c>
      <c r="I1794" s="8" t="s">
        <v>2630</v>
      </c>
      <c r="K1794">
        <f>IF($A1794="","",IF(ISNUMBER($A1794),MONTH($A1794),MONTH(DATEVALUE($A1794))))</f>
        <v>2</v>
      </c>
    </row>
    <row r="1795" spans="1:11" ht="60" customHeight="1" x14ac:dyDescent="0.25">
      <c r="A1795" s="7" t="s">
        <v>2312</v>
      </c>
      <c r="B1795" s="7" t="s">
        <v>0</v>
      </c>
      <c r="C1795" s="7" t="s">
        <v>2318</v>
      </c>
      <c r="D1795" s="7" t="s">
        <v>4</v>
      </c>
      <c r="E1795" s="7" t="s">
        <v>18</v>
      </c>
      <c r="F1795" s="5">
        <v>100</v>
      </c>
      <c r="G1795" s="7" t="s">
        <v>2319</v>
      </c>
      <c r="H1795" s="7" t="s">
        <v>2318</v>
      </c>
      <c r="I1795" s="7" t="s">
        <v>2636</v>
      </c>
      <c r="K1795">
        <f>IF($A1795="","",IF(ISNUMBER($A1795),MONTH($A1795),MONTH(DATEVALUE($A1795))))</f>
        <v>2</v>
      </c>
    </row>
    <row r="1796" spans="1:11" ht="60" customHeight="1" x14ac:dyDescent="0.25">
      <c r="A1796" s="8" t="s">
        <v>2312</v>
      </c>
      <c r="B1796" s="8" t="s">
        <v>0</v>
      </c>
      <c r="C1796" s="8" t="s">
        <v>178</v>
      </c>
      <c r="D1796" s="8" t="s">
        <v>4</v>
      </c>
      <c r="E1796" s="8" t="s">
        <v>18</v>
      </c>
      <c r="F1796" s="6">
        <v>260</v>
      </c>
      <c r="G1796" s="8" t="s">
        <v>2320</v>
      </c>
      <c r="H1796" s="8" t="s">
        <v>178</v>
      </c>
      <c r="I1796" s="8" t="s">
        <v>2638</v>
      </c>
      <c r="K1796">
        <f>IF($A1796="","",IF(ISNUMBER($A1796),MONTH($A1796),MONTH(DATEVALUE($A1796))))</f>
        <v>2</v>
      </c>
    </row>
    <row r="1797" spans="1:11" ht="60" customHeight="1" x14ac:dyDescent="0.25">
      <c r="A1797" s="7" t="s">
        <v>2312</v>
      </c>
      <c r="B1797" s="7" t="s">
        <v>0</v>
      </c>
      <c r="C1797" s="7" t="s">
        <v>2321</v>
      </c>
      <c r="D1797" s="7" t="s">
        <v>4</v>
      </c>
      <c r="E1797" s="7" t="s">
        <v>18</v>
      </c>
      <c r="F1797" s="5">
        <v>31.97</v>
      </c>
      <c r="G1797" s="7" t="s">
        <v>2322</v>
      </c>
      <c r="H1797" s="7" t="s">
        <v>2321</v>
      </c>
      <c r="I1797" s="7" t="s">
        <v>2627</v>
      </c>
      <c r="K1797">
        <f>IF($A1797="","",IF(ISNUMBER($A1797),MONTH($A1797),MONTH(DATEVALUE($A1797))))</f>
        <v>2</v>
      </c>
    </row>
    <row r="1798" spans="1:11" ht="60" customHeight="1" x14ac:dyDescent="0.25">
      <c r="A1798" s="8" t="s">
        <v>2312</v>
      </c>
      <c r="B1798" s="8" t="s">
        <v>0</v>
      </c>
      <c r="C1798" s="8" t="s">
        <v>2323</v>
      </c>
      <c r="D1798" s="8" t="s">
        <v>4</v>
      </c>
      <c r="E1798" s="8" t="s">
        <v>18</v>
      </c>
      <c r="F1798" s="6">
        <v>138.30000000000001</v>
      </c>
      <c r="G1798" s="8" t="s">
        <v>2324</v>
      </c>
      <c r="H1798" s="8" t="s">
        <v>2323</v>
      </c>
      <c r="I1798" s="8" t="s">
        <v>2633</v>
      </c>
      <c r="K1798">
        <f>IF($A1798="","",IF(ISNUMBER($A1798),MONTH($A1798),MONTH(DATEVALUE($A1798))))</f>
        <v>2</v>
      </c>
    </row>
    <row r="1799" spans="1:11" ht="60" customHeight="1" x14ac:dyDescent="0.25">
      <c r="A1799" s="7" t="s">
        <v>2312</v>
      </c>
      <c r="B1799" s="7" t="s">
        <v>0</v>
      </c>
      <c r="C1799" s="7" t="s">
        <v>2325</v>
      </c>
      <c r="D1799" s="7" t="s">
        <v>4</v>
      </c>
      <c r="E1799" s="7" t="s">
        <v>18</v>
      </c>
      <c r="F1799" s="5">
        <v>15.14</v>
      </c>
      <c r="G1799" s="7" t="s">
        <v>2326</v>
      </c>
      <c r="H1799" s="7" t="s">
        <v>2325</v>
      </c>
      <c r="I1799" s="7" t="s">
        <v>2635</v>
      </c>
      <c r="K1799">
        <f>IF($A1799="","",IF(ISNUMBER($A1799),MONTH($A1799),MONTH(DATEVALUE($A1799))))</f>
        <v>2</v>
      </c>
    </row>
    <row r="1800" spans="1:11" ht="60" customHeight="1" x14ac:dyDescent="0.25">
      <c r="A1800" s="8" t="s">
        <v>2312</v>
      </c>
      <c r="B1800" s="8" t="s">
        <v>0</v>
      </c>
      <c r="C1800" s="8" t="s">
        <v>2327</v>
      </c>
      <c r="D1800" s="8" t="s">
        <v>4</v>
      </c>
      <c r="E1800" s="8" t="s">
        <v>18</v>
      </c>
      <c r="F1800" s="6">
        <v>10.9</v>
      </c>
      <c r="G1800" s="8" t="s">
        <v>2328</v>
      </c>
      <c r="H1800" s="8" t="s">
        <v>2327</v>
      </c>
      <c r="I1800" s="7" t="s">
        <v>2635</v>
      </c>
      <c r="K1800">
        <f>IF($A1800="","",IF(ISNUMBER($A1800),MONTH($A1800),MONTH(DATEVALUE($A1800))))</f>
        <v>2</v>
      </c>
    </row>
    <row r="1801" spans="1:11" ht="60" customHeight="1" x14ac:dyDescent="0.25">
      <c r="A1801" s="7" t="s">
        <v>2312</v>
      </c>
      <c r="B1801" s="7" t="s">
        <v>0</v>
      </c>
      <c r="C1801" s="7" t="s">
        <v>2329</v>
      </c>
      <c r="D1801" s="7" t="s">
        <v>4</v>
      </c>
      <c r="E1801" s="7" t="s">
        <v>18</v>
      </c>
      <c r="F1801" s="5">
        <v>6.48</v>
      </c>
      <c r="G1801" s="7" t="s">
        <v>2330</v>
      </c>
      <c r="H1801" s="7" t="s">
        <v>2329</v>
      </c>
      <c r="I1801" s="7" t="s">
        <v>2635</v>
      </c>
      <c r="K1801">
        <f>IF($A1801="","",IF(ISNUMBER($A1801),MONTH($A1801),MONTH(DATEVALUE($A1801))))</f>
        <v>2</v>
      </c>
    </row>
    <row r="1802" spans="1:11" ht="60" customHeight="1" x14ac:dyDescent="0.25">
      <c r="A1802" s="8" t="s">
        <v>2312</v>
      </c>
      <c r="B1802" s="8" t="s">
        <v>0</v>
      </c>
      <c r="C1802" s="8" t="s">
        <v>2331</v>
      </c>
      <c r="D1802" s="8" t="s">
        <v>4</v>
      </c>
      <c r="E1802" s="8" t="s">
        <v>18</v>
      </c>
      <c r="F1802" s="6">
        <v>4.32</v>
      </c>
      <c r="G1802" s="8" t="s">
        <v>2332</v>
      </c>
      <c r="H1802" s="8" t="s">
        <v>2331</v>
      </c>
      <c r="I1802" s="7" t="s">
        <v>2635</v>
      </c>
      <c r="K1802">
        <f>IF($A1802="","",IF(ISNUMBER($A1802),MONTH($A1802),MONTH(DATEVALUE($A1802))))</f>
        <v>2</v>
      </c>
    </row>
    <row r="1803" spans="1:11" ht="60" customHeight="1" x14ac:dyDescent="0.25">
      <c r="A1803" s="7" t="s">
        <v>2312</v>
      </c>
      <c r="B1803" s="7" t="s">
        <v>0</v>
      </c>
      <c r="C1803" s="7" t="s">
        <v>2333</v>
      </c>
      <c r="D1803" s="7" t="s">
        <v>4</v>
      </c>
      <c r="E1803" s="7" t="s">
        <v>18</v>
      </c>
      <c r="F1803" s="5">
        <v>4.32</v>
      </c>
      <c r="G1803" s="7" t="s">
        <v>2334</v>
      </c>
      <c r="H1803" s="7" t="s">
        <v>2333</v>
      </c>
      <c r="I1803" s="7" t="s">
        <v>2635</v>
      </c>
      <c r="K1803">
        <f>IF($A1803="","",IF(ISNUMBER($A1803),MONTH($A1803),MONTH(DATEVALUE($A1803))))</f>
        <v>2</v>
      </c>
    </row>
    <row r="1804" spans="1:11" ht="60" customHeight="1" x14ac:dyDescent="0.25">
      <c r="A1804" s="8" t="s">
        <v>2312</v>
      </c>
      <c r="B1804" s="8" t="s">
        <v>0</v>
      </c>
      <c r="C1804" s="8" t="s">
        <v>2335</v>
      </c>
      <c r="D1804" s="8" t="s">
        <v>4</v>
      </c>
      <c r="E1804" s="8" t="s">
        <v>18</v>
      </c>
      <c r="F1804" s="6">
        <v>13.67</v>
      </c>
      <c r="G1804" s="8" t="s">
        <v>2336</v>
      </c>
      <c r="H1804" s="8" t="s">
        <v>2335</v>
      </c>
      <c r="I1804" s="7" t="s">
        <v>2635</v>
      </c>
      <c r="K1804">
        <f>IF($A1804="","",IF(ISNUMBER($A1804),MONTH($A1804),MONTH(DATEVALUE($A1804))))</f>
        <v>2</v>
      </c>
    </row>
    <row r="1805" spans="1:11" ht="60" customHeight="1" x14ac:dyDescent="0.25">
      <c r="A1805" s="7" t="s">
        <v>2312</v>
      </c>
      <c r="B1805" s="7" t="s">
        <v>227</v>
      </c>
      <c r="C1805" s="7" t="s">
        <v>874</v>
      </c>
      <c r="D1805" s="7" t="s">
        <v>4</v>
      </c>
      <c r="E1805" s="7" t="s">
        <v>18</v>
      </c>
      <c r="F1805" s="5">
        <v>150</v>
      </c>
      <c r="G1805" s="7" t="s">
        <v>2337</v>
      </c>
      <c r="H1805" s="7" t="s">
        <v>874</v>
      </c>
      <c r="I1805" s="7" t="s">
        <v>2632</v>
      </c>
      <c r="K1805">
        <f>IF($A1805="","",IF(ISNUMBER($A1805),MONTH($A1805),MONTH(DATEVALUE($A1805))))</f>
        <v>2</v>
      </c>
    </row>
    <row r="1806" spans="1:11" ht="60" customHeight="1" x14ac:dyDescent="0.25">
      <c r="A1806" s="8" t="s">
        <v>2312</v>
      </c>
      <c r="B1806" s="8" t="s">
        <v>0</v>
      </c>
      <c r="C1806" s="8" t="s">
        <v>169</v>
      </c>
      <c r="D1806" s="8" t="s">
        <v>4</v>
      </c>
      <c r="E1806" s="8" t="s">
        <v>18</v>
      </c>
      <c r="F1806" s="6">
        <v>6.24</v>
      </c>
      <c r="G1806" s="8" t="s">
        <v>2338</v>
      </c>
      <c r="H1806" s="8" t="s">
        <v>169</v>
      </c>
      <c r="I1806" s="8" t="s">
        <v>2633</v>
      </c>
      <c r="K1806">
        <f>IF($A1806="","",IF(ISNUMBER($A1806),MONTH($A1806),MONTH(DATEVALUE($A1806))))</f>
        <v>2</v>
      </c>
    </row>
    <row r="1807" spans="1:11" ht="60" customHeight="1" x14ac:dyDescent="0.25">
      <c r="A1807" s="7" t="s">
        <v>2339</v>
      </c>
      <c r="B1807" s="7" t="s">
        <v>0</v>
      </c>
      <c r="C1807" s="7" t="s">
        <v>1096</v>
      </c>
      <c r="D1807" s="7" t="s">
        <v>4</v>
      </c>
      <c r="E1807" s="7" t="s">
        <v>18</v>
      </c>
      <c r="F1807" s="5">
        <v>-317.85000000000002</v>
      </c>
      <c r="G1807" s="7" t="s">
        <v>1101</v>
      </c>
      <c r="H1807" s="7" t="s">
        <v>1096</v>
      </c>
      <c r="I1807" s="7" t="s">
        <v>2647</v>
      </c>
      <c r="K1807">
        <f>IF($A1807="","",IF(ISNUMBER($A1807),MONTH($A1807),MONTH(DATEVALUE($A1807))))</f>
        <v>2</v>
      </c>
    </row>
    <row r="1808" spans="1:11" ht="60" customHeight="1" x14ac:dyDescent="0.25">
      <c r="A1808" s="8" t="s">
        <v>2339</v>
      </c>
      <c r="B1808" s="8" t="s">
        <v>0</v>
      </c>
      <c r="C1808" s="8" t="s">
        <v>1102</v>
      </c>
      <c r="D1808" s="8" t="s">
        <v>4</v>
      </c>
      <c r="E1808" s="8" t="s">
        <v>18</v>
      </c>
      <c r="F1808" s="6">
        <v>317.85000000000002</v>
      </c>
      <c r="G1808" s="8" t="s">
        <v>2340</v>
      </c>
      <c r="H1808" s="8" t="s">
        <v>1096</v>
      </c>
      <c r="I1808" s="8" t="s">
        <v>2647</v>
      </c>
      <c r="K1808">
        <f>IF($A1808="","",IF(ISNUMBER($A1808),MONTH($A1808),MONTH(DATEVALUE($A1808))))</f>
        <v>2</v>
      </c>
    </row>
    <row r="1809" spans="1:11" ht="60" customHeight="1" x14ac:dyDescent="0.25">
      <c r="A1809" s="7" t="s">
        <v>2339</v>
      </c>
      <c r="B1809" s="7" t="s">
        <v>0</v>
      </c>
      <c r="C1809" s="7" t="s">
        <v>2341</v>
      </c>
      <c r="D1809" s="7" t="s">
        <v>4</v>
      </c>
      <c r="E1809" s="7" t="s">
        <v>18</v>
      </c>
      <c r="F1809" s="5">
        <v>18.97</v>
      </c>
      <c r="G1809" s="7" t="s">
        <v>2342</v>
      </c>
      <c r="H1809" s="7" t="s">
        <v>2341</v>
      </c>
      <c r="I1809" s="7" t="s">
        <v>2627</v>
      </c>
      <c r="K1809">
        <f>IF($A1809="","",IF(ISNUMBER($A1809),MONTH($A1809),MONTH(DATEVALUE($A1809))))</f>
        <v>2</v>
      </c>
    </row>
    <row r="1810" spans="1:11" ht="60" customHeight="1" x14ac:dyDescent="0.25">
      <c r="A1810" s="8" t="s">
        <v>2339</v>
      </c>
      <c r="B1810" s="8" t="s">
        <v>0</v>
      </c>
      <c r="C1810" s="8" t="s">
        <v>2343</v>
      </c>
      <c r="D1810" s="8" t="s">
        <v>4</v>
      </c>
      <c r="E1810" s="8" t="s">
        <v>18</v>
      </c>
      <c r="F1810" s="6">
        <v>55.27</v>
      </c>
      <c r="G1810" s="8" t="s">
        <v>2344</v>
      </c>
      <c r="H1810" s="8" t="s">
        <v>2343</v>
      </c>
      <c r="I1810" s="8" t="s">
        <v>2633</v>
      </c>
      <c r="K1810">
        <f>IF($A1810="","",IF(ISNUMBER($A1810),MONTH($A1810),MONTH(DATEVALUE($A1810))))</f>
        <v>2</v>
      </c>
    </row>
    <row r="1811" spans="1:11" ht="60" customHeight="1" x14ac:dyDescent="0.25">
      <c r="A1811" s="7" t="s">
        <v>2339</v>
      </c>
      <c r="B1811" s="7" t="s">
        <v>0</v>
      </c>
      <c r="C1811" s="7" t="s">
        <v>668</v>
      </c>
      <c r="D1811" s="7" t="s">
        <v>4</v>
      </c>
      <c r="E1811" s="7" t="s">
        <v>18</v>
      </c>
      <c r="F1811" s="5">
        <v>70.08</v>
      </c>
      <c r="G1811" s="7" t="s">
        <v>2345</v>
      </c>
      <c r="H1811" s="7" t="s">
        <v>668</v>
      </c>
      <c r="I1811" s="7" t="s">
        <v>2633</v>
      </c>
      <c r="K1811">
        <f>IF($A1811="","",IF(ISNUMBER($A1811),MONTH($A1811),MONTH(DATEVALUE($A1811))))</f>
        <v>2</v>
      </c>
    </row>
    <row r="1812" spans="1:11" ht="60" customHeight="1" x14ac:dyDescent="0.25">
      <c r="A1812" s="8" t="s">
        <v>2339</v>
      </c>
      <c r="B1812" s="8" t="s">
        <v>0</v>
      </c>
      <c r="C1812" s="8" t="s">
        <v>1743</v>
      </c>
      <c r="D1812" s="8" t="s">
        <v>4</v>
      </c>
      <c r="E1812" s="8" t="s">
        <v>18</v>
      </c>
      <c r="F1812" s="6">
        <v>63.49</v>
      </c>
      <c r="G1812" s="8" t="s">
        <v>2346</v>
      </c>
      <c r="H1812" s="8" t="s">
        <v>1743</v>
      </c>
      <c r="I1812" s="8" t="s">
        <v>2650</v>
      </c>
      <c r="K1812">
        <f>IF($A1812="","",IF(ISNUMBER($A1812),MONTH($A1812),MONTH(DATEVALUE($A1812))))</f>
        <v>2</v>
      </c>
    </row>
    <row r="1813" spans="1:11" ht="60" customHeight="1" x14ac:dyDescent="0.25">
      <c r="A1813" s="7" t="s">
        <v>2347</v>
      </c>
      <c r="B1813" s="7" t="s">
        <v>0</v>
      </c>
      <c r="C1813" s="7" t="s">
        <v>1283</v>
      </c>
      <c r="D1813" s="7" t="s">
        <v>4</v>
      </c>
      <c r="E1813" s="7" t="s">
        <v>18</v>
      </c>
      <c r="F1813" s="5">
        <v>459</v>
      </c>
      <c r="G1813" s="7" t="s">
        <v>2348</v>
      </c>
      <c r="H1813" s="7" t="s">
        <v>1283</v>
      </c>
      <c r="I1813" s="7" t="s">
        <v>2650</v>
      </c>
      <c r="K1813">
        <f>IF($A1813="","",IF(ISNUMBER($A1813),MONTH($A1813),MONTH(DATEVALUE($A1813))))</f>
        <v>2</v>
      </c>
    </row>
    <row r="1814" spans="1:11" ht="60" customHeight="1" x14ac:dyDescent="0.25">
      <c r="A1814" s="8" t="s">
        <v>2347</v>
      </c>
      <c r="B1814" s="8" t="s">
        <v>0</v>
      </c>
      <c r="C1814" s="8" t="s">
        <v>1283</v>
      </c>
      <c r="D1814" s="8" t="s">
        <v>4</v>
      </c>
      <c r="E1814" s="8" t="s">
        <v>18</v>
      </c>
      <c r="F1814" s="6">
        <v>459</v>
      </c>
      <c r="G1814" s="8" t="s">
        <v>2348</v>
      </c>
      <c r="H1814" s="8" t="s">
        <v>1283</v>
      </c>
      <c r="I1814" s="8" t="s">
        <v>2650</v>
      </c>
      <c r="K1814">
        <f>IF($A1814="","",IF(ISNUMBER($A1814),MONTH($A1814),MONTH(DATEVALUE($A1814))))</f>
        <v>2</v>
      </c>
    </row>
    <row r="1815" spans="1:11" ht="60" customHeight="1" x14ac:dyDescent="0.25">
      <c r="A1815" s="7" t="s">
        <v>2347</v>
      </c>
      <c r="B1815" s="7" t="s">
        <v>0</v>
      </c>
      <c r="C1815" s="7" t="s">
        <v>2349</v>
      </c>
      <c r="D1815" s="7" t="s">
        <v>4</v>
      </c>
      <c r="E1815" s="7" t="s">
        <v>18</v>
      </c>
      <c r="F1815" s="5">
        <v>41.97</v>
      </c>
      <c r="G1815" s="7" t="s">
        <v>2350</v>
      </c>
      <c r="H1815" s="7" t="s">
        <v>2349</v>
      </c>
      <c r="I1815" s="7" t="s">
        <v>2627</v>
      </c>
      <c r="K1815">
        <f>IF($A1815="","",IF(ISNUMBER($A1815),MONTH($A1815),MONTH(DATEVALUE($A1815))))</f>
        <v>2</v>
      </c>
    </row>
    <row r="1816" spans="1:11" ht="60" customHeight="1" x14ac:dyDescent="0.25">
      <c r="A1816" s="8" t="s">
        <v>2347</v>
      </c>
      <c r="B1816" s="8" t="s">
        <v>0</v>
      </c>
      <c r="C1816" s="8" t="s">
        <v>2351</v>
      </c>
      <c r="D1816" s="8" t="s">
        <v>4</v>
      </c>
      <c r="E1816" s="8" t="s">
        <v>18</v>
      </c>
      <c r="F1816" s="6">
        <v>265.20999999999998</v>
      </c>
      <c r="G1816" s="8" t="s">
        <v>2352</v>
      </c>
      <c r="H1816" s="8" t="s">
        <v>2351</v>
      </c>
      <c r="I1816" s="8" t="s">
        <v>2645</v>
      </c>
      <c r="K1816">
        <f>IF($A1816="","",IF(ISNUMBER($A1816),MONTH($A1816),MONTH(DATEVALUE($A1816))))</f>
        <v>2</v>
      </c>
    </row>
    <row r="1817" spans="1:11" ht="60" customHeight="1" x14ac:dyDescent="0.25">
      <c r="A1817" s="7" t="s">
        <v>2347</v>
      </c>
      <c r="B1817" s="7" t="s">
        <v>0</v>
      </c>
      <c r="C1817" s="7" t="s">
        <v>2353</v>
      </c>
      <c r="D1817" s="7" t="s">
        <v>4</v>
      </c>
      <c r="E1817" s="7" t="s">
        <v>18</v>
      </c>
      <c r="F1817" s="5">
        <v>735</v>
      </c>
      <c r="G1817" s="7" t="s">
        <v>2354</v>
      </c>
      <c r="H1817" s="7" t="s">
        <v>2353</v>
      </c>
      <c r="I1817" s="7" t="s">
        <v>2641</v>
      </c>
      <c r="K1817">
        <f>IF($A1817="","",IF(ISNUMBER($A1817),MONTH($A1817),MONTH(DATEVALUE($A1817))))</f>
        <v>2</v>
      </c>
    </row>
    <row r="1818" spans="1:11" ht="60" customHeight="1" x14ac:dyDescent="0.25">
      <c r="A1818" s="8" t="s">
        <v>2347</v>
      </c>
      <c r="B1818" s="8" t="s">
        <v>0</v>
      </c>
      <c r="C1818" s="8" t="s">
        <v>63</v>
      </c>
      <c r="D1818" s="8" t="s">
        <v>4</v>
      </c>
      <c r="E1818" s="8" t="s">
        <v>18</v>
      </c>
      <c r="F1818" s="6">
        <v>52.11</v>
      </c>
      <c r="G1818" s="8" t="s">
        <v>2355</v>
      </c>
      <c r="H1818" s="8" t="s">
        <v>63</v>
      </c>
      <c r="I1818" s="8" t="s">
        <v>2633</v>
      </c>
      <c r="K1818">
        <f>IF($A1818="","",IF(ISNUMBER($A1818),MONTH($A1818),MONTH(DATEVALUE($A1818))))</f>
        <v>2</v>
      </c>
    </row>
    <row r="1819" spans="1:11" ht="60" customHeight="1" x14ac:dyDescent="0.25">
      <c r="A1819" s="7" t="s">
        <v>2356</v>
      </c>
      <c r="B1819" s="7" t="s">
        <v>0</v>
      </c>
      <c r="C1819" s="7" t="s">
        <v>1096</v>
      </c>
      <c r="D1819" s="7" t="s">
        <v>4</v>
      </c>
      <c r="E1819" s="7" t="s">
        <v>18</v>
      </c>
      <c r="F1819" s="5">
        <v>-620.85</v>
      </c>
      <c r="G1819" s="7" t="s">
        <v>1101</v>
      </c>
      <c r="H1819" s="7" t="s">
        <v>1096</v>
      </c>
      <c r="I1819" s="7" t="s">
        <v>2647</v>
      </c>
      <c r="K1819">
        <f>IF($A1819="","",IF(ISNUMBER($A1819),MONTH($A1819),MONTH(DATEVALUE($A1819))))</f>
        <v>2</v>
      </c>
    </row>
    <row r="1820" spans="1:11" ht="60" customHeight="1" x14ac:dyDescent="0.25">
      <c r="A1820" s="8" t="s">
        <v>2356</v>
      </c>
      <c r="B1820" s="8" t="s">
        <v>0</v>
      </c>
      <c r="C1820" s="8" t="s">
        <v>1096</v>
      </c>
      <c r="D1820" s="8" t="s">
        <v>4</v>
      </c>
      <c r="E1820" s="8" t="s">
        <v>18</v>
      </c>
      <c r="F1820" s="6">
        <v>-19.47</v>
      </c>
      <c r="G1820" s="8" t="s">
        <v>1101</v>
      </c>
      <c r="H1820" s="8" t="s">
        <v>1096</v>
      </c>
      <c r="I1820" s="8" t="s">
        <v>2647</v>
      </c>
      <c r="K1820">
        <f>IF($A1820="","",IF(ISNUMBER($A1820),MONTH($A1820),MONTH(DATEVALUE($A1820))))</f>
        <v>2</v>
      </c>
    </row>
    <row r="1821" spans="1:11" ht="60" customHeight="1" x14ac:dyDescent="0.25">
      <c r="A1821" s="7" t="s">
        <v>2356</v>
      </c>
      <c r="B1821" s="7" t="s">
        <v>0</v>
      </c>
      <c r="C1821" s="7" t="s">
        <v>1102</v>
      </c>
      <c r="D1821" s="7" t="s">
        <v>4</v>
      </c>
      <c r="E1821" s="7" t="s">
        <v>18</v>
      </c>
      <c r="F1821" s="5">
        <v>19.47</v>
      </c>
      <c r="G1821" s="7" t="s">
        <v>2357</v>
      </c>
      <c r="H1821" s="7" t="s">
        <v>1096</v>
      </c>
      <c r="I1821" s="7" t="s">
        <v>2647</v>
      </c>
      <c r="K1821">
        <f>IF($A1821="","",IF(ISNUMBER($A1821),MONTH($A1821),MONTH(DATEVALUE($A1821))))</f>
        <v>2</v>
      </c>
    </row>
    <row r="1822" spans="1:11" ht="60" customHeight="1" x14ac:dyDescent="0.25">
      <c r="A1822" s="8" t="s">
        <v>2356</v>
      </c>
      <c r="B1822" s="8" t="s">
        <v>0</v>
      </c>
      <c r="C1822" s="8" t="s">
        <v>1102</v>
      </c>
      <c r="D1822" s="8" t="s">
        <v>4</v>
      </c>
      <c r="E1822" s="8" t="s">
        <v>18</v>
      </c>
      <c r="F1822" s="6">
        <v>620.85</v>
      </c>
      <c r="G1822" s="8" t="s">
        <v>2358</v>
      </c>
      <c r="H1822" s="8" t="s">
        <v>1096</v>
      </c>
      <c r="I1822" s="8" t="s">
        <v>2647</v>
      </c>
      <c r="K1822">
        <f>IF($A1822="","",IF(ISNUMBER($A1822),MONTH($A1822),MONTH(DATEVALUE($A1822))))</f>
        <v>2</v>
      </c>
    </row>
    <row r="1823" spans="1:11" ht="60" customHeight="1" x14ac:dyDescent="0.25">
      <c r="A1823" s="7" t="s">
        <v>2356</v>
      </c>
      <c r="B1823" s="7" t="s">
        <v>0</v>
      </c>
      <c r="C1823" s="7" t="s">
        <v>104</v>
      </c>
      <c r="D1823" s="7" t="s">
        <v>4</v>
      </c>
      <c r="E1823" s="7" t="s">
        <v>18</v>
      </c>
      <c r="F1823" s="5">
        <v>13.99</v>
      </c>
      <c r="G1823" s="7" t="s">
        <v>2359</v>
      </c>
      <c r="H1823" s="7" t="s">
        <v>104</v>
      </c>
      <c r="I1823" s="7" t="s">
        <v>2632</v>
      </c>
      <c r="K1823">
        <f>IF($A1823="","",IF(ISNUMBER($A1823),MONTH($A1823),MONTH(DATEVALUE($A1823))))</f>
        <v>2</v>
      </c>
    </row>
    <row r="1824" spans="1:11" ht="60" customHeight="1" x14ac:dyDescent="0.25">
      <c r="A1824" s="8" t="s">
        <v>2356</v>
      </c>
      <c r="B1824" s="8" t="s">
        <v>0</v>
      </c>
      <c r="C1824" s="8" t="s">
        <v>1027</v>
      </c>
      <c r="D1824" s="8" t="s">
        <v>1113</v>
      </c>
      <c r="E1824" s="8" t="s">
        <v>1114</v>
      </c>
      <c r="F1824" s="6">
        <v>64.27</v>
      </c>
      <c r="G1824" s="8" t="s">
        <v>2360</v>
      </c>
      <c r="H1824" s="8" t="s">
        <v>1027</v>
      </c>
      <c r="I1824" s="8" t="s">
        <v>2665</v>
      </c>
      <c r="K1824">
        <f>IF($A1824="","",IF(ISNUMBER($A1824),MONTH($A1824),MONTH(DATEVALUE($A1824))))</f>
        <v>2</v>
      </c>
    </row>
    <row r="1825" spans="1:11" ht="60" customHeight="1" x14ac:dyDescent="0.25">
      <c r="A1825" s="7" t="s">
        <v>2356</v>
      </c>
      <c r="B1825" s="7" t="s">
        <v>0</v>
      </c>
      <c r="C1825" s="7" t="s">
        <v>1027</v>
      </c>
      <c r="D1825" s="7" t="s">
        <v>1113</v>
      </c>
      <c r="E1825" s="7" t="s">
        <v>1114</v>
      </c>
      <c r="F1825" s="5">
        <v>86.94</v>
      </c>
      <c r="G1825" s="7" t="s">
        <v>2361</v>
      </c>
      <c r="H1825" s="7" t="s">
        <v>1027</v>
      </c>
      <c r="I1825" s="8" t="s">
        <v>2665</v>
      </c>
      <c r="K1825">
        <f>IF($A1825="","",IF(ISNUMBER($A1825),MONTH($A1825),MONTH(DATEVALUE($A1825))))</f>
        <v>2</v>
      </c>
    </row>
    <row r="1826" spans="1:11" ht="60" customHeight="1" x14ac:dyDescent="0.25">
      <c r="A1826" s="8" t="s">
        <v>2356</v>
      </c>
      <c r="B1826" s="8" t="s">
        <v>0</v>
      </c>
      <c r="C1826" s="8" t="s">
        <v>1027</v>
      </c>
      <c r="D1826" s="8" t="s">
        <v>1113</v>
      </c>
      <c r="E1826" s="8" t="s">
        <v>1114</v>
      </c>
      <c r="F1826" s="6">
        <v>322.48</v>
      </c>
      <c r="G1826" s="8" t="s">
        <v>2362</v>
      </c>
      <c r="H1826" s="8" t="s">
        <v>1027</v>
      </c>
      <c r="I1826" s="8" t="s">
        <v>2665</v>
      </c>
      <c r="K1826">
        <f>IF($A1826="","",IF(ISNUMBER($A1826),MONTH($A1826),MONTH(DATEVALUE($A1826))))</f>
        <v>2</v>
      </c>
    </row>
    <row r="1827" spans="1:11" ht="60" customHeight="1" x14ac:dyDescent="0.25">
      <c r="A1827" s="7" t="s">
        <v>2356</v>
      </c>
      <c r="B1827" s="7" t="s">
        <v>0</v>
      </c>
      <c r="C1827" s="7" t="s">
        <v>1027</v>
      </c>
      <c r="D1827" s="7" t="s">
        <v>1113</v>
      </c>
      <c r="E1827" s="7" t="s">
        <v>1114</v>
      </c>
      <c r="F1827" s="5">
        <v>322.48</v>
      </c>
      <c r="G1827" s="7" t="s">
        <v>2363</v>
      </c>
      <c r="H1827" s="7" t="s">
        <v>1027</v>
      </c>
      <c r="I1827" s="8" t="s">
        <v>2665</v>
      </c>
      <c r="K1827">
        <f>IF($A1827="","",IF(ISNUMBER($A1827),MONTH($A1827),MONTH(DATEVALUE($A1827))))</f>
        <v>2</v>
      </c>
    </row>
    <row r="1828" spans="1:11" ht="60" customHeight="1" x14ac:dyDescent="0.25">
      <c r="A1828" s="8" t="s">
        <v>2356</v>
      </c>
      <c r="B1828" s="8" t="s">
        <v>0</v>
      </c>
      <c r="C1828" s="8" t="s">
        <v>211</v>
      </c>
      <c r="D1828" s="8" t="s">
        <v>4</v>
      </c>
      <c r="E1828" s="8" t="s">
        <v>18</v>
      </c>
      <c r="F1828" s="6">
        <v>52.14</v>
      </c>
      <c r="G1828" s="8" t="s">
        <v>2364</v>
      </c>
      <c r="H1828" s="8" t="s">
        <v>211</v>
      </c>
      <c r="I1828" s="8" t="s">
        <v>2630</v>
      </c>
      <c r="K1828">
        <f>IF($A1828="","",IF(ISNUMBER($A1828),MONTH($A1828),MONTH(DATEVALUE($A1828))))</f>
        <v>2</v>
      </c>
    </row>
    <row r="1829" spans="1:11" ht="60" customHeight="1" x14ac:dyDescent="0.25">
      <c r="A1829" s="7" t="s">
        <v>2356</v>
      </c>
      <c r="B1829" s="7" t="s">
        <v>0</v>
      </c>
      <c r="C1829" s="7" t="s">
        <v>1743</v>
      </c>
      <c r="D1829" s="7" t="s">
        <v>4</v>
      </c>
      <c r="E1829" s="7" t="s">
        <v>18</v>
      </c>
      <c r="F1829" s="5">
        <v>210.44</v>
      </c>
      <c r="G1829" s="7" t="s">
        <v>2365</v>
      </c>
      <c r="H1829" s="7" t="s">
        <v>1743</v>
      </c>
      <c r="I1829" s="7" t="s">
        <v>2650</v>
      </c>
      <c r="K1829">
        <f>IF($A1829="","",IF(ISNUMBER($A1829),MONTH($A1829),MONTH(DATEVALUE($A1829))))</f>
        <v>2</v>
      </c>
    </row>
    <row r="1830" spans="1:11" ht="60" customHeight="1" x14ac:dyDescent="0.25">
      <c r="A1830" s="8" t="s">
        <v>2356</v>
      </c>
      <c r="B1830" s="8" t="s">
        <v>0</v>
      </c>
      <c r="C1830" s="8" t="s">
        <v>171</v>
      </c>
      <c r="D1830" s="8" t="s">
        <v>4</v>
      </c>
      <c r="E1830" s="8" t="s">
        <v>18</v>
      </c>
      <c r="F1830" s="6">
        <v>31.56</v>
      </c>
      <c r="G1830" s="8" t="s">
        <v>2366</v>
      </c>
      <c r="H1830" s="8" t="s">
        <v>171</v>
      </c>
      <c r="I1830" s="8" t="s">
        <v>2633</v>
      </c>
      <c r="K1830">
        <f>IF($A1830="","",IF(ISNUMBER($A1830),MONTH($A1830),MONTH(DATEVALUE($A1830))))</f>
        <v>2</v>
      </c>
    </row>
    <row r="1831" spans="1:11" ht="60" customHeight="1" x14ac:dyDescent="0.25">
      <c r="A1831" s="7" t="s">
        <v>2367</v>
      </c>
      <c r="B1831" s="7" t="s">
        <v>0</v>
      </c>
      <c r="C1831" s="7" t="s">
        <v>1096</v>
      </c>
      <c r="D1831" s="7" t="s">
        <v>4</v>
      </c>
      <c r="E1831" s="7" t="s">
        <v>18</v>
      </c>
      <c r="F1831" s="5">
        <v>-329.7</v>
      </c>
      <c r="G1831" s="7" t="s">
        <v>1101</v>
      </c>
      <c r="H1831" s="7" t="s">
        <v>1096</v>
      </c>
      <c r="I1831" s="7" t="s">
        <v>2647</v>
      </c>
      <c r="K1831">
        <f>IF($A1831="","",IF(ISNUMBER($A1831),MONTH($A1831),MONTH(DATEVALUE($A1831))))</f>
        <v>2</v>
      </c>
    </row>
    <row r="1832" spans="1:11" ht="60" customHeight="1" x14ac:dyDescent="0.25">
      <c r="A1832" s="8" t="s">
        <v>2367</v>
      </c>
      <c r="B1832" s="8" t="s">
        <v>0</v>
      </c>
      <c r="C1832" s="8" t="s">
        <v>1096</v>
      </c>
      <c r="D1832" s="8" t="s">
        <v>4</v>
      </c>
      <c r="E1832" s="8" t="s">
        <v>18</v>
      </c>
      <c r="F1832" s="6">
        <v>-48.59</v>
      </c>
      <c r="G1832" s="8" t="s">
        <v>1101</v>
      </c>
      <c r="H1832" s="8" t="s">
        <v>1096</v>
      </c>
      <c r="I1832" s="8" t="s">
        <v>2647</v>
      </c>
      <c r="K1832">
        <f>IF($A1832="","",IF(ISNUMBER($A1832),MONTH($A1832),MONTH(DATEVALUE($A1832))))</f>
        <v>2</v>
      </c>
    </row>
    <row r="1833" spans="1:11" ht="60" customHeight="1" x14ac:dyDescent="0.25">
      <c r="A1833" s="7" t="s">
        <v>2367</v>
      </c>
      <c r="B1833" s="7" t="s">
        <v>0</v>
      </c>
      <c r="C1833" s="7" t="s">
        <v>1102</v>
      </c>
      <c r="D1833" s="7" t="s">
        <v>4</v>
      </c>
      <c r="E1833" s="7" t="s">
        <v>18</v>
      </c>
      <c r="F1833" s="5">
        <v>48.59</v>
      </c>
      <c r="G1833" s="7" t="s">
        <v>2368</v>
      </c>
      <c r="H1833" s="7" t="s">
        <v>1096</v>
      </c>
      <c r="I1833" s="7" t="s">
        <v>2647</v>
      </c>
      <c r="K1833">
        <f>IF($A1833="","",IF(ISNUMBER($A1833),MONTH($A1833),MONTH(DATEVALUE($A1833))))</f>
        <v>2</v>
      </c>
    </row>
    <row r="1834" spans="1:11" ht="60" customHeight="1" x14ac:dyDescent="0.25">
      <c r="A1834" s="8" t="s">
        <v>2367</v>
      </c>
      <c r="B1834" s="8" t="s">
        <v>0</v>
      </c>
      <c r="C1834" s="8" t="s">
        <v>1102</v>
      </c>
      <c r="D1834" s="8" t="s">
        <v>4</v>
      </c>
      <c r="E1834" s="8" t="s">
        <v>18</v>
      </c>
      <c r="F1834" s="6">
        <v>329.7</v>
      </c>
      <c r="G1834" s="8" t="s">
        <v>2369</v>
      </c>
      <c r="H1834" s="8" t="s">
        <v>1096</v>
      </c>
      <c r="I1834" s="8" t="s">
        <v>2647</v>
      </c>
      <c r="K1834">
        <f>IF($A1834="","",IF(ISNUMBER($A1834),MONTH($A1834),MONTH(DATEVALUE($A1834))))</f>
        <v>2</v>
      </c>
    </row>
    <row r="1835" spans="1:11" ht="60" customHeight="1" x14ac:dyDescent="0.25">
      <c r="A1835" s="7" t="s">
        <v>2367</v>
      </c>
      <c r="B1835" s="7" t="s">
        <v>0</v>
      </c>
      <c r="C1835" s="7" t="s">
        <v>2370</v>
      </c>
      <c r="D1835" s="7" t="s">
        <v>4</v>
      </c>
      <c r="E1835" s="7" t="s">
        <v>18</v>
      </c>
      <c r="F1835" s="5">
        <v>176.63</v>
      </c>
      <c r="G1835" s="7" t="s">
        <v>2371</v>
      </c>
      <c r="H1835" s="7" t="s">
        <v>2370</v>
      </c>
      <c r="I1835" s="7" t="s">
        <v>2639</v>
      </c>
      <c r="K1835">
        <f>IF($A1835="","",IF(ISNUMBER($A1835),MONTH($A1835),MONTH(DATEVALUE($A1835))))</f>
        <v>2</v>
      </c>
    </row>
    <row r="1836" spans="1:11" ht="60" customHeight="1" x14ac:dyDescent="0.25">
      <c r="A1836" s="8" t="s">
        <v>2367</v>
      </c>
      <c r="B1836" s="8" t="s">
        <v>0</v>
      </c>
      <c r="C1836" s="8" t="s">
        <v>580</v>
      </c>
      <c r="D1836" s="8" t="s">
        <v>4</v>
      </c>
      <c r="E1836" s="8" t="s">
        <v>18</v>
      </c>
      <c r="F1836" s="6">
        <v>78.75</v>
      </c>
      <c r="G1836" s="8" t="s">
        <v>2372</v>
      </c>
      <c r="H1836" s="8" t="s">
        <v>580</v>
      </c>
      <c r="I1836" s="8" t="s">
        <v>2645</v>
      </c>
      <c r="K1836">
        <f>IF($A1836="","",IF(ISNUMBER($A1836),MONTH($A1836),MONTH(DATEVALUE($A1836))))</f>
        <v>2</v>
      </c>
    </row>
    <row r="1837" spans="1:11" ht="60" customHeight="1" x14ac:dyDescent="0.25">
      <c r="A1837" s="7" t="s">
        <v>2373</v>
      </c>
      <c r="B1837" s="7" t="s">
        <v>0</v>
      </c>
      <c r="C1837" s="7" t="s">
        <v>217</v>
      </c>
      <c r="D1837" s="7" t="s">
        <v>4</v>
      </c>
      <c r="E1837" s="7" t="s">
        <v>18</v>
      </c>
      <c r="F1837" s="5">
        <v>119.52</v>
      </c>
      <c r="G1837" s="7" t="s">
        <v>2374</v>
      </c>
      <c r="H1837" s="7" t="s">
        <v>217</v>
      </c>
      <c r="I1837" s="7" t="s">
        <v>2632</v>
      </c>
      <c r="K1837">
        <f>IF($A1837="","",IF(ISNUMBER($A1837),MONTH($A1837),MONTH(DATEVALUE($A1837))))</f>
        <v>2</v>
      </c>
    </row>
    <row r="1838" spans="1:11" ht="60" customHeight="1" x14ac:dyDescent="0.25">
      <c r="A1838" s="8" t="s">
        <v>2373</v>
      </c>
      <c r="B1838" s="8" t="s">
        <v>0</v>
      </c>
      <c r="C1838" s="8" t="s">
        <v>1096</v>
      </c>
      <c r="D1838" s="8" t="s">
        <v>4</v>
      </c>
      <c r="E1838" s="8" t="s">
        <v>18</v>
      </c>
      <c r="F1838" s="6">
        <v>-292.95</v>
      </c>
      <c r="G1838" s="8" t="s">
        <v>1101</v>
      </c>
      <c r="H1838" s="8" t="s">
        <v>1096</v>
      </c>
      <c r="I1838" s="8" t="s">
        <v>2647</v>
      </c>
      <c r="K1838">
        <f>IF($A1838="","",IF(ISNUMBER($A1838),MONTH($A1838),MONTH(DATEVALUE($A1838))))</f>
        <v>2</v>
      </c>
    </row>
    <row r="1839" spans="1:11" ht="60" customHeight="1" x14ac:dyDescent="0.25">
      <c r="A1839" s="7" t="s">
        <v>2373</v>
      </c>
      <c r="B1839" s="7" t="s">
        <v>0</v>
      </c>
      <c r="C1839" s="7" t="s">
        <v>1096</v>
      </c>
      <c r="D1839" s="7" t="s">
        <v>4</v>
      </c>
      <c r="E1839" s="7" t="s">
        <v>18</v>
      </c>
      <c r="F1839" s="5">
        <v>-153.66999999999999</v>
      </c>
      <c r="G1839" s="7" t="s">
        <v>1101</v>
      </c>
      <c r="H1839" s="7" t="s">
        <v>1096</v>
      </c>
      <c r="I1839" s="7" t="s">
        <v>2647</v>
      </c>
      <c r="K1839">
        <f>IF($A1839="","",IF(ISNUMBER($A1839),MONTH($A1839),MONTH(DATEVALUE($A1839))))</f>
        <v>2</v>
      </c>
    </row>
    <row r="1840" spans="1:11" ht="60" customHeight="1" x14ac:dyDescent="0.25">
      <c r="A1840" s="8" t="s">
        <v>2373</v>
      </c>
      <c r="B1840" s="8" t="s">
        <v>0</v>
      </c>
      <c r="C1840" s="8" t="s">
        <v>1096</v>
      </c>
      <c r="D1840" s="8" t="s">
        <v>4</v>
      </c>
      <c r="E1840" s="8" t="s">
        <v>18</v>
      </c>
      <c r="F1840" s="6">
        <v>-147.19999999999999</v>
      </c>
      <c r="G1840" s="8" t="s">
        <v>1101</v>
      </c>
      <c r="H1840" s="8" t="s">
        <v>1096</v>
      </c>
      <c r="I1840" s="8" t="s">
        <v>2647</v>
      </c>
      <c r="K1840">
        <f>IF($A1840="","",IF(ISNUMBER($A1840),MONTH($A1840),MONTH(DATEVALUE($A1840))))</f>
        <v>2</v>
      </c>
    </row>
    <row r="1841" spans="1:11" ht="60" customHeight="1" x14ac:dyDescent="0.25">
      <c r="A1841" s="7" t="s">
        <v>2373</v>
      </c>
      <c r="B1841" s="7" t="s">
        <v>0</v>
      </c>
      <c r="C1841" s="7" t="s">
        <v>1096</v>
      </c>
      <c r="D1841" s="7" t="s">
        <v>4</v>
      </c>
      <c r="E1841" s="7" t="s">
        <v>18</v>
      </c>
      <c r="F1841" s="5">
        <v>-60.62</v>
      </c>
      <c r="G1841" s="7" t="s">
        <v>1101</v>
      </c>
      <c r="H1841" s="7" t="s">
        <v>1096</v>
      </c>
      <c r="I1841" s="7" t="s">
        <v>2647</v>
      </c>
      <c r="K1841">
        <f>IF($A1841="","",IF(ISNUMBER($A1841),MONTH($A1841),MONTH(DATEVALUE($A1841))))</f>
        <v>2</v>
      </c>
    </row>
    <row r="1842" spans="1:11" ht="60" customHeight="1" x14ac:dyDescent="0.25">
      <c r="A1842" s="8" t="s">
        <v>2373</v>
      </c>
      <c r="B1842" s="8" t="s">
        <v>0</v>
      </c>
      <c r="C1842" s="8" t="s">
        <v>1102</v>
      </c>
      <c r="D1842" s="8" t="s">
        <v>4</v>
      </c>
      <c r="E1842" s="8" t="s">
        <v>18</v>
      </c>
      <c r="F1842" s="6">
        <v>60.62</v>
      </c>
      <c r="G1842" s="8" t="s">
        <v>2375</v>
      </c>
      <c r="H1842" s="8" t="s">
        <v>1096</v>
      </c>
      <c r="I1842" s="8" t="s">
        <v>2647</v>
      </c>
      <c r="K1842">
        <f>IF($A1842="","",IF(ISNUMBER($A1842),MONTH($A1842),MONTH(DATEVALUE($A1842))))</f>
        <v>2</v>
      </c>
    </row>
    <row r="1843" spans="1:11" ht="60" customHeight="1" x14ac:dyDescent="0.25">
      <c r="A1843" s="7" t="s">
        <v>2373</v>
      </c>
      <c r="B1843" s="7" t="s">
        <v>0</v>
      </c>
      <c r="C1843" s="7" t="s">
        <v>1102</v>
      </c>
      <c r="D1843" s="7" t="s">
        <v>4</v>
      </c>
      <c r="E1843" s="7" t="s">
        <v>18</v>
      </c>
      <c r="F1843" s="5">
        <v>147.19999999999999</v>
      </c>
      <c r="G1843" s="7" t="s">
        <v>2376</v>
      </c>
      <c r="H1843" s="7" t="s">
        <v>1096</v>
      </c>
      <c r="I1843" s="7" t="s">
        <v>2647</v>
      </c>
      <c r="K1843">
        <f>IF($A1843="","",IF(ISNUMBER($A1843),MONTH($A1843),MONTH(DATEVALUE($A1843))))</f>
        <v>2</v>
      </c>
    </row>
    <row r="1844" spans="1:11" ht="60" customHeight="1" x14ac:dyDescent="0.25">
      <c r="A1844" s="8" t="s">
        <v>2373</v>
      </c>
      <c r="B1844" s="8" t="s">
        <v>0</v>
      </c>
      <c r="C1844" s="8" t="s">
        <v>1102</v>
      </c>
      <c r="D1844" s="8" t="s">
        <v>4</v>
      </c>
      <c r="E1844" s="8" t="s">
        <v>18</v>
      </c>
      <c r="F1844" s="6">
        <v>153.66999999999999</v>
      </c>
      <c r="G1844" s="8" t="s">
        <v>2377</v>
      </c>
      <c r="H1844" s="8" t="s">
        <v>1096</v>
      </c>
      <c r="I1844" s="8" t="s">
        <v>2647</v>
      </c>
      <c r="K1844">
        <f>IF($A1844="","",IF(ISNUMBER($A1844),MONTH($A1844),MONTH(DATEVALUE($A1844))))</f>
        <v>2</v>
      </c>
    </row>
    <row r="1845" spans="1:11" ht="60" customHeight="1" x14ac:dyDescent="0.25">
      <c r="A1845" s="7" t="s">
        <v>2373</v>
      </c>
      <c r="B1845" s="7" t="s">
        <v>0</v>
      </c>
      <c r="C1845" s="7" t="s">
        <v>1102</v>
      </c>
      <c r="D1845" s="7" t="s">
        <v>4</v>
      </c>
      <c r="E1845" s="7" t="s">
        <v>18</v>
      </c>
      <c r="F1845" s="5">
        <v>292.95</v>
      </c>
      <c r="G1845" s="7" t="s">
        <v>2378</v>
      </c>
      <c r="H1845" s="7" t="s">
        <v>1096</v>
      </c>
      <c r="I1845" s="7" t="s">
        <v>2647</v>
      </c>
      <c r="K1845">
        <f>IF($A1845="","",IF(ISNUMBER($A1845),MONTH($A1845),MONTH(DATEVALUE($A1845))))</f>
        <v>2</v>
      </c>
    </row>
    <row r="1846" spans="1:11" ht="60" customHeight="1" x14ac:dyDescent="0.25">
      <c r="A1846" s="8" t="s">
        <v>2373</v>
      </c>
      <c r="B1846" s="8" t="s">
        <v>0</v>
      </c>
      <c r="C1846" s="8" t="s">
        <v>522</v>
      </c>
      <c r="D1846" s="8" t="s">
        <v>4</v>
      </c>
      <c r="E1846" s="8" t="s">
        <v>18</v>
      </c>
      <c r="F1846" s="6">
        <v>23.8</v>
      </c>
      <c r="G1846" s="8" t="s">
        <v>2379</v>
      </c>
      <c r="H1846" s="8" t="s">
        <v>522</v>
      </c>
      <c r="I1846" s="8" t="s">
        <v>2647</v>
      </c>
      <c r="K1846">
        <f>IF($A1846="","",IF(ISNUMBER($A1846),MONTH($A1846),MONTH(DATEVALUE($A1846))))</f>
        <v>2</v>
      </c>
    </row>
    <row r="1847" spans="1:11" ht="60" customHeight="1" x14ac:dyDescent="0.25">
      <c r="A1847" s="7" t="s">
        <v>2373</v>
      </c>
      <c r="B1847" s="7" t="s">
        <v>0</v>
      </c>
      <c r="C1847" s="7" t="s">
        <v>2380</v>
      </c>
      <c r="D1847" s="7" t="s">
        <v>4</v>
      </c>
      <c r="E1847" s="7" t="s">
        <v>18</v>
      </c>
      <c r="F1847" s="5">
        <v>31.97</v>
      </c>
      <c r="G1847" s="7" t="s">
        <v>2381</v>
      </c>
      <c r="H1847" s="7" t="s">
        <v>2380</v>
      </c>
      <c r="I1847" s="7" t="s">
        <v>2627</v>
      </c>
      <c r="K1847">
        <f>IF($A1847="","",IF(ISNUMBER($A1847),MONTH($A1847),MONTH(DATEVALUE($A1847))))</f>
        <v>2</v>
      </c>
    </row>
    <row r="1848" spans="1:11" ht="60" customHeight="1" x14ac:dyDescent="0.25">
      <c r="A1848" s="8" t="s">
        <v>2373</v>
      </c>
      <c r="B1848" s="8" t="s">
        <v>0</v>
      </c>
      <c r="C1848" s="8" t="s">
        <v>1758</v>
      </c>
      <c r="D1848" s="8" t="s">
        <v>4</v>
      </c>
      <c r="E1848" s="8" t="s">
        <v>18</v>
      </c>
      <c r="F1848" s="6">
        <v>20</v>
      </c>
      <c r="G1848" s="8" t="s">
        <v>2382</v>
      </c>
      <c r="H1848" s="8" t="s">
        <v>1758</v>
      </c>
      <c r="I1848" s="8" t="s">
        <v>2630</v>
      </c>
      <c r="K1848">
        <f>IF($A1848="","",IF(ISNUMBER($A1848),MONTH($A1848),MONTH(DATEVALUE($A1848))))</f>
        <v>2</v>
      </c>
    </row>
    <row r="1849" spans="1:11" ht="60" customHeight="1" x14ac:dyDescent="0.25">
      <c r="A1849" s="7" t="s">
        <v>2383</v>
      </c>
      <c r="B1849" s="7" t="s">
        <v>0</v>
      </c>
      <c r="C1849" s="7" t="s">
        <v>1096</v>
      </c>
      <c r="D1849" s="7" t="s">
        <v>4</v>
      </c>
      <c r="E1849" s="7" t="s">
        <v>18</v>
      </c>
      <c r="F1849" s="5">
        <v>-317.85000000000002</v>
      </c>
      <c r="G1849" s="7" t="s">
        <v>1101</v>
      </c>
      <c r="H1849" s="7" t="s">
        <v>1096</v>
      </c>
      <c r="I1849" s="7" t="s">
        <v>2647</v>
      </c>
      <c r="K1849">
        <f>IF($A1849="","",IF(ISNUMBER($A1849),MONTH($A1849),MONTH(DATEVALUE($A1849))))</f>
        <v>1</v>
      </c>
    </row>
    <row r="1850" spans="1:11" ht="60" customHeight="1" x14ac:dyDescent="0.25">
      <c r="A1850" s="8" t="s">
        <v>2383</v>
      </c>
      <c r="B1850" s="8" t="s">
        <v>0</v>
      </c>
      <c r="C1850" s="8" t="s">
        <v>1096</v>
      </c>
      <c r="D1850" s="8" t="s">
        <v>4</v>
      </c>
      <c r="E1850" s="8" t="s">
        <v>18</v>
      </c>
      <c r="F1850" s="6">
        <v>-44.26</v>
      </c>
      <c r="G1850" s="8" t="s">
        <v>1101</v>
      </c>
      <c r="H1850" s="8" t="s">
        <v>1096</v>
      </c>
      <c r="I1850" s="8" t="s">
        <v>2647</v>
      </c>
      <c r="K1850">
        <f>IF($A1850="","",IF(ISNUMBER($A1850),MONTH($A1850),MONTH(DATEVALUE($A1850))))</f>
        <v>1</v>
      </c>
    </row>
    <row r="1851" spans="1:11" ht="60" customHeight="1" x14ac:dyDescent="0.25">
      <c r="A1851" s="7" t="s">
        <v>2383</v>
      </c>
      <c r="B1851" s="7" t="s">
        <v>0</v>
      </c>
      <c r="C1851" s="7" t="s">
        <v>1096</v>
      </c>
      <c r="D1851" s="7" t="s">
        <v>4</v>
      </c>
      <c r="E1851" s="7" t="s">
        <v>18</v>
      </c>
      <c r="F1851" s="5">
        <v>-25.77</v>
      </c>
      <c r="G1851" s="7" t="s">
        <v>1101</v>
      </c>
      <c r="H1851" s="7" t="s">
        <v>1096</v>
      </c>
      <c r="I1851" s="7" t="s">
        <v>2647</v>
      </c>
      <c r="K1851">
        <f>IF($A1851="","",IF(ISNUMBER($A1851),MONTH($A1851),MONTH(DATEVALUE($A1851))))</f>
        <v>1</v>
      </c>
    </row>
    <row r="1852" spans="1:11" ht="60" customHeight="1" x14ac:dyDescent="0.25">
      <c r="A1852" s="8" t="s">
        <v>2383</v>
      </c>
      <c r="B1852" s="8" t="s">
        <v>0</v>
      </c>
      <c r="C1852" s="8" t="s">
        <v>1102</v>
      </c>
      <c r="D1852" s="8" t="s">
        <v>4</v>
      </c>
      <c r="E1852" s="8" t="s">
        <v>18</v>
      </c>
      <c r="F1852" s="6">
        <v>25.77</v>
      </c>
      <c r="G1852" s="8" t="s">
        <v>2384</v>
      </c>
      <c r="H1852" s="8" t="s">
        <v>1096</v>
      </c>
      <c r="I1852" s="8" t="s">
        <v>2647</v>
      </c>
      <c r="K1852">
        <f>IF($A1852="","",IF(ISNUMBER($A1852),MONTH($A1852),MONTH(DATEVALUE($A1852))))</f>
        <v>1</v>
      </c>
    </row>
    <row r="1853" spans="1:11" ht="60" customHeight="1" x14ac:dyDescent="0.25">
      <c r="A1853" s="7" t="s">
        <v>2383</v>
      </c>
      <c r="B1853" s="7" t="s">
        <v>0</v>
      </c>
      <c r="C1853" s="7" t="s">
        <v>1102</v>
      </c>
      <c r="D1853" s="7" t="s">
        <v>4</v>
      </c>
      <c r="E1853" s="7" t="s">
        <v>18</v>
      </c>
      <c r="F1853" s="5">
        <v>44.26</v>
      </c>
      <c r="G1853" s="7" t="s">
        <v>2385</v>
      </c>
      <c r="H1853" s="7" t="s">
        <v>1096</v>
      </c>
      <c r="I1853" s="7" t="s">
        <v>2647</v>
      </c>
      <c r="K1853">
        <f>IF($A1853="","",IF(ISNUMBER($A1853),MONTH($A1853),MONTH(DATEVALUE($A1853))))</f>
        <v>1</v>
      </c>
    </row>
    <row r="1854" spans="1:11" ht="60" customHeight="1" x14ac:dyDescent="0.25">
      <c r="A1854" s="8" t="s">
        <v>2383</v>
      </c>
      <c r="B1854" s="8" t="s">
        <v>0</v>
      </c>
      <c r="C1854" s="8" t="s">
        <v>1102</v>
      </c>
      <c r="D1854" s="8" t="s">
        <v>4</v>
      </c>
      <c r="E1854" s="8" t="s">
        <v>18</v>
      </c>
      <c r="F1854" s="6">
        <v>317.85000000000002</v>
      </c>
      <c r="G1854" s="8" t="s">
        <v>2386</v>
      </c>
      <c r="H1854" s="8" t="s">
        <v>1096</v>
      </c>
      <c r="I1854" s="8" t="s">
        <v>2647</v>
      </c>
      <c r="K1854">
        <f>IF($A1854="","",IF(ISNUMBER($A1854),MONTH($A1854),MONTH(DATEVALUE($A1854))))</f>
        <v>1</v>
      </c>
    </row>
    <row r="1855" spans="1:11" ht="60" customHeight="1" x14ac:dyDescent="0.25">
      <c r="A1855" s="7" t="s">
        <v>2383</v>
      </c>
      <c r="B1855" s="7" t="s">
        <v>0</v>
      </c>
      <c r="C1855" s="7" t="s">
        <v>124</v>
      </c>
      <c r="D1855" s="7" t="s">
        <v>1113</v>
      </c>
      <c r="E1855" s="7" t="s">
        <v>1114</v>
      </c>
      <c r="F1855" s="5">
        <v>35</v>
      </c>
      <c r="G1855" s="7" t="s">
        <v>2387</v>
      </c>
      <c r="H1855" s="7" t="s">
        <v>124</v>
      </c>
      <c r="I1855" s="7" t="s">
        <v>2665</v>
      </c>
      <c r="K1855">
        <f>IF($A1855="","",IF(ISNUMBER($A1855),MONTH($A1855),MONTH(DATEVALUE($A1855))))</f>
        <v>1</v>
      </c>
    </row>
    <row r="1856" spans="1:11" ht="60" customHeight="1" x14ac:dyDescent="0.25">
      <c r="A1856" s="8" t="s">
        <v>2383</v>
      </c>
      <c r="B1856" s="8" t="s">
        <v>0</v>
      </c>
      <c r="C1856" s="8" t="s">
        <v>124</v>
      </c>
      <c r="D1856" s="8" t="s">
        <v>1113</v>
      </c>
      <c r="E1856" s="8" t="s">
        <v>1114</v>
      </c>
      <c r="F1856" s="6">
        <v>35</v>
      </c>
      <c r="G1856" s="8" t="s">
        <v>2388</v>
      </c>
      <c r="H1856" s="8" t="s">
        <v>124</v>
      </c>
      <c r="I1856" s="7" t="s">
        <v>2665</v>
      </c>
      <c r="K1856">
        <f>IF($A1856="","",IF(ISNUMBER($A1856),MONTH($A1856),MONTH(DATEVALUE($A1856))))</f>
        <v>1</v>
      </c>
    </row>
    <row r="1857" spans="1:11" ht="60" customHeight="1" x14ac:dyDescent="0.25">
      <c r="A1857" s="7" t="s">
        <v>2383</v>
      </c>
      <c r="B1857" s="7" t="s">
        <v>0</v>
      </c>
      <c r="C1857" s="7" t="s">
        <v>124</v>
      </c>
      <c r="D1857" s="7" t="s">
        <v>1113</v>
      </c>
      <c r="E1857" s="7" t="s">
        <v>1114</v>
      </c>
      <c r="F1857" s="5">
        <v>45</v>
      </c>
      <c r="G1857" s="7" t="s">
        <v>2389</v>
      </c>
      <c r="H1857" s="7" t="s">
        <v>124</v>
      </c>
      <c r="I1857" s="7" t="s">
        <v>2665</v>
      </c>
      <c r="K1857">
        <f>IF($A1857="","",IF(ISNUMBER($A1857),MONTH($A1857),MONTH(DATEVALUE($A1857))))</f>
        <v>1</v>
      </c>
    </row>
    <row r="1858" spans="1:11" ht="60" customHeight="1" x14ac:dyDescent="0.25">
      <c r="A1858" s="8" t="s">
        <v>2383</v>
      </c>
      <c r="B1858" s="8" t="s">
        <v>0</v>
      </c>
      <c r="C1858" s="8" t="s">
        <v>124</v>
      </c>
      <c r="D1858" s="8" t="s">
        <v>1113</v>
      </c>
      <c r="E1858" s="8" t="s">
        <v>1114</v>
      </c>
      <c r="F1858" s="6">
        <v>45</v>
      </c>
      <c r="G1858" s="8" t="s">
        <v>2390</v>
      </c>
      <c r="H1858" s="8" t="s">
        <v>124</v>
      </c>
      <c r="I1858" s="7" t="s">
        <v>2665</v>
      </c>
      <c r="K1858">
        <f>IF($A1858="","",IF(ISNUMBER($A1858),MONTH($A1858),MONTH(DATEVALUE($A1858))))</f>
        <v>1</v>
      </c>
    </row>
    <row r="1859" spans="1:11" ht="60" customHeight="1" x14ac:dyDescent="0.25">
      <c r="A1859" s="7" t="s">
        <v>2383</v>
      </c>
      <c r="B1859" s="7" t="s">
        <v>0</v>
      </c>
      <c r="C1859" s="7" t="s">
        <v>2391</v>
      </c>
      <c r="D1859" s="7" t="s">
        <v>4</v>
      </c>
      <c r="E1859" s="7" t="s">
        <v>18</v>
      </c>
      <c r="F1859" s="5">
        <v>21.6</v>
      </c>
      <c r="G1859" s="7" t="s">
        <v>2392</v>
      </c>
      <c r="H1859" s="7" t="s">
        <v>2391</v>
      </c>
      <c r="I1859" s="7" t="s">
        <v>2665</v>
      </c>
      <c r="K1859">
        <f>IF($A1859="","",IF(ISNUMBER($A1859),MONTH($A1859),MONTH(DATEVALUE($A1859))))</f>
        <v>1</v>
      </c>
    </row>
    <row r="1860" spans="1:11" ht="60" customHeight="1" x14ac:dyDescent="0.25">
      <c r="A1860" s="8" t="s">
        <v>2383</v>
      </c>
      <c r="B1860" s="8" t="s">
        <v>0</v>
      </c>
      <c r="C1860" s="8" t="s">
        <v>2393</v>
      </c>
      <c r="D1860" s="8" t="s">
        <v>4</v>
      </c>
      <c r="E1860" s="8" t="s">
        <v>18</v>
      </c>
      <c r="F1860" s="6">
        <v>166.03</v>
      </c>
      <c r="G1860" s="8" t="s">
        <v>2394</v>
      </c>
      <c r="H1860" s="8" t="s">
        <v>2393</v>
      </c>
      <c r="I1860" s="8" t="s">
        <v>2635</v>
      </c>
      <c r="K1860">
        <f>IF($A1860="","",IF(ISNUMBER($A1860),MONTH($A1860),MONTH(DATEVALUE($A1860))))</f>
        <v>1</v>
      </c>
    </row>
    <row r="1861" spans="1:11" ht="60" customHeight="1" x14ac:dyDescent="0.25">
      <c r="A1861" s="7" t="s">
        <v>2395</v>
      </c>
      <c r="B1861" s="7" t="s">
        <v>0</v>
      </c>
      <c r="C1861" s="7" t="s">
        <v>1096</v>
      </c>
      <c r="D1861" s="7" t="s">
        <v>4</v>
      </c>
      <c r="E1861" s="7" t="s">
        <v>18</v>
      </c>
      <c r="F1861" s="5">
        <v>-413.9</v>
      </c>
      <c r="G1861" s="7" t="s">
        <v>1101</v>
      </c>
      <c r="H1861" s="7" t="s">
        <v>1096</v>
      </c>
      <c r="I1861" s="7" t="s">
        <v>2647</v>
      </c>
      <c r="K1861">
        <f>IF($A1861="","",IF(ISNUMBER($A1861),MONTH($A1861),MONTH(DATEVALUE($A1861))))</f>
        <v>1</v>
      </c>
    </row>
    <row r="1862" spans="1:11" ht="60" customHeight="1" x14ac:dyDescent="0.25">
      <c r="A1862" s="8" t="s">
        <v>2395</v>
      </c>
      <c r="B1862" s="8" t="s">
        <v>0</v>
      </c>
      <c r="C1862" s="8" t="s">
        <v>1096</v>
      </c>
      <c r="D1862" s="8" t="s">
        <v>4</v>
      </c>
      <c r="E1862" s="8" t="s">
        <v>18</v>
      </c>
      <c r="F1862" s="6">
        <v>-317.85000000000002</v>
      </c>
      <c r="G1862" s="8" t="s">
        <v>1101</v>
      </c>
      <c r="H1862" s="8" t="s">
        <v>1096</v>
      </c>
      <c r="I1862" s="8" t="s">
        <v>2647</v>
      </c>
      <c r="K1862">
        <f>IF($A1862="","",IF(ISNUMBER($A1862),MONTH($A1862),MONTH(DATEVALUE($A1862))))</f>
        <v>1</v>
      </c>
    </row>
    <row r="1863" spans="1:11" ht="60" customHeight="1" x14ac:dyDescent="0.25">
      <c r="A1863" s="7" t="s">
        <v>2395</v>
      </c>
      <c r="B1863" s="7" t="s">
        <v>0</v>
      </c>
      <c r="C1863" s="7" t="s">
        <v>1096</v>
      </c>
      <c r="D1863" s="7" t="s">
        <v>4</v>
      </c>
      <c r="E1863" s="7" t="s">
        <v>18</v>
      </c>
      <c r="F1863" s="5">
        <v>-191.43</v>
      </c>
      <c r="G1863" s="7" t="s">
        <v>1101</v>
      </c>
      <c r="H1863" s="7" t="s">
        <v>1096</v>
      </c>
      <c r="I1863" s="7" t="s">
        <v>2647</v>
      </c>
      <c r="K1863">
        <f>IF($A1863="","",IF(ISNUMBER($A1863),MONTH($A1863),MONTH(DATEVALUE($A1863))))</f>
        <v>1</v>
      </c>
    </row>
    <row r="1864" spans="1:11" ht="60" customHeight="1" x14ac:dyDescent="0.25">
      <c r="A1864" s="8" t="s">
        <v>2395</v>
      </c>
      <c r="B1864" s="8" t="s">
        <v>0</v>
      </c>
      <c r="C1864" s="8" t="s">
        <v>1096</v>
      </c>
      <c r="D1864" s="8" t="s">
        <v>4</v>
      </c>
      <c r="E1864" s="8" t="s">
        <v>18</v>
      </c>
      <c r="F1864" s="6">
        <v>-108.24</v>
      </c>
      <c r="G1864" s="8" t="s">
        <v>1101</v>
      </c>
      <c r="H1864" s="8" t="s">
        <v>1096</v>
      </c>
      <c r="I1864" s="8" t="s">
        <v>2647</v>
      </c>
      <c r="K1864">
        <f>IF($A1864="","",IF(ISNUMBER($A1864),MONTH($A1864),MONTH(DATEVALUE($A1864))))</f>
        <v>1</v>
      </c>
    </row>
    <row r="1865" spans="1:11" ht="60" customHeight="1" x14ac:dyDescent="0.25">
      <c r="A1865" s="7" t="s">
        <v>2395</v>
      </c>
      <c r="B1865" s="7" t="s">
        <v>0</v>
      </c>
      <c r="C1865" s="7" t="s">
        <v>1096</v>
      </c>
      <c r="D1865" s="7" t="s">
        <v>4</v>
      </c>
      <c r="E1865" s="7" t="s">
        <v>18</v>
      </c>
      <c r="F1865" s="5">
        <v>-86.31</v>
      </c>
      <c r="G1865" s="7" t="s">
        <v>1101</v>
      </c>
      <c r="H1865" s="7" t="s">
        <v>1096</v>
      </c>
      <c r="I1865" s="7" t="s">
        <v>2647</v>
      </c>
      <c r="K1865">
        <f>IF($A1865="","",IF(ISNUMBER($A1865),MONTH($A1865),MONTH(DATEVALUE($A1865))))</f>
        <v>1</v>
      </c>
    </row>
    <row r="1866" spans="1:11" ht="60" customHeight="1" x14ac:dyDescent="0.25">
      <c r="A1866" s="8" t="s">
        <v>2395</v>
      </c>
      <c r="B1866" s="8" t="s">
        <v>0</v>
      </c>
      <c r="C1866" s="8" t="s">
        <v>1096</v>
      </c>
      <c r="D1866" s="8" t="s">
        <v>4</v>
      </c>
      <c r="E1866" s="8" t="s">
        <v>18</v>
      </c>
      <c r="F1866" s="6">
        <v>-67.349999999999994</v>
      </c>
      <c r="G1866" s="8" t="s">
        <v>1101</v>
      </c>
      <c r="H1866" s="8" t="s">
        <v>1096</v>
      </c>
      <c r="I1866" s="8" t="s">
        <v>2647</v>
      </c>
      <c r="K1866">
        <f>IF($A1866="","",IF(ISNUMBER($A1866),MONTH($A1866),MONTH(DATEVALUE($A1866))))</f>
        <v>1</v>
      </c>
    </row>
    <row r="1867" spans="1:11" ht="60" customHeight="1" x14ac:dyDescent="0.25">
      <c r="A1867" s="7" t="s">
        <v>2395</v>
      </c>
      <c r="B1867" s="7" t="s">
        <v>0</v>
      </c>
      <c r="C1867" s="7" t="s">
        <v>1096</v>
      </c>
      <c r="D1867" s="7" t="s">
        <v>4</v>
      </c>
      <c r="E1867" s="7" t="s">
        <v>18</v>
      </c>
      <c r="F1867" s="5">
        <v>-54.11</v>
      </c>
      <c r="G1867" s="7" t="s">
        <v>1101</v>
      </c>
      <c r="H1867" s="7" t="s">
        <v>1096</v>
      </c>
      <c r="I1867" s="7" t="s">
        <v>2647</v>
      </c>
      <c r="K1867">
        <f>IF($A1867="","",IF(ISNUMBER($A1867),MONTH($A1867),MONTH(DATEVALUE($A1867))))</f>
        <v>1</v>
      </c>
    </row>
    <row r="1868" spans="1:11" ht="60" customHeight="1" x14ac:dyDescent="0.25">
      <c r="A1868" s="8" t="s">
        <v>2395</v>
      </c>
      <c r="B1868" s="8" t="s">
        <v>0</v>
      </c>
      <c r="C1868" s="8" t="s">
        <v>1096</v>
      </c>
      <c r="D1868" s="8" t="s">
        <v>4</v>
      </c>
      <c r="E1868" s="8" t="s">
        <v>18</v>
      </c>
      <c r="F1868" s="6">
        <v>-51.54</v>
      </c>
      <c r="G1868" s="8" t="s">
        <v>1101</v>
      </c>
      <c r="H1868" s="8" t="s">
        <v>1096</v>
      </c>
      <c r="I1868" s="8" t="s">
        <v>2647</v>
      </c>
      <c r="K1868">
        <f>IF($A1868="","",IF(ISNUMBER($A1868),MONTH($A1868),MONTH(DATEVALUE($A1868))))</f>
        <v>1</v>
      </c>
    </row>
    <row r="1869" spans="1:11" ht="60" customHeight="1" x14ac:dyDescent="0.25">
      <c r="A1869" s="7" t="s">
        <v>2395</v>
      </c>
      <c r="B1869" s="7" t="s">
        <v>0</v>
      </c>
      <c r="C1869" s="7" t="s">
        <v>1096</v>
      </c>
      <c r="D1869" s="7" t="s">
        <v>4</v>
      </c>
      <c r="E1869" s="7" t="s">
        <v>18</v>
      </c>
      <c r="F1869" s="5">
        <v>-40.04</v>
      </c>
      <c r="G1869" s="7" t="s">
        <v>1101</v>
      </c>
      <c r="H1869" s="7" t="s">
        <v>1096</v>
      </c>
      <c r="I1869" s="7" t="s">
        <v>2647</v>
      </c>
      <c r="K1869">
        <f>IF($A1869="","",IF(ISNUMBER($A1869),MONTH($A1869),MONTH(DATEVALUE($A1869))))</f>
        <v>1</v>
      </c>
    </row>
    <row r="1870" spans="1:11" ht="60" customHeight="1" x14ac:dyDescent="0.25">
      <c r="A1870" s="8" t="s">
        <v>2395</v>
      </c>
      <c r="B1870" s="8" t="s">
        <v>0</v>
      </c>
      <c r="C1870" s="8" t="s">
        <v>1102</v>
      </c>
      <c r="D1870" s="8" t="s">
        <v>4</v>
      </c>
      <c r="E1870" s="8" t="s">
        <v>18</v>
      </c>
      <c r="F1870" s="6">
        <v>40.04</v>
      </c>
      <c r="G1870" s="8" t="s">
        <v>2396</v>
      </c>
      <c r="H1870" s="8" t="s">
        <v>1096</v>
      </c>
      <c r="I1870" s="8" t="s">
        <v>2647</v>
      </c>
      <c r="K1870">
        <f>IF($A1870="","",IF(ISNUMBER($A1870),MONTH($A1870),MONTH(DATEVALUE($A1870))))</f>
        <v>1</v>
      </c>
    </row>
    <row r="1871" spans="1:11" ht="60" customHeight="1" x14ac:dyDescent="0.25">
      <c r="A1871" s="7" t="s">
        <v>2395</v>
      </c>
      <c r="B1871" s="7" t="s">
        <v>0</v>
      </c>
      <c r="C1871" s="7" t="s">
        <v>1102</v>
      </c>
      <c r="D1871" s="7" t="s">
        <v>4</v>
      </c>
      <c r="E1871" s="7" t="s">
        <v>18</v>
      </c>
      <c r="F1871" s="5">
        <v>51.54</v>
      </c>
      <c r="G1871" s="7" t="s">
        <v>2397</v>
      </c>
      <c r="H1871" s="7" t="s">
        <v>1096</v>
      </c>
      <c r="I1871" s="7" t="s">
        <v>2647</v>
      </c>
      <c r="K1871">
        <f>IF($A1871="","",IF(ISNUMBER($A1871),MONTH($A1871),MONTH(DATEVALUE($A1871))))</f>
        <v>1</v>
      </c>
    </row>
    <row r="1872" spans="1:11" ht="60" customHeight="1" x14ac:dyDescent="0.25">
      <c r="A1872" s="8" t="s">
        <v>2395</v>
      </c>
      <c r="B1872" s="8" t="s">
        <v>0</v>
      </c>
      <c r="C1872" s="8" t="s">
        <v>1102</v>
      </c>
      <c r="D1872" s="8" t="s">
        <v>4</v>
      </c>
      <c r="E1872" s="8" t="s">
        <v>18</v>
      </c>
      <c r="F1872" s="6">
        <v>54.11</v>
      </c>
      <c r="G1872" s="8" t="s">
        <v>2398</v>
      </c>
      <c r="H1872" s="8" t="s">
        <v>1096</v>
      </c>
      <c r="I1872" s="8" t="s">
        <v>2647</v>
      </c>
      <c r="K1872">
        <f>IF($A1872="","",IF(ISNUMBER($A1872),MONTH($A1872),MONTH(DATEVALUE($A1872))))</f>
        <v>1</v>
      </c>
    </row>
    <row r="1873" spans="1:11" ht="60" customHeight="1" x14ac:dyDescent="0.25">
      <c r="A1873" s="7" t="s">
        <v>2395</v>
      </c>
      <c r="B1873" s="7" t="s">
        <v>0</v>
      </c>
      <c r="C1873" s="7" t="s">
        <v>1102</v>
      </c>
      <c r="D1873" s="7" t="s">
        <v>4</v>
      </c>
      <c r="E1873" s="7" t="s">
        <v>18</v>
      </c>
      <c r="F1873" s="5">
        <v>67.349999999999994</v>
      </c>
      <c r="G1873" s="7" t="s">
        <v>2399</v>
      </c>
      <c r="H1873" s="7" t="s">
        <v>1096</v>
      </c>
      <c r="I1873" s="7" t="s">
        <v>2647</v>
      </c>
      <c r="K1873">
        <f>IF($A1873="","",IF(ISNUMBER($A1873),MONTH($A1873),MONTH(DATEVALUE($A1873))))</f>
        <v>1</v>
      </c>
    </row>
    <row r="1874" spans="1:11" ht="60" customHeight="1" x14ac:dyDescent="0.25">
      <c r="A1874" s="8" t="s">
        <v>2395</v>
      </c>
      <c r="B1874" s="8" t="s">
        <v>0</v>
      </c>
      <c r="C1874" s="8" t="s">
        <v>1102</v>
      </c>
      <c r="D1874" s="8" t="s">
        <v>4</v>
      </c>
      <c r="E1874" s="8" t="s">
        <v>18</v>
      </c>
      <c r="F1874" s="6">
        <v>86.31</v>
      </c>
      <c r="G1874" s="8" t="s">
        <v>2400</v>
      </c>
      <c r="H1874" s="8" t="s">
        <v>1096</v>
      </c>
      <c r="I1874" s="8" t="s">
        <v>2647</v>
      </c>
      <c r="K1874">
        <f>IF($A1874="","",IF(ISNUMBER($A1874),MONTH($A1874),MONTH(DATEVALUE($A1874))))</f>
        <v>1</v>
      </c>
    </row>
    <row r="1875" spans="1:11" ht="60" customHeight="1" x14ac:dyDescent="0.25">
      <c r="A1875" s="7" t="s">
        <v>2395</v>
      </c>
      <c r="B1875" s="7" t="s">
        <v>0</v>
      </c>
      <c r="C1875" s="7" t="s">
        <v>1102</v>
      </c>
      <c r="D1875" s="7" t="s">
        <v>4</v>
      </c>
      <c r="E1875" s="7" t="s">
        <v>18</v>
      </c>
      <c r="F1875" s="5">
        <v>108.24</v>
      </c>
      <c r="G1875" s="7" t="s">
        <v>2401</v>
      </c>
      <c r="H1875" s="7" t="s">
        <v>1096</v>
      </c>
      <c r="I1875" s="7" t="s">
        <v>2647</v>
      </c>
      <c r="K1875">
        <f>IF($A1875="","",IF(ISNUMBER($A1875),MONTH($A1875),MONTH(DATEVALUE($A1875))))</f>
        <v>1</v>
      </c>
    </row>
    <row r="1876" spans="1:11" ht="60" customHeight="1" x14ac:dyDescent="0.25">
      <c r="A1876" s="8" t="s">
        <v>2395</v>
      </c>
      <c r="B1876" s="8" t="s">
        <v>0</v>
      </c>
      <c r="C1876" s="8" t="s">
        <v>1102</v>
      </c>
      <c r="D1876" s="8" t="s">
        <v>4</v>
      </c>
      <c r="E1876" s="8" t="s">
        <v>18</v>
      </c>
      <c r="F1876" s="6">
        <v>191.43</v>
      </c>
      <c r="G1876" s="8" t="s">
        <v>2402</v>
      </c>
      <c r="H1876" s="8" t="s">
        <v>1096</v>
      </c>
      <c r="I1876" s="8" t="s">
        <v>2647</v>
      </c>
      <c r="K1876">
        <f>IF($A1876="","",IF(ISNUMBER($A1876),MONTH($A1876),MONTH(DATEVALUE($A1876))))</f>
        <v>1</v>
      </c>
    </row>
    <row r="1877" spans="1:11" ht="60" customHeight="1" x14ac:dyDescent="0.25">
      <c r="A1877" s="7" t="s">
        <v>2395</v>
      </c>
      <c r="B1877" s="7" t="s">
        <v>0</v>
      </c>
      <c r="C1877" s="7" t="s">
        <v>1102</v>
      </c>
      <c r="D1877" s="7" t="s">
        <v>4</v>
      </c>
      <c r="E1877" s="7" t="s">
        <v>18</v>
      </c>
      <c r="F1877" s="5">
        <v>317.85000000000002</v>
      </c>
      <c r="G1877" s="7" t="s">
        <v>2403</v>
      </c>
      <c r="H1877" s="7" t="s">
        <v>1096</v>
      </c>
      <c r="I1877" s="7" t="s">
        <v>2647</v>
      </c>
      <c r="K1877">
        <f>IF($A1877="","",IF(ISNUMBER($A1877),MONTH($A1877),MONTH(DATEVALUE($A1877))))</f>
        <v>1</v>
      </c>
    </row>
    <row r="1878" spans="1:11" ht="60" customHeight="1" x14ac:dyDescent="0.25">
      <c r="A1878" s="8" t="s">
        <v>2395</v>
      </c>
      <c r="B1878" s="8" t="s">
        <v>0</v>
      </c>
      <c r="C1878" s="8" t="s">
        <v>1102</v>
      </c>
      <c r="D1878" s="8" t="s">
        <v>4</v>
      </c>
      <c r="E1878" s="8" t="s">
        <v>18</v>
      </c>
      <c r="F1878" s="6">
        <v>413.9</v>
      </c>
      <c r="G1878" s="8" t="s">
        <v>2404</v>
      </c>
      <c r="H1878" s="8" t="s">
        <v>1096</v>
      </c>
      <c r="I1878" s="8" t="s">
        <v>2647</v>
      </c>
      <c r="K1878">
        <f>IF($A1878="","",IF(ISNUMBER($A1878),MONTH($A1878),MONTH(DATEVALUE($A1878))))</f>
        <v>1</v>
      </c>
    </row>
    <row r="1879" spans="1:11" ht="60" customHeight="1" x14ac:dyDescent="0.25">
      <c r="A1879" s="7" t="s">
        <v>2395</v>
      </c>
      <c r="B1879" s="7" t="s">
        <v>0</v>
      </c>
      <c r="C1879" s="7" t="s">
        <v>522</v>
      </c>
      <c r="D1879" s="7" t="s">
        <v>4</v>
      </c>
      <c r="E1879" s="7" t="s">
        <v>18</v>
      </c>
      <c r="F1879" s="5">
        <v>28.48</v>
      </c>
      <c r="G1879" s="7" t="s">
        <v>2405</v>
      </c>
      <c r="H1879" s="7" t="s">
        <v>522</v>
      </c>
      <c r="I1879" s="7" t="s">
        <v>2647</v>
      </c>
      <c r="K1879">
        <f>IF($A1879="","",IF(ISNUMBER($A1879),MONTH($A1879),MONTH(DATEVALUE($A1879))))</f>
        <v>1</v>
      </c>
    </row>
    <row r="1880" spans="1:11" ht="60" customHeight="1" x14ac:dyDescent="0.25">
      <c r="A1880" s="8" t="s">
        <v>2395</v>
      </c>
      <c r="B1880" s="8" t="s">
        <v>0</v>
      </c>
      <c r="C1880" s="8" t="s">
        <v>1596</v>
      </c>
      <c r="D1880" s="8" t="s">
        <v>1113</v>
      </c>
      <c r="E1880" s="8" t="s">
        <v>1114</v>
      </c>
      <c r="F1880" s="6">
        <v>42</v>
      </c>
      <c r="G1880" s="8" t="s">
        <v>2406</v>
      </c>
      <c r="H1880" s="8" t="s">
        <v>1596</v>
      </c>
      <c r="I1880" s="8" t="s">
        <v>2665</v>
      </c>
      <c r="K1880">
        <f>IF($A1880="","",IF(ISNUMBER($A1880),MONTH($A1880),MONTH(DATEVALUE($A1880))))</f>
        <v>1</v>
      </c>
    </row>
    <row r="1881" spans="1:11" ht="60" customHeight="1" x14ac:dyDescent="0.25">
      <c r="A1881" s="7" t="s">
        <v>2395</v>
      </c>
      <c r="B1881" s="7" t="s">
        <v>0</v>
      </c>
      <c r="C1881" s="7" t="s">
        <v>1596</v>
      </c>
      <c r="D1881" s="7" t="s">
        <v>1113</v>
      </c>
      <c r="E1881" s="7" t="s">
        <v>1114</v>
      </c>
      <c r="F1881" s="5">
        <v>42</v>
      </c>
      <c r="G1881" s="7" t="s">
        <v>2407</v>
      </c>
      <c r="H1881" s="7" t="s">
        <v>1596</v>
      </c>
      <c r="I1881" s="8" t="s">
        <v>2665</v>
      </c>
      <c r="K1881">
        <f>IF($A1881="","",IF(ISNUMBER($A1881),MONTH($A1881),MONTH(DATEVALUE($A1881))))</f>
        <v>1</v>
      </c>
    </row>
    <row r="1882" spans="1:11" ht="60" customHeight="1" x14ac:dyDescent="0.25">
      <c r="A1882" s="8" t="s">
        <v>2395</v>
      </c>
      <c r="B1882" s="8" t="s">
        <v>0</v>
      </c>
      <c r="C1882" s="8" t="s">
        <v>2408</v>
      </c>
      <c r="D1882" s="8" t="s">
        <v>4</v>
      </c>
      <c r="E1882" s="8" t="s">
        <v>18</v>
      </c>
      <c r="F1882" s="6">
        <v>11.9</v>
      </c>
      <c r="G1882" s="8" t="s">
        <v>2409</v>
      </c>
      <c r="H1882" s="8" t="s">
        <v>2408</v>
      </c>
      <c r="I1882" s="8" t="s">
        <v>2635</v>
      </c>
      <c r="K1882">
        <f>IF($A1882="","",IF(ISNUMBER($A1882),MONTH($A1882),MONTH(DATEVALUE($A1882))))</f>
        <v>1</v>
      </c>
    </row>
    <row r="1883" spans="1:11" ht="60" customHeight="1" x14ac:dyDescent="0.25">
      <c r="A1883" s="7" t="s">
        <v>2395</v>
      </c>
      <c r="B1883" s="7" t="s">
        <v>0</v>
      </c>
      <c r="C1883" s="7" t="s">
        <v>2410</v>
      </c>
      <c r="D1883" s="7" t="s">
        <v>4</v>
      </c>
      <c r="E1883" s="7" t="s">
        <v>18</v>
      </c>
      <c r="F1883" s="5">
        <v>16.23</v>
      </c>
      <c r="G1883" s="7" t="s">
        <v>2411</v>
      </c>
      <c r="H1883" s="7" t="s">
        <v>2410</v>
      </c>
      <c r="I1883" s="7" t="s">
        <v>2635</v>
      </c>
      <c r="K1883">
        <f>IF($A1883="","",IF(ISNUMBER($A1883),MONTH($A1883),MONTH(DATEVALUE($A1883))))</f>
        <v>1</v>
      </c>
    </row>
    <row r="1884" spans="1:11" ht="60" customHeight="1" x14ac:dyDescent="0.25">
      <c r="A1884" s="8" t="s">
        <v>2395</v>
      </c>
      <c r="B1884" s="8" t="s">
        <v>0</v>
      </c>
      <c r="C1884" s="8" t="s">
        <v>2412</v>
      </c>
      <c r="D1884" s="8" t="s">
        <v>4</v>
      </c>
      <c r="E1884" s="8" t="s">
        <v>18</v>
      </c>
      <c r="F1884" s="6">
        <v>14.05</v>
      </c>
      <c r="G1884" s="8" t="s">
        <v>2413</v>
      </c>
      <c r="H1884" s="8" t="s">
        <v>2412</v>
      </c>
      <c r="I1884" s="8" t="s">
        <v>2635</v>
      </c>
      <c r="K1884">
        <f>IF($A1884="","",IF(ISNUMBER($A1884),MONTH($A1884),MONTH(DATEVALUE($A1884))))</f>
        <v>1</v>
      </c>
    </row>
    <row r="1885" spans="1:11" ht="60" customHeight="1" x14ac:dyDescent="0.25">
      <c r="A1885" s="7" t="s">
        <v>2395</v>
      </c>
      <c r="B1885" s="7" t="s">
        <v>0</v>
      </c>
      <c r="C1885" s="7" t="s">
        <v>2414</v>
      </c>
      <c r="D1885" s="7" t="s">
        <v>4</v>
      </c>
      <c r="E1885" s="7" t="s">
        <v>18</v>
      </c>
      <c r="F1885" s="5">
        <v>88.47</v>
      </c>
      <c r="G1885" s="7" t="s">
        <v>2415</v>
      </c>
      <c r="H1885" s="7" t="s">
        <v>2414</v>
      </c>
      <c r="I1885" s="7" t="s">
        <v>2635</v>
      </c>
      <c r="K1885">
        <f>IF($A1885="","",IF(ISNUMBER($A1885),MONTH($A1885),MONTH(DATEVALUE($A1885))))</f>
        <v>1</v>
      </c>
    </row>
    <row r="1886" spans="1:11" ht="60" customHeight="1" x14ac:dyDescent="0.25">
      <c r="A1886" s="8" t="s">
        <v>2395</v>
      </c>
      <c r="B1886" s="8" t="s">
        <v>0</v>
      </c>
      <c r="C1886" s="8" t="s">
        <v>2416</v>
      </c>
      <c r="D1886" s="8" t="s">
        <v>4</v>
      </c>
      <c r="E1886" s="8" t="s">
        <v>18</v>
      </c>
      <c r="F1886" s="6">
        <v>31.37</v>
      </c>
      <c r="G1886" s="8" t="s">
        <v>2417</v>
      </c>
      <c r="H1886" s="8" t="s">
        <v>2416</v>
      </c>
      <c r="I1886" s="7" t="s">
        <v>2635</v>
      </c>
      <c r="K1886">
        <f>IF($A1886="","",IF(ISNUMBER($A1886),MONTH($A1886),MONTH(DATEVALUE($A1886))))</f>
        <v>1</v>
      </c>
    </row>
    <row r="1887" spans="1:11" ht="60" customHeight="1" x14ac:dyDescent="0.25">
      <c r="A1887" s="7" t="s">
        <v>2395</v>
      </c>
      <c r="B1887" s="7" t="s">
        <v>0</v>
      </c>
      <c r="C1887" s="7" t="s">
        <v>2418</v>
      </c>
      <c r="D1887" s="7" t="s">
        <v>4</v>
      </c>
      <c r="E1887" s="7" t="s">
        <v>18</v>
      </c>
      <c r="F1887" s="5">
        <v>11.9</v>
      </c>
      <c r="G1887" s="7" t="s">
        <v>2419</v>
      </c>
      <c r="H1887" s="7" t="s">
        <v>2418</v>
      </c>
      <c r="I1887" s="7" t="s">
        <v>2635</v>
      </c>
      <c r="K1887">
        <f>IF($A1887="","",IF(ISNUMBER($A1887),MONTH($A1887),MONTH(DATEVALUE($A1887))))</f>
        <v>1</v>
      </c>
    </row>
    <row r="1888" spans="1:11" ht="60" customHeight="1" x14ac:dyDescent="0.25">
      <c r="A1888" s="8" t="s">
        <v>2395</v>
      </c>
      <c r="B1888" s="8" t="s">
        <v>0</v>
      </c>
      <c r="C1888" s="8" t="s">
        <v>2420</v>
      </c>
      <c r="D1888" s="8" t="s">
        <v>4</v>
      </c>
      <c r="E1888" s="8" t="s">
        <v>18</v>
      </c>
      <c r="F1888" s="6">
        <v>11.9</v>
      </c>
      <c r="G1888" s="8" t="s">
        <v>2421</v>
      </c>
      <c r="H1888" s="8" t="s">
        <v>2420</v>
      </c>
      <c r="I1888" s="7" t="s">
        <v>2635</v>
      </c>
      <c r="K1888">
        <f>IF($A1888="","",IF(ISNUMBER($A1888),MONTH($A1888),MONTH(DATEVALUE($A1888))))</f>
        <v>1</v>
      </c>
    </row>
    <row r="1889" spans="1:11" ht="60" customHeight="1" x14ac:dyDescent="0.25">
      <c r="A1889" s="7" t="s">
        <v>2395</v>
      </c>
      <c r="B1889" s="7" t="s">
        <v>0</v>
      </c>
      <c r="C1889" s="7" t="s">
        <v>2422</v>
      </c>
      <c r="D1889" s="7" t="s">
        <v>4</v>
      </c>
      <c r="E1889" s="7" t="s">
        <v>18</v>
      </c>
      <c r="F1889" s="5">
        <v>11.9</v>
      </c>
      <c r="G1889" s="7" t="s">
        <v>2423</v>
      </c>
      <c r="H1889" s="7" t="s">
        <v>2422</v>
      </c>
      <c r="I1889" s="7" t="s">
        <v>2635</v>
      </c>
      <c r="K1889">
        <f>IF($A1889="","",IF(ISNUMBER($A1889),MONTH($A1889),MONTH(DATEVALUE($A1889))))</f>
        <v>1</v>
      </c>
    </row>
    <row r="1890" spans="1:11" ht="60" customHeight="1" x14ac:dyDescent="0.25">
      <c r="A1890" s="8" t="s">
        <v>2395</v>
      </c>
      <c r="B1890" s="8" t="s">
        <v>0</v>
      </c>
      <c r="C1890" s="8" t="s">
        <v>2424</v>
      </c>
      <c r="D1890" s="8" t="s">
        <v>4</v>
      </c>
      <c r="E1890" s="8" t="s">
        <v>18</v>
      </c>
      <c r="F1890" s="6">
        <v>11.9</v>
      </c>
      <c r="G1890" s="8" t="s">
        <v>2425</v>
      </c>
      <c r="H1890" s="8" t="s">
        <v>2424</v>
      </c>
      <c r="I1890" s="7" t="s">
        <v>2635</v>
      </c>
      <c r="K1890">
        <f>IF($A1890="","",IF(ISNUMBER($A1890),MONTH($A1890),MONTH(DATEVALUE($A1890))))</f>
        <v>1</v>
      </c>
    </row>
    <row r="1891" spans="1:11" ht="60" customHeight="1" x14ac:dyDescent="0.25">
      <c r="A1891" s="7" t="s">
        <v>2395</v>
      </c>
      <c r="B1891" s="7" t="s">
        <v>0</v>
      </c>
      <c r="C1891" s="7" t="s">
        <v>2426</v>
      </c>
      <c r="D1891" s="7" t="s">
        <v>4</v>
      </c>
      <c r="E1891" s="7" t="s">
        <v>18</v>
      </c>
      <c r="F1891" s="5">
        <v>62.18</v>
      </c>
      <c r="G1891" s="7" t="s">
        <v>2427</v>
      </c>
      <c r="H1891" s="7" t="s">
        <v>2426</v>
      </c>
      <c r="I1891" s="7" t="s">
        <v>2635</v>
      </c>
      <c r="K1891">
        <f>IF($A1891="","",IF(ISNUMBER($A1891),MONTH($A1891),MONTH(DATEVALUE($A1891))))</f>
        <v>1</v>
      </c>
    </row>
    <row r="1892" spans="1:11" ht="60" customHeight="1" x14ac:dyDescent="0.25">
      <c r="A1892" s="8" t="s">
        <v>2395</v>
      </c>
      <c r="B1892" s="8" t="s">
        <v>0</v>
      </c>
      <c r="C1892" s="8" t="s">
        <v>2428</v>
      </c>
      <c r="D1892" s="8" t="s">
        <v>4</v>
      </c>
      <c r="E1892" s="8" t="s">
        <v>18</v>
      </c>
      <c r="F1892" s="6">
        <v>11.9</v>
      </c>
      <c r="G1892" s="8" t="s">
        <v>2429</v>
      </c>
      <c r="H1892" s="8" t="s">
        <v>2428</v>
      </c>
      <c r="I1892" s="7" t="s">
        <v>2635</v>
      </c>
      <c r="K1892">
        <f>IF($A1892="","",IF(ISNUMBER($A1892),MONTH($A1892),MONTH(DATEVALUE($A1892))))</f>
        <v>1</v>
      </c>
    </row>
    <row r="1893" spans="1:11" ht="60" customHeight="1" x14ac:dyDescent="0.25">
      <c r="A1893" s="7" t="s">
        <v>2395</v>
      </c>
      <c r="B1893" s="7" t="s">
        <v>0</v>
      </c>
      <c r="C1893" s="7" t="s">
        <v>2430</v>
      </c>
      <c r="D1893" s="7" t="s">
        <v>4</v>
      </c>
      <c r="E1893" s="7" t="s">
        <v>18</v>
      </c>
      <c r="F1893" s="5">
        <v>11.9</v>
      </c>
      <c r="G1893" s="7" t="s">
        <v>2431</v>
      </c>
      <c r="H1893" s="7" t="s">
        <v>2430</v>
      </c>
      <c r="I1893" s="7" t="s">
        <v>2635</v>
      </c>
      <c r="K1893">
        <f>IF($A1893="","",IF(ISNUMBER($A1893),MONTH($A1893),MONTH(DATEVALUE($A1893))))</f>
        <v>1</v>
      </c>
    </row>
    <row r="1894" spans="1:11" ht="60" customHeight="1" x14ac:dyDescent="0.25">
      <c r="A1894" s="8" t="s">
        <v>2432</v>
      </c>
      <c r="B1894" s="8" t="s">
        <v>0</v>
      </c>
      <c r="C1894" s="8" t="s">
        <v>27</v>
      </c>
      <c r="D1894" s="8" t="s">
        <v>4</v>
      </c>
      <c r="E1894" s="8" t="s">
        <v>18</v>
      </c>
      <c r="F1894" s="6">
        <v>20</v>
      </c>
      <c r="G1894" s="8" t="s">
        <v>2433</v>
      </c>
      <c r="H1894" s="8" t="s">
        <v>27</v>
      </c>
      <c r="I1894" s="8" t="s">
        <v>2628</v>
      </c>
      <c r="K1894">
        <f>IF($A1894="","",IF(ISNUMBER($A1894),MONTH($A1894),MONTH(DATEVALUE($A1894))))</f>
        <v>1</v>
      </c>
    </row>
    <row r="1895" spans="1:11" ht="60" customHeight="1" x14ac:dyDescent="0.25">
      <c r="A1895" s="7" t="s">
        <v>2434</v>
      </c>
      <c r="B1895" s="7" t="s">
        <v>0</v>
      </c>
      <c r="C1895" s="7" t="s">
        <v>30</v>
      </c>
      <c r="D1895" s="7" t="s">
        <v>4</v>
      </c>
      <c r="E1895" s="7" t="s">
        <v>18</v>
      </c>
      <c r="F1895" s="5">
        <v>-26459.41</v>
      </c>
      <c r="G1895" s="7" t="s">
        <v>31</v>
      </c>
      <c r="H1895" s="7" t="s">
        <v>30</v>
      </c>
      <c r="I1895" s="7" t="s">
        <v>2629</v>
      </c>
      <c r="K1895">
        <f>IF($A1895="","",IF(ISNUMBER($A1895),MONTH($A1895),MONTH(DATEVALUE($A1895))))</f>
        <v>1</v>
      </c>
    </row>
    <row r="1896" spans="1:11" ht="60" customHeight="1" x14ac:dyDescent="0.25">
      <c r="A1896" s="8" t="s">
        <v>2434</v>
      </c>
      <c r="B1896" s="8" t="s">
        <v>0</v>
      </c>
      <c r="C1896" s="8" t="s">
        <v>30</v>
      </c>
      <c r="D1896" s="8" t="s">
        <v>4</v>
      </c>
      <c r="E1896" s="8" t="s">
        <v>18</v>
      </c>
      <c r="F1896" s="6">
        <v>-1000</v>
      </c>
      <c r="G1896" s="8" t="s">
        <v>31</v>
      </c>
      <c r="H1896" s="8" t="s">
        <v>30</v>
      </c>
      <c r="I1896" s="8" t="s">
        <v>2629</v>
      </c>
      <c r="K1896">
        <f>IF($A1896="","",IF(ISNUMBER($A1896),MONTH($A1896),MONTH(DATEVALUE($A1896))))</f>
        <v>1</v>
      </c>
    </row>
    <row r="1897" spans="1:11" ht="60" customHeight="1" x14ac:dyDescent="0.25">
      <c r="A1897" s="7" t="s">
        <v>2435</v>
      </c>
      <c r="B1897" s="7" t="s">
        <v>0</v>
      </c>
      <c r="C1897" s="7" t="s">
        <v>1096</v>
      </c>
      <c r="D1897" s="7" t="s">
        <v>4</v>
      </c>
      <c r="E1897" s="7" t="s">
        <v>18</v>
      </c>
      <c r="F1897" s="5">
        <v>-317.85000000000002</v>
      </c>
      <c r="G1897" s="7" t="s">
        <v>1101</v>
      </c>
      <c r="H1897" s="7" t="s">
        <v>1096</v>
      </c>
      <c r="I1897" s="7" t="s">
        <v>2647</v>
      </c>
      <c r="K1897">
        <f>IF($A1897="","",IF(ISNUMBER($A1897),MONTH($A1897),MONTH(DATEVALUE($A1897))))</f>
        <v>1</v>
      </c>
    </row>
    <row r="1898" spans="1:11" ht="60" customHeight="1" x14ac:dyDescent="0.25">
      <c r="A1898" s="8" t="s">
        <v>2435</v>
      </c>
      <c r="B1898" s="8" t="s">
        <v>0</v>
      </c>
      <c r="C1898" s="8" t="s">
        <v>1102</v>
      </c>
      <c r="D1898" s="8" t="s">
        <v>4</v>
      </c>
      <c r="E1898" s="8" t="s">
        <v>18</v>
      </c>
      <c r="F1898" s="6">
        <v>317.85000000000002</v>
      </c>
      <c r="G1898" s="8" t="s">
        <v>2436</v>
      </c>
      <c r="H1898" s="8" t="s">
        <v>1096</v>
      </c>
      <c r="I1898" s="8" t="s">
        <v>2647</v>
      </c>
      <c r="K1898">
        <f>IF($A1898="","",IF(ISNUMBER($A1898),MONTH($A1898),MONTH(DATEVALUE($A1898))))</f>
        <v>1</v>
      </c>
    </row>
    <row r="1899" spans="1:11" ht="60" customHeight="1" x14ac:dyDescent="0.25">
      <c r="A1899" s="7" t="s">
        <v>2435</v>
      </c>
      <c r="B1899" s="7" t="s">
        <v>0</v>
      </c>
      <c r="C1899" s="7" t="s">
        <v>2437</v>
      </c>
      <c r="D1899" s="7" t="s">
        <v>4</v>
      </c>
      <c r="E1899" s="7" t="s">
        <v>18</v>
      </c>
      <c r="F1899" s="5">
        <v>11.99</v>
      </c>
      <c r="G1899" s="7" t="s">
        <v>2438</v>
      </c>
      <c r="H1899" s="7" t="s">
        <v>2437</v>
      </c>
      <c r="I1899" s="7" t="s">
        <v>2627</v>
      </c>
      <c r="K1899">
        <f>IF($A1899="","",IF(ISNUMBER($A1899),MONTH($A1899),MONTH(DATEVALUE($A1899))))</f>
        <v>1</v>
      </c>
    </row>
    <row r="1900" spans="1:11" ht="60" customHeight="1" x14ac:dyDescent="0.25">
      <c r="A1900" s="8" t="s">
        <v>2435</v>
      </c>
      <c r="B1900" s="8" t="s">
        <v>0</v>
      </c>
      <c r="C1900" s="8" t="s">
        <v>27</v>
      </c>
      <c r="D1900" s="8" t="s">
        <v>4</v>
      </c>
      <c r="E1900" s="8" t="s">
        <v>18</v>
      </c>
      <c r="F1900" s="6">
        <v>20</v>
      </c>
      <c r="G1900" s="8" t="s">
        <v>2439</v>
      </c>
      <c r="H1900" s="8" t="s">
        <v>27</v>
      </c>
      <c r="I1900" s="8" t="s">
        <v>2628</v>
      </c>
      <c r="K1900">
        <f>IF($A1900="","",IF(ISNUMBER($A1900),MONTH($A1900),MONTH(DATEVALUE($A1900))))</f>
        <v>1</v>
      </c>
    </row>
    <row r="1901" spans="1:11" ht="60" customHeight="1" x14ac:dyDescent="0.25">
      <c r="A1901" s="7" t="s">
        <v>2435</v>
      </c>
      <c r="B1901" s="7" t="s">
        <v>0</v>
      </c>
      <c r="C1901" s="7" t="s">
        <v>1787</v>
      </c>
      <c r="D1901" s="7" t="s">
        <v>4</v>
      </c>
      <c r="E1901" s="7" t="s">
        <v>18</v>
      </c>
      <c r="F1901" s="5">
        <v>39.99</v>
      </c>
      <c r="G1901" s="7" t="s">
        <v>2440</v>
      </c>
      <c r="H1901" s="7" t="s">
        <v>1787</v>
      </c>
      <c r="I1901" s="7" t="s">
        <v>2630</v>
      </c>
      <c r="K1901">
        <f>IF($A1901="","",IF(ISNUMBER($A1901),MONTH($A1901),MONTH(DATEVALUE($A1901))))</f>
        <v>1</v>
      </c>
    </row>
    <row r="1902" spans="1:11" ht="60" customHeight="1" x14ac:dyDescent="0.25">
      <c r="A1902" s="8" t="s">
        <v>2441</v>
      </c>
      <c r="B1902" s="8" t="s">
        <v>0</v>
      </c>
      <c r="C1902" s="8" t="s">
        <v>1096</v>
      </c>
      <c r="D1902" s="8" t="s">
        <v>4</v>
      </c>
      <c r="E1902" s="8" t="s">
        <v>18</v>
      </c>
      <c r="F1902" s="6">
        <v>-312.89999999999998</v>
      </c>
      <c r="G1902" s="8" t="s">
        <v>1101</v>
      </c>
      <c r="H1902" s="8" t="s">
        <v>1096</v>
      </c>
      <c r="I1902" s="8" t="s">
        <v>2647</v>
      </c>
      <c r="K1902">
        <f>IF($A1902="","",IF(ISNUMBER($A1902),MONTH($A1902),MONTH(DATEVALUE($A1902))))</f>
        <v>1</v>
      </c>
    </row>
    <row r="1903" spans="1:11" ht="60" customHeight="1" x14ac:dyDescent="0.25">
      <c r="A1903" s="7" t="s">
        <v>2441</v>
      </c>
      <c r="B1903" s="7" t="s">
        <v>0</v>
      </c>
      <c r="C1903" s="7" t="s">
        <v>1102</v>
      </c>
      <c r="D1903" s="7" t="s">
        <v>4</v>
      </c>
      <c r="E1903" s="7" t="s">
        <v>18</v>
      </c>
      <c r="F1903" s="5">
        <v>312.89999999999998</v>
      </c>
      <c r="G1903" s="7" t="s">
        <v>2442</v>
      </c>
      <c r="H1903" s="7" t="s">
        <v>1096</v>
      </c>
      <c r="I1903" s="7" t="s">
        <v>2647</v>
      </c>
      <c r="K1903">
        <f>IF($A1903="","",IF(ISNUMBER($A1903),MONTH($A1903),MONTH(DATEVALUE($A1903))))</f>
        <v>1</v>
      </c>
    </row>
    <row r="1904" spans="1:11" ht="60" customHeight="1" x14ac:dyDescent="0.25">
      <c r="A1904" s="8" t="s">
        <v>2443</v>
      </c>
      <c r="B1904" s="8" t="s">
        <v>0</v>
      </c>
      <c r="C1904" s="8" t="s">
        <v>1096</v>
      </c>
      <c r="D1904" s="8" t="s">
        <v>4</v>
      </c>
      <c r="E1904" s="8" t="s">
        <v>18</v>
      </c>
      <c r="F1904" s="6">
        <v>-329.7</v>
      </c>
      <c r="G1904" s="8" t="s">
        <v>1101</v>
      </c>
      <c r="H1904" s="8" t="s">
        <v>1096</v>
      </c>
      <c r="I1904" s="8" t="s">
        <v>2647</v>
      </c>
      <c r="K1904">
        <f>IF($A1904="","",IF(ISNUMBER($A1904),MONTH($A1904),MONTH(DATEVALUE($A1904))))</f>
        <v>1</v>
      </c>
    </row>
    <row r="1905" spans="1:11" ht="60" customHeight="1" x14ac:dyDescent="0.25">
      <c r="A1905" s="7" t="s">
        <v>2443</v>
      </c>
      <c r="B1905" s="7" t="s">
        <v>0</v>
      </c>
      <c r="C1905" s="7" t="s">
        <v>1096</v>
      </c>
      <c r="D1905" s="7" t="s">
        <v>4</v>
      </c>
      <c r="E1905" s="7" t="s">
        <v>18</v>
      </c>
      <c r="F1905" s="5">
        <v>-42.21</v>
      </c>
      <c r="G1905" s="7" t="s">
        <v>1101</v>
      </c>
      <c r="H1905" s="7" t="s">
        <v>1096</v>
      </c>
      <c r="I1905" s="7" t="s">
        <v>2647</v>
      </c>
      <c r="K1905">
        <f>IF($A1905="","",IF(ISNUMBER($A1905),MONTH($A1905),MONTH(DATEVALUE($A1905))))</f>
        <v>1</v>
      </c>
    </row>
    <row r="1906" spans="1:11" ht="60" customHeight="1" x14ac:dyDescent="0.25">
      <c r="A1906" s="8" t="s">
        <v>2443</v>
      </c>
      <c r="B1906" s="8" t="s">
        <v>0</v>
      </c>
      <c r="C1906" s="8" t="s">
        <v>1102</v>
      </c>
      <c r="D1906" s="8" t="s">
        <v>4</v>
      </c>
      <c r="E1906" s="8" t="s">
        <v>18</v>
      </c>
      <c r="F1906" s="6">
        <v>42.21</v>
      </c>
      <c r="G1906" s="8" t="s">
        <v>2444</v>
      </c>
      <c r="H1906" s="8" t="s">
        <v>1096</v>
      </c>
      <c r="I1906" s="8" t="s">
        <v>2647</v>
      </c>
      <c r="K1906">
        <f>IF($A1906="","",IF(ISNUMBER($A1906),MONTH($A1906),MONTH(DATEVALUE($A1906))))</f>
        <v>1</v>
      </c>
    </row>
    <row r="1907" spans="1:11" ht="60" customHeight="1" x14ac:dyDescent="0.25">
      <c r="A1907" s="7" t="s">
        <v>2443</v>
      </c>
      <c r="B1907" s="7" t="s">
        <v>0</v>
      </c>
      <c r="C1907" s="7" t="s">
        <v>1102</v>
      </c>
      <c r="D1907" s="7" t="s">
        <v>4</v>
      </c>
      <c r="E1907" s="7" t="s">
        <v>18</v>
      </c>
      <c r="F1907" s="5">
        <v>329.7</v>
      </c>
      <c r="G1907" s="7" t="s">
        <v>2445</v>
      </c>
      <c r="H1907" s="7" t="s">
        <v>1096</v>
      </c>
      <c r="I1907" s="7" t="s">
        <v>2647</v>
      </c>
      <c r="K1907">
        <f>IF($A1907="","",IF(ISNUMBER($A1907),MONTH($A1907),MONTH(DATEVALUE($A1907))))</f>
        <v>1</v>
      </c>
    </row>
    <row r="1908" spans="1:11" ht="60" customHeight="1" x14ac:dyDescent="0.25">
      <c r="A1908" s="8" t="s">
        <v>2443</v>
      </c>
      <c r="B1908" s="8" t="s">
        <v>0</v>
      </c>
      <c r="C1908" s="8" t="s">
        <v>522</v>
      </c>
      <c r="D1908" s="8" t="s">
        <v>4</v>
      </c>
      <c r="E1908" s="8" t="s">
        <v>18</v>
      </c>
      <c r="F1908" s="6">
        <v>17.09</v>
      </c>
      <c r="G1908" s="8" t="s">
        <v>2446</v>
      </c>
      <c r="H1908" s="8" t="s">
        <v>522</v>
      </c>
      <c r="I1908" s="8" t="s">
        <v>2647</v>
      </c>
      <c r="K1908">
        <f>IF($A1908="","",IF(ISNUMBER($A1908),MONTH($A1908),MONTH(DATEVALUE($A1908))))</f>
        <v>1</v>
      </c>
    </row>
    <row r="1909" spans="1:11" ht="60" customHeight="1" x14ac:dyDescent="0.25">
      <c r="A1909" s="7" t="s">
        <v>2443</v>
      </c>
      <c r="B1909" s="7" t="s">
        <v>0</v>
      </c>
      <c r="C1909" s="7" t="s">
        <v>522</v>
      </c>
      <c r="D1909" s="7" t="s">
        <v>4</v>
      </c>
      <c r="E1909" s="7" t="s">
        <v>18</v>
      </c>
      <c r="F1909" s="5">
        <v>30.83</v>
      </c>
      <c r="G1909" s="7" t="s">
        <v>2447</v>
      </c>
      <c r="H1909" s="7" t="s">
        <v>522</v>
      </c>
      <c r="I1909" s="7" t="s">
        <v>2647</v>
      </c>
      <c r="K1909">
        <f>IF($A1909="","",IF(ISNUMBER($A1909),MONTH($A1909),MONTH(DATEVALUE($A1909))))</f>
        <v>1</v>
      </c>
    </row>
    <row r="1910" spans="1:11" ht="60" customHeight="1" x14ac:dyDescent="0.25">
      <c r="A1910" s="8" t="s">
        <v>2443</v>
      </c>
      <c r="B1910" s="8" t="s">
        <v>0</v>
      </c>
      <c r="C1910" s="8" t="s">
        <v>2448</v>
      </c>
      <c r="D1910" s="8" t="s">
        <v>4</v>
      </c>
      <c r="E1910" s="8" t="s">
        <v>18</v>
      </c>
      <c r="F1910" s="6">
        <v>16.98</v>
      </c>
      <c r="G1910" s="8" t="s">
        <v>2449</v>
      </c>
      <c r="H1910" s="8" t="s">
        <v>2448</v>
      </c>
      <c r="I1910" s="8" t="s">
        <v>2627</v>
      </c>
      <c r="K1910">
        <f>IF($A1910="","",IF(ISNUMBER($A1910),MONTH($A1910),MONTH(DATEVALUE($A1910))))</f>
        <v>1</v>
      </c>
    </row>
    <row r="1911" spans="1:11" ht="60" customHeight="1" x14ac:dyDescent="0.25">
      <c r="A1911" s="7" t="s">
        <v>2443</v>
      </c>
      <c r="B1911" s="7" t="s">
        <v>0</v>
      </c>
      <c r="C1911" s="7" t="s">
        <v>1027</v>
      </c>
      <c r="D1911" s="7" t="s">
        <v>1113</v>
      </c>
      <c r="E1911" s="7" t="s">
        <v>1114</v>
      </c>
      <c r="F1911" s="5">
        <v>34.19</v>
      </c>
      <c r="G1911" s="7" t="s">
        <v>2450</v>
      </c>
      <c r="H1911" s="7" t="s">
        <v>1027</v>
      </c>
      <c r="I1911" s="7" t="s">
        <v>2665</v>
      </c>
      <c r="K1911">
        <f>IF($A1911="","",IF(ISNUMBER($A1911),MONTH($A1911),MONTH(DATEVALUE($A1911))))</f>
        <v>1</v>
      </c>
    </row>
    <row r="1912" spans="1:11" ht="60" customHeight="1" x14ac:dyDescent="0.25">
      <c r="A1912" s="8" t="s">
        <v>2443</v>
      </c>
      <c r="B1912" s="8" t="s">
        <v>0</v>
      </c>
      <c r="C1912" s="8" t="s">
        <v>1027</v>
      </c>
      <c r="D1912" s="8" t="s">
        <v>1113</v>
      </c>
      <c r="E1912" s="8" t="s">
        <v>1114</v>
      </c>
      <c r="F1912" s="6">
        <v>34.19</v>
      </c>
      <c r="G1912" s="8" t="s">
        <v>2451</v>
      </c>
      <c r="H1912" s="8" t="s">
        <v>1027</v>
      </c>
      <c r="I1912" s="7" t="s">
        <v>2665</v>
      </c>
      <c r="K1912">
        <f>IF($A1912="","",IF(ISNUMBER($A1912),MONTH($A1912),MONTH(DATEVALUE($A1912))))</f>
        <v>1</v>
      </c>
    </row>
    <row r="1913" spans="1:11" ht="60" customHeight="1" x14ac:dyDescent="0.25">
      <c r="A1913" s="7" t="s">
        <v>2443</v>
      </c>
      <c r="B1913" s="7" t="s">
        <v>0</v>
      </c>
      <c r="C1913" s="7" t="s">
        <v>1027</v>
      </c>
      <c r="D1913" s="7" t="s">
        <v>1113</v>
      </c>
      <c r="E1913" s="7" t="s">
        <v>1114</v>
      </c>
      <c r="F1913" s="5">
        <v>438.48</v>
      </c>
      <c r="G1913" s="7" t="s">
        <v>2452</v>
      </c>
      <c r="H1913" s="7" t="s">
        <v>1027</v>
      </c>
      <c r="I1913" s="7" t="s">
        <v>2665</v>
      </c>
      <c r="K1913">
        <f>IF($A1913="","",IF(ISNUMBER($A1913),MONTH($A1913),MONTH(DATEVALUE($A1913))))</f>
        <v>1</v>
      </c>
    </row>
    <row r="1914" spans="1:11" ht="60" customHeight="1" x14ac:dyDescent="0.25">
      <c r="A1914" s="8" t="s">
        <v>2443</v>
      </c>
      <c r="B1914" s="8" t="s">
        <v>0</v>
      </c>
      <c r="C1914" s="8" t="s">
        <v>1027</v>
      </c>
      <c r="D1914" s="8" t="s">
        <v>1113</v>
      </c>
      <c r="E1914" s="8" t="s">
        <v>1114</v>
      </c>
      <c r="F1914" s="6">
        <v>438.48</v>
      </c>
      <c r="G1914" s="8" t="s">
        <v>2453</v>
      </c>
      <c r="H1914" s="8" t="s">
        <v>1027</v>
      </c>
      <c r="I1914" s="7" t="s">
        <v>2665</v>
      </c>
      <c r="K1914">
        <f>IF($A1914="","",IF(ISNUMBER($A1914),MONTH($A1914),MONTH(DATEVALUE($A1914))))</f>
        <v>1</v>
      </c>
    </row>
    <row r="1915" spans="1:11" ht="60" customHeight="1" x14ac:dyDescent="0.25">
      <c r="A1915" s="7" t="s">
        <v>2454</v>
      </c>
      <c r="B1915" s="7" t="s">
        <v>0</v>
      </c>
      <c r="C1915" s="7" t="s">
        <v>1096</v>
      </c>
      <c r="D1915" s="7" t="s">
        <v>4</v>
      </c>
      <c r="E1915" s="7" t="s">
        <v>18</v>
      </c>
      <c r="F1915" s="5">
        <v>-26.98</v>
      </c>
      <c r="G1915" s="7" t="s">
        <v>1101</v>
      </c>
      <c r="H1915" s="7" t="s">
        <v>1096</v>
      </c>
      <c r="I1915" s="7" t="s">
        <v>2647</v>
      </c>
      <c r="K1915">
        <f>IF($A1915="","",IF(ISNUMBER($A1915),MONTH($A1915),MONTH(DATEVALUE($A1915))))</f>
        <v>1</v>
      </c>
    </row>
    <row r="1916" spans="1:11" ht="60" customHeight="1" x14ac:dyDescent="0.25">
      <c r="A1916" s="8" t="s">
        <v>2454</v>
      </c>
      <c r="B1916" s="8" t="s">
        <v>0</v>
      </c>
      <c r="C1916" s="8" t="s">
        <v>1102</v>
      </c>
      <c r="D1916" s="8" t="s">
        <v>4</v>
      </c>
      <c r="E1916" s="8" t="s">
        <v>18</v>
      </c>
      <c r="F1916" s="6">
        <v>26.98</v>
      </c>
      <c r="G1916" s="8" t="s">
        <v>2455</v>
      </c>
      <c r="H1916" s="8" t="s">
        <v>1096</v>
      </c>
      <c r="I1916" s="8" t="s">
        <v>2647</v>
      </c>
      <c r="K1916">
        <f>IF($A1916="","",IF(ISNUMBER($A1916),MONTH($A1916),MONTH(DATEVALUE($A1916))))</f>
        <v>1</v>
      </c>
    </row>
    <row r="1917" spans="1:11" ht="60" customHeight="1" x14ac:dyDescent="0.25">
      <c r="A1917" s="7" t="s">
        <v>2454</v>
      </c>
      <c r="B1917" s="7" t="s">
        <v>0</v>
      </c>
      <c r="C1917" s="7" t="s">
        <v>522</v>
      </c>
      <c r="D1917" s="7" t="s">
        <v>4</v>
      </c>
      <c r="E1917" s="7" t="s">
        <v>18</v>
      </c>
      <c r="F1917" s="5">
        <v>35.340000000000003</v>
      </c>
      <c r="G1917" s="7" t="s">
        <v>2456</v>
      </c>
      <c r="H1917" s="7" t="s">
        <v>522</v>
      </c>
      <c r="I1917" s="7" t="s">
        <v>2647</v>
      </c>
      <c r="K1917">
        <f>IF($A1917="","",IF(ISNUMBER($A1917),MONTH($A1917),MONTH(DATEVALUE($A1917))))</f>
        <v>1</v>
      </c>
    </row>
    <row r="1918" spans="1:11" ht="60" customHeight="1" x14ac:dyDescent="0.25">
      <c r="A1918" s="8" t="s">
        <v>2457</v>
      </c>
      <c r="B1918" s="8" t="s">
        <v>0</v>
      </c>
      <c r="C1918" s="8" t="s">
        <v>1096</v>
      </c>
      <c r="D1918" s="8" t="s">
        <v>4</v>
      </c>
      <c r="E1918" s="8" t="s">
        <v>18</v>
      </c>
      <c r="F1918" s="6">
        <v>-413.9</v>
      </c>
      <c r="G1918" s="8" t="s">
        <v>1101</v>
      </c>
      <c r="H1918" s="8" t="s">
        <v>1096</v>
      </c>
      <c r="I1918" s="8" t="s">
        <v>2647</v>
      </c>
      <c r="K1918">
        <f>IF($A1918="","",IF(ISNUMBER($A1918),MONTH($A1918),MONTH(DATEVALUE($A1918))))</f>
        <v>1</v>
      </c>
    </row>
    <row r="1919" spans="1:11" ht="60" customHeight="1" x14ac:dyDescent="0.25">
      <c r="A1919" s="7" t="s">
        <v>2457</v>
      </c>
      <c r="B1919" s="7" t="s">
        <v>0</v>
      </c>
      <c r="C1919" s="7" t="s">
        <v>1102</v>
      </c>
      <c r="D1919" s="7" t="s">
        <v>4</v>
      </c>
      <c r="E1919" s="7" t="s">
        <v>18</v>
      </c>
      <c r="F1919" s="5">
        <v>413.9</v>
      </c>
      <c r="G1919" s="7" t="s">
        <v>2458</v>
      </c>
      <c r="H1919" s="7" t="s">
        <v>1096</v>
      </c>
      <c r="I1919" s="7" t="s">
        <v>2647</v>
      </c>
      <c r="K1919">
        <f>IF($A1919="","",IF(ISNUMBER($A1919),MONTH($A1919),MONTH(DATEVALUE($A1919))))</f>
        <v>1</v>
      </c>
    </row>
    <row r="1920" spans="1:11" ht="60" customHeight="1" x14ac:dyDescent="0.25">
      <c r="A1920" s="8" t="s">
        <v>2457</v>
      </c>
      <c r="B1920" s="8" t="s">
        <v>0</v>
      </c>
      <c r="C1920" s="8" t="s">
        <v>2459</v>
      </c>
      <c r="D1920" s="8" t="s">
        <v>4</v>
      </c>
      <c r="E1920" s="8" t="s">
        <v>18</v>
      </c>
      <c r="F1920" s="6">
        <v>41.97</v>
      </c>
      <c r="G1920" s="8" t="s">
        <v>2460</v>
      </c>
      <c r="H1920" s="8" t="s">
        <v>2459</v>
      </c>
      <c r="I1920" s="8" t="s">
        <v>2627</v>
      </c>
      <c r="K1920">
        <f>IF($A1920="","",IF(ISNUMBER($A1920),MONTH($A1920),MONTH(DATEVALUE($A1920))))</f>
        <v>1</v>
      </c>
    </row>
    <row r="1921" spans="1:11" ht="60" customHeight="1" x14ac:dyDescent="0.25">
      <c r="A1921" s="7" t="s">
        <v>2457</v>
      </c>
      <c r="B1921" s="7" t="s">
        <v>0</v>
      </c>
      <c r="C1921" s="7" t="s">
        <v>2461</v>
      </c>
      <c r="D1921" s="7" t="s">
        <v>4</v>
      </c>
      <c r="E1921" s="7" t="s">
        <v>18</v>
      </c>
      <c r="F1921" s="5">
        <v>71.39</v>
      </c>
      <c r="G1921" s="7" t="s">
        <v>2462</v>
      </c>
      <c r="H1921" s="7" t="s">
        <v>2461</v>
      </c>
      <c r="I1921" s="7" t="s">
        <v>2645</v>
      </c>
      <c r="K1921">
        <f>IF($A1921="","",IF(ISNUMBER($A1921),MONTH($A1921),MONTH(DATEVALUE($A1921))))</f>
        <v>1</v>
      </c>
    </row>
    <row r="1922" spans="1:11" ht="60" customHeight="1" x14ac:dyDescent="0.25">
      <c r="A1922" s="8" t="s">
        <v>2463</v>
      </c>
      <c r="B1922" s="8" t="s">
        <v>0</v>
      </c>
      <c r="C1922" s="8" t="s">
        <v>1096</v>
      </c>
      <c r="D1922" s="8" t="s">
        <v>4</v>
      </c>
      <c r="E1922" s="8" t="s">
        <v>18</v>
      </c>
      <c r="F1922" s="6">
        <v>-160.9</v>
      </c>
      <c r="G1922" s="8" t="s">
        <v>1101</v>
      </c>
      <c r="H1922" s="8" t="s">
        <v>1096</v>
      </c>
      <c r="I1922" s="8" t="s">
        <v>2647</v>
      </c>
      <c r="K1922">
        <f>IF($A1922="","",IF(ISNUMBER($A1922),MONTH($A1922),MONTH(DATEVALUE($A1922))))</f>
        <v>1</v>
      </c>
    </row>
    <row r="1923" spans="1:11" ht="60" customHeight="1" x14ac:dyDescent="0.25">
      <c r="A1923" s="7" t="s">
        <v>2463</v>
      </c>
      <c r="B1923" s="7" t="s">
        <v>0</v>
      </c>
      <c r="C1923" s="7" t="s">
        <v>1096</v>
      </c>
      <c r="D1923" s="7" t="s">
        <v>4</v>
      </c>
      <c r="E1923" s="7" t="s">
        <v>18</v>
      </c>
      <c r="F1923" s="5">
        <v>-24.6</v>
      </c>
      <c r="G1923" s="7" t="s">
        <v>1101</v>
      </c>
      <c r="H1923" s="7" t="s">
        <v>1096</v>
      </c>
      <c r="I1923" s="7" t="s">
        <v>2647</v>
      </c>
      <c r="K1923">
        <f>IF($A1923="","",IF(ISNUMBER($A1923),MONTH($A1923),MONTH(DATEVALUE($A1923))))</f>
        <v>1</v>
      </c>
    </row>
    <row r="1924" spans="1:11" ht="60" customHeight="1" x14ac:dyDescent="0.25">
      <c r="A1924" s="8" t="s">
        <v>2463</v>
      </c>
      <c r="B1924" s="8" t="s">
        <v>0</v>
      </c>
      <c r="C1924" s="8" t="s">
        <v>1102</v>
      </c>
      <c r="D1924" s="8" t="s">
        <v>4</v>
      </c>
      <c r="E1924" s="8" t="s">
        <v>18</v>
      </c>
      <c r="F1924" s="6">
        <v>24.6</v>
      </c>
      <c r="G1924" s="8" t="s">
        <v>2464</v>
      </c>
      <c r="H1924" s="8" t="s">
        <v>1096</v>
      </c>
      <c r="I1924" s="8" t="s">
        <v>2647</v>
      </c>
      <c r="K1924">
        <f>IF($A1924="","",IF(ISNUMBER($A1924),MONTH($A1924),MONTH(DATEVALUE($A1924))))</f>
        <v>1</v>
      </c>
    </row>
    <row r="1925" spans="1:11" ht="60" customHeight="1" x14ac:dyDescent="0.25">
      <c r="A1925" s="7" t="s">
        <v>2463</v>
      </c>
      <c r="B1925" s="7" t="s">
        <v>0</v>
      </c>
      <c r="C1925" s="7" t="s">
        <v>1102</v>
      </c>
      <c r="D1925" s="7" t="s">
        <v>4</v>
      </c>
      <c r="E1925" s="7" t="s">
        <v>18</v>
      </c>
      <c r="F1925" s="5">
        <v>160.9</v>
      </c>
      <c r="G1925" s="7" t="s">
        <v>2465</v>
      </c>
      <c r="H1925" s="7" t="s">
        <v>1096</v>
      </c>
      <c r="I1925" s="7" t="s">
        <v>2647</v>
      </c>
      <c r="K1925">
        <f>IF($A1925="","",IF(ISNUMBER($A1925),MONTH($A1925),MONTH(DATEVALUE($A1925))))</f>
        <v>1</v>
      </c>
    </row>
    <row r="1926" spans="1:11" ht="60" customHeight="1" x14ac:dyDescent="0.25">
      <c r="A1926" s="8" t="s">
        <v>2466</v>
      </c>
      <c r="B1926" s="8" t="s">
        <v>0</v>
      </c>
      <c r="C1926" s="8" t="s">
        <v>1096</v>
      </c>
      <c r="D1926" s="8" t="s">
        <v>4</v>
      </c>
      <c r="E1926" s="8" t="s">
        <v>18</v>
      </c>
      <c r="F1926" s="6">
        <v>-51.71</v>
      </c>
      <c r="G1926" s="8" t="s">
        <v>1101</v>
      </c>
      <c r="H1926" s="8" t="s">
        <v>1096</v>
      </c>
      <c r="I1926" s="8" t="s">
        <v>2647</v>
      </c>
      <c r="K1926">
        <f>IF($A1926="","",IF(ISNUMBER($A1926),MONTH($A1926),MONTH(DATEVALUE($A1926))))</f>
        <v>1</v>
      </c>
    </row>
    <row r="1927" spans="1:11" ht="60" customHeight="1" x14ac:dyDescent="0.25">
      <c r="A1927" s="7" t="s">
        <v>2466</v>
      </c>
      <c r="B1927" s="7" t="s">
        <v>0</v>
      </c>
      <c r="C1927" s="7" t="s">
        <v>1096</v>
      </c>
      <c r="D1927" s="7" t="s">
        <v>4</v>
      </c>
      <c r="E1927" s="7" t="s">
        <v>18</v>
      </c>
      <c r="F1927" s="5">
        <v>-24.6</v>
      </c>
      <c r="G1927" s="7" t="s">
        <v>1101</v>
      </c>
      <c r="H1927" s="7" t="s">
        <v>1096</v>
      </c>
      <c r="I1927" s="7" t="s">
        <v>2647</v>
      </c>
      <c r="K1927">
        <f>IF($A1927="","",IF(ISNUMBER($A1927),MONTH($A1927),MONTH(DATEVALUE($A1927))))</f>
        <v>1</v>
      </c>
    </row>
    <row r="1928" spans="1:11" ht="60" customHeight="1" x14ac:dyDescent="0.25">
      <c r="A1928" s="8" t="s">
        <v>2466</v>
      </c>
      <c r="B1928" s="8" t="s">
        <v>0</v>
      </c>
      <c r="C1928" s="8" t="s">
        <v>1102</v>
      </c>
      <c r="D1928" s="8" t="s">
        <v>4</v>
      </c>
      <c r="E1928" s="8" t="s">
        <v>18</v>
      </c>
      <c r="F1928" s="6">
        <v>24.6</v>
      </c>
      <c r="G1928" s="8" t="s">
        <v>2467</v>
      </c>
      <c r="H1928" s="8" t="s">
        <v>1096</v>
      </c>
      <c r="I1928" s="8" t="s">
        <v>2647</v>
      </c>
      <c r="K1928">
        <f>IF($A1928="","",IF(ISNUMBER($A1928),MONTH($A1928),MONTH(DATEVALUE($A1928))))</f>
        <v>1</v>
      </c>
    </row>
    <row r="1929" spans="1:11" ht="60" customHeight="1" x14ac:dyDescent="0.25">
      <c r="A1929" s="7" t="s">
        <v>2466</v>
      </c>
      <c r="B1929" s="7" t="s">
        <v>0</v>
      </c>
      <c r="C1929" s="7" t="s">
        <v>1102</v>
      </c>
      <c r="D1929" s="7" t="s">
        <v>4</v>
      </c>
      <c r="E1929" s="7" t="s">
        <v>18</v>
      </c>
      <c r="F1929" s="5">
        <v>51.71</v>
      </c>
      <c r="G1929" s="7" t="s">
        <v>2468</v>
      </c>
      <c r="H1929" s="7" t="s">
        <v>1096</v>
      </c>
      <c r="I1929" s="7" t="s">
        <v>2647</v>
      </c>
      <c r="K1929">
        <f>IF($A1929="","",IF(ISNUMBER($A1929),MONTH($A1929),MONTH(DATEVALUE($A1929))))</f>
        <v>1</v>
      </c>
    </row>
    <row r="1930" spans="1:11" ht="60" customHeight="1" x14ac:dyDescent="0.25">
      <c r="A1930" s="8" t="s">
        <v>2466</v>
      </c>
      <c r="B1930" s="8" t="s">
        <v>0</v>
      </c>
      <c r="C1930" s="8" t="s">
        <v>2469</v>
      </c>
      <c r="D1930" s="8" t="s">
        <v>1113</v>
      </c>
      <c r="E1930" s="8" t="s">
        <v>1114</v>
      </c>
      <c r="F1930" s="6">
        <v>95.51</v>
      </c>
      <c r="G1930" s="8" t="s">
        <v>2470</v>
      </c>
      <c r="H1930" s="8" t="s">
        <v>2469</v>
      </c>
      <c r="I1930" s="8" t="s">
        <v>2665</v>
      </c>
      <c r="K1930">
        <f>IF($A1930="","",IF(ISNUMBER($A1930),MONTH($A1930),MONTH(DATEVALUE($A1930))))</f>
        <v>1</v>
      </c>
    </row>
    <row r="1931" spans="1:11" ht="60" customHeight="1" x14ac:dyDescent="0.25">
      <c r="A1931" s="7" t="s">
        <v>2471</v>
      </c>
      <c r="B1931" s="7" t="s">
        <v>0</v>
      </c>
      <c r="C1931" s="7" t="s">
        <v>1096</v>
      </c>
      <c r="D1931" s="7" t="s">
        <v>4</v>
      </c>
      <c r="E1931" s="7" t="s">
        <v>18</v>
      </c>
      <c r="F1931" s="5">
        <v>-413.9</v>
      </c>
      <c r="G1931" s="7" t="s">
        <v>1101</v>
      </c>
      <c r="H1931" s="7" t="s">
        <v>1096</v>
      </c>
      <c r="I1931" s="7" t="s">
        <v>2647</v>
      </c>
      <c r="K1931">
        <f>IF($A1931="","",IF(ISNUMBER($A1931),MONTH($A1931),MONTH(DATEVALUE($A1931))))</f>
        <v>1</v>
      </c>
    </row>
    <row r="1932" spans="1:11" ht="60" customHeight="1" x14ac:dyDescent="0.25">
      <c r="A1932" s="8" t="s">
        <v>2471</v>
      </c>
      <c r="B1932" s="8" t="s">
        <v>0</v>
      </c>
      <c r="C1932" s="8" t="s">
        <v>1096</v>
      </c>
      <c r="D1932" s="8" t="s">
        <v>4</v>
      </c>
      <c r="E1932" s="8" t="s">
        <v>18</v>
      </c>
      <c r="F1932" s="6">
        <v>-210.9</v>
      </c>
      <c r="G1932" s="8" t="s">
        <v>1101</v>
      </c>
      <c r="H1932" s="8" t="s">
        <v>1096</v>
      </c>
      <c r="I1932" s="8" t="s">
        <v>2647</v>
      </c>
      <c r="K1932">
        <f>IF($A1932="","",IF(ISNUMBER($A1932),MONTH($A1932),MONTH(DATEVALUE($A1932))))</f>
        <v>1</v>
      </c>
    </row>
    <row r="1933" spans="1:11" ht="60" customHeight="1" x14ac:dyDescent="0.25">
      <c r="A1933" s="7" t="s">
        <v>2471</v>
      </c>
      <c r="B1933" s="7" t="s">
        <v>0</v>
      </c>
      <c r="C1933" s="7" t="s">
        <v>1102</v>
      </c>
      <c r="D1933" s="7" t="s">
        <v>4</v>
      </c>
      <c r="E1933" s="7" t="s">
        <v>18</v>
      </c>
      <c r="F1933" s="5">
        <v>210.9</v>
      </c>
      <c r="G1933" s="7" t="s">
        <v>2472</v>
      </c>
      <c r="H1933" s="7" t="s">
        <v>1096</v>
      </c>
      <c r="I1933" s="7" t="s">
        <v>2647</v>
      </c>
      <c r="K1933">
        <f>IF($A1933="","",IF(ISNUMBER($A1933),MONTH($A1933),MONTH(DATEVALUE($A1933))))</f>
        <v>1</v>
      </c>
    </row>
    <row r="1934" spans="1:11" ht="60" customHeight="1" x14ac:dyDescent="0.25">
      <c r="A1934" s="8" t="s">
        <v>2471</v>
      </c>
      <c r="B1934" s="8" t="s">
        <v>0</v>
      </c>
      <c r="C1934" s="8" t="s">
        <v>1102</v>
      </c>
      <c r="D1934" s="8" t="s">
        <v>4</v>
      </c>
      <c r="E1934" s="8" t="s">
        <v>18</v>
      </c>
      <c r="F1934" s="6">
        <v>413.9</v>
      </c>
      <c r="G1934" s="8" t="s">
        <v>2473</v>
      </c>
      <c r="H1934" s="8" t="s">
        <v>1096</v>
      </c>
      <c r="I1934" s="8" t="s">
        <v>2647</v>
      </c>
      <c r="K1934">
        <f>IF($A1934="","",IF(ISNUMBER($A1934),MONTH($A1934),MONTH(DATEVALUE($A1934))))</f>
        <v>1</v>
      </c>
    </row>
    <row r="1935" spans="1:11" ht="60" customHeight="1" x14ac:dyDescent="0.25">
      <c r="A1935" s="7" t="s">
        <v>2471</v>
      </c>
      <c r="B1935" s="7" t="s">
        <v>0</v>
      </c>
      <c r="C1935" s="7" t="s">
        <v>44</v>
      </c>
      <c r="D1935" s="7" t="s">
        <v>4</v>
      </c>
      <c r="E1935" s="7" t="s">
        <v>18</v>
      </c>
      <c r="F1935" s="5">
        <v>584</v>
      </c>
      <c r="G1935" s="7" t="s">
        <v>2474</v>
      </c>
      <c r="H1935" s="7" t="s">
        <v>44</v>
      </c>
      <c r="I1935" s="7" t="s">
        <v>2630</v>
      </c>
      <c r="K1935">
        <f>IF($A1935="","",IF(ISNUMBER($A1935),MONTH($A1935),MONTH(DATEVALUE($A1935))))</f>
        <v>1</v>
      </c>
    </row>
    <row r="1936" spans="1:11" ht="60" customHeight="1" x14ac:dyDescent="0.25">
      <c r="A1936" s="8" t="s">
        <v>2471</v>
      </c>
      <c r="B1936" s="8" t="s">
        <v>0</v>
      </c>
      <c r="C1936" s="8" t="s">
        <v>2475</v>
      </c>
      <c r="D1936" s="8" t="s">
        <v>4</v>
      </c>
      <c r="E1936" s="8" t="s">
        <v>18</v>
      </c>
      <c r="F1936" s="6">
        <v>18.97</v>
      </c>
      <c r="G1936" s="8" t="s">
        <v>2476</v>
      </c>
      <c r="H1936" s="8" t="s">
        <v>2475</v>
      </c>
      <c r="I1936" s="8" t="s">
        <v>2627</v>
      </c>
      <c r="K1936">
        <f>IF($A1936="","",IF(ISNUMBER($A1936),MONTH($A1936),MONTH(DATEVALUE($A1936))))</f>
        <v>1</v>
      </c>
    </row>
    <row r="1937" spans="1:11" ht="60" customHeight="1" x14ac:dyDescent="0.25">
      <c r="A1937" s="7" t="s">
        <v>2471</v>
      </c>
      <c r="B1937" s="7" t="s">
        <v>0</v>
      </c>
      <c r="C1937" s="7" t="s">
        <v>2477</v>
      </c>
      <c r="D1937" s="7" t="s">
        <v>1113</v>
      </c>
      <c r="E1937" s="7" t="s">
        <v>1114</v>
      </c>
      <c r="F1937" s="5">
        <v>-3434.7</v>
      </c>
      <c r="G1937" s="7" t="s">
        <v>2478</v>
      </c>
      <c r="H1937" s="7" t="s">
        <v>2477</v>
      </c>
      <c r="I1937" s="7" t="s">
        <v>2665</v>
      </c>
      <c r="K1937">
        <f>IF($A1937="","",IF(ISNUMBER($A1937),MONTH($A1937),MONTH(DATEVALUE($A1937))))</f>
        <v>1</v>
      </c>
    </row>
    <row r="1938" spans="1:11" ht="60" customHeight="1" x14ac:dyDescent="0.25">
      <c r="A1938" s="8" t="s">
        <v>2471</v>
      </c>
      <c r="B1938" s="8" t="s">
        <v>0</v>
      </c>
      <c r="C1938" s="8" t="s">
        <v>2477</v>
      </c>
      <c r="D1938" s="8" t="s">
        <v>1113</v>
      </c>
      <c r="E1938" s="8" t="s">
        <v>1114</v>
      </c>
      <c r="F1938" s="6">
        <v>3434.7</v>
      </c>
      <c r="G1938" s="8" t="s">
        <v>2478</v>
      </c>
      <c r="H1938" s="8" t="s">
        <v>2477</v>
      </c>
      <c r="I1938" s="8" t="s">
        <v>2665</v>
      </c>
      <c r="K1938">
        <f>IF($A1938="","",IF(ISNUMBER($A1938),MONTH($A1938),MONTH(DATEVALUE($A1938))))</f>
        <v>1</v>
      </c>
    </row>
    <row r="1939" spans="1:11" ht="60" customHeight="1" x14ac:dyDescent="0.25">
      <c r="A1939" s="7" t="s">
        <v>2471</v>
      </c>
      <c r="B1939" s="7" t="s">
        <v>0</v>
      </c>
      <c r="C1939" s="7" t="s">
        <v>2479</v>
      </c>
      <c r="D1939" s="7" t="s">
        <v>1113</v>
      </c>
      <c r="E1939" s="7" t="s">
        <v>1114</v>
      </c>
      <c r="F1939" s="5">
        <v>10.69</v>
      </c>
      <c r="G1939" s="7" t="s">
        <v>2480</v>
      </c>
      <c r="H1939" s="7" t="s">
        <v>2479</v>
      </c>
      <c r="I1939" s="8" t="s">
        <v>2665</v>
      </c>
      <c r="K1939">
        <f>IF($A1939="","",IF(ISNUMBER($A1939),MONTH($A1939),MONTH(DATEVALUE($A1939))))</f>
        <v>1</v>
      </c>
    </row>
    <row r="1940" spans="1:11" ht="60" customHeight="1" x14ac:dyDescent="0.25">
      <c r="A1940" s="8" t="s">
        <v>2471</v>
      </c>
      <c r="B1940" s="8" t="s">
        <v>0</v>
      </c>
      <c r="C1940" s="8" t="s">
        <v>1027</v>
      </c>
      <c r="D1940" s="8" t="s">
        <v>1113</v>
      </c>
      <c r="E1940" s="8" t="s">
        <v>1114</v>
      </c>
      <c r="F1940" s="6">
        <v>36.630000000000003</v>
      </c>
      <c r="G1940" s="8" t="s">
        <v>2481</v>
      </c>
      <c r="H1940" s="8" t="s">
        <v>1027</v>
      </c>
      <c r="I1940" s="8" t="s">
        <v>2665</v>
      </c>
      <c r="K1940">
        <f>IF($A1940="","",IF(ISNUMBER($A1940),MONTH($A1940),MONTH(DATEVALUE($A1940))))</f>
        <v>1</v>
      </c>
    </row>
    <row r="1941" spans="1:11" ht="60" customHeight="1" x14ac:dyDescent="0.25">
      <c r="A1941" s="7" t="s">
        <v>2471</v>
      </c>
      <c r="B1941" s="7" t="s">
        <v>0</v>
      </c>
      <c r="C1941" s="7" t="s">
        <v>1027</v>
      </c>
      <c r="D1941" s="7" t="s">
        <v>1113</v>
      </c>
      <c r="E1941" s="7" t="s">
        <v>1114</v>
      </c>
      <c r="F1941" s="5">
        <v>302.49</v>
      </c>
      <c r="G1941" s="7" t="s">
        <v>2482</v>
      </c>
      <c r="H1941" s="7" t="s">
        <v>1027</v>
      </c>
      <c r="I1941" s="8" t="s">
        <v>2665</v>
      </c>
      <c r="K1941">
        <f>IF($A1941="","",IF(ISNUMBER($A1941),MONTH($A1941),MONTH(DATEVALUE($A1941))))</f>
        <v>1</v>
      </c>
    </row>
    <row r="1942" spans="1:11" ht="60" customHeight="1" x14ac:dyDescent="0.25">
      <c r="A1942" s="8" t="s">
        <v>2471</v>
      </c>
      <c r="B1942" s="8" t="s">
        <v>0</v>
      </c>
      <c r="C1942" s="8" t="s">
        <v>1027</v>
      </c>
      <c r="D1942" s="8" t="s">
        <v>1113</v>
      </c>
      <c r="E1942" s="8" t="s">
        <v>1114</v>
      </c>
      <c r="F1942" s="6">
        <v>302.49</v>
      </c>
      <c r="G1942" s="8" t="s">
        <v>2483</v>
      </c>
      <c r="H1942" s="8" t="s">
        <v>1027</v>
      </c>
      <c r="I1942" s="8" t="s">
        <v>2665</v>
      </c>
      <c r="K1942">
        <f>IF($A1942="","",IF(ISNUMBER($A1942),MONTH($A1942),MONTH(DATEVALUE($A1942))))</f>
        <v>1</v>
      </c>
    </row>
    <row r="1943" spans="1:11" ht="60" customHeight="1" x14ac:dyDescent="0.25">
      <c r="A1943" s="7" t="s">
        <v>2484</v>
      </c>
      <c r="B1943" s="7" t="s">
        <v>0</v>
      </c>
      <c r="C1943" s="7" t="s">
        <v>522</v>
      </c>
      <c r="D1943" s="7" t="s">
        <v>4</v>
      </c>
      <c r="E1943" s="7" t="s">
        <v>18</v>
      </c>
      <c r="F1943" s="5">
        <v>28.48</v>
      </c>
      <c r="G1943" s="7" t="s">
        <v>2485</v>
      </c>
      <c r="H1943" s="7" t="s">
        <v>522</v>
      </c>
      <c r="I1943" s="7" t="s">
        <v>2647</v>
      </c>
      <c r="K1943">
        <f>IF($A1943="","",IF(ISNUMBER($A1943),MONTH($A1943),MONTH(DATEVALUE($A1943))))</f>
        <v>1</v>
      </c>
    </row>
    <row r="1944" spans="1:11" ht="60" customHeight="1" x14ac:dyDescent="0.25">
      <c r="A1944" s="8" t="s">
        <v>2486</v>
      </c>
      <c r="B1944" s="8" t="s">
        <v>0</v>
      </c>
      <c r="C1944" s="8" t="s">
        <v>2487</v>
      </c>
      <c r="D1944" s="8" t="s">
        <v>4</v>
      </c>
      <c r="E1944" s="8" t="s">
        <v>18</v>
      </c>
      <c r="F1944" s="6">
        <v>16.98</v>
      </c>
      <c r="G1944" s="8" t="s">
        <v>2488</v>
      </c>
      <c r="H1944" s="8" t="s">
        <v>2487</v>
      </c>
      <c r="I1944" s="8" t="s">
        <v>2627</v>
      </c>
      <c r="K1944">
        <f>IF($A1944="","",IF(ISNUMBER($A1944),MONTH($A1944),MONTH(DATEVALUE($A1944))))</f>
        <v>1</v>
      </c>
    </row>
    <row r="1945" spans="1:11" ht="60" customHeight="1" x14ac:dyDescent="0.25">
      <c r="A1945" s="7" t="s">
        <v>2489</v>
      </c>
      <c r="B1945" s="7" t="s">
        <v>0</v>
      </c>
      <c r="C1945" s="7" t="s">
        <v>1096</v>
      </c>
      <c r="D1945" s="7" t="s">
        <v>4</v>
      </c>
      <c r="E1945" s="7" t="s">
        <v>18</v>
      </c>
      <c r="F1945" s="5">
        <v>-312.89999999999998</v>
      </c>
      <c r="G1945" s="7" t="s">
        <v>1101</v>
      </c>
      <c r="H1945" s="7" t="s">
        <v>1096</v>
      </c>
      <c r="I1945" s="7" t="s">
        <v>2647</v>
      </c>
      <c r="K1945">
        <f>IF($A1945="","",IF(ISNUMBER($A1945),MONTH($A1945),MONTH(DATEVALUE($A1945))))</f>
        <v>1</v>
      </c>
    </row>
    <row r="1946" spans="1:11" ht="60" customHeight="1" x14ac:dyDescent="0.25">
      <c r="A1946" s="8" t="s">
        <v>2489</v>
      </c>
      <c r="B1946" s="8" t="s">
        <v>0</v>
      </c>
      <c r="C1946" s="8" t="s">
        <v>1102</v>
      </c>
      <c r="D1946" s="8" t="s">
        <v>4</v>
      </c>
      <c r="E1946" s="8" t="s">
        <v>18</v>
      </c>
      <c r="F1946" s="6">
        <v>312.89999999999998</v>
      </c>
      <c r="G1946" s="8" t="s">
        <v>2490</v>
      </c>
      <c r="H1946" s="8" t="s">
        <v>1096</v>
      </c>
      <c r="I1946" s="8" t="s">
        <v>2647</v>
      </c>
      <c r="K1946">
        <f>IF($A1946="","",IF(ISNUMBER($A1946),MONTH($A1946),MONTH(DATEVALUE($A1946))))</f>
        <v>1</v>
      </c>
    </row>
    <row r="1947" spans="1:11" ht="60" customHeight="1" x14ac:dyDescent="0.25">
      <c r="A1947" s="7" t="s">
        <v>2489</v>
      </c>
      <c r="B1947" s="7" t="s">
        <v>0</v>
      </c>
      <c r="C1947" s="7" t="s">
        <v>2491</v>
      </c>
      <c r="D1947" s="7" t="s">
        <v>4</v>
      </c>
      <c r="E1947" s="7" t="s">
        <v>18</v>
      </c>
      <c r="F1947" s="5">
        <v>14.98</v>
      </c>
      <c r="G1947" s="7" t="s">
        <v>2492</v>
      </c>
      <c r="H1947" s="7" t="s">
        <v>2491</v>
      </c>
      <c r="I1947" s="7" t="s">
        <v>2627</v>
      </c>
      <c r="K1947">
        <f>IF($A1947="","",IF(ISNUMBER($A1947),MONTH($A1947),MONTH(DATEVALUE($A1947))))</f>
        <v>1</v>
      </c>
    </row>
    <row r="1948" spans="1:11" ht="60" customHeight="1" x14ac:dyDescent="0.25">
      <c r="A1948" s="8" t="s">
        <v>2493</v>
      </c>
      <c r="B1948" s="8" t="s">
        <v>0</v>
      </c>
      <c r="C1948" s="8" t="s">
        <v>1096</v>
      </c>
      <c r="D1948" s="8" t="s">
        <v>4</v>
      </c>
      <c r="E1948" s="8" t="s">
        <v>18</v>
      </c>
      <c r="F1948" s="6">
        <v>-317.85000000000002</v>
      </c>
      <c r="G1948" s="8" t="s">
        <v>2494</v>
      </c>
      <c r="H1948" s="8" t="s">
        <v>1096</v>
      </c>
      <c r="I1948" s="8" t="s">
        <v>2647</v>
      </c>
      <c r="K1948">
        <f>IF($A1948="","",IF(ISNUMBER($A1948),MONTH($A1948),MONTH(DATEVALUE($A1948))))</f>
        <v>1</v>
      </c>
    </row>
    <row r="1949" spans="1:11" ht="60" customHeight="1" x14ac:dyDescent="0.25">
      <c r="A1949" s="7" t="s">
        <v>2493</v>
      </c>
      <c r="B1949" s="7" t="s">
        <v>0</v>
      </c>
      <c r="C1949" s="7" t="s">
        <v>1096</v>
      </c>
      <c r="D1949" s="7" t="s">
        <v>4</v>
      </c>
      <c r="E1949" s="7" t="s">
        <v>18</v>
      </c>
      <c r="F1949" s="5">
        <v>-34.630000000000003</v>
      </c>
      <c r="G1949" s="7" t="s">
        <v>1101</v>
      </c>
      <c r="H1949" s="7" t="s">
        <v>1096</v>
      </c>
      <c r="I1949" s="7" t="s">
        <v>2647</v>
      </c>
      <c r="K1949">
        <f>IF($A1949="","",IF(ISNUMBER($A1949),MONTH($A1949),MONTH(DATEVALUE($A1949))))</f>
        <v>1</v>
      </c>
    </row>
    <row r="1950" spans="1:11" ht="60" customHeight="1" x14ac:dyDescent="0.25">
      <c r="A1950" s="8" t="s">
        <v>2493</v>
      </c>
      <c r="B1950" s="8" t="s">
        <v>0</v>
      </c>
      <c r="C1950" s="8" t="s">
        <v>1096</v>
      </c>
      <c r="D1950" s="8" t="s">
        <v>4</v>
      </c>
      <c r="E1950" s="8" t="s">
        <v>18</v>
      </c>
      <c r="F1950" s="6">
        <v>-25.97</v>
      </c>
      <c r="G1950" s="8" t="s">
        <v>1101</v>
      </c>
      <c r="H1950" s="8" t="s">
        <v>1096</v>
      </c>
      <c r="I1950" s="8" t="s">
        <v>2647</v>
      </c>
      <c r="K1950">
        <f>IF($A1950="","",IF(ISNUMBER($A1950),MONTH($A1950),MONTH(DATEVALUE($A1950))))</f>
        <v>1</v>
      </c>
    </row>
    <row r="1951" spans="1:11" ht="60" customHeight="1" x14ac:dyDescent="0.25">
      <c r="A1951" s="7" t="s">
        <v>2493</v>
      </c>
      <c r="B1951" s="7" t="s">
        <v>0</v>
      </c>
      <c r="C1951" s="7" t="s">
        <v>1102</v>
      </c>
      <c r="D1951" s="7" t="s">
        <v>4</v>
      </c>
      <c r="E1951" s="7" t="s">
        <v>18</v>
      </c>
      <c r="F1951" s="5">
        <v>25.97</v>
      </c>
      <c r="G1951" s="7" t="s">
        <v>2495</v>
      </c>
      <c r="H1951" s="7" t="s">
        <v>1096</v>
      </c>
      <c r="I1951" s="7" t="s">
        <v>2647</v>
      </c>
      <c r="K1951">
        <f>IF($A1951="","",IF(ISNUMBER($A1951),MONTH($A1951),MONTH(DATEVALUE($A1951))))</f>
        <v>1</v>
      </c>
    </row>
    <row r="1952" spans="1:11" ht="60" customHeight="1" x14ac:dyDescent="0.25">
      <c r="A1952" s="8" t="s">
        <v>2493</v>
      </c>
      <c r="B1952" s="8" t="s">
        <v>0</v>
      </c>
      <c r="C1952" s="8" t="s">
        <v>1102</v>
      </c>
      <c r="D1952" s="8" t="s">
        <v>4</v>
      </c>
      <c r="E1952" s="8" t="s">
        <v>18</v>
      </c>
      <c r="F1952" s="6">
        <v>34.630000000000003</v>
      </c>
      <c r="G1952" s="8" t="s">
        <v>2496</v>
      </c>
      <c r="H1952" s="8" t="s">
        <v>1096</v>
      </c>
      <c r="I1952" s="8" t="s">
        <v>2647</v>
      </c>
      <c r="K1952">
        <f>IF($A1952="","",IF(ISNUMBER($A1952),MONTH($A1952),MONTH(DATEVALUE($A1952))))</f>
        <v>1</v>
      </c>
    </row>
    <row r="1953" spans="1:11" ht="60" customHeight="1" x14ac:dyDescent="0.25">
      <c r="A1953" s="7" t="s">
        <v>2493</v>
      </c>
      <c r="B1953" s="7" t="s">
        <v>0</v>
      </c>
      <c r="C1953" s="7" t="s">
        <v>492</v>
      </c>
      <c r="D1953" s="7" t="s">
        <v>4</v>
      </c>
      <c r="E1953" s="7" t="s">
        <v>18</v>
      </c>
      <c r="F1953" s="5">
        <v>2000</v>
      </c>
      <c r="G1953" s="7" t="s">
        <v>2497</v>
      </c>
      <c r="H1953" s="7" t="s">
        <v>492</v>
      </c>
      <c r="I1953" s="7" t="s">
        <v>2638</v>
      </c>
      <c r="K1953">
        <f>IF($A1953="","",IF(ISNUMBER($A1953),MONTH($A1953),MONTH(DATEVALUE($A1953))))</f>
        <v>1</v>
      </c>
    </row>
    <row r="1954" spans="1:11" ht="60" customHeight="1" x14ac:dyDescent="0.25">
      <c r="A1954" s="8" t="s">
        <v>2493</v>
      </c>
      <c r="B1954" s="8" t="s">
        <v>0</v>
      </c>
      <c r="C1954" s="8" t="s">
        <v>61</v>
      </c>
      <c r="D1954" s="8" t="s">
        <v>4</v>
      </c>
      <c r="E1954" s="8" t="s">
        <v>18</v>
      </c>
      <c r="F1954" s="6">
        <v>50</v>
      </c>
      <c r="G1954" s="8" t="s">
        <v>2498</v>
      </c>
      <c r="H1954" s="8" t="s">
        <v>61</v>
      </c>
      <c r="I1954" s="8" t="s">
        <v>2630</v>
      </c>
      <c r="K1954">
        <f>IF($A1954="","",IF(ISNUMBER($A1954),MONTH($A1954),MONTH(DATEVALUE($A1954))))</f>
        <v>1</v>
      </c>
    </row>
    <row r="1955" spans="1:11" ht="60" customHeight="1" x14ac:dyDescent="0.25">
      <c r="A1955" s="7" t="s">
        <v>2499</v>
      </c>
      <c r="B1955" s="7" t="s">
        <v>0</v>
      </c>
      <c r="C1955" s="7" t="s">
        <v>1096</v>
      </c>
      <c r="D1955" s="7" t="s">
        <v>4</v>
      </c>
      <c r="E1955" s="7" t="s">
        <v>18</v>
      </c>
      <c r="F1955" s="5">
        <v>-413.9</v>
      </c>
      <c r="G1955" s="7" t="s">
        <v>1101</v>
      </c>
      <c r="H1955" s="7" t="s">
        <v>1096</v>
      </c>
      <c r="I1955" s="7" t="s">
        <v>2647</v>
      </c>
      <c r="K1955">
        <f>IF($A1955="","",IF(ISNUMBER($A1955),MONTH($A1955),MONTH(DATEVALUE($A1955))))</f>
        <v>1</v>
      </c>
    </row>
    <row r="1956" spans="1:11" ht="60" customHeight="1" x14ac:dyDescent="0.25">
      <c r="A1956" s="8" t="s">
        <v>2499</v>
      </c>
      <c r="B1956" s="8" t="s">
        <v>0</v>
      </c>
      <c r="C1956" s="8" t="s">
        <v>1096</v>
      </c>
      <c r="D1956" s="8" t="s">
        <v>4</v>
      </c>
      <c r="E1956" s="8" t="s">
        <v>18</v>
      </c>
      <c r="F1956" s="6">
        <v>-18.98</v>
      </c>
      <c r="G1956" s="8" t="s">
        <v>1101</v>
      </c>
      <c r="H1956" s="8" t="s">
        <v>1096</v>
      </c>
      <c r="I1956" s="8" t="s">
        <v>2647</v>
      </c>
      <c r="K1956">
        <f>IF($A1956="","",IF(ISNUMBER($A1956),MONTH($A1956),MONTH(DATEVALUE($A1956))))</f>
        <v>1</v>
      </c>
    </row>
    <row r="1957" spans="1:11" ht="60" customHeight="1" x14ac:dyDescent="0.25">
      <c r="A1957" s="7" t="s">
        <v>2499</v>
      </c>
      <c r="B1957" s="7" t="s">
        <v>0</v>
      </c>
      <c r="C1957" s="7" t="s">
        <v>1102</v>
      </c>
      <c r="D1957" s="7" t="s">
        <v>4</v>
      </c>
      <c r="E1957" s="7" t="s">
        <v>18</v>
      </c>
      <c r="F1957" s="5">
        <v>18.98</v>
      </c>
      <c r="G1957" s="7" t="s">
        <v>2500</v>
      </c>
      <c r="H1957" s="7" t="s">
        <v>1096</v>
      </c>
      <c r="I1957" s="7" t="s">
        <v>2647</v>
      </c>
      <c r="K1957">
        <f>IF($A1957="","",IF(ISNUMBER($A1957),MONTH($A1957),MONTH(DATEVALUE($A1957))))</f>
        <v>1</v>
      </c>
    </row>
    <row r="1958" spans="1:11" ht="60" customHeight="1" x14ac:dyDescent="0.25">
      <c r="A1958" s="8" t="s">
        <v>2499</v>
      </c>
      <c r="B1958" s="8" t="s">
        <v>0</v>
      </c>
      <c r="C1958" s="8" t="s">
        <v>1102</v>
      </c>
      <c r="D1958" s="8" t="s">
        <v>4</v>
      </c>
      <c r="E1958" s="8" t="s">
        <v>18</v>
      </c>
      <c r="F1958" s="6">
        <v>413.9</v>
      </c>
      <c r="G1958" s="8" t="s">
        <v>2501</v>
      </c>
      <c r="H1958" s="8" t="s">
        <v>1096</v>
      </c>
      <c r="I1958" s="8" t="s">
        <v>2647</v>
      </c>
      <c r="K1958">
        <f>IF($A1958="","",IF(ISNUMBER($A1958),MONTH($A1958),MONTH(DATEVALUE($A1958))))</f>
        <v>1</v>
      </c>
    </row>
    <row r="1959" spans="1:11" ht="60" customHeight="1" x14ac:dyDescent="0.25">
      <c r="A1959" s="7" t="s">
        <v>2499</v>
      </c>
      <c r="B1959" s="7" t="s">
        <v>0</v>
      </c>
      <c r="C1959" s="7" t="s">
        <v>522</v>
      </c>
      <c r="D1959" s="7" t="s">
        <v>4</v>
      </c>
      <c r="E1959" s="7" t="s">
        <v>18</v>
      </c>
      <c r="F1959" s="5">
        <v>20.56</v>
      </c>
      <c r="G1959" s="7" t="s">
        <v>2502</v>
      </c>
      <c r="H1959" s="7" t="s">
        <v>522</v>
      </c>
      <c r="I1959" s="7" t="s">
        <v>2647</v>
      </c>
      <c r="K1959">
        <f>IF($A1959="","",IF(ISNUMBER($A1959),MONTH($A1959),MONTH(DATEVALUE($A1959))))</f>
        <v>1</v>
      </c>
    </row>
    <row r="1960" spans="1:11" ht="60" customHeight="1" x14ac:dyDescent="0.25">
      <c r="A1960" s="8" t="s">
        <v>2499</v>
      </c>
      <c r="B1960" s="8" t="s">
        <v>0</v>
      </c>
      <c r="C1960" s="8" t="s">
        <v>2503</v>
      </c>
      <c r="D1960" s="8" t="s">
        <v>4</v>
      </c>
      <c r="E1960" s="8" t="s">
        <v>18</v>
      </c>
      <c r="F1960" s="6">
        <v>8.99</v>
      </c>
      <c r="G1960" s="8" t="s">
        <v>2504</v>
      </c>
      <c r="H1960" s="8" t="s">
        <v>2503</v>
      </c>
      <c r="I1960" s="8" t="s">
        <v>2627</v>
      </c>
      <c r="K1960">
        <f>IF($A1960="","",IF(ISNUMBER($A1960),MONTH($A1960),MONTH(DATEVALUE($A1960))))</f>
        <v>1</v>
      </c>
    </row>
    <row r="1961" spans="1:11" ht="60" customHeight="1" x14ac:dyDescent="0.25">
      <c r="A1961" s="7" t="s">
        <v>2505</v>
      </c>
      <c r="B1961" s="7" t="s">
        <v>0</v>
      </c>
      <c r="C1961" s="7" t="s">
        <v>1102</v>
      </c>
      <c r="D1961" s="7" t="s">
        <v>4</v>
      </c>
      <c r="E1961" s="7" t="s">
        <v>18</v>
      </c>
      <c r="F1961" s="5">
        <v>317.85000000000002</v>
      </c>
      <c r="G1961" s="7" t="s">
        <v>2506</v>
      </c>
      <c r="H1961" s="7" t="s">
        <v>1096</v>
      </c>
      <c r="I1961" s="7" t="s">
        <v>2647</v>
      </c>
      <c r="K1961">
        <f>IF($A1961="","",IF(ISNUMBER($A1961),MONTH($A1961),MONTH(DATEVALUE($A1961))))</f>
        <v>1</v>
      </c>
    </row>
    <row r="1962" spans="1:11" ht="60" customHeight="1" x14ac:dyDescent="0.25">
      <c r="A1962" s="8" t="s">
        <v>2505</v>
      </c>
      <c r="B1962" s="8" t="s">
        <v>0</v>
      </c>
      <c r="C1962" s="8" t="s">
        <v>2507</v>
      </c>
      <c r="D1962" s="8" t="s">
        <v>4</v>
      </c>
      <c r="E1962" s="8" t="s">
        <v>18</v>
      </c>
      <c r="F1962" s="6">
        <v>31.97</v>
      </c>
      <c r="G1962" s="8" t="s">
        <v>2508</v>
      </c>
      <c r="H1962" s="8" t="s">
        <v>2507</v>
      </c>
      <c r="I1962" s="8" t="s">
        <v>2627</v>
      </c>
      <c r="K1962">
        <f>IF($A1962="","",IF(ISNUMBER($A1962),MONTH($A1962),MONTH(DATEVALUE($A1962))))</f>
        <v>1</v>
      </c>
    </row>
    <row r="1963" spans="1:11" ht="60" customHeight="1" x14ac:dyDescent="0.25">
      <c r="A1963" s="7" t="s">
        <v>2505</v>
      </c>
      <c r="B1963" s="7" t="s">
        <v>0</v>
      </c>
      <c r="C1963" s="7" t="s">
        <v>2509</v>
      </c>
      <c r="D1963" s="7" t="s">
        <v>4</v>
      </c>
      <c r="E1963" s="7" t="s">
        <v>18</v>
      </c>
      <c r="F1963" s="5">
        <v>12.98</v>
      </c>
      <c r="G1963" s="7" t="s">
        <v>2510</v>
      </c>
      <c r="H1963" s="7" t="s">
        <v>2509</v>
      </c>
      <c r="I1963" s="7" t="s">
        <v>2635</v>
      </c>
      <c r="K1963">
        <f>IF($A1963="","",IF(ISNUMBER($A1963),MONTH($A1963),MONTH(DATEVALUE($A1963))))</f>
        <v>1</v>
      </c>
    </row>
    <row r="1964" spans="1:11" ht="60" customHeight="1" x14ac:dyDescent="0.25">
      <c r="A1964" s="8" t="s">
        <v>2511</v>
      </c>
      <c r="B1964" s="8" t="s">
        <v>0</v>
      </c>
      <c r="C1964" s="8" t="s">
        <v>1096</v>
      </c>
      <c r="D1964" s="8" t="s">
        <v>4</v>
      </c>
      <c r="E1964" s="8" t="s">
        <v>18</v>
      </c>
      <c r="F1964" s="6">
        <v>-413.9</v>
      </c>
      <c r="G1964" s="8" t="s">
        <v>1101</v>
      </c>
      <c r="H1964" s="8" t="s">
        <v>1096</v>
      </c>
      <c r="I1964" s="8" t="s">
        <v>2647</v>
      </c>
      <c r="K1964">
        <f>IF($A1964="","",IF(ISNUMBER($A1964),MONTH($A1964),MONTH(DATEVALUE($A1964))))</f>
        <v>1</v>
      </c>
    </row>
    <row r="1965" spans="1:11" ht="60" customHeight="1" x14ac:dyDescent="0.25">
      <c r="A1965" s="7" t="s">
        <v>2511</v>
      </c>
      <c r="B1965" s="7" t="s">
        <v>0</v>
      </c>
      <c r="C1965" s="7" t="s">
        <v>1096</v>
      </c>
      <c r="D1965" s="7" t="s">
        <v>4</v>
      </c>
      <c r="E1965" s="7" t="s">
        <v>18</v>
      </c>
      <c r="F1965" s="5">
        <v>-211.9</v>
      </c>
      <c r="G1965" s="7" t="s">
        <v>1101</v>
      </c>
      <c r="H1965" s="7" t="s">
        <v>1096</v>
      </c>
      <c r="I1965" s="7" t="s">
        <v>2647</v>
      </c>
      <c r="K1965">
        <f>IF($A1965="","",IF(ISNUMBER($A1965),MONTH($A1965),MONTH(DATEVALUE($A1965))))</f>
        <v>1</v>
      </c>
    </row>
    <row r="1966" spans="1:11" ht="60" customHeight="1" x14ac:dyDescent="0.25">
      <c r="A1966" s="8" t="s">
        <v>2511</v>
      </c>
      <c r="B1966" s="8" t="s">
        <v>0</v>
      </c>
      <c r="C1966" s="8" t="s">
        <v>1096</v>
      </c>
      <c r="D1966" s="8" t="s">
        <v>4</v>
      </c>
      <c r="E1966" s="8" t="s">
        <v>18</v>
      </c>
      <c r="F1966" s="6">
        <v>-122.25</v>
      </c>
      <c r="G1966" s="8" t="s">
        <v>1101</v>
      </c>
      <c r="H1966" s="8" t="s">
        <v>1096</v>
      </c>
      <c r="I1966" s="8" t="s">
        <v>2647</v>
      </c>
      <c r="K1966">
        <f>IF($A1966="","",IF(ISNUMBER($A1966),MONTH($A1966),MONTH(DATEVALUE($A1966))))</f>
        <v>1</v>
      </c>
    </row>
    <row r="1967" spans="1:11" ht="60" customHeight="1" x14ac:dyDescent="0.25">
      <c r="A1967" s="7" t="s">
        <v>2511</v>
      </c>
      <c r="B1967" s="7" t="s">
        <v>0</v>
      </c>
      <c r="C1967" s="7" t="s">
        <v>1096</v>
      </c>
      <c r="D1967" s="7" t="s">
        <v>4</v>
      </c>
      <c r="E1967" s="7" t="s">
        <v>18</v>
      </c>
      <c r="F1967" s="5">
        <v>-105.95</v>
      </c>
      <c r="G1967" s="7" t="s">
        <v>1101</v>
      </c>
      <c r="H1967" s="7" t="s">
        <v>1096</v>
      </c>
      <c r="I1967" s="7" t="s">
        <v>2647</v>
      </c>
      <c r="K1967">
        <f>IF($A1967="","",IF(ISNUMBER($A1967),MONTH($A1967),MONTH(DATEVALUE($A1967))))</f>
        <v>1</v>
      </c>
    </row>
    <row r="1968" spans="1:11" ht="60" customHeight="1" x14ac:dyDescent="0.25">
      <c r="A1968" s="8" t="s">
        <v>2511</v>
      </c>
      <c r="B1968" s="8" t="s">
        <v>0</v>
      </c>
      <c r="C1968" s="8" t="s">
        <v>1096</v>
      </c>
      <c r="D1968" s="8" t="s">
        <v>4</v>
      </c>
      <c r="E1968" s="8" t="s">
        <v>18</v>
      </c>
      <c r="F1968" s="6">
        <v>-27.93</v>
      </c>
      <c r="G1968" s="8" t="s">
        <v>1101</v>
      </c>
      <c r="H1968" s="8" t="s">
        <v>1096</v>
      </c>
      <c r="I1968" s="8" t="s">
        <v>2647</v>
      </c>
      <c r="K1968">
        <f>IF($A1968="","",IF(ISNUMBER($A1968),MONTH($A1968),MONTH(DATEVALUE($A1968))))</f>
        <v>1</v>
      </c>
    </row>
    <row r="1969" spans="1:11" ht="60" customHeight="1" x14ac:dyDescent="0.25">
      <c r="A1969" s="7" t="s">
        <v>2511</v>
      </c>
      <c r="B1969" s="7" t="s">
        <v>0</v>
      </c>
      <c r="C1969" s="7" t="s">
        <v>1096</v>
      </c>
      <c r="D1969" s="7" t="s">
        <v>4</v>
      </c>
      <c r="E1969" s="7" t="s">
        <v>18</v>
      </c>
      <c r="F1969" s="5">
        <v>-23.8</v>
      </c>
      <c r="G1969" s="7" t="s">
        <v>1101</v>
      </c>
      <c r="H1969" s="7" t="s">
        <v>1096</v>
      </c>
      <c r="I1969" s="7" t="s">
        <v>2647</v>
      </c>
      <c r="K1969">
        <f>IF($A1969="","",IF(ISNUMBER($A1969),MONTH($A1969),MONTH(DATEVALUE($A1969))))</f>
        <v>1</v>
      </c>
    </row>
    <row r="1970" spans="1:11" ht="60" customHeight="1" x14ac:dyDescent="0.25">
      <c r="A1970" s="8" t="s">
        <v>2511</v>
      </c>
      <c r="B1970" s="8" t="s">
        <v>0</v>
      </c>
      <c r="C1970" s="8" t="s">
        <v>1102</v>
      </c>
      <c r="D1970" s="8" t="s">
        <v>4</v>
      </c>
      <c r="E1970" s="8" t="s">
        <v>18</v>
      </c>
      <c r="F1970" s="6">
        <v>23.8</v>
      </c>
      <c r="G1970" s="8" t="s">
        <v>2512</v>
      </c>
      <c r="H1970" s="8" t="s">
        <v>1096</v>
      </c>
      <c r="I1970" s="8" t="s">
        <v>2647</v>
      </c>
      <c r="K1970">
        <f>IF($A1970="","",IF(ISNUMBER($A1970),MONTH($A1970),MONTH(DATEVALUE($A1970))))</f>
        <v>1</v>
      </c>
    </row>
    <row r="1971" spans="1:11" ht="60" customHeight="1" x14ac:dyDescent="0.25">
      <c r="A1971" s="7" t="s">
        <v>2511</v>
      </c>
      <c r="B1971" s="7" t="s">
        <v>0</v>
      </c>
      <c r="C1971" s="7" t="s">
        <v>1102</v>
      </c>
      <c r="D1971" s="7" t="s">
        <v>4</v>
      </c>
      <c r="E1971" s="7" t="s">
        <v>18</v>
      </c>
      <c r="F1971" s="5">
        <v>27.93</v>
      </c>
      <c r="G1971" s="7" t="s">
        <v>2513</v>
      </c>
      <c r="H1971" s="7" t="s">
        <v>1096</v>
      </c>
      <c r="I1971" s="7" t="s">
        <v>2647</v>
      </c>
      <c r="K1971">
        <f>IF($A1971="","",IF(ISNUMBER($A1971),MONTH($A1971),MONTH(DATEVALUE($A1971))))</f>
        <v>1</v>
      </c>
    </row>
    <row r="1972" spans="1:11" ht="60" customHeight="1" x14ac:dyDescent="0.25">
      <c r="A1972" s="8" t="s">
        <v>2511</v>
      </c>
      <c r="B1972" s="8" t="s">
        <v>0</v>
      </c>
      <c r="C1972" s="8" t="s">
        <v>1102</v>
      </c>
      <c r="D1972" s="8" t="s">
        <v>4</v>
      </c>
      <c r="E1972" s="8" t="s">
        <v>18</v>
      </c>
      <c r="F1972" s="6">
        <v>105.95</v>
      </c>
      <c r="G1972" s="8" t="s">
        <v>2514</v>
      </c>
      <c r="H1972" s="8" t="s">
        <v>1096</v>
      </c>
      <c r="I1972" s="8" t="s">
        <v>2647</v>
      </c>
      <c r="K1972">
        <f>IF($A1972="","",IF(ISNUMBER($A1972),MONTH($A1972),MONTH(DATEVALUE($A1972))))</f>
        <v>1</v>
      </c>
    </row>
    <row r="1973" spans="1:11" ht="60" customHeight="1" x14ac:dyDescent="0.25">
      <c r="A1973" s="7" t="s">
        <v>2511</v>
      </c>
      <c r="B1973" s="7" t="s">
        <v>0</v>
      </c>
      <c r="C1973" s="7" t="s">
        <v>1102</v>
      </c>
      <c r="D1973" s="7" t="s">
        <v>4</v>
      </c>
      <c r="E1973" s="7" t="s">
        <v>18</v>
      </c>
      <c r="F1973" s="5">
        <v>122.25</v>
      </c>
      <c r="G1973" s="7" t="s">
        <v>2515</v>
      </c>
      <c r="H1973" s="7" t="s">
        <v>1096</v>
      </c>
      <c r="I1973" s="7" t="s">
        <v>2647</v>
      </c>
      <c r="K1973">
        <f>IF($A1973="","",IF(ISNUMBER($A1973),MONTH($A1973),MONTH(DATEVALUE($A1973))))</f>
        <v>1</v>
      </c>
    </row>
    <row r="1974" spans="1:11" ht="60" customHeight="1" x14ac:dyDescent="0.25">
      <c r="A1974" s="8" t="s">
        <v>2511</v>
      </c>
      <c r="B1974" s="8" t="s">
        <v>0</v>
      </c>
      <c r="C1974" s="8" t="s">
        <v>1102</v>
      </c>
      <c r="D1974" s="8" t="s">
        <v>4</v>
      </c>
      <c r="E1974" s="8" t="s">
        <v>18</v>
      </c>
      <c r="F1974" s="6">
        <v>211.9</v>
      </c>
      <c r="G1974" s="8" t="s">
        <v>2516</v>
      </c>
      <c r="H1974" s="8" t="s">
        <v>1096</v>
      </c>
      <c r="I1974" s="8" t="s">
        <v>2647</v>
      </c>
      <c r="K1974">
        <f>IF($A1974="","",IF(ISNUMBER($A1974),MONTH($A1974),MONTH(DATEVALUE($A1974))))</f>
        <v>1</v>
      </c>
    </row>
    <row r="1975" spans="1:11" ht="60" customHeight="1" x14ac:dyDescent="0.25">
      <c r="A1975" s="7" t="s">
        <v>2511</v>
      </c>
      <c r="B1975" s="7" t="s">
        <v>0</v>
      </c>
      <c r="C1975" s="7" t="s">
        <v>1102</v>
      </c>
      <c r="D1975" s="7" t="s">
        <v>4</v>
      </c>
      <c r="E1975" s="7" t="s">
        <v>18</v>
      </c>
      <c r="F1975" s="5">
        <v>413.9</v>
      </c>
      <c r="G1975" s="7" t="s">
        <v>2517</v>
      </c>
      <c r="H1975" s="7" t="s">
        <v>1096</v>
      </c>
      <c r="I1975" s="7" t="s">
        <v>2647</v>
      </c>
      <c r="K1975">
        <f>IF($A1975="","",IF(ISNUMBER($A1975),MONTH($A1975),MONTH(DATEVALUE($A1975))))</f>
        <v>1</v>
      </c>
    </row>
    <row r="1976" spans="1:11" ht="60" customHeight="1" x14ac:dyDescent="0.25">
      <c r="A1976" s="8" t="s">
        <v>2511</v>
      </c>
      <c r="B1976" s="8" t="s">
        <v>0</v>
      </c>
      <c r="C1976" s="8" t="s">
        <v>522</v>
      </c>
      <c r="D1976" s="8" t="s">
        <v>4</v>
      </c>
      <c r="E1976" s="8" t="s">
        <v>18</v>
      </c>
      <c r="F1976" s="6">
        <v>13.99</v>
      </c>
      <c r="G1976" s="8" t="s">
        <v>2518</v>
      </c>
      <c r="H1976" s="8" t="s">
        <v>522</v>
      </c>
      <c r="I1976" s="8" t="s">
        <v>2647</v>
      </c>
      <c r="K1976">
        <f>IF($A1976="","",IF(ISNUMBER($A1976),MONTH($A1976),MONTH(DATEVALUE($A1976))))</f>
        <v>1</v>
      </c>
    </row>
    <row r="1977" spans="1:11" ht="60" customHeight="1" x14ac:dyDescent="0.25">
      <c r="A1977" s="7" t="s">
        <v>2511</v>
      </c>
      <c r="B1977" s="7" t="s">
        <v>0</v>
      </c>
      <c r="C1977" s="7" t="s">
        <v>2519</v>
      </c>
      <c r="D1977" s="7" t="s">
        <v>4</v>
      </c>
      <c r="E1977" s="7" t="s">
        <v>18</v>
      </c>
      <c r="F1977" s="5">
        <v>52.94</v>
      </c>
      <c r="G1977" s="7" t="s">
        <v>2520</v>
      </c>
      <c r="H1977" s="7" t="s">
        <v>2519</v>
      </c>
      <c r="I1977" s="7" t="s">
        <v>2627</v>
      </c>
      <c r="K1977">
        <f>IF($A1977="","",IF(ISNUMBER($A1977),MONTH($A1977),MONTH(DATEVALUE($A1977))))</f>
        <v>1</v>
      </c>
    </row>
    <row r="1978" spans="1:11" ht="60" customHeight="1" x14ac:dyDescent="0.25">
      <c r="A1978" s="8" t="s">
        <v>2521</v>
      </c>
      <c r="B1978" s="8" t="s">
        <v>0</v>
      </c>
      <c r="C1978" s="8" t="s">
        <v>1096</v>
      </c>
      <c r="D1978" s="8" t="s">
        <v>4</v>
      </c>
      <c r="E1978" s="8" t="s">
        <v>18</v>
      </c>
      <c r="F1978" s="6">
        <v>-367.85</v>
      </c>
      <c r="G1978" s="8" t="s">
        <v>1101</v>
      </c>
      <c r="H1978" s="8" t="s">
        <v>1096</v>
      </c>
      <c r="I1978" s="8" t="s">
        <v>2647</v>
      </c>
      <c r="K1978">
        <f>IF($A1978="","",IF(ISNUMBER($A1978),MONTH($A1978),MONTH(DATEVALUE($A1978))))</f>
        <v>1</v>
      </c>
    </row>
    <row r="1979" spans="1:11" ht="60" customHeight="1" x14ac:dyDescent="0.25">
      <c r="A1979" s="7" t="s">
        <v>2521</v>
      </c>
      <c r="B1979" s="7" t="s">
        <v>0</v>
      </c>
      <c r="C1979" s="7" t="s">
        <v>1102</v>
      </c>
      <c r="D1979" s="7" t="s">
        <v>4</v>
      </c>
      <c r="E1979" s="7" t="s">
        <v>18</v>
      </c>
      <c r="F1979" s="5">
        <v>367.85</v>
      </c>
      <c r="G1979" s="7" t="s">
        <v>2522</v>
      </c>
      <c r="H1979" s="7" t="s">
        <v>1096</v>
      </c>
      <c r="I1979" s="7" t="s">
        <v>2647</v>
      </c>
      <c r="K1979">
        <f>IF($A1979="","",IF(ISNUMBER($A1979),MONTH($A1979),MONTH(DATEVALUE($A1979))))</f>
        <v>1</v>
      </c>
    </row>
    <row r="1980" spans="1:11" ht="60" customHeight="1" x14ac:dyDescent="0.25">
      <c r="A1980" s="8" t="s">
        <v>2521</v>
      </c>
      <c r="B1980" s="8" t="s">
        <v>0</v>
      </c>
      <c r="C1980" s="8" t="s">
        <v>2523</v>
      </c>
      <c r="D1980" s="8" t="s">
        <v>4</v>
      </c>
      <c r="E1980" s="8" t="s">
        <v>18</v>
      </c>
      <c r="F1980" s="6">
        <v>330</v>
      </c>
      <c r="G1980" s="8" t="s">
        <v>2524</v>
      </c>
      <c r="H1980" s="8" t="s">
        <v>2523</v>
      </c>
      <c r="I1980" s="8" t="s">
        <v>2666</v>
      </c>
      <c r="K1980">
        <f>IF($A1980="","",IF(ISNUMBER($A1980),MONTH($A1980),MONTH(DATEVALUE($A1980))))</f>
        <v>1</v>
      </c>
    </row>
    <row r="1981" spans="1:11" ht="60" customHeight="1" x14ac:dyDescent="0.25">
      <c r="A1981" s="7" t="s">
        <v>2521</v>
      </c>
      <c r="B1981" s="7" t="s">
        <v>0</v>
      </c>
      <c r="C1981" s="7" t="s">
        <v>108</v>
      </c>
      <c r="D1981" s="7" t="s">
        <v>4</v>
      </c>
      <c r="E1981" s="7" t="s">
        <v>18</v>
      </c>
      <c r="F1981" s="5">
        <v>12.98</v>
      </c>
      <c r="G1981" s="7" t="s">
        <v>2525</v>
      </c>
      <c r="H1981" s="7" t="s">
        <v>108</v>
      </c>
      <c r="I1981" s="7" t="s">
        <v>2630</v>
      </c>
      <c r="K1981">
        <f>IF($A1981="","",IF(ISNUMBER($A1981),MONTH($A1981),MONTH(DATEVALUE($A1981))))</f>
        <v>1</v>
      </c>
    </row>
    <row r="1982" spans="1:11" ht="60" customHeight="1" x14ac:dyDescent="0.25">
      <c r="A1982" s="8" t="s">
        <v>2526</v>
      </c>
      <c r="B1982" s="8" t="s">
        <v>0</v>
      </c>
      <c r="C1982" s="8" t="s">
        <v>2527</v>
      </c>
      <c r="D1982" s="8" t="s">
        <v>4</v>
      </c>
      <c r="E1982" s="8" t="s">
        <v>18</v>
      </c>
      <c r="F1982" s="6">
        <v>24.09</v>
      </c>
      <c r="G1982" s="8" t="s">
        <v>2528</v>
      </c>
      <c r="H1982" s="8" t="s">
        <v>2527</v>
      </c>
      <c r="I1982" s="8" t="s">
        <v>2635</v>
      </c>
      <c r="K1982">
        <f>IF($A1982="","",IF(ISNUMBER($A1982),MONTH($A1982),MONTH(DATEVALUE($A1982))))</f>
        <v>1</v>
      </c>
    </row>
    <row r="1983" spans="1:11" ht="60" customHeight="1" x14ac:dyDescent="0.25">
      <c r="A1983" s="7" t="s">
        <v>2526</v>
      </c>
      <c r="B1983" s="7" t="s">
        <v>0</v>
      </c>
      <c r="C1983" s="7" t="s">
        <v>1096</v>
      </c>
      <c r="D1983" s="7" t="s">
        <v>4</v>
      </c>
      <c r="E1983" s="7" t="s">
        <v>18</v>
      </c>
      <c r="F1983" s="5">
        <v>-82.22</v>
      </c>
      <c r="G1983" s="7" t="s">
        <v>1101</v>
      </c>
      <c r="H1983" s="7" t="s">
        <v>1096</v>
      </c>
      <c r="I1983" s="7" t="s">
        <v>2647</v>
      </c>
      <c r="K1983">
        <f>IF($A1983="","",IF(ISNUMBER($A1983),MONTH($A1983),MONTH(DATEVALUE($A1983))))</f>
        <v>1</v>
      </c>
    </row>
    <row r="1984" spans="1:11" ht="60" customHeight="1" x14ac:dyDescent="0.25">
      <c r="A1984" s="8" t="s">
        <v>2526</v>
      </c>
      <c r="B1984" s="8" t="s">
        <v>0</v>
      </c>
      <c r="C1984" s="8" t="s">
        <v>1102</v>
      </c>
      <c r="D1984" s="8" t="s">
        <v>4</v>
      </c>
      <c r="E1984" s="8" t="s">
        <v>18</v>
      </c>
      <c r="F1984" s="6">
        <v>82.22</v>
      </c>
      <c r="G1984" s="8" t="s">
        <v>2529</v>
      </c>
      <c r="H1984" s="8" t="s">
        <v>1096</v>
      </c>
      <c r="I1984" s="8" t="s">
        <v>2647</v>
      </c>
      <c r="K1984">
        <f>IF($A1984="","",IF(ISNUMBER($A1984),MONTH($A1984),MONTH(DATEVALUE($A1984))))</f>
        <v>1</v>
      </c>
    </row>
    <row r="1985" spans="1:11" ht="60" customHeight="1" x14ac:dyDescent="0.25">
      <c r="A1985" s="7" t="s">
        <v>2526</v>
      </c>
      <c r="B1985" s="7" t="s">
        <v>0</v>
      </c>
      <c r="C1985" s="7" t="s">
        <v>2530</v>
      </c>
      <c r="D1985" s="7" t="s">
        <v>4</v>
      </c>
      <c r="E1985" s="7" t="s">
        <v>18</v>
      </c>
      <c r="F1985" s="5">
        <v>60.73</v>
      </c>
      <c r="G1985" s="7" t="s">
        <v>2531</v>
      </c>
      <c r="H1985" s="7" t="s">
        <v>2530</v>
      </c>
      <c r="I1985" s="7" t="s">
        <v>2627</v>
      </c>
      <c r="K1985">
        <f>IF($A1985="","",IF(ISNUMBER($A1985),MONTH($A1985),MONTH(DATEVALUE($A1985))))</f>
        <v>1</v>
      </c>
    </row>
    <row r="1986" spans="1:11" ht="60" customHeight="1" x14ac:dyDescent="0.25">
      <c r="A1986" s="8" t="s">
        <v>2526</v>
      </c>
      <c r="B1986" s="8" t="s">
        <v>0</v>
      </c>
      <c r="C1986" s="8" t="s">
        <v>1112</v>
      </c>
      <c r="D1986" s="8" t="s">
        <v>1113</v>
      </c>
      <c r="E1986" s="8" t="s">
        <v>1114</v>
      </c>
      <c r="F1986" s="6">
        <v>31.97</v>
      </c>
      <c r="G1986" s="8" t="s">
        <v>2532</v>
      </c>
      <c r="H1986" s="8" t="s">
        <v>1112</v>
      </c>
      <c r="I1986" s="8" t="s">
        <v>2634</v>
      </c>
      <c r="K1986">
        <f>IF($A1986="","",IF(ISNUMBER($A1986),MONTH($A1986),MONTH(DATEVALUE($A1986))))</f>
        <v>1</v>
      </c>
    </row>
    <row r="1987" spans="1:11" ht="60" customHeight="1" x14ac:dyDescent="0.25">
      <c r="A1987" s="7" t="s">
        <v>2526</v>
      </c>
      <c r="B1987" s="7" t="s">
        <v>0</v>
      </c>
      <c r="C1987" s="7" t="s">
        <v>68</v>
      </c>
      <c r="D1987" s="7" t="s">
        <v>4</v>
      </c>
      <c r="E1987" s="7" t="s">
        <v>18</v>
      </c>
      <c r="F1987" s="5">
        <v>150</v>
      </c>
      <c r="G1987" s="7" t="s">
        <v>2533</v>
      </c>
      <c r="H1987" s="7" t="s">
        <v>68</v>
      </c>
      <c r="I1987" s="7" t="s">
        <v>2632</v>
      </c>
      <c r="K1987">
        <f>IF($A1987="","",IF(ISNUMBER($A1987),MONTH($A1987),MONTH(DATEVALUE($A1987))))</f>
        <v>1</v>
      </c>
    </row>
    <row r="1988" spans="1:11" ht="60" customHeight="1" x14ac:dyDescent="0.25">
      <c r="A1988" s="8" t="s">
        <v>2526</v>
      </c>
      <c r="B1988" s="8" t="s">
        <v>0</v>
      </c>
      <c r="C1988" s="8" t="s">
        <v>2534</v>
      </c>
      <c r="D1988" s="8" t="s">
        <v>4</v>
      </c>
      <c r="E1988" s="8" t="s">
        <v>18</v>
      </c>
      <c r="F1988" s="6">
        <v>24.1</v>
      </c>
      <c r="G1988" s="8" t="s">
        <v>2535</v>
      </c>
      <c r="H1988" s="8" t="s">
        <v>2534</v>
      </c>
      <c r="I1988" s="8" t="s">
        <v>2633</v>
      </c>
      <c r="K1988">
        <f>IF($A1988="","",IF(ISNUMBER($A1988),MONTH($A1988),MONTH(DATEVALUE($A1988))))</f>
        <v>1</v>
      </c>
    </row>
    <row r="1989" spans="1:11" ht="60" customHeight="1" x14ac:dyDescent="0.25">
      <c r="A1989" s="7" t="s">
        <v>2526</v>
      </c>
      <c r="B1989" s="7" t="s">
        <v>0</v>
      </c>
      <c r="C1989" s="7" t="s">
        <v>2108</v>
      </c>
      <c r="D1989" s="7" t="s">
        <v>4</v>
      </c>
      <c r="E1989" s="7" t="s">
        <v>18</v>
      </c>
      <c r="F1989" s="5">
        <v>72.97</v>
      </c>
      <c r="G1989" s="7" t="s">
        <v>2536</v>
      </c>
      <c r="H1989" s="7" t="s">
        <v>2108</v>
      </c>
      <c r="I1989" s="7" t="s">
        <v>2633</v>
      </c>
      <c r="K1989">
        <f>IF($A1989="","",IF(ISNUMBER($A1989),MONTH($A1989),MONTH(DATEVALUE($A1989))))</f>
        <v>1</v>
      </c>
    </row>
    <row r="1990" spans="1:11" ht="60" customHeight="1" x14ac:dyDescent="0.25">
      <c r="A1990" s="8" t="s">
        <v>2537</v>
      </c>
      <c r="B1990" s="8" t="s">
        <v>0</v>
      </c>
      <c r="C1990" s="8" t="s">
        <v>522</v>
      </c>
      <c r="D1990" s="8" t="s">
        <v>4</v>
      </c>
      <c r="E1990" s="8" t="s">
        <v>18</v>
      </c>
      <c r="F1990" s="6">
        <v>187.83</v>
      </c>
      <c r="G1990" s="8" t="s">
        <v>2538</v>
      </c>
      <c r="H1990" s="8" t="s">
        <v>522</v>
      </c>
      <c r="I1990" s="8" t="s">
        <v>2647</v>
      </c>
      <c r="K1990">
        <f>IF($A1990="","",IF(ISNUMBER($A1990),MONTH($A1990),MONTH(DATEVALUE($A1990))))</f>
        <v>1</v>
      </c>
    </row>
    <row r="1991" spans="1:11" ht="60" customHeight="1" x14ac:dyDescent="0.25">
      <c r="A1991" s="7" t="s">
        <v>2537</v>
      </c>
      <c r="B1991" s="7" t="s">
        <v>0</v>
      </c>
      <c r="C1991" s="7" t="s">
        <v>299</v>
      </c>
      <c r="D1991" s="7" t="s">
        <v>4</v>
      </c>
      <c r="E1991" s="7" t="s">
        <v>18</v>
      </c>
      <c r="F1991" s="5">
        <v>225</v>
      </c>
      <c r="G1991" s="7" t="s">
        <v>2539</v>
      </c>
      <c r="H1991" s="7" t="s">
        <v>299</v>
      </c>
      <c r="I1991" s="7" t="s">
        <v>2632</v>
      </c>
      <c r="K1991">
        <f>IF($A1991="","",IF(ISNUMBER($A1991),MONTH($A1991),MONTH(DATEVALUE($A1991))))</f>
        <v>1</v>
      </c>
    </row>
    <row r="1992" spans="1:11" ht="60" customHeight="1" x14ac:dyDescent="0.25">
      <c r="A1992" s="8" t="s">
        <v>2537</v>
      </c>
      <c r="B1992" s="8" t="s">
        <v>0</v>
      </c>
      <c r="C1992" s="8" t="s">
        <v>2540</v>
      </c>
      <c r="D1992" s="8" t="s">
        <v>4</v>
      </c>
      <c r="E1992" s="8" t="s">
        <v>18</v>
      </c>
      <c r="F1992" s="6">
        <v>43.3</v>
      </c>
      <c r="G1992" s="8" t="s">
        <v>2541</v>
      </c>
      <c r="H1992" s="8" t="s">
        <v>2540</v>
      </c>
      <c r="I1992" s="8" t="s">
        <v>2633</v>
      </c>
      <c r="K1992">
        <f>IF($A1992="","",IF(ISNUMBER($A1992),MONTH($A1992),MONTH(DATEVALUE($A1992))))</f>
        <v>1</v>
      </c>
    </row>
    <row r="1993" spans="1:11" ht="60" customHeight="1" x14ac:dyDescent="0.25">
      <c r="A1993" s="7" t="s">
        <v>2537</v>
      </c>
      <c r="B1993" s="7" t="s">
        <v>0</v>
      </c>
      <c r="C1993" s="7" t="s">
        <v>132</v>
      </c>
      <c r="D1993" s="7" t="s">
        <v>4</v>
      </c>
      <c r="E1993" s="7" t="s">
        <v>18</v>
      </c>
      <c r="F1993" s="5">
        <v>24</v>
      </c>
      <c r="G1993" s="7" t="s">
        <v>2542</v>
      </c>
      <c r="H1993" s="7" t="s">
        <v>132</v>
      </c>
      <c r="I1993" s="7" t="s">
        <v>2630</v>
      </c>
      <c r="K1993">
        <f>IF($A1993="","",IF(ISNUMBER($A1993),MONTH($A1993),MONTH(DATEVALUE($A1993))))</f>
        <v>1</v>
      </c>
    </row>
    <row r="1994" spans="1:11" ht="60" customHeight="1" x14ac:dyDescent="0.25">
      <c r="A1994" s="8" t="s">
        <v>2543</v>
      </c>
      <c r="B1994" s="8" t="s">
        <v>0</v>
      </c>
      <c r="C1994" s="8" t="s">
        <v>1264</v>
      </c>
      <c r="D1994" s="8" t="s">
        <v>4</v>
      </c>
      <c r="E1994" s="8" t="s">
        <v>18</v>
      </c>
      <c r="F1994" s="6">
        <v>525</v>
      </c>
      <c r="G1994" s="8" t="s">
        <v>2544</v>
      </c>
      <c r="H1994" s="8" t="s">
        <v>1264</v>
      </c>
      <c r="I1994" s="8" t="s">
        <v>2633</v>
      </c>
      <c r="K1994">
        <f>IF($A1994="","",IF(ISNUMBER($A1994),MONTH($A1994),MONTH(DATEVALUE($A1994))))</f>
        <v>1</v>
      </c>
    </row>
    <row r="1995" spans="1:11" ht="60" customHeight="1" x14ac:dyDescent="0.25">
      <c r="A1995" s="7" t="s">
        <v>2545</v>
      </c>
      <c r="B1995" s="7" t="s">
        <v>0</v>
      </c>
      <c r="C1995" s="7" t="s">
        <v>1096</v>
      </c>
      <c r="D1995" s="7" t="s">
        <v>4</v>
      </c>
      <c r="E1995" s="7" t="s">
        <v>18</v>
      </c>
      <c r="F1995" s="5">
        <v>-238.14</v>
      </c>
      <c r="G1995" s="7" t="s">
        <v>1101</v>
      </c>
      <c r="H1995" s="7" t="s">
        <v>1096</v>
      </c>
      <c r="I1995" s="7" t="s">
        <v>2647</v>
      </c>
      <c r="K1995">
        <f>IF($A1995="","",IF(ISNUMBER($A1995),MONTH($A1995),MONTH(DATEVALUE($A1995))))</f>
        <v>1</v>
      </c>
    </row>
    <row r="1996" spans="1:11" ht="60" customHeight="1" x14ac:dyDescent="0.25">
      <c r="A1996" s="8" t="s">
        <v>2545</v>
      </c>
      <c r="B1996" s="8" t="s">
        <v>0</v>
      </c>
      <c r="C1996" s="8" t="s">
        <v>1102</v>
      </c>
      <c r="D1996" s="8" t="s">
        <v>4</v>
      </c>
      <c r="E1996" s="8" t="s">
        <v>18</v>
      </c>
      <c r="F1996" s="6">
        <v>238.14</v>
      </c>
      <c r="G1996" s="8" t="s">
        <v>2546</v>
      </c>
      <c r="H1996" s="8" t="s">
        <v>1096</v>
      </c>
      <c r="I1996" s="8" t="s">
        <v>2647</v>
      </c>
      <c r="K1996">
        <f>IF($A1996="","",IF(ISNUMBER($A1996),MONTH($A1996),MONTH(DATEVALUE($A1996))))</f>
        <v>1</v>
      </c>
    </row>
    <row r="1997" spans="1:11" ht="60" customHeight="1" x14ac:dyDescent="0.25">
      <c r="A1997" s="7" t="s">
        <v>2545</v>
      </c>
      <c r="B1997" s="7" t="s">
        <v>0</v>
      </c>
      <c r="C1997" s="7" t="s">
        <v>27</v>
      </c>
      <c r="D1997" s="7" t="s">
        <v>4</v>
      </c>
      <c r="E1997" s="7" t="s">
        <v>18</v>
      </c>
      <c r="F1997" s="5">
        <v>20</v>
      </c>
      <c r="G1997" s="7" t="s">
        <v>2547</v>
      </c>
      <c r="H1997" s="7" t="s">
        <v>27</v>
      </c>
      <c r="I1997" s="7" t="s">
        <v>2628</v>
      </c>
      <c r="K1997">
        <f>IF($A1997="","",IF(ISNUMBER($A1997),MONTH($A1997),MONTH(DATEVALUE($A1997))))</f>
        <v>1</v>
      </c>
    </row>
    <row r="1998" spans="1:11" ht="60" customHeight="1" x14ac:dyDescent="0.25">
      <c r="A1998" s="8" t="s">
        <v>2548</v>
      </c>
      <c r="B1998" s="8" t="s">
        <v>0</v>
      </c>
      <c r="C1998" s="8" t="s">
        <v>1096</v>
      </c>
      <c r="D1998" s="8" t="s">
        <v>4</v>
      </c>
      <c r="E1998" s="8" t="s">
        <v>18</v>
      </c>
      <c r="F1998" s="6">
        <v>-31.38</v>
      </c>
      <c r="G1998" s="8" t="s">
        <v>1101</v>
      </c>
      <c r="H1998" s="8" t="s">
        <v>1096</v>
      </c>
      <c r="I1998" s="8" t="s">
        <v>2647</v>
      </c>
      <c r="K1998">
        <f>IF($A1998="","",IF(ISNUMBER($A1998),MONTH($A1998),MONTH(DATEVALUE($A1998))))</f>
        <v>1</v>
      </c>
    </row>
    <row r="1999" spans="1:11" ht="60" customHeight="1" x14ac:dyDescent="0.25">
      <c r="A1999" s="7" t="s">
        <v>2548</v>
      </c>
      <c r="B1999" s="7" t="s">
        <v>0</v>
      </c>
      <c r="C1999" s="7" t="s">
        <v>1102</v>
      </c>
      <c r="D1999" s="7" t="s">
        <v>4</v>
      </c>
      <c r="E1999" s="7" t="s">
        <v>18</v>
      </c>
      <c r="F1999" s="5">
        <v>31.38</v>
      </c>
      <c r="G1999" s="7" t="s">
        <v>2549</v>
      </c>
      <c r="H1999" s="7" t="s">
        <v>1096</v>
      </c>
      <c r="I1999" s="7" t="s">
        <v>2647</v>
      </c>
      <c r="K1999">
        <f>IF($A1999="","",IF(ISNUMBER($A1999),MONTH($A1999),MONTH(DATEVALUE($A1999))))</f>
        <v>1</v>
      </c>
    </row>
    <row r="2000" spans="1:11" ht="60" customHeight="1" x14ac:dyDescent="0.25">
      <c r="A2000" s="8" t="s">
        <v>2548</v>
      </c>
      <c r="B2000" s="8" t="s">
        <v>0</v>
      </c>
      <c r="C2000" s="8" t="s">
        <v>2550</v>
      </c>
      <c r="D2000" s="8" t="s">
        <v>4</v>
      </c>
      <c r="E2000" s="8" t="s">
        <v>18</v>
      </c>
      <c r="F2000" s="6">
        <v>10.99</v>
      </c>
      <c r="G2000" s="8" t="s">
        <v>2551</v>
      </c>
      <c r="H2000" s="8" t="s">
        <v>2550</v>
      </c>
      <c r="I2000" s="8" t="s">
        <v>2627</v>
      </c>
      <c r="K2000">
        <f>IF($A2000="","",IF(ISNUMBER($A2000),MONTH($A2000),MONTH(DATEVALUE($A2000))))</f>
        <v>1</v>
      </c>
    </row>
    <row r="2001" spans="1:11" ht="60" customHeight="1" x14ac:dyDescent="0.25">
      <c r="A2001" s="7" t="s">
        <v>2548</v>
      </c>
      <c r="B2001" s="7" t="s">
        <v>0</v>
      </c>
      <c r="C2001" s="7" t="s">
        <v>762</v>
      </c>
      <c r="D2001" s="7" t="s">
        <v>4</v>
      </c>
      <c r="E2001" s="7" t="s">
        <v>18</v>
      </c>
      <c r="F2001" s="5">
        <v>59.5</v>
      </c>
      <c r="G2001" s="7" t="s">
        <v>2552</v>
      </c>
      <c r="H2001" s="7" t="s">
        <v>762</v>
      </c>
      <c r="I2001" s="7" t="s">
        <v>2650</v>
      </c>
      <c r="K2001">
        <f>IF($A2001="","",IF(ISNUMBER($A2001),MONTH($A2001),MONTH(DATEVALUE($A2001))))</f>
        <v>1</v>
      </c>
    </row>
    <row r="2002" spans="1:11" ht="60" customHeight="1" x14ac:dyDescent="0.25">
      <c r="A2002" s="8" t="s">
        <v>2553</v>
      </c>
      <c r="B2002" s="8" t="s">
        <v>0</v>
      </c>
      <c r="C2002" s="8" t="s">
        <v>2554</v>
      </c>
      <c r="D2002" s="8" t="s">
        <v>4</v>
      </c>
      <c r="E2002" s="8" t="s">
        <v>18</v>
      </c>
      <c r="F2002" s="6">
        <v>31.97</v>
      </c>
      <c r="G2002" s="8" t="s">
        <v>2555</v>
      </c>
      <c r="H2002" s="8" t="s">
        <v>2554</v>
      </c>
      <c r="I2002" s="8" t="s">
        <v>2627</v>
      </c>
      <c r="K2002">
        <f>IF($A2002="","",IF(ISNUMBER($A2002),MONTH($A2002),MONTH(DATEVALUE($A2002))))</f>
        <v>1</v>
      </c>
    </row>
    <row r="2003" spans="1:11" ht="60" customHeight="1" x14ac:dyDescent="0.25">
      <c r="A2003" s="7" t="s">
        <v>2553</v>
      </c>
      <c r="B2003" s="7" t="s">
        <v>0</v>
      </c>
      <c r="C2003" s="7" t="s">
        <v>1096</v>
      </c>
      <c r="D2003" s="7" t="s">
        <v>4</v>
      </c>
      <c r="E2003" s="7" t="s">
        <v>18</v>
      </c>
      <c r="F2003" s="5">
        <v>-312.89999999999998</v>
      </c>
      <c r="G2003" s="7" t="s">
        <v>1101</v>
      </c>
      <c r="H2003" s="7" t="s">
        <v>1096</v>
      </c>
      <c r="I2003" s="7" t="s">
        <v>2647</v>
      </c>
      <c r="K2003">
        <f>IF($A2003="","",IF(ISNUMBER($A2003),MONTH($A2003),MONTH(DATEVALUE($A2003))))</f>
        <v>1</v>
      </c>
    </row>
    <row r="2004" spans="1:11" ht="60" customHeight="1" x14ac:dyDescent="0.25">
      <c r="A2004" s="8" t="s">
        <v>2553</v>
      </c>
      <c r="B2004" s="8" t="s">
        <v>0</v>
      </c>
      <c r="C2004" s="8" t="s">
        <v>1102</v>
      </c>
      <c r="D2004" s="8" t="s">
        <v>4</v>
      </c>
      <c r="E2004" s="8" t="s">
        <v>18</v>
      </c>
      <c r="F2004" s="6">
        <v>312.89999999999998</v>
      </c>
      <c r="G2004" s="8" t="s">
        <v>2556</v>
      </c>
      <c r="H2004" s="8" t="s">
        <v>1096</v>
      </c>
      <c r="I2004" s="8" t="s">
        <v>2647</v>
      </c>
      <c r="K2004">
        <f>IF($A2004="","",IF(ISNUMBER($A2004),MONTH($A2004),MONTH(DATEVALUE($A2004))))</f>
        <v>1</v>
      </c>
    </row>
    <row r="2005" spans="1:11" ht="60" customHeight="1" x14ac:dyDescent="0.25">
      <c r="A2005" s="7" t="s">
        <v>2553</v>
      </c>
      <c r="B2005" s="7" t="s">
        <v>0</v>
      </c>
      <c r="C2005" s="7" t="s">
        <v>2557</v>
      </c>
      <c r="D2005" s="7" t="s">
        <v>4</v>
      </c>
      <c r="E2005" s="7" t="s">
        <v>18</v>
      </c>
      <c r="F2005" s="5">
        <v>3.24</v>
      </c>
      <c r="G2005" s="7" t="s">
        <v>2558</v>
      </c>
      <c r="H2005" s="7" t="s">
        <v>2557</v>
      </c>
      <c r="I2005" s="7" t="s">
        <v>2647</v>
      </c>
      <c r="K2005">
        <f>IF($A2005="","",IF(ISNUMBER($A2005),MONTH($A2005),MONTH(DATEVALUE($A2005))))</f>
        <v>1</v>
      </c>
    </row>
    <row r="2006" spans="1:11" ht="60" customHeight="1" x14ac:dyDescent="0.25">
      <c r="A2006" s="8" t="s">
        <v>2553</v>
      </c>
      <c r="B2006" s="8" t="s">
        <v>0</v>
      </c>
      <c r="C2006" s="8" t="s">
        <v>567</v>
      </c>
      <c r="D2006" s="8" t="s">
        <v>4</v>
      </c>
      <c r="E2006" s="8" t="s">
        <v>18</v>
      </c>
      <c r="F2006" s="6">
        <v>16.23</v>
      </c>
      <c r="G2006" s="8" t="s">
        <v>2559</v>
      </c>
      <c r="H2006" s="8" t="s">
        <v>567</v>
      </c>
      <c r="I2006" s="8" t="s">
        <v>2647</v>
      </c>
      <c r="K2006">
        <f>IF($A2006="","",IF(ISNUMBER($A2006),MONTH($A2006),MONTH(DATEVALUE($A2006))))</f>
        <v>1</v>
      </c>
    </row>
    <row r="2007" spans="1:11" ht="60" customHeight="1" x14ac:dyDescent="0.25">
      <c r="A2007" s="7" t="s">
        <v>2553</v>
      </c>
      <c r="B2007" s="7" t="s">
        <v>0</v>
      </c>
      <c r="C2007" s="7" t="s">
        <v>176</v>
      </c>
      <c r="D2007" s="7" t="s">
        <v>4</v>
      </c>
      <c r="E2007" s="7" t="s">
        <v>18</v>
      </c>
      <c r="F2007" s="5">
        <v>9.99</v>
      </c>
      <c r="G2007" s="7" t="s">
        <v>2560</v>
      </c>
      <c r="H2007" s="7" t="s">
        <v>176</v>
      </c>
      <c r="I2007" s="7" t="s">
        <v>2630</v>
      </c>
      <c r="K2007">
        <f>IF($A2007="","",IF(ISNUMBER($A2007),MONTH($A2007),MONTH(DATEVALUE($A2007))))</f>
        <v>1</v>
      </c>
    </row>
    <row r="2008" spans="1:11" ht="60" customHeight="1" x14ac:dyDescent="0.25">
      <c r="A2008" s="8" t="s">
        <v>2553</v>
      </c>
      <c r="B2008" s="8" t="s">
        <v>0</v>
      </c>
      <c r="C2008" s="8" t="s">
        <v>178</v>
      </c>
      <c r="D2008" s="8" t="s">
        <v>4</v>
      </c>
      <c r="E2008" s="8" t="s">
        <v>18</v>
      </c>
      <c r="F2008" s="6">
        <v>260</v>
      </c>
      <c r="G2008" s="8" t="s">
        <v>2561</v>
      </c>
      <c r="H2008" s="8" t="s">
        <v>178</v>
      </c>
      <c r="I2008" s="8" t="s">
        <v>2638</v>
      </c>
      <c r="K2008">
        <f>IF($A2008="","",IF(ISNUMBER($A2008),MONTH($A2008),MONTH(DATEVALUE($A2008))))</f>
        <v>1</v>
      </c>
    </row>
    <row r="2009" spans="1:11" ht="60" customHeight="1" x14ac:dyDescent="0.25">
      <c r="A2009" s="7" t="s">
        <v>2562</v>
      </c>
      <c r="B2009" s="7" t="s">
        <v>0</v>
      </c>
      <c r="C2009" s="7" t="s">
        <v>2563</v>
      </c>
      <c r="D2009" s="7" t="s">
        <v>4</v>
      </c>
      <c r="E2009" s="7" t="s">
        <v>18</v>
      </c>
      <c r="F2009" s="5">
        <v>18.97</v>
      </c>
      <c r="G2009" s="7" t="s">
        <v>2564</v>
      </c>
      <c r="H2009" s="7" t="s">
        <v>2563</v>
      </c>
      <c r="I2009" s="7" t="s">
        <v>2627</v>
      </c>
      <c r="K2009">
        <f>IF($A2009="","",IF(ISNUMBER($A2009),MONTH($A2009),MONTH(DATEVALUE($A2009))))</f>
        <v>1</v>
      </c>
    </row>
    <row r="2010" spans="1:11" ht="60" customHeight="1" x14ac:dyDescent="0.25">
      <c r="A2010" s="8" t="s">
        <v>2562</v>
      </c>
      <c r="B2010" s="8" t="s">
        <v>0</v>
      </c>
      <c r="C2010" s="8" t="s">
        <v>2035</v>
      </c>
      <c r="D2010" s="8" t="s">
        <v>4</v>
      </c>
      <c r="E2010" s="8" t="s">
        <v>18</v>
      </c>
      <c r="F2010" s="6">
        <v>153.86000000000001</v>
      </c>
      <c r="G2010" s="8" t="s">
        <v>2565</v>
      </c>
      <c r="H2010" s="8" t="s">
        <v>2035</v>
      </c>
      <c r="I2010" s="8" t="s">
        <v>2633</v>
      </c>
      <c r="K2010">
        <f>IF($A2010="","",IF(ISNUMBER($A2010),MONTH($A2010),MONTH(DATEVALUE($A2010))))</f>
        <v>1</v>
      </c>
    </row>
    <row r="2011" spans="1:11" ht="60" customHeight="1" x14ac:dyDescent="0.25">
      <c r="A2011" s="7" t="s">
        <v>2566</v>
      </c>
      <c r="B2011" s="7" t="s">
        <v>0</v>
      </c>
      <c r="C2011" s="7" t="s">
        <v>1096</v>
      </c>
      <c r="D2011" s="7" t="s">
        <v>4</v>
      </c>
      <c r="E2011" s="7" t="s">
        <v>18</v>
      </c>
      <c r="F2011" s="5">
        <v>-206.95</v>
      </c>
      <c r="G2011" s="7" t="s">
        <v>1101</v>
      </c>
      <c r="H2011" s="7" t="s">
        <v>1096</v>
      </c>
      <c r="I2011" s="7" t="s">
        <v>2647</v>
      </c>
      <c r="K2011">
        <f>IF($A2011="","",IF(ISNUMBER($A2011),MONTH($A2011),MONTH(DATEVALUE($A2011))))</f>
        <v>1</v>
      </c>
    </row>
    <row r="2012" spans="1:11" ht="60" customHeight="1" x14ac:dyDescent="0.25">
      <c r="A2012" s="8" t="s">
        <v>2566</v>
      </c>
      <c r="B2012" s="8" t="s">
        <v>0</v>
      </c>
      <c r="C2012" s="8" t="s">
        <v>1096</v>
      </c>
      <c r="D2012" s="8" t="s">
        <v>4</v>
      </c>
      <c r="E2012" s="8" t="s">
        <v>18</v>
      </c>
      <c r="F2012" s="6">
        <v>-54.95</v>
      </c>
      <c r="G2012" s="8" t="s">
        <v>1101</v>
      </c>
      <c r="H2012" s="8" t="s">
        <v>1096</v>
      </c>
      <c r="I2012" s="8" t="s">
        <v>2647</v>
      </c>
      <c r="K2012">
        <f>IF($A2012="","",IF(ISNUMBER($A2012),MONTH($A2012),MONTH(DATEVALUE($A2012))))</f>
        <v>1</v>
      </c>
    </row>
    <row r="2013" spans="1:11" ht="60" customHeight="1" x14ac:dyDescent="0.25">
      <c r="A2013" s="7" t="s">
        <v>2566</v>
      </c>
      <c r="B2013" s="7" t="s">
        <v>0</v>
      </c>
      <c r="C2013" s="7" t="s">
        <v>1102</v>
      </c>
      <c r="D2013" s="7" t="s">
        <v>4</v>
      </c>
      <c r="E2013" s="7" t="s">
        <v>18</v>
      </c>
      <c r="F2013" s="5">
        <v>54.95</v>
      </c>
      <c r="G2013" s="7" t="s">
        <v>2567</v>
      </c>
      <c r="H2013" s="7" t="s">
        <v>1096</v>
      </c>
      <c r="I2013" s="7" t="s">
        <v>2647</v>
      </c>
      <c r="K2013">
        <f>IF($A2013="","",IF(ISNUMBER($A2013),MONTH($A2013),MONTH(DATEVALUE($A2013))))</f>
        <v>1</v>
      </c>
    </row>
    <row r="2014" spans="1:11" ht="60" customHeight="1" x14ac:dyDescent="0.25">
      <c r="A2014" s="8" t="s">
        <v>2566</v>
      </c>
      <c r="B2014" s="8" t="s">
        <v>0</v>
      </c>
      <c r="C2014" s="8" t="s">
        <v>1102</v>
      </c>
      <c r="D2014" s="8" t="s">
        <v>4</v>
      </c>
      <c r="E2014" s="8" t="s">
        <v>18</v>
      </c>
      <c r="F2014" s="6">
        <v>206.95</v>
      </c>
      <c r="G2014" s="8" t="s">
        <v>2568</v>
      </c>
      <c r="H2014" s="8" t="s">
        <v>1096</v>
      </c>
      <c r="I2014" s="8" t="s">
        <v>2647</v>
      </c>
      <c r="K2014">
        <f>IF($A2014="","",IF(ISNUMBER($A2014),MONTH($A2014),MONTH(DATEVALUE($A2014))))</f>
        <v>1</v>
      </c>
    </row>
    <row r="2015" spans="1:11" ht="60" customHeight="1" x14ac:dyDescent="0.25">
      <c r="A2015" s="7" t="s">
        <v>2566</v>
      </c>
      <c r="B2015" s="7" t="s">
        <v>0</v>
      </c>
      <c r="C2015" s="7" t="s">
        <v>1979</v>
      </c>
      <c r="D2015" s="7" t="s">
        <v>4</v>
      </c>
      <c r="E2015" s="7" t="s">
        <v>18</v>
      </c>
      <c r="F2015" s="5">
        <v>906.97</v>
      </c>
      <c r="G2015" s="7" t="s">
        <v>2569</v>
      </c>
      <c r="H2015" s="7" t="s">
        <v>1979</v>
      </c>
      <c r="I2015" s="7" t="s">
        <v>2636</v>
      </c>
      <c r="K2015">
        <f>IF($A2015="","",IF(ISNUMBER($A2015),MONTH($A2015),MONTH(DATEVALUE($A2015))))</f>
        <v>1</v>
      </c>
    </row>
    <row r="2016" spans="1:11" ht="60" customHeight="1" x14ac:dyDescent="0.25">
      <c r="A2016" s="8" t="s">
        <v>2566</v>
      </c>
      <c r="B2016" s="8" t="s">
        <v>0</v>
      </c>
      <c r="C2016" s="8" t="s">
        <v>2168</v>
      </c>
      <c r="D2016" s="8" t="s">
        <v>4</v>
      </c>
      <c r="E2016" s="8" t="s">
        <v>18</v>
      </c>
      <c r="F2016" s="6">
        <v>-906.97</v>
      </c>
      <c r="G2016" s="8" t="s">
        <v>2169</v>
      </c>
      <c r="H2016" s="8" t="s">
        <v>2168</v>
      </c>
      <c r="I2016" s="7" t="s">
        <v>2636</v>
      </c>
      <c r="K2016">
        <f>IF($A2016="","",IF(ISNUMBER($A2016),MONTH($A2016),MONTH(DATEVALUE($A2016))))</f>
        <v>1</v>
      </c>
    </row>
    <row r="2017" spans="1:11" ht="60" customHeight="1" x14ac:dyDescent="0.25">
      <c r="A2017" s="7" t="s">
        <v>2566</v>
      </c>
      <c r="B2017" s="7" t="s">
        <v>0</v>
      </c>
      <c r="C2017" s="7" t="s">
        <v>2570</v>
      </c>
      <c r="D2017" s="7" t="s">
        <v>4</v>
      </c>
      <c r="E2017" s="7" t="s">
        <v>18</v>
      </c>
      <c r="F2017" s="5">
        <v>13</v>
      </c>
      <c r="G2017" s="7" t="s">
        <v>2571</v>
      </c>
      <c r="H2017" s="7" t="s">
        <v>2572</v>
      </c>
      <c r="I2017" s="7" t="s">
        <v>2636</v>
      </c>
      <c r="K2017">
        <f>IF($A2017="","",IF(ISNUMBER($A2017),MONTH($A2017),MONTH(DATEVALUE($A2017))))</f>
        <v>1</v>
      </c>
    </row>
    <row r="2018" spans="1:11" ht="60" customHeight="1" x14ac:dyDescent="0.25">
      <c r="A2018" s="8" t="s">
        <v>2566</v>
      </c>
      <c r="B2018" s="8" t="s">
        <v>0</v>
      </c>
      <c r="C2018" s="8" t="s">
        <v>2573</v>
      </c>
      <c r="D2018" s="8" t="s">
        <v>4</v>
      </c>
      <c r="E2018" s="8" t="s">
        <v>18</v>
      </c>
      <c r="F2018" s="6">
        <v>41.97</v>
      </c>
      <c r="G2018" s="8" t="s">
        <v>2574</v>
      </c>
      <c r="H2018" s="8" t="s">
        <v>2573</v>
      </c>
      <c r="I2018" s="8" t="s">
        <v>2627</v>
      </c>
      <c r="K2018">
        <f>IF($A2018="","",IF(ISNUMBER($A2018),MONTH($A2018),MONTH(DATEVALUE($A2018))))</f>
        <v>1</v>
      </c>
    </row>
    <row r="2019" spans="1:11" ht="60" customHeight="1" x14ac:dyDescent="0.25">
      <c r="A2019" s="7" t="s">
        <v>2566</v>
      </c>
      <c r="B2019" s="7" t="s">
        <v>0</v>
      </c>
      <c r="C2019" s="7" t="s">
        <v>2575</v>
      </c>
      <c r="D2019" s="7" t="s">
        <v>4</v>
      </c>
      <c r="E2019" s="7" t="s">
        <v>18</v>
      </c>
      <c r="F2019" s="5">
        <v>99</v>
      </c>
      <c r="G2019" s="7" t="s">
        <v>2576</v>
      </c>
      <c r="H2019" s="7" t="s">
        <v>2575</v>
      </c>
      <c r="I2019" s="7" t="s">
        <v>2630</v>
      </c>
      <c r="K2019">
        <f>IF($A2019="","",IF(ISNUMBER($A2019),MONTH($A2019),MONTH(DATEVALUE($A2019))))</f>
        <v>1</v>
      </c>
    </row>
    <row r="2020" spans="1:11" ht="60" customHeight="1" x14ac:dyDescent="0.25">
      <c r="A2020" s="8" t="s">
        <v>2566</v>
      </c>
      <c r="B2020" s="8" t="s">
        <v>0</v>
      </c>
      <c r="C2020" s="8" t="s">
        <v>242</v>
      </c>
      <c r="D2020" s="8" t="s">
        <v>4</v>
      </c>
      <c r="E2020" s="8" t="s">
        <v>18</v>
      </c>
      <c r="F2020" s="6">
        <v>-233.73</v>
      </c>
      <c r="G2020" s="8" t="s">
        <v>243</v>
      </c>
      <c r="H2020" s="8" t="s">
        <v>242</v>
      </c>
      <c r="I2020" s="8" t="s">
        <v>2635</v>
      </c>
      <c r="K2020">
        <f>IF($A2020="","",IF(ISNUMBER($A2020),MONTH($A2020),MONTH(DATEVALUE($A2020))))</f>
        <v>1</v>
      </c>
    </row>
    <row r="2021" spans="1:11" ht="60" customHeight="1" x14ac:dyDescent="0.25">
      <c r="A2021" s="7" t="s">
        <v>2566</v>
      </c>
      <c r="B2021" s="7" t="s">
        <v>0</v>
      </c>
      <c r="C2021" s="7" t="s">
        <v>242</v>
      </c>
      <c r="D2021" s="7" t="s">
        <v>4</v>
      </c>
      <c r="E2021" s="7" t="s">
        <v>18</v>
      </c>
      <c r="F2021" s="5">
        <v>69.69</v>
      </c>
      <c r="G2021" s="7" t="s">
        <v>243</v>
      </c>
      <c r="H2021" s="7" t="s">
        <v>242</v>
      </c>
      <c r="I2021" s="7" t="s">
        <v>2635</v>
      </c>
      <c r="K2021">
        <f>IF($A2021="","",IF(ISNUMBER($A2021),MONTH($A2021),MONTH(DATEVALUE($A2021))))</f>
        <v>1</v>
      </c>
    </row>
    <row r="2022" spans="1:11" ht="60" customHeight="1" x14ac:dyDescent="0.25">
      <c r="A2022" s="8" t="s">
        <v>2566</v>
      </c>
      <c r="B2022" s="8" t="s">
        <v>227</v>
      </c>
      <c r="C2022" s="8" t="s">
        <v>597</v>
      </c>
      <c r="D2022" s="8" t="s">
        <v>4</v>
      </c>
      <c r="E2022" s="8" t="s">
        <v>18</v>
      </c>
      <c r="F2022" s="6">
        <v>198.45</v>
      </c>
      <c r="G2022" s="8" t="s">
        <v>2577</v>
      </c>
      <c r="H2022" s="8" t="s">
        <v>597</v>
      </c>
      <c r="I2022" s="8" t="s">
        <v>2645</v>
      </c>
      <c r="K2022">
        <f>IF($A2022="","",IF(ISNUMBER($A2022),MONTH($A2022),MONTH(DATEVALUE($A2022))))</f>
        <v>1</v>
      </c>
    </row>
    <row r="2023" spans="1:11" ht="60" customHeight="1" x14ac:dyDescent="0.25">
      <c r="A2023" s="7" t="s">
        <v>2566</v>
      </c>
      <c r="B2023" s="7" t="s">
        <v>0</v>
      </c>
      <c r="C2023" s="7" t="s">
        <v>63</v>
      </c>
      <c r="D2023" s="7" t="s">
        <v>4</v>
      </c>
      <c r="E2023" s="7" t="s">
        <v>18</v>
      </c>
      <c r="F2023" s="5">
        <v>101.01</v>
      </c>
      <c r="G2023" s="7" t="s">
        <v>2578</v>
      </c>
      <c r="H2023" s="7" t="s">
        <v>63</v>
      </c>
      <c r="I2023" s="7" t="s">
        <v>2633</v>
      </c>
      <c r="K2023">
        <f>IF($A2023="","",IF(ISNUMBER($A2023),MONTH($A2023),MONTH(DATEVALUE($A2023))))</f>
        <v>1</v>
      </c>
    </row>
    <row r="2024" spans="1:11" ht="60" customHeight="1" x14ac:dyDescent="0.25">
      <c r="A2024" s="8" t="s">
        <v>2566</v>
      </c>
      <c r="B2024" s="8" t="s">
        <v>0</v>
      </c>
      <c r="C2024" s="8" t="s">
        <v>2579</v>
      </c>
      <c r="D2024" s="8" t="s">
        <v>4</v>
      </c>
      <c r="E2024" s="8" t="s">
        <v>18</v>
      </c>
      <c r="F2024" s="6">
        <v>77</v>
      </c>
      <c r="G2024" s="8" t="s">
        <v>2580</v>
      </c>
      <c r="H2024" s="8" t="s">
        <v>2579</v>
      </c>
      <c r="I2024" s="8" t="s">
        <v>2630</v>
      </c>
      <c r="K2024">
        <f>IF($A2024="","",IF(ISNUMBER($A2024),MONTH($A2024),MONTH(DATEVALUE($A2024))))</f>
        <v>1</v>
      </c>
    </row>
    <row r="2025" spans="1:11" ht="60" customHeight="1" x14ac:dyDescent="0.25">
      <c r="A2025" s="7" t="s">
        <v>2581</v>
      </c>
      <c r="B2025" s="7" t="s">
        <v>0</v>
      </c>
      <c r="C2025" s="7" t="s">
        <v>1096</v>
      </c>
      <c r="D2025" s="7" t="s">
        <v>4</v>
      </c>
      <c r="E2025" s="7" t="s">
        <v>18</v>
      </c>
      <c r="F2025" s="5">
        <v>-30.3</v>
      </c>
      <c r="G2025" s="7" t="s">
        <v>1101</v>
      </c>
      <c r="H2025" s="7" t="s">
        <v>1096</v>
      </c>
      <c r="I2025" s="7" t="s">
        <v>2647</v>
      </c>
      <c r="K2025">
        <f>IF($A2025="","",IF(ISNUMBER($A2025),MONTH($A2025),MONTH(DATEVALUE($A2025))))</f>
        <v>1</v>
      </c>
    </row>
    <row r="2026" spans="1:11" ht="60" customHeight="1" x14ac:dyDescent="0.25">
      <c r="A2026" s="8" t="s">
        <v>2581</v>
      </c>
      <c r="B2026" s="8" t="s">
        <v>0</v>
      </c>
      <c r="C2026" s="8" t="s">
        <v>1102</v>
      </c>
      <c r="D2026" s="8" t="s">
        <v>4</v>
      </c>
      <c r="E2026" s="8" t="s">
        <v>18</v>
      </c>
      <c r="F2026" s="6">
        <v>30.3</v>
      </c>
      <c r="G2026" s="8" t="s">
        <v>2582</v>
      </c>
      <c r="H2026" s="8" t="s">
        <v>1096</v>
      </c>
      <c r="I2026" s="8" t="s">
        <v>2647</v>
      </c>
      <c r="K2026">
        <f>IF($A2026="","",IF(ISNUMBER($A2026),MONTH($A2026),MONTH(DATEVALUE($A2026))))</f>
        <v>1</v>
      </c>
    </row>
    <row r="2027" spans="1:11" ht="60" customHeight="1" x14ac:dyDescent="0.25">
      <c r="A2027" s="7" t="s">
        <v>2581</v>
      </c>
      <c r="B2027" s="7" t="s">
        <v>0</v>
      </c>
      <c r="C2027" s="7" t="s">
        <v>104</v>
      </c>
      <c r="D2027" s="7" t="s">
        <v>4</v>
      </c>
      <c r="E2027" s="7" t="s">
        <v>18</v>
      </c>
      <c r="F2027" s="5">
        <v>13.99</v>
      </c>
      <c r="G2027" s="7" t="s">
        <v>2583</v>
      </c>
      <c r="H2027" s="7" t="s">
        <v>104</v>
      </c>
      <c r="I2027" s="7" t="s">
        <v>2632</v>
      </c>
      <c r="K2027">
        <f>IF($A2027="","",IF(ISNUMBER($A2027),MONTH($A2027),MONTH(DATEVALUE($A2027))))</f>
        <v>1</v>
      </c>
    </row>
    <row r="2028" spans="1:11" ht="60" customHeight="1" x14ac:dyDescent="0.25">
      <c r="A2028" s="8" t="s">
        <v>2581</v>
      </c>
      <c r="B2028" s="8" t="s">
        <v>0</v>
      </c>
      <c r="C2028" s="8" t="s">
        <v>211</v>
      </c>
      <c r="D2028" s="8" t="s">
        <v>4</v>
      </c>
      <c r="E2028" s="8" t="s">
        <v>18</v>
      </c>
      <c r="F2028" s="6">
        <v>52.14</v>
      </c>
      <c r="G2028" s="8" t="s">
        <v>2584</v>
      </c>
      <c r="H2028" s="8" t="s">
        <v>211</v>
      </c>
      <c r="I2028" s="8" t="s">
        <v>2630</v>
      </c>
      <c r="K2028">
        <f>IF($A2028="","",IF(ISNUMBER($A2028),MONTH($A2028),MONTH(DATEVALUE($A2028))))</f>
        <v>1</v>
      </c>
    </row>
    <row r="2029" spans="1:11" ht="60" customHeight="1" x14ac:dyDescent="0.25">
      <c r="A2029" s="7" t="s">
        <v>2585</v>
      </c>
      <c r="B2029" s="7" t="s">
        <v>0</v>
      </c>
      <c r="C2029" s="7" t="s">
        <v>2586</v>
      </c>
      <c r="D2029" s="7" t="s">
        <v>4</v>
      </c>
      <c r="E2029" s="7" t="s">
        <v>18</v>
      </c>
      <c r="F2029" s="5">
        <v>1134.1099999999999</v>
      </c>
      <c r="G2029" s="7" t="s">
        <v>2587</v>
      </c>
      <c r="H2029" s="7" t="s">
        <v>2586</v>
      </c>
      <c r="I2029" s="7" t="s">
        <v>2667</v>
      </c>
      <c r="K2029">
        <f>IF($A2029="","",IF(ISNUMBER($A2029),MONTH($A2029),MONTH(DATEVALUE($A2029))))</f>
        <v>1</v>
      </c>
    </row>
    <row r="2030" spans="1:11" ht="60" customHeight="1" x14ac:dyDescent="0.25">
      <c r="A2030" s="8" t="s">
        <v>2585</v>
      </c>
      <c r="B2030" s="8" t="s">
        <v>0</v>
      </c>
      <c r="C2030" s="8" t="s">
        <v>1096</v>
      </c>
      <c r="D2030" s="8" t="s">
        <v>4</v>
      </c>
      <c r="E2030" s="8" t="s">
        <v>18</v>
      </c>
      <c r="F2030" s="6">
        <v>-206.95</v>
      </c>
      <c r="G2030" s="8" t="s">
        <v>1101</v>
      </c>
      <c r="H2030" s="8" t="s">
        <v>1096</v>
      </c>
      <c r="I2030" s="8" t="s">
        <v>2647</v>
      </c>
      <c r="K2030">
        <f>IF($A2030="","",IF(ISNUMBER($A2030),MONTH($A2030),MONTH(DATEVALUE($A2030))))</f>
        <v>1</v>
      </c>
    </row>
    <row r="2031" spans="1:11" ht="60" customHeight="1" x14ac:dyDescent="0.25">
      <c r="A2031" s="7" t="s">
        <v>2585</v>
      </c>
      <c r="B2031" s="7" t="s">
        <v>0</v>
      </c>
      <c r="C2031" s="7" t="s">
        <v>1096</v>
      </c>
      <c r="D2031" s="7" t="s">
        <v>4</v>
      </c>
      <c r="E2031" s="7" t="s">
        <v>18</v>
      </c>
      <c r="F2031" s="5">
        <v>-76.81</v>
      </c>
      <c r="G2031" s="7" t="s">
        <v>1101</v>
      </c>
      <c r="H2031" s="7" t="s">
        <v>1096</v>
      </c>
      <c r="I2031" s="7" t="s">
        <v>2647</v>
      </c>
      <c r="K2031">
        <f>IF($A2031="","",IF(ISNUMBER($A2031),MONTH($A2031),MONTH(DATEVALUE($A2031))))</f>
        <v>1</v>
      </c>
    </row>
    <row r="2032" spans="1:11" ht="60" customHeight="1" x14ac:dyDescent="0.25">
      <c r="A2032" s="8" t="s">
        <v>2585</v>
      </c>
      <c r="B2032" s="8" t="s">
        <v>0</v>
      </c>
      <c r="C2032" s="8" t="s">
        <v>1102</v>
      </c>
      <c r="D2032" s="8" t="s">
        <v>4</v>
      </c>
      <c r="E2032" s="8" t="s">
        <v>18</v>
      </c>
      <c r="F2032" s="6">
        <v>76.81</v>
      </c>
      <c r="G2032" s="8" t="s">
        <v>2588</v>
      </c>
      <c r="H2032" s="8" t="s">
        <v>1096</v>
      </c>
      <c r="I2032" s="8" t="s">
        <v>2647</v>
      </c>
      <c r="K2032">
        <f>IF($A2032="","",IF(ISNUMBER($A2032),MONTH($A2032),MONTH(DATEVALUE($A2032))))</f>
        <v>1</v>
      </c>
    </row>
    <row r="2033" spans="1:11" ht="60" customHeight="1" x14ac:dyDescent="0.25">
      <c r="A2033" s="7" t="s">
        <v>2585</v>
      </c>
      <c r="B2033" s="7" t="s">
        <v>0</v>
      </c>
      <c r="C2033" s="7" t="s">
        <v>1102</v>
      </c>
      <c r="D2033" s="7" t="s">
        <v>4</v>
      </c>
      <c r="E2033" s="7" t="s">
        <v>18</v>
      </c>
      <c r="F2033" s="5">
        <v>206.95</v>
      </c>
      <c r="G2033" s="7" t="s">
        <v>2589</v>
      </c>
      <c r="H2033" s="7" t="s">
        <v>1096</v>
      </c>
      <c r="I2033" s="7" t="s">
        <v>2647</v>
      </c>
      <c r="K2033">
        <f>IF($A2033="","",IF(ISNUMBER($A2033),MONTH($A2033),MONTH(DATEVALUE($A2033))))</f>
        <v>1</v>
      </c>
    </row>
    <row r="2034" spans="1:11" ht="60" customHeight="1" x14ac:dyDescent="0.25">
      <c r="A2034" s="8" t="s">
        <v>2585</v>
      </c>
      <c r="B2034" s="8" t="s">
        <v>0</v>
      </c>
      <c r="C2034" s="8" t="s">
        <v>522</v>
      </c>
      <c r="D2034" s="8" t="s">
        <v>4</v>
      </c>
      <c r="E2034" s="8" t="s">
        <v>18</v>
      </c>
      <c r="F2034" s="6">
        <v>28.48</v>
      </c>
      <c r="G2034" s="8" t="s">
        <v>2590</v>
      </c>
      <c r="H2034" s="8" t="s">
        <v>522</v>
      </c>
      <c r="I2034" s="8" t="s">
        <v>2647</v>
      </c>
      <c r="K2034">
        <f>IF($A2034="","",IF(ISNUMBER($A2034),MONTH($A2034),MONTH(DATEVALUE($A2034))))</f>
        <v>1</v>
      </c>
    </row>
    <row r="2035" spans="1:11" ht="60" customHeight="1" x14ac:dyDescent="0.25">
      <c r="A2035" s="7" t="s">
        <v>2585</v>
      </c>
      <c r="B2035" s="7" t="s">
        <v>0</v>
      </c>
      <c r="C2035" s="7" t="s">
        <v>2570</v>
      </c>
      <c r="D2035" s="7" t="s">
        <v>4</v>
      </c>
      <c r="E2035" s="7" t="s">
        <v>18</v>
      </c>
      <c r="F2035" s="5">
        <v>43.46</v>
      </c>
      <c r="G2035" s="7" t="s">
        <v>2591</v>
      </c>
      <c r="H2035" s="7" t="s">
        <v>2572</v>
      </c>
      <c r="I2035" s="7" t="s">
        <v>2667</v>
      </c>
      <c r="K2035">
        <f>IF($A2035="","",IF(ISNUMBER($A2035),MONTH($A2035),MONTH(DATEVALUE($A2035))))</f>
        <v>1</v>
      </c>
    </row>
    <row r="2036" spans="1:11" ht="60" customHeight="1" x14ac:dyDescent="0.25">
      <c r="A2036" s="8" t="s">
        <v>2585</v>
      </c>
      <c r="B2036" s="8" t="s">
        <v>0</v>
      </c>
      <c r="C2036" s="8" t="s">
        <v>2592</v>
      </c>
      <c r="D2036" s="8" t="s">
        <v>4</v>
      </c>
      <c r="E2036" s="8" t="s">
        <v>18</v>
      </c>
      <c r="F2036" s="6">
        <v>10.050000000000001</v>
      </c>
      <c r="G2036" s="8" t="s">
        <v>2593</v>
      </c>
      <c r="H2036" s="8" t="s">
        <v>2592</v>
      </c>
      <c r="I2036" s="7" t="s">
        <v>2667</v>
      </c>
      <c r="K2036">
        <f>IF($A2036="","",IF(ISNUMBER($A2036),MONTH($A2036),MONTH(DATEVALUE($A2036))))</f>
        <v>1</v>
      </c>
    </row>
    <row r="2037" spans="1:11" ht="60" customHeight="1" x14ac:dyDescent="0.25">
      <c r="A2037" s="7" t="s">
        <v>2585</v>
      </c>
      <c r="B2037" s="7" t="s">
        <v>0</v>
      </c>
      <c r="C2037" s="7" t="s">
        <v>2594</v>
      </c>
      <c r="D2037" s="7" t="s">
        <v>4</v>
      </c>
      <c r="E2037" s="7" t="s">
        <v>18</v>
      </c>
      <c r="F2037" s="5">
        <v>370</v>
      </c>
      <c r="G2037" s="7" t="s">
        <v>2595</v>
      </c>
      <c r="H2037" s="7" t="s">
        <v>2594</v>
      </c>
      <c r="I2037" s="7" t="s">
        <v>2632</v>
      </c>
      <c r="K2037">
        <f>IF($A2037="","",IF(ISNUMBER($A2037),MONTH($A2037),MONTH(DATEVALUE($A2037))))</f>
        <v>1</v>
      </c>
    </row>
    <row r="2038" spans="1:11" ht="60" customHeight="1" x14ac:dyDescent="0.25">
      <c r="A2038" s="8" t="s">
        <v>2585</v>
      </c>
      <c r="B2038" s="8" t="s">
        <v>0</v>
      </c>
      <c r="C2038" s="8" t="s">
        <v>1278</v>
      </c>
      <c r="D2038" s="8" t="s">
        <v>4</v>
      </c>
      <c r="E2038" s="8" t="s">
        <v>18</v>
      </c>
      <c r="F2038" s="6">
        <v>599</v>
      </c>
      <c r="G2038" s="8" t="s">
        <v>2596</v>
      </c>
      <c r="H2038" s="8" t="s">
        <v>1278</v>
      </c>
      <c r="I2038" s="8" t="s">
        <v>2668</v>
      </c>
      <c r="K2038">
        <f>IF($A2038="","",IF(ISNUMBER($A2038),MONTH($A2038),MONTH(DATEVALUE($A2038))))</f>
        <v>1</v>
      </c>
    </row>
    <row r="2039" spans="1:11" ht="60" customHeight="1" x14ac:dyDescent="0.25">
      <c r="A2039" s="7" t="s">
        <v>2597</v>
      </c>
      <c r="B2039" s="7" t="s">
        <v>0</v>
      </c>
      <c r="C2039" s="7" t="s">
        <v>217</v>
      </c>
      <c r="D2039" s="7" t="s">
        <v>4</v>
      </c>
      <c r="E2039" s="7" t="s">
        <v>18</v>
      </c>
      <c r="F2039" s="5">
        <v>109.52</v>
      </c>
      <c r="G2039" s="7" t="s">
        <v>2598</v>
      </c>
      <c r="H2039" s="7" t="s">
        <v>217</v>
      </c>
      <c r="I2039" s="7" t="s">
        <v>2632</v>
      </c>
      <c r="K2039">
        <f>IF($A2039="","",IF(ISNUMBER($A2039),MONTH($A2039),MONTH(DATEVALUE($A2039))))</f>
        <v>1</v>
      </c>
    </row>
    <row r="2040" spans="1:11" ht="60" customHeight="1" x14ac:dyDescent="0.25">
      <c r="A2040" s="8" t="s">
        <v>2597</v>
      </c>
      <c r="B2040" s="8" t="s">
        <v>0</v>
      </c>
      <c r="C2040" s="8" t="s">
        <v>522</v>
      </c>
      <c r="D2040" s="8" t="s">
        <v>4</v>
      </c>
      <c r="E2040" s="8" t="s">
        <v>18</v>
      </c>
      <c r="F2040" s="6">
        <v>206.95</v>
      </c>
      <c r="G2040" s="8" t="s">
        <v>2599</v>
      </c>
      <c r="H2040" s="8" t="s">
        <v>522</v>
      </c>
      <c r="I2040" s="8" t="s">
        <v>2647</v>
      </c>
      <c r="K2040">
        <f>IF($A2040="","",IF(ISNUMBER($A2040),MONTH($A2040),MONTH(DATEVALUE($A2040))))</f>
        <v>1</v>
      </c>
    </row>
    <row r="2041" spans="1:11" ht="60" customHeight="1" x14ac:dyDescent="0.25">
      <c r="A2041" s="7" t="s">
        <v>2597</v>
      </c>
      <c r="B2041" s="7" t="s">
        <v>0</v>
      </c>
      <c r="C2041" s="7" t="s">
        <v>2600</v>
      </c>
      <c r="D2041" s="7" t="s">
        <v>4</v>
      </c>
      <c r="E2041" s="7" t="s">
        <v>18</v>
      </c>
      <c r="F2041" s="5">
        <v>39.090000000000003</v>
      </c>
      <c r="G2041" s="7" t="s">
        <v>2601</v>
      </c>
      <c r="H2041" s="7" t="s">
        <v>2600</v>
      </c>
      <c r="I2041" s="7" t="s">
        <v>2635</v>
      </c>
      <c r="K2041">
        <f>IF($A2041="","",IF(ISNUMBER($A2041),MONTH($A2041),MONTH(DATEVALUE($A2041))))</f>
        <v>1</v>
      </c>
    </row>
    <row r="2042" spans="1:11" ht="60" customHeight="1" x14ac:dyDescent="0.25">
      <c r="A2042" s="8" t="s">
        <v>2597</v>
      </c>
      <c r="B2042" s="8" t="s">
        <v>0</v>
      </c>
      <c r="C2042" s="8" t="s">
        <v>2602</v>
      </c>
      <c r="D2042" s="8" t="s">
        <v>4</v>
      </c>
      <c r="E2042" s="8" t="s">
        <v>18</v>
      </c>
      <c r="F2042" s="6">
        <v>73.88</v>
      </c>
      <c r="G2042" s="8" t="s">
        <v>2603</v>
      </c>
      <c r="H2042" s="8" t="s">
        <v>2602</v>
      </c>
      <c r="I2042" s="7" t="s">
        <v>2635</v>
      </c>
      <c r="K2042">
        <f>IF($A2042="","",IF(ISNUMBER($A2042),MONTH($A2042),MONTH(DATEVALUE($A2042))))</f>
        <v>1</v>
      </c>
    </row>
    <row r="2043" spans="1:11" ht="60" customHeight="1" x14ac:dyDescent="0.25">
      <c r="A2043" s="7" t="s">
        <v>2597</v>
      </c>
      <c r="B2043" s="7" t="s">
        <v>0</v>
      </c>
      <c r="C2043" s="7" t="s">
        <v>2604</v>
      </c>
      <c r="D2043" s="7" t="s">
        <v>4</v>
      </c>
      <c r="E2043" s="7" t="s">
        <v>18</v>
      </c>
      <c r="F2043" s="5">
        <v>27.22</v>
      </c>
      <c r="G2043" s="7" t="s">
        <v>2605</v>
      </c>
      <c r="H2043" s="7" t="s">
        <v>2604</v>
      </c>
      <c r="I2043" s="7" t="s">
        <v>2635</v>
      </c>
      <c r="K2043">
        <f>IF($A2043="","",IF(ISNUMBER($A2043),MONTH($A2043),MONTH(DATEVALUE($A2043))))</f>
        <v>1</v>
      </c>
    </row>
    <row r="2044" spans="1:11" ht="60" customHeight="1" x14ac:dyDescent="0.25">
      <c r="A2044" s="8" t="s">
        <v>2597</v>
      </c>
      <c r="B2044" s="8" t="s">
        <v>0</v>
      </c>
      <c r="C2044" s="8" t="s">
        <v>2606</v>
      </c>
      <c r="D2044" s="8" t="s">
        <v>4</v>
      </c>
      <c r="E2044" s="8" t="s">
        <v>18</v>
      </c>
      <c r="F2044" s="6">
        <v>3.13</v>
      </c>
      <c r="G2044" s="8" t="s">
        <v>2607</v>
      </c>
      <c r="H2044" s="8" t="s">
        <v>2606</v>
      </c>
      <c r="I2044" s="8" t="s">
        <v>2633</v>
      </c>
      <c r="K2044">
        <f>IF($A2044="","",IF(ISNUMBER($A2044),MONTH($A2044),MONTH(DATEVALUE($A2044))))</f>
        <v>1</v>
      </c>
    </row>
    <row r="2045" spans="1:11" ht="60" customHeight="1" x14ac:dyDescent="0.25">
      <c r="A2045" s="7" t="s">
        <v>2597</v>
      </c>
      <c r="B2045" s="7" t="s">
        <v>0</v>
      </c>
      <c r="C2045" s="7" t="s">
        <v>2606</v>
      </c>
      <c r="D2045" s="7" t="s">
        <v>4</v>
      </c>
      <c r="E2045" s="7" t="s">
        <v>18</v>
      </c>
      <c r="F2045" s="5">
        <v>8.01</v>
      </c>
      <c r="G2045" s="7" t="s">
        <v>2608</v>
      </c>
      <c r="H2045" s="7" t="s">
        <v>2606</v>
      </c>
      <c r="I2045" s="7" t="s">
        <v>2633</v>
      </c>
      <c r="K2045">
        <f>IF($A2045="","",IF(ISNUMBER($A2045),MONTH($A2045),MONTH(DATEVALUE($A2045))))</f>
        <v>1</v>
      </c>
    </row>
    <row r="2046" spans="1:11" ht="60" customHeight="1" x14ac:dyDescent="0.25">
      <c r="A2046" s="8" t="s">
        <v>2597</v>
      </c>
      <c r="B2046" s="8" t="s">
        <v>0</v>
      </c>
      <c r="C2046" s="8" t="s">
        <v>2609</v>
      </c>
      <c r="D2046" s="8" t="s">
        <v>4</v>
      </c>
      <c r="E2046" s="8" t="s">
        <v>18</v>
      </c>
      <c r="F2046" s="6">
        <v>31.97</v>
      </c>
      <c r="G2046" s="8" t="s">
        <v>2610</v>
      </c>
      <c r="H2046" s="8" t="s">
        <v>2609</v>
      </c>
      <c r="I2046" s="8" t="s">
        <v>2627</v>
      </c>
      <c r="K2046">
        <f>IF($A2046="","",IF(ISNUMBER($A2046),MONTH($A2046),MONTH(DATEVALUE($A2046))))</f>
        <v>1</v>
      </c>
    </row>
    <row r="2047" spans="1:11" ht="60" customHeight="1" x14ac:dyDescent="0.25">
      <c r="A2047" s="7" t="s">
        <v>2597</v>
      </c>
      <c r="B2047" s="7" t="s">
        <v>0</v>
      </c>
      <c r="C2047" s="7" t="s">
        <v>1027</v>
      </c>
      <c r="D2047" s="7" t="s">
        <v>1113</v>
      </c>
      <c r="E2047" s="7" t="s">
        <v>1114</v>
      </c>
      <c r="F2047" s="5">
        <v>134</v>
      </c>
      <c r="G2047" s="7" t="s">
        <v>2611</v>
      </c>
      <c r="H2047" s="7" t="s">
        <v>1027</v>
      </c>
      <c r="I2047" s="7" t="s">
        <v>2665</v>
      </c>
      <c r="K2047">
        <f>IF($A2047="","",IF(ISNUMBER($A2047),MONTH($A2047),MONTH(DATEVALUE($A2047))))</f>
        <v>1</v>
      </c>
    </row>
    <row r="2048" spans="1:11" ht="60" customHeight="1" x14ac:dyDescent="0.25">
      <c r="A2048" s="8" t="s">
        <v>2597</v>
      </c>
      <c r="B2048" s="8" t="s">
        <v>0</v>
      </c>
      <c r="C2048" s="8" t="s">
        <v>1027</v>
      </c>
      <c r="D2048" s="8" t="s">
        <v>1113</v>
      </c>
      <c r="E2048" s="8" t="s">
        <v>1114</v>
      </c>
      <c r="F2048" s="6">
        <v>134</v>
      </c>
      <c r="G2048" s="8" t="s">
        <v>2612</v>
      </c>
      <c r="H2048" s="8" t="s">
        <v>1027</v>
      </c>
      <c r="I2048" s="7" t="s">
        <v>2665</v>
      </c>
      <c r="K2048">
        <f>IF($A2048="","",IF(ISNUMBER($A2048),MONTH($A2048),MONTH(DATEVALUE($A2048))))</f>
        <v>1</v>
      </c>
    </row>
    <row r="2049" spans="1:11" ht="60" customHeight="1" x14ac:dyDescent="0.25">
      <c r="A2049" s="7" t="s">
        <v>2597</v>
      </c>
      <c r="B2049" s="7" t="s">
        <v>0</v>
      </c>
      <c r="C2049" s="7" t="s">
        <v>2613</v>
      </c>
      <c r="D2049" s="7" t="s">
        <v>4</v>
      </c>
      <c r="E2049" s="7" t="s">
        <v>18</v>
      </c>
      <c r="F2049" s="5">
        <v>17.22</v>
      </c>
      <c r="G2049" s="7" t="s">
        <v>2614</v>
      </c>
      <c r="H2049" s="7" t="s">
        <v>2613</v>
      </c>
      <c r="I2049" s="7" t="s">
        <v>2633</v>
      </c>
      <c r="K2049">
        <f>IF($A2049="","",IF(ISNUMBER($A2049),MONTH($A2049),MONTH(DATEVALUE($A2049))))</f>
        <v>1</v>
      </c>
    </row>
    <row r="2050" spans="1:11" ht="60" customHeight="1" x14ac:dyDescent="0.25">
      <c r="A2050" s="8" t="s">
        <v>2597</v>
      </c>
      <c r="B2050" s="8" t="s">
        <v>0</v>
      </c>
      <c r="C2050" s="8" t="s">
        <v>2613</v>
      </c>
      <c r="D2050" s="8" t="s">
        <v>4</v>
      </c>
      <c r="E2050" s="8" t="s">
        <v>18</v>
      </c>
      <c r="F2050" s="6">
        <v>29.24</v>
      </c>
      <c r="G2050" s="8" t="s">
        <v>2615</v>
      </c>
      <c r="H2050" s="8" t="s">
        <v>2613</v>
      </c>
      <c r="I2050" s="8" t="s">
        <v>2633</v>
      </c>
      <c r="K2050">
        <f>IF($A2050="","",IF(ISNUMBER($A2050),MONTH($A2050),MONTH(DATEVALUE($A2050))))</f>
        <v>1</v>
      </c>
    </row>
    <row r="2051" spans="1:11" ht="60" customHeight="1" x14ac:dyDescent="0.25">
      <c r="A2051" s="7" t="s">
        <v>2597</v>
      </c>
      <c r="B2051" s="7" t="s">
        <v>0</v>
      </c>
      <c r="C2051" s="7" t="s">
        <v>1758</v>
      </c>
      <c r="D2051" s="7" t="s">
        <v>4</v>
      </c>
      <c r="E2051" s="7" t="s">
        <v>18</v>
      </c>
      <c r="F2051" s="5">
        <v>20</v>
      </c>
      <c r="G2051" s="7" t="s">
        <v>2616</v>
      </c>
      <c r="H2051" s="7" t="s">
        <v>1758</v>
      </c>
      <c r="I2051" s="7" t="s">
        <v>2630</v>
      </c>
      <c r="K2051">
        <f>IF($A2051="","",IF(ISNUMBER($A2051),MONTH($A2051),MONTH(DATEVALUE($A2051))))</f>
        <v>1</v>
      </c>
    </row>
    <row r="2052" spans="1:11" ht="60" customHeight="1" x14ac:dyDescent="0.25">
      <c r="A2052" s="8" t="s">
        <v>2597</v>
      </c>
      <c r="B2052" s="8" t="s">
        <v>0</v>
      </c>
      <c r="C2052" s="8" t="s">
        <v>2617</v>
      </c>
      <c r="D2052" s="8" t="s">
        <v>4</v>
      </c>
      <c r="E2052" s="8" t="s">
        <v>18</v>
      </c>
      <c r="F2052" s="6">
        <v>951.4</v>
      </c>
      <c r="G2052" s="8" t="s">
        <v>2618</v>
      </c>
      <c r="H2052" s="8" t="s">
        <v>2617</v>
      </c>
      <c r="I2052" s="7" t="s">
        <v>2667</v>
      </c>
      <c r="K2052">
        <f>IF($A2052="","",IF(ISNUMBER($A2052),MONTH($A2052),MONTH(DATEVALUE($A2052))))</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Transaction Summary</vt:lpstr>
      <vt:lpstr>Monthly Breakdown</vt:lpstr>
      <vt:lpstr>Transaction Details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Judd Dunning</cp:lastModifiedBy>
  <dcterms:created xsi:type="dcterms:W3CDTF">2026-06-11T23:54:48Z</dcterms:created>
  <dcterms:modified xsi:type="dcterms:W3CDTF">2026-06-12T20:43:35Z</dcterms:modified>
</cp:coreProperties>
</file>