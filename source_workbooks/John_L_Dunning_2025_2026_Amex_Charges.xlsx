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American Express_Buckets\6. John Dunning (Dad AMEX)\"/>
    </mc:Choice>
  </mc:AlternateContent>
  <xr:revisionPtr revIDLastSave="0" documentId="8_{26178342-8577-4950-A93B-181BA3FFD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 Summary" sheetId="2" r:id="rId1"/>
    <sheet name="Monthly Breakdown" sheetId="4" r:id="rId2"/>
    <sheet name="Transaction Details" sheetId="3" r:id="rId3"/>
    <sheet name="Raw Data" sheetId="1" r:id="rId4"/>
    <sheet name="2026_Transaction Details" sheetId="5" r:id="rId5"/>
  </sheets>
  <definedNames>
    <definedName name="_xlnm._FilterDatabase" localSheetId="2" hidden="1">'Transaction Details'!$A$9:$G$9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 s="1"/>
  <c r="B6" i="4"/>
  <c r="A11" i="3"/>
  <c r="B11" i="3"/>
  <c r="C11" i="3"/>
  <c r="D11" i="3"/>
  <c r="E11" i="3"/>
  <c r="A12" i="3"/>
  <c r="B12" i="3"/>
  <c r="C12" i="3"/>
  <c r="D12" i="3"/>
  <c r="E12" i="3"/>
  <c r="A13" i="3"/>
  <c r="B13" i="3"/>
  <c r="C13" i="3"/>
  <c r="D13" i="3"/>
  <c r="E13" i="3"/>
  <c r="A14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A19" i="3"/>
  <c r="B19" i="3"/>
  <c r="C19" i="3"/>
  <c r="D19" i="3"/>
  <c r="E19" i="3"/>
  <c r="A20" i="3"/>
  <c r="B20" i="3"/>
  <c r="C20" i="3"/>
  <c r="D20" i="3"/>
  <c r="E20" i="3"/>
  <c r="A21" i="3"/>
  <c r="B21" i="3"/>
  <c r="C21" i="3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B24" i="3"/>
  <c r="C24" i="3"/>
  <c r="D24" i="3"/>
  <c r="E24" i="3"/>
  <c r="A25" i="3"/>
  <c r="B25" i="3"/>
  <c r="C25" i="3"/>
  <c r="D25" i="3"/>
  <c r="E25" i="3"/>
  <c r="A26" i="3"/>
  <c r="B26" i="3"/>
  <c r="C26" i="3"/>
  <c r="D26" i="3"/>
  <c r="E26" i="3"/>
  <c r="A27" i="3"/>
  <c r="B27" i="3"/>
  <c r="C27" i="3"/>
  <c r="D27" i="3"/>
  <c r="E27" i="3"/>
  <c r="A28" i="3"/>
  <c r="B28" i="3"/>
  <c r="C28" i="3"/>
  <c r="D28" i="3"/>
  <c r="E28" i="3"/>
  <c r="A29" i="3"/>
  <c r="B29" i="3"/>
  <c r="C29" i="3"/>
  <c r="D29" i="3"/>
  <c r="E29" i="3"/>
  <c r="A30" i="3"/>
  <c r="B30" i="3"/>
  <c r="C30" i="3"/>
  <c r="D30" i="3"/>
  <c r="E30" i="3"/>
  <c r="A31" i="3"/>
  <c r="B31" i="3"/>
  <c r="C31" i="3"/>
  <c r="D31" i="3"/>
  <c r="E31" i="3"/>
  <c r="A32" i="3"/>
  <c r="B32" i="3"/>
  <c r="C32" i="3"/>
  <c r="D32" i="3"/>
  <c r="E32" i="3"/>
  <c r="A33" i="3"/>
  <c r="B33" i="3"/>
  <c r="C33" i="3"/>
  <c r="D33" i="3"/>
  <c r="E33" i="3"/>
  <c r="A34" i="3"/>
  <c r="B34" i="3"/>
  <c r="C34" i="3"/>
  <c r="D34" i="3"/>
  <c r="E34" i="3"/>
  <c r="A35" i="3"/>
  <c r="B35" i="3"/>
  <c r="C35" i="3"/>
  <c r="D35" i="3"/>
  <c r="E35" i="3"/>
  <c r="A36" i="3"/>
  <c r="B36" i="3"/>
  <c r="C36" i="3"/>
  <c r="D36" i="3"/>
  <c r="E36" i="3"/>
  <c r="A37" i="3"/>
  <c r="B37" i="3"/>
  <c r="C37" i="3"/>
  <c r="D37" i="3"/>
  <c r="E37" i="3"/>
  <c r="A38" i="3"/>
  <c r="B38" i="3"/>
  <c r="C38" i="3"/>
  <c r="D38" i="3"/>
  <c r="E38" i="3"/>
  <c r="A39" i="3"/>
  <c r="B39" i="3"/>
  <c r="C39" i="3"/>
  <c r="D39" i="3"/>
  <c r="E39" i="3"/>
  <c r="A40" i="3"/>
  <c r="B40" i="3"/>
  <c r="C40" i="3"/>
  <c r="D40" i="3"/>
  <c r="E40" i="3"/>
  <c r="A41" i="3"/>
  <c r="B41" i="3"/>
  <c r="C41" i="3"/>
  <c r="D41" i="3"/>
  <c r="E41" i="3"/>
  <c r="A42" i="3"/>
  <c r="B42" i="3"/>
  <c r="C42" i="3"/>
  <c r="D42" i="3"/>
  <c r="E42" i="3"/>
  <c r="A43" i="3"/>
  <c r="B43" i="3"/>
  <c r="C43" i="3"/>
  <c r="D43" i="3"/>
  <c r="E43" i="3"/>
  <c r="A44" i="3"/>
  <c r="B44" i="3"/>
  <c r="C44" i="3"/>
  <c r="D44" i="3"/>
  <c r="E44" i="3"/>
  <c r="A45" i="3"/>
  <c r="B45" i="3"/>
  <c r="C45" i="3"/>
  <c r="D45" i="3"/>
  <c r="E45" i="3"/>
  <c r="A46" i="3"/>
  <c r="B46" i="3"/>
  <c r="C46" i="3"/>
  <c r="D46" i="3"/>
  <c r="E46" i="3"/>
  <c r="A47" i="3"/>
  <c r="B47" i="3"/>
  <c r="C47" i="3"/>
  <c r="D47" i="3"/>
  <c r="E47" i="3"/>
  <c r="A48" i="3"/>
  <c r="B48" i="3"/>
  <c r="C48" i="3"/>
  <c r="D48" i="3"/>
  <c r="E48" i="3"/>
  <c r="A49" i="3"/>
  <c r="B49" i="3"/>
  <c r="C49" i="3"/>
  <c r="D49" i="3"/>
  <c r="E49" i="3"/>
  <c r="A50" i="3"/>
  <c r="B50" i="3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/>
  <c r="C53" i="3"/>
  <c r="D53" i="3"/>
  <c r="E53" i="3"/>
  <c r="A54" i="3"/>
  <c r="B54" i="3"/>
  <c r="C54" i="3"/>
  <c r="D54" i="3"/>
  <c r="E54" i="3"/>
  <c r="A55" i="3"/>
  <c r="B55" i="3"/>
  <c r="C55" i="3"/>
  <c r="D55" i="3"/>
  <c r="E55" i="3"/>
  <c r="A56" i="3"/>
  <c r="B56" i="3"/>
  <c r="C56" i="3"/>
  <c r="D56" i="3"/>
  <c r="E56" i="3"/>
  <c r="A57" i="3"/>
  <c r="B57" i="3"/>
  <c r="C57" i="3"/>
  <c r="D57" i="3"/>
  <c r="E57" i="3"/>
  <c r="A58" i="3"/>
  <c r="B58" i="3"/>
  <c r="C58" i="3"/>
  <c r="D58" i="3"/>
  <c r="E58" i="3"/>
  <c r="A59" i="3"/>
  <c r="B59" i="3"/>
  <c r="C59" i="3"/>
  <c r="D59" i="3"/>
  <c r="E59" i="3"/>
  <c r="A60" i="3"/>
  <c r="B60" i="3"/>
  <c r="C60" i="3"/>
  <c r="D60" i="3"/>
  <c r="E60" i="3"/>
  <c r="A61" i="3"/>
  <c r="B61" i="3"/>
  <c r="C61" i="3"/>
  <c r="D61" i="3"/>
  <c r="E61" i="3"/>
  <c r="A62" i="3"/>
  <c r="B62" i="3"/>
  <c r="C62" i="3"/>
  <c r="D62" i="3"/>
  <c r="E62" i="3"/>
  <c r="A63" i="3"/>
  <c r="B63" i="3"/>
  <c r="C63" i="3"/>
  <c r="D63" i="3"/>
  <c r="E63" i="3"/>
  <c r="E10" i="3"/>
  <c r="D10" i="3"/>
  <c r="C10" i="3"/>
  <c r="B10" i="3"/>
  <c r="A10" i="3"/>
  <c r="A65" i="3"/>
  <c r="B65" i="3"/>
  <c r="C65" i="3"/>
  <c r="D65" i="3"/>
  <c r="E65" i="3"/>
  <c r="A66" i="3"/>
  <c r="B66" i="3"/>
  <c r="C66" i="3"/>
  <c r="D66" i="3"/>
  <c r="E66" i="3"/>
  <c r="A67" i="3"/>
  <c r="B67" i="3"/>
  <c r="C67" i="3"/>
  <c r="D67" i="3"/>
  <c r="E67" i="3"/>
  <c r="A68" i="3"/>
  <c r="B68" i="3"/>
  <c r="C68" i="3"/>
  <c r="D68" i="3"/>
  <c r="E68" i="3"/>
  <c r="A69" i="3"/>
  <c r="B69" i="3"/>
  <c r="C69" i="3"/>
  <c r="D69" i="3"/>
  <c r="E69" i="3"/>
  <c r="A70" i="3"/>
  <c r="B70" i="3"/>
  <c r="C70" i="3"/>
  <c r="D70" i="3"/>
  <c r="E70" i="3"/>
  <c r="A71" i="3"/>
  <c r="B71" i="3"/>
  <c r="C71" i="3"/>
  <c r="D71" i="3"/>
  <c r="E71" i="3"/>
  <c r="A72" i="3"/>
  <c r="B72" i="3"/>
  <c r="C72" i="3"/>
  <c r="D72" i="3"/>
  <c r="E72" i="3"/>
  <c r="A73" i="3"/>
  <c r="B73" i="3"/>
  <c r="C73" i="3"/>
  <c r="D73" i="3"/>
  <c r="E73" i="3"/>
  <c r="A74" i="3"/>
  <c r="B74" i="3"/>
  <c r="C74" i="3"/>
  <c r="D74" i="3"/>
  <c r="E74" i="3"/>
  <c r="A75" i="3"/>
  <c r="B75" i="3"/>
  <c r="C75" i="3"/>
  <c r="D75" i="3"/>
  <c r="E75" i="3"/>
  <c r="A76" i="3"/>
  <c r="B76" i="3"/>
  <c r="C76" i="3"/>
  <c r="D76" i="3"/>
  <c r="E76" i="3"/>
  <c r="A77" i="3"/>
  <c r="B77" i="3"/>
  <c r="C77" i="3"/>
  <c r="D77" i="3"/>
  <c r="E77" i="3"/>
  <c r="A78" i="3"/>
  <c r="B78" i="3"/>
  <c r="C78" i="3"/>
  <c r="D78" i="3"/>
  <c r="E78" i="3"/>
  <c r="A79" i="3"/>
  <c r="B79" i="3"/>
  <c r="C79" i="3"/>
  <c r="D79" i="3"/>
  <c r="E79" i="3"/>
  <c r="A80" i="3"/>
  <c r="B80" i="3"/>
  <c r="C80" i="3"/>
  <c r="D80" i="3"/>
  <c r="E80" i="3"/>
  <c r="A81" i="3"/>
  <c r="B81" i="3"/>
  <c r="C81" i="3"/>
  <c r="D81" i="3"/>
  <c r="E81" i="3"/>
  <c r="A82" i="3"/>
  <c r="B82" i="3"/>
  <c r="C82" i="3"/>
  <c r="D82" i="3"/>
  <c r="E82" i="3"/>
  <c r="A83" i="3"/>
  <c r="B83" i="3"/>
  <c r="C83" i="3"/>
  <c r="D83" i="3"/>
  <c r="E83" i="3"/>
  <c r="A84" i="3"/>
  <c r="B84" i="3"/>
  <c r="C84" i="3"/>
  <c r="D84" i="3"/>
  <c r="E84" i="3"/>
  <c r="A85" i="3"/>
  <c r="B85" i="3"/>
  <c r="C85" i="3"/>
  <c r="D85" i="3"/>
  <c r="E85" i="3"/>
  <c r="A86" i="3"/>
  <c r="B86" i="3"/>
  <c r="C86" i="3"/>
  <c r="D86" i="3"/>
  <c r="E86" i="3"/>
  <c r="A87" i="3"/>
  <c r="B87" i="3"/>
  <c r="C87" i="3"/>
  <c r="D87" i="3"/>
  <c r="E87" i="3"/>
  <c r="A88" i="3"/>
  <c r="B88" i="3"/>
  <c r="C88" i="3"/>
  <c r="D88" i="3"/>
  <c r="E88" i="3"/>
  <c r="A89" i="3"/>
  <c r="B89" i="3"/>
  <c r="C89" i="3"/>
  <c r="D89" i="3"/>
  <c r="E89" i="3"/>
  <c r="A90" i="3"/>
  <c r="B90" i="3"/>
  <c r="C90" i="3"/>
  <c r="D90" i="3"/>
  <c r="E90" i="3"/>
  <c r="A91" i="3"/>
  <c r="B91" i="3"/>
  <c r="C91" i="3"/>
  <c r="D91" i="3"/>
  <c r="E91" i="3"/>
  <c r="A92" i="3"/>
  <c r="B92" i="3"/>
  <c r="C92" i="3"/>
  <c r="D92" i="3"/>
  <c r="E92" i="3"/>
  <c r="A93" i="3"/>
  <c r="B93" i="3"/>
  <c r="C93" i="3"/>
  <c r="D93" i="3"/>
  <c r="E93" i="3"/>
  <c r="A94" i="3"/>
  <c r="B94" i="3"/>
  <c r="C94" i="3"/>
  <c r="D94" i="3"/>
  <c r="E94" i="3"/>
  <c r="A95" i="3"/>
  <c r="B95" i="3"/>
  <c r="C95" i="3"/>
  <c r="D95" i="3"/>
  <c r="E95" i="3"/>
  <c r="A96" i="3"/>
  <c r="B96" i="3"/>
  <c r="C96" i="3"/>
  <c r="D96" i="3"/>
  <c r="E96" i="3"/>
  <c r="A97" i="3"/>
  <c r="B97" i="3"/>
  <c r="C97" i="3"/>
  <c r="D97" i="3"/>
  <c r="E97" i="3"/>
  <c r="A98" i="3"/>
  <c r="B98" i="3"/>
  <c r="C98" i="3"/>
  <c r="D98" i="3"/>
  <c r="E98" i="3"/>
  <c r="A99" i="3"/>
  <c r="B99" i="3"/>
  <c r="C99" i="3"/>
  <c r="D99" i="3"/>
  <c r="E99" i="3"/>
  <c r="A100" i="3"/>
  <c r="B100" i="3"/>
  <c r="C100" i="3"/>
  <c r="D100" i="3"/>
  <c r="E100" i="3"/>
  <c r="A101" i="3"/>
  <c r="B101" i="3"/>
  <c r="C101" i="3"/>
  <c r="D101" i="3"/>
  <c r="E101" i="3"/>
  <c r="A102" i="3"/>
  <c r="B102" i="3"/>
  <c r="C102" i="3"/>
  <c r="D102" i="3"/>
  <c r="E102" i="3"/>
  <c r="A103" i="3"/>
  <c r="B103" i="3"/>
  <c r="C103" i="3"/>
  <c r="D103" i="3"/>
  <c r="E103" i="3"/>
  <c r="A104" i="3"/>
  <c r="B104" i="3"/>
  <c r="C104" i="3"/>
  <c r="D104" i="3"/>
  <c r="E104" i="3"/>
  <c r="A105" i="3"/>
  <c r="B105" i="3"/>
  <c r="C105" i="3"/>
  <c r="D105" i="3"/>
  <c r="E105" i="3"/>
  <c r="A106" i="3"/>
  <c r="B106" i="3"/>
  <c r="C106" i="3"/>
  <c r="D106" i="3"/>
  <c r="E106" i="3"/>
  <c r="A107" i="3"/>
  <c r="B107" i="3"/>
  <c r="C107" i="3"/>
  <c r="D107" i="3"/>
  <c r="E107" i="3"/>
  <c r="A108" i="3"/>
  <c r="B108" i="3"/>
  <c r="C108" i="3"/>
  <c r="D108" i="3"/>
  <c r="E108" i="3"/>
  <c r="A109" i="3"/>
  <c r="B109" i="3"/>
  <c r="C109" i="3"/>
  <c r="D109" i="3"/>
  <c r="E109" i="3"/>
  <c r="A110" i="3"/>
  <c r="B110" i="3"/>
  <c r="C110" i="3"/>
  <c r="D110" i="3"/>
  <c r="E110" i="3"/>
  <c r="A111" i="3"/>
  <c r="B111" i="3"/>
  <c r="C111" i="3"/>
  <c r="D111" i="3"/>
  <c r="E111" i="3"/>
  <c r="A112" i="3"/>
  <c r="B112" i="3"/>
  <c r="C112" i="3"/>
  <c r="D112" i="3"/>
  <c r="E112" i="3"/>
  <c r="A113" i="3"/>
  <c r="B113" i="3"/>
  <c r="C113" i="3"/>
  <c r="D113" i="3"/>
  <c r="E113" i="3"/>
  <c r="A114" i="3"/>
  <c r="B114" i="3"/>
  <c r="C114" i="3"/>
  <c r="D114" i="3"/>
  <c r="E114" i="3"/>
  <c r="A115" i="3"/>
  <c r="B115" i="3"/>
  <c r="C115" i="3"/>
  <c r="D115" i="3"/>
  <c r="E115" i="3"/>
  <c r="A116" i="3"/>
  <c r="B116" i="3"/>
  <c r="C116" i="3"/>
  <c r="D116" i="3"/>
  <c r="E116" i="3"/>
  <c r="A117" i="3"/>
  <c r="B117" i="3"/>
  <c r="C117" i="3"/>
  <c r="D117" i="3"/>
  <c r="E117" i="3"/>
  <c r="A118" i="3"/>
  <c r="B118" i="3"/>
  <c r="C118" i="3"/>
  <c r="D118" i="3"/>
  <c r="E118" i="3"/>
  <c r="A119" i="3"/>
  <c r="B119" i="3"/>
  <c r="C119" i="3"/>
  <c r="D119" i="3"/>
  <c r="E119" i="3"/>
  <c r="A120" i="3"/>
  <c r="B120" i="3"/>
  <c r="C120" i="3"/>
  <c r="D120" i="3"/>
  <c r="E120" i="3"/>
  <c r="A121" i="3"/>
  <c r="B121" i="3"/>
  <c r="C121" i="3"/>
  <c r="D121" i="3"/>
  <c r="E121" i="3"/>
  <c r="A122" i="3"/>
  <c r="B122" i="3"/>
  <c r="C122" i="3"/>
  <c r="D122" i="3"/>
  <c r="E122" i="3"/>
  <c r="A123" i="3"/>
  <c r="B123" i="3"/>
  <c r="C123" i="3"/>
  <c r="D123" i="3"/>
  <c r="E123" i="3"/>
  <c r="A124" i="3"/>
  <c r="B124" i="3"/>
  <c r="C124" i="3"/>
  <c r="D124" i="3"/>
  <c r="E124" i="3"/>
  <c r="A125" i="3"/>
  <c r="B125" i="3"/>
  <c r="C125" i="3"/>
  <c r="D125" i="3"/>
  <c r="E125" i="3"/>
  <c r="A126" i="3"/>
  <c r="B126" i="3"/>
  <c r="C126" i="3"/>
  <c r="D126" i="3"/>
  <c r="E126" i="3"/>
  <c r="A127" i="3"/>
  <c r="B127" i="3"/>
  <c r="C127" i="3"/>
  <c r="D127" i="3"/>
  <c r="E127" i="3"/>
  <c r="A128" i="3"/>
  <c r="B128" i="3"/>
  <c r="C128" i="3"/>
  <c r="D128" i="3"/>
  <c r="E128" i="3"/>
  <c r="A129" i="3"/>
  <c r="B129" i="3"/>
  <c r="C129" i="3"/>
  <c r="D129" i="3"/>
  <c r="E129" i="3"/>
  <c r="A130" i="3"/>
  <c r="B130" i="3"/>
  <c r="C130" i="3"/>
  <c r="D130" i="3"/>
  <c r="E130" i="3"/>
  <c r="A131" i="3"/>
  <c r="B131" i="3"/>
  <c r="C131" i="3"/>
  <c r="D131" i="3"/>
  <c r="E131" i="3"/>
  <c r="A132" i="3"/>
  <c r="B132" i="3"/>
  <c r="C132" i="3"/>
  <c r="D132" i="3"/>
  <c r="E132" i="3"/>
  <c r="A133" i="3"/>
  <c r="B133" i="3"/>
  <c r="C133" i="3"/>
  <c r="D133" i="3"/>
  <c r="E133" i="3"/>
  <c r="A134" i="3"/>
  <c r="B134" i="3"/>
  <c r="C134" i="3"/>
  <c r="D134" i="3"/>
  <c r="E134" i="3"/>
  <c r="A135" i="3"/>
  <c r="B135" i="3"/>
  <c r="C135" i="3"/>
  <c r="D135" i="3"/>
  <c r="E135" i="3"/>
  <c r="A136" i="3"/>
  <c r="B136" i="3"/>
  <c r="C136" i="3"/>
  <c r="D136" i="3"/>
  <c r="E136" i="3"/>
  <c r="A137" i="3"/>
  <c r="B137" i="3"/>
  <c r="C137" i="3"/>
  <c r="D137" i="3"/>
  <c r="E137" i="3"/>
  <c r="A138" i="3"/>
  <c r="B138" i="3"/>
  <c r="C138" i="3"/>
  <c r="D138" i="3"/>
  <c r="E138" i="3"/>
  <c r="A139" i="3"/>
  <c r="B139" i="3"/>
  <c r="C139" i="3"/>
  <c r="D139" i="3"/>
  <c r="E139" i="3"/>
  <c r="A140" i="3"/>
  <c r="B140" i="3"/>
  <c r="C140" i="3"/>
  <c r="D140" i="3"/>
  <c r="E140" i="3"/>
  <c r="A141" i="3"/>
  <c r="B141" i="3"/>
  <c r="C141" i="3"/>
  <c r="D141" i="3"/>
  <c r="E141" i="3"/>
  <c r="A142" i="3"/>
  <c r="B142" i="3"/>
  <c r="C142" i="3"/>
  <c r="D142" i="3"/>
  <c r="E142" i="3"/>
  <c r="A143" i="3"/>
  <c r="B143" i="3"/>
  <c r="C143" i="3"/>
  <c r="D143" i="3"/>
  <c r="E143" i="3"/>
  <c r="A144" i="3"/>
  <c r="B144" i="3"/>
  <c r="C144" i="3"/>
  <c r="D144" i="3"/>
  <c r="E144" i="3"/>
  <c r="A145" i="3"/>
  <c r="B145" i="3"/>
  <c r="C145" i="3"/>
  <c r="D145" i="3"/>
  <c r="E145" i="3"/>
  <c r="A146" i="3"/>
  <c r="B146" i="3"/>
  <c r="C146" i="3"/>
  <c r="D146" i="3"/>
  <c r="E146" i="3"/>
  <c r="A147" i="3"/>
  <c r="B147" i="3"/>
  <c r="C147" i="3"/>
  <c r="D147" i="3"/>
  <c r="E147" i="3"/>
  <c r="A148" i="3"/>
  <c r="B148" i="3"/>
  <c r="C148" i="3"/>
  <c r="D148" i="3"/>
  <c r="E148" i="3"/>
  <c r="A149" i="3"/>
  <c r="B149" i="3"/>
  <c r="C149" i="3"/>
  <c r="D149" i="3"/>
  <c r="E149" i="3"/>
  <c r="A150" i="3"/>
  <c r="B150" i="3"/>
  <c r="C150" i="3"/>
  <c r="D150" i="3"/>
  <c r="E150" i="3"/>
  <c r="A151" i="3"/>
  <c r="B151" i="3"/>
  <c r="C151" i="3"/>
  <c r="D151" i="3"/>
  <c r="E151" i="3"/>
  <c r="A152" i="3"/>
  <c r="B152" i="3"/>
  <c r="C152" i="3"/>
  <c r="D152" i="3"/>
  <c r="E152" i="3"/>
  <c r="A153" i="3"/>
  <c r="B153" i="3"/>
  <c r="C153" i="3"/>
  <c r="D153" i="3"/>
  <c r="E153" i="3"/>
  <c r="A154" i="3"/>
  <c r="B154" i="3"/>
  <c r="C154" i="3"/>
  <c r="D154" i="3"/>
  <c r="E154" i="3"/>
  <c r="A155" i="3"/>
  <c r="B155" i="3"/>
  <c r="C155" i="3"/>
  <c r="D155" i="3"/>
  <c r="E155" i="3"/>
  <c r="A156" i="3"/>
  <c r="B156" i="3"/>
  <c r="C156" i="3"/>
  <c r="D156" i="3"/>
  <c r="E156" i="3"/>
  <c r="A157" i="3"/>
  <c r="B157" i="3"/>
  <c r="C157" i="3"/>
  <c r="D157" i="3"/>
  <c r="E157" i="3"/>
  <c r="A158" i="3"/>
  <c r="B158" i="3"/>
  <c r="C158" i="3"/>
  <c r="D158" i="3"/>
  <c r="E158" i="3"/>
  <c r="A159" i="3"/>
  <c r="B159" i="3"/>
  <c r="C159" i="3"/>
  <c r="D159" i="3"/>
  <c r="E159" i="3"/>
  <c r="A160" i="3"/>
  <c r="B160" i="3"/>
  <c r="C160" i="3"/>
  <c r="D160" i="3"/>
  <c r="E160" i="3"/>
  <c r="A161" i="3"/>
  <c r="B161" i="3"/>
  <c r="C161" i="3"/>
  <c r="D161" i="3"/>
  <c r="E161" i="3"/>
  <c r="A162" i="3"/>
  <c r="B162" i="3"/>
  <c r="C162" i="3"/>
  <c r="D162" i="3"/>
  <c r="E162" i="3"/>
  <c r="A163" i="3"/>
  <c r="B163" i="3"/>
  <c r="C163" i="3"/>
  <c r="D163" i="3"/>
  <c r="E163" i="3"/>
  <c r="A164" i="3"/>
  <c r="B164" i="3"/>
  <c r="C164" i="3"/>
  <c r="D164" i="3"/>
  <c r="E164" i="3"/>
  <c r="A165" i="3"/>
  <c r="B165" i="3"/>
  <c r="C165" i="3"/>
  <c r="D165" i="3"/>
  <c r="E165" i="3"/>
  <c r="A166" i="3"/>
  <c r="B166" i="3"/>
  <c r="C166" i="3"/>
  <c r="D166" i="3"/>
  <c r="E166" i="3"/>
  <c r="A167" i="3"/>
  <c r="B167" i="3"/>
  <c r="C167" i="3"/>
  <c r="D167" i="3"/>
  <c r="E167" i="3"/>
  <c r="A168" i="3"/>
  <c r="B168" i="3"/>
  <c r="C168" i="3"/>
  <c r="D168" i="3"/>
  <c r="E168" i="3"/>
  <c r="A169" i="3"/>
  <c r="B169" i="3"/>
  <c r="C169" i="3"/>
  <c r="D169" i="3"/>
  <c r="E169" i="3"/>
  <c r="A170" i="3"/>
  <c r="B170" i="3"/>
  <c r="C170" i="3"/>
  <c r="D170" i="3"/>
  <c r="E170" i="3"/>
  <c r="A171" i="3"/>
  <c r="B171" i="3"/>
  <c r="C171" i="3"/>
  <c r="D171" i="3"/>
  <c r="E171" i="3"/>
  <c r="A172" i="3"/>
  <c r="B172" i="3"/>
  <c r="C172" i="3"/>
  <c r="D172" i="3"/>
  <c r="E172" i="3"/>
  <c r="A173" i="3"/>
  <c r="B173" i="3"/>
  <c r="C173" i="3"/>
  <c r="D173" i="3"/>
  <c r="E173" i="3"/>
  <c r="A174" i="3"/>
  <c r="B174" i="3"/>
  <c r="C174" i="3"/>
  <c r="D174" i="3"/>
  <c r="E174" i="3"/>
  <c r="A175" i="3"/>
  <c r="B175" i="3"/>
  <c r="C175" i="3"/>
  <c r="D175" i="3"/>
  <c r="E175" i="3"/>
  <c r="A176" i="3"/>
  <c r="B176" i="3"/>
  <c r="C176" i="3"/>
  <c r="D176" i="3"/>
  <c r="E176" i="3"/>
  <c r="A177" i="3"/>
  <c r="B177" i="3"/>
  <c r="C177" i="3"/>
  <c r="D177" i="3"/>
  <c r="E177" i="3"/>
  <c r="A178" i="3"/>
  <c r="B178" i="3"/>
  <c r="C178" i="3"/>
  <c r="D178" i="3"/>
  <c r="E178" i="3"/>
  <c r="A179" i="3"/>
  <c r="B179" i="3"/>
  <c r="C179" i="3"/>
  <c r="D179" i="3"/>
  <c r="E179" i="3"/>
  <c r="A180" i="3"/>
  <c r="B180" i="3"/>
  <c r="C180" i="3"/>
  <c r="D180" i="3"/>
  <c r="E180" i="3"/>
  <c r="A181" i="3"/>
  <c r="B181" i="3"/>
  <c r="C181" i="3"/>
  <c r="D181" i="3"/>
  <c r="E181" i="3"/>
  <c r="A182" i="3"/>
  <c r="B182" i="3"/>
  <c r="C182" i="3"/>
  <c r="D182" i="3"/>
  <c r="E182" i="3"/>
  <c r="A183" i="3"/>
  <c r="B183" i="3"/>
  <c r="C183" i="3"/>
  <c r="D183" i="3"/>
  <c r="E183" i="3"/>
  <c r="A184" i="3"/>
  <c r="B184" i="3"/>
  <c r="C184" i="3"/>
  <c r="D184" i="3"/>
  <c r="E184" i="3"/>
  <c r="A185" i="3"/>
  <c r="B185" i="3"/>
  <c r="C185" i="3"/>
  <c r="D185" i="3"/>
  <c r="E185" i="3"/>
  <c r="A186" i="3"/>
  <c r="B186" i="3"/>
  <c r="C186" i="3"/>
  <c r="D186" i="3"/>
  <c r="E186" i="3"/>
  <c r="A187" i="3"/>
  <c r="B187" i="3"/>
  <c r="C187" i="3"/>
  <c r="D187" i="3"/>
  <c r="E187" i="3"/>
  <c r="A188" i="3"/>
  <c r="B188" i="3"/>
  <c r="C188" i="3"/>
  <c r="D188" i="3"/>
  <c r="E188" i="3"/>
  <c r="A189" i="3"/>
  <c r="B189" i="3"/>
  <c r="C189" i="3"/>
  <c r="D189" i="3"/>
  <c r="E189" i="3"/>
  <c r="A190" i="3"/>
  <c r="B190" i="3"/>
  <c r="C190" i="3"/>
  <c r="D190" i="3"/>
  <c r="E190" i="3"/>
  <c r="A191" i="3"/>
  <c r="B191" i="3"/>
  <c r="C191" i="3"/>
  <c r="D191" i="3"/>
  <c r="E191" i="3"/>
  <c r="A192" i="3"/>
  <c r="B192" i="3"/>
  <c r="C192" i="3"/>
  <c r="D192" i="3"/>
  <c r="E192" i="3"/>
  <c r="A193" i="3"/>
  <c r="B193" i="3"/>
  <c r="C193" i="3"/>
  <c r="D193" i="3"/>
  <c r="E193" i="3"/>
  <c r="A194" i="3"/>
  <c r="B194" i="3"/>
  <c r="C194" i="3"/>
  <c r="D194" i="3"/>
  <c r="E194" i="3"/>
  <c r="A195" i="3"/>
  <c r="B195" i="3"/>
  <c r="C195" i="3"/>
  <c r="D195" i="3"/>
  <c r="E195" i="3"/>
  <c r="A196" i="3"/>
  <c r="B196" i="3"/>
  <c r="C196" i="3"/>
  <c r="D196" i="3"/>
  <c r="E196" i="3"/>
  <c r="A197" i="3"/>
  <c r="B197" i="3"/>
  <c r="C197" i="3"/>
  <c r="D197" i="3"/>
  <c r="E197" i="3"/>
  <c r="A198" i="3"/>
  <c r="B198" i="3"/>
  <c r="C198" i="3"/>
  <c r="D198" i="3"/>
  <c r="E198" i="3"/>
  <c r="A199" i="3"/>
  <c r="B199" i="3"/>
  <c r="C199" i="3"/>
  <c r="D199" i="3"/>
  <c r="E199" i="3"/>
  <c r="A200" i="3"/>
  <c r="B200" i="3"/>
  <c r="C200" i="3"/>
  <c r="D200" i="3"/>
  <c r="E200" i="3"/>
  <c r="A201" i="3"/>
  <c r="B201" i="3"/>
  <c r="C201" i="3"/>
  <c r="D201" i="3"/>
  <c r="E201" i="3"/>
  <c r="A202" i="3"/>
  <c r="B202" i="3"/>
  <c r="C202" i="3"/>
  <c r="D202" i="3"/>
  <c r="E202" i="3"/>
  <c r="A203" i="3"/>
  <c r="B203" i="3"/>
  <c r="C203" i="3"/>
  <c r="D9" i="4" s="1"/>
  <c r="D203" i="3"/>
  <c r="E203" i="3"/>
  <c r="A204" i="3"/>
  <c r="B204" i="3"/>
  <c r="C204" i="3"/>
  <c r="D204" i="3"/>
  <c r="E204" i="3"/>
  <c r="A205" i="3"/>
  <c r="B205" i="3"/>
  <c r="C205" i="3"/>
  <c r="D205" i="3"/>
  <c r="E205" i="3"/>
  <c r="E64" i="3"/>
  <c r="D64" i="3"/>
  <c r="C64" i="3"/>
  <c r="B64" i="3"/>
  <c r="A64" i="3"/>
  <c r="B17" i="2" l="1"/>
  <c r="B19" i="4"/>
  <c r="B18" i="4"/>
  <c r="B20" i="4" s="1"/>
  <c r="F11" i="4"/>
  <c r="E16" i="4"/>
  <c r="H8" i="4"/>
  <c r="J8" i="4"/>
  <c r="B9" i="4"/>
  <c r="F8" i="4"/>
  <c r="F17" i="4"/>
  <c r="E8" i="4"/>
  <c r="E17" i="4"/>
  <c r="D8" i="4"/>
  <c r="B16" i="2"/>
  <c r="D17" i="4"/>
  <c r="C8" i="4"/>
  <c r="B18" i="2"/>
  <c r="B17" i="4"/>
  <c r="E18" i="4"/>
  <c r="E20" i="4" s="1"/>
  <c r="B22" i="2"/>
  <c r="B15" i="4"/>
  <c r="D18" i="4"/>
  <c r="D20" i="4" s="1"/>
  <c r="B23" i="2"/>
  <c r="G14" i="4"/>
  <c r="C18" i="4"/>
  <c r="B11" i="4"/>
  <c r="L19" i="4"/>
  <c r="B28" i="2"/>
  <c r="E14" i="4"/>
  <c r="J19" i="4"/>
  <c r="I19" i="4"/>
  <c r="C17" i="4"/>
  <c r="B30" i="2"/>
  <c r="C14" i="4"/>
  <c r="H19" i="4"/>
  <c r="E11" i="4"/>
  <c r="K19" i="4"/>
  <c r="H14" i="4"/>
  <c r="I8" i="4"/>
  <c r="D16" i="4"/>
  <c r="B8" i="4"/>
  <c r="B31" i="2"/>
  <c r="B14" i="4"/>
  <c r="G19" i="4"/>
  <c r="C11" i="4"/>
  <c r="C9" i="4"/>
  <c r="C7" i="4"/>
  <c r="B29" i="2"/>
  <c r="B32" i="2"/>
  <c r="C12" i="4"/>
  <c r="F19" i="4"/>
  <c r="M10" i="4"/>
  <c r="I11" i="4"/>
  <c r="G17" i="4"/>
  <c r="F14" i="4"/>
  <c r="D14" i="4"/>
  <c r="D208" i="3"/>
  <c r="B10" i="2" s="1"/>
  <c r="B7" i="4"/>
  <c r="B12" i="4"/>
  <c r="E19" i="4"/>
  <c r="B24" i="2"/>
  <c r="H11" i="4"/>
  <c r="D19" i="4"/>
  <c r="D11" i="4"/>
  <c r="O9" i="4"/>
  <c r="G11" i="4"/>
  <c r="C19" i="4"/>
  <c r="F16" i="4"/>
  <c r="G8" i="4"/>
  <c r="N7" i="4"/>
  <c r="Q15" i="4"/>
  <c r="Q19" i="4"/>
  <c r="Q8" i="4"/>
  <c r="Q9" i="4"/>
  <c r="R6" i="4"/>
  <c r="Q17" i="4"/>
  <c r="Q11" i="4"/>
  <c r="Q14" i="4"/>
  <c r="Q7" i="4"/>
  <c r="Q10" i="4"/>
  <c r="Q13" i="4"/>
  <c r="Q16" i="4"/>
  <c r="Q18" i="4"/>
  <c r="Q20" i="4" s="1"/>
  <c r="Q12" i="4"/>
  <c r="L15" i="4"/>
  <c r="M12" i="4"/>
  <c r="O18" i="4"/>
  <c r="L18" i="4"/>
  <c r="H15" i="4"/>
  <c r="I12" i="4"/>
  <c r="J9" i="4"/>
  <c r="P16" i="4"/>
  <c r="G15" i="4"/>
  <c r="H12" i="4"/>
  <c r="I9" i="4"/>
  <c r="J18" i="4"/>
  <c r="O16" i="4"/>
  <c r="F15" i="4"/>
  <c r="P13" i="4"/>
  <c r="G12" i="4"/>
  <c r="H9" i="4"/>
  <c r="I18" i="4"/>
  <c r="N16" i="4"/>
  <c r="E15" i="4"/>
  <c r="O13" i="4"/>
  <c r="F12" i="4"/>
  <c r="P10" i="4"/>
  <c r="G9" i="4"/>
  <c r="H18" i="4"/>
  <c r="H20" i="4" s="1"/>
  <c r="M16" i="4"/>
  <c r="D15" i="4"/>
  <c r="N13" i="4"/>
  <c r="E12" i="4"/>
  <c r="O10" i="4"/>
  <c r="F9" i="4"/>
  <c r="P7" i="4"/>
  <c r="G18" i="4"/>
  <c r="L16" i="4"/>
  <c r="C15" i="4"/>
  <c r="M13" i="4"/>
  <c r="D12" i="4"/>
  <c r="N10" i="4"/>
  <c r="E9" i="4"/>
  <c r="O7" i="4"/>
  <c r="F18" i="4"/>
  <c r="K9" i="4"/>
  <c r="K16" i="4"/>
  <c r="P11" i="4"/>
  <c r="F10" i="4"/>
  <c r="L17" i="4"/>
  <c r="C16" i="4"/>
  <c r="M14" i="4"/>
  <c r="D13" i="4"/>
  <c r="N11" i="4"/>
  <c r="E10" i="4"/>
  <c r="O8" i="4"/>
  <c r="F7" i="4"/>
  <c r="P19" i="4"/>
  <c r="P15" i="4"/>
  <c r="O12" i="4"/>
  <c r="N9" i="4"/>
  <c r="K15" i="4"/>
  <c r="L12" i="4"/>
  <c r="N18" i="4"/>
  <c r="K12" i="4"/>
  <c r="L10" i="4"/>
  <c r="G10" i="4"/>
  <c r="O11" i="4"/>
  <c r="K17" i="4"/>
  <c r="B16" i="4"/>
  <c r="L14" i="4"/>
  <c r="C13" i="4"/>
  <c r="M11" i="4"/>
  <c r="D10" i="4"/>
  <c r="N8" i="4"/>
  <c r="E7" i="4"/>
  <c r="O19" i="4"/>
  <c r="N15" i="4"/>
  <c r="L9" i="4"/>
  <c r="M18" i="4"/>
  <c r="I15" i="4"/>
  <c r="L13" i="4"/>
  <c r="K13" i="4"/>
  <c r="I16" i="4"/>
  <c r="J13" i="4"/>
  <c r="K10" i="4"/>
  <c r="L7" i="4"/>
  <c r="O17" i="4"/>
  <c r="N17" i="4"/>
  <c r="N14" i="4"/>
  <c r="G7" i="4"/>
  <c r="J17" i="4"/>
  <c r="K14" i="4"/>
  <c r="B13" i="4"/>
  <c r="L11" i="4"/>
  <c r="C10" i="4"/>
  <c r="M8" i="4"/>
  <c r="D7" i="4"/>
  <c r="N19" i="4"/>
  <c r="J12" i="4"/>
  <c r="H16" i="4"/>
  <c r="H13" i="4"/>
  <c r="G13" i="4"/>
  <c r="I7" i="4"/>
  <c r="F13" i="4"/>
  <c r="H7" i="4"/>
  <c r="M17" i="4"/>
  <c r="I17" i="4"/>
  <c r="J14" i="4"/>
  <c r="K11" i="4"/>
  <c r="B10" i="4"/>
  <c r="L8" i="4"/>
  <c r="M19" i="4"/>
  <c r="P9" i="4"/>
  <c r="N12" i="4"/>
  <c r="P18" i="4"/>
  <c r="J15" i="4"/>
  <c r="K18" i="4"/>
  <c r="K20" i="4" s="1"/>
  <c r="J16" i="4"/>
  <c r="M7" i="4"/>
  <c r="I13" i="4"/>
  <c r="J10" i="4"/>
  <c r="K7" i="4"/>
  <c r="P17" i="4"/>
  <c r="J7" i="4"/>
  <c r="H10" i="4"/>
  <c r="O14" i="4"/>
  <c r="E13" i="4"/>
  <c r="P8" i="4"/>
  <c r="H17" i="4"/>
  <c r="I14" i="4"/>
  <c r="J11" i="4"/>
  <c r="K8" i="4"/>
  <c r="O15" i="4"/>
  <c r="P12" i="4"/>
  <c r="M15" i="4"/>
  <c r="M9" i="4"/>
  <c r="G16" i="4"/>
  <c r="I10" i="4"/>
  <c r="P14" i="4"/>
  <c r="B19" i="2"/>
  <c r="D207" i="3"/>
  <c r="N20" i="4" l="1"/>
  <c r="L20" i="4"/>
  <c r="O20" i="4"/>
  <c r="P20" i="4"/>
  <c r="B33" i="2"/>
  <c r="D209" i="3"/>
  <c r="B9" i="2"/>
  <c r="C20" i="4"/>
  <c r="C23" i="2"/>
  <c r="C32" i="2"/>
  <c r="C29" i="2"/>
  <c r="B25" i="2"/>
  <c r="C25" i="2" s="1"/>
  <c r="C18" i="2"/>
  <c r="C31" i="2"/>
  <c r="C16" i="2"/>
  <c r="F20" i="4"/>
  <c r="I20" i="4"/>
  <c r="J20" i="4"/>
  <c r="G20" i="4"/>
  <c r="C24" i="2"/>
  <c r="C30" i="2"/>
  <c r="M20" i="4"/>
  <c r="R12" i="4"/>
  <c r="R15" i="4"/>
  <c r="S6" i="4"/>
  <c r="R11" i="4"/>
  <c r="R9" i="4"/>
  <c r="R19" i="4"/>
  <c r="R8" i="4"/>
  <c r="R14" i="4"/>
  <c r="R16" i="4"/>
  <c r="R17" i="4"/>
  <c r="R18" i="4"/>
  <c r="R7" i="4"/>
  <c r="R10" i="4"/>
  <c r="R13" i="4"/>
  <c r="C19" i="2"/>
  <c r="B35" i="2" l="1"/>
  <c r="C35" i="2" s="1"/>
  <c r="B11" i="2"/>
  <c r="C17" i="2"/>
  <c r="C28" i="2"/>
  <c r="C22" i="2"/>
  <c r="R20" i="4"/>
  <c r="C33" i="2"/>
  <c r="S9" i="4"/>
  <c r="T9" i="4" s="1"/>
  <c r="S12" i="4"/>
  <c r="T12" i="4" s="1"/>
  <c r="S19" i="4"/>
  <c r="T19" i="4" s="1"/>
  <c r="S16" i="4"/>
  <c r="T16" i="4" s="1"/>
  <c r="S15" i="4"/>
  <c r="T15" i="4" s="1"/>
  <c r="S11" i="4"/>
  <c r="T11" i="4" s="1"/>
  <c r="S18" i="4"/>
  <c r="S20" i="4" s="1"/>
  <c r="S8" i="4"/>
  <c r="T8" i="4" s="1"/>
  <c r="S14" i="4"/>
  <c r="T14" i="4" s="1"/>
  <c r="S17" i="4"/>
  <c r="T17" i="4" s="1"/>
  <c r="S13" i="4"/>
  <c r="T13" i="4" s="1"/>
  <c r="S7" i="4"/>
  <c r="T7" i="4" s="1"/>
  <c r="S10" i="4"/>
  <c r="T10" i="4" s="1"/>
  <c r="T18" i="4" l="1"/>
  <c r="T20" i="4"/>
</calcChain>
</file>

<file path=xl/sharedStrings.xml><?xml version="1.0" encoding="utf-8"?>
<sst xmlns="http://schemas.openxmlformats.org/spreadsheetml/2006/main" count="1487" uniqueCount="426">
  <si>
    <t/>
  </si>
  <si>
    <t>Transaction Details</t>
  </si>
  <si>
    <t>Platinum Card® / Jan 01, 2025 to Dec 31, 2025</t>
  </si>
  <si>
    <t>Prepared for</t>
  </si>
  <si>
    <t>JOHN L DUNNING</t>
  </si>
  <si>
    <t>Account Number</t>
  </si>
  <si>
    <t>XXXX-XXXXXX-27001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</si>
  <si>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</si>
  <si>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</si>
  <si>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</si>
  <si>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</si>
  <si>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</si>
  <si>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</si>
  <si>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</si>
  <si>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Category</t>
  </si>
  <si>
    <t>12/31/2025</t>
  </si>
  <si>
    <t>PRIME VIDEO CHANNELSAMZN.COM/BILL       WA</t>
  </si>
  <si>
    <t>-27001</t>
  </si>
  <si>
    <t>3QK5GQ9GBL6 DIGITAL
PRIME VIDEO CHANNELS
AMZN.COM/BILL
WA
DIGITAL</t>
  </si>
  <si>
    <t>12/29/2025</t>
  </si>
  <si>
    <t>53RR35MYGQS DIGITAL
PRIME VIDEO CHANNELS
AMZN.COM/BILL
WA
DIGITAL</t>
  </si>
  <si>
    <t>12/28/2025</t>
  </si>
  <si>
    <t>ONLINE PAYMENT - THANK YOU</t>
  </si>
  <si>
    <t xml:space="preserve">ONLINE PAYMENT - THANK YOU
</t>
  </si>
  <si>
    <t>6MANALPUIXX DIGITAL
PRIME VIDEO CHANNELS
AMZN.COM/BILL
WA
DIGITAL</t>
  </si>
  <si>
    <t>12/22/2025</t>
  </si>
  <si>
    <t>4476FN18PAD DIGITAL
PRIME VIDEO CHANNELS
AMZN.COM/BILL
WA
DIGITAL</t>
  </si>
  <si>
    <t>12/17/2025</t>
  </si>
  <si>
    <t>AMAZON PRIME*6D4319NAMZN.COM/BILL       WA</t>
  </si>
  <si>
    <t>79P427D5IIX DIGITAL
AMAZON PRIME*6D4319NP3
AMZN.COM/BILL
WA
DIGITAL</t>
  </si>
  <si>
    <t>12/14/2025</t>
  </si>
  <si>
    <t>60565C58WFI DIGITAL
PRIME VIDEO CHANNELS
AMZN.COM/BILL
WA
DIGITAL</t>
  </si>
  <si>
    <t>12/13/2025</t>
  </si>
  <si>
    <t>74LUAQB1HHI DIGITAL
PRIME VIDEO CHANNELS
AMZN.COM/BILL
WA
DIGITAL</t>
  </si>
  <si>
    <t>12/09/2025</t>
  </si>
  <si>
    <t>4CGX7HXTJWS DIGITAL
PRIME VIDEO CHANNELS
AMZN.COM/BILL
WA
DIGITAL</t>
  </si>
  <si>
    <t>12/02/2025</t>
  </si>
  <si>
    <t>Amazon Prime        Amazon.com          WA</t>
  </si>
  <si>
    <t>4ZOWVCAMIYL SUBSCRIPTION
Amazon Prime
Amazon.com
WA
SUBSCRIPTION</t>
  </si>
  <si>
    <t>PACOS TACOS         LOS ANGELES         CA</t>
  </si>
  <si>
    <t>84600079    310-850-1336
PACOS TACOS
LOS ANGELES
CA
Description : FOOD/BEVERAGE Price : 0.00
310-850-1336</t>
  </si>
  <si>
    <t>RENOUVEAUM* RENOUVEALOS ANGELES         CA</t>
  </si>
  <si>
    <t>CH_3SA33SHU +14697464855
RENOUVEAUM* RENOUVEAUM
LOS ANGELES
CA
+14697464855</t>
  </si>
  <si>
    <t>11/30/2025</t>
  </si>
  <si>
    <t>JINFMZ10ZTO DIGITAL
PRIME VIDEO CHANNELS
AMZN.COM/BILL
WA
DIGITAL</t>
  </si>
  <si>
    <t>11/29/2025</t>
  </si>
  <si>
    <t>FCKHB6QJY3G DIGITAL
PRIME VIDEO CHANNELS
AMZN.COM/BILL
WA
DIGITAL</t>
  </si>
  <si>
    <t>11/28/2025</t>
  </si>
  <si>
    <t>27FT8I6BV8B DIGITAL
PRIME VIDEO CHANNELS
AMZN.COM/BILL
WA
DIGITAL</t>
  </si>
  <si>
    <t>11/27/2025</t>
  </si>
  <si>
    <t>7-ELEVEN 46332 00074MALIBU              CA</t>
  </si>
  <si>
    <t>900081128 7 999-999-9999
7-ELEVEN 46332 00074633201
MALIBU
CA
Description : GAS/MSC97  90083201 Price : 0.0738
999-999-9999</t>
  </si>
  <si>
    <t>AMAZON.COM          AMZN.COM/BILL       WA</t>
  </si>
  <si>
    <t>E7SRWVC56LU MERCHANDISE
AMAZON.COM
AMZN.COM/BILL
WA
MERCHANDISE</t>
  </si>
  <si>
    <t>AMZN DIGITAL*B20PZ4R888-802-3080        WA</t>
  </si>
  <si>
    <t>6CMB2B4D513 DIGITAL
AMZN DIGITAL*B20PZ4R91
888-802-3080
WA
DIGITAL</t>
  </si>
  <si>
    <t>11/26/2025</t>
  </si>
  <si>
    <t>CUSTOMER SERVICE PAYMENT - THANK YOU</t>
  </si>
  <si>
    <t xml:space="preserve">CUSTOMER SERVICE PAYMENT - THANK YOU
</t>
  </si>
  <si>
    <t>11/24/2025</t>
  </si>
  <si>
    <t>CVS PHARMACY        LOS ANGELES         CA</t>
  </si>
  <si>
    <t>10032815   8007467287
PHARMACIES
CVS PHARMACY
LOS ANGELES
CA
PHARMACIES
8007467287</t>
  </si>
  <si>
    <t>TST* BLUEYS KITCHEN LOS ANGELES         CA</t>
  </si>
  <si>
    <t>21105175329 RESTAURANT
TST* BLUEYS KITCHEN MAR V 00098618
LOS ANGELES
CA
RESTAURANT</t>
  </si>
  <si>
    <t>11/23/2025</t>
  </si>
  <si>
    <t>THE HANGAR          Santa Monica        CA</t>
  </si>
  <si>
    <t xml:space="preserve">Beb2KZIHn2M squareup.com/receipts
THE HANGAR
Santa Monica
CA
</t>
  </si>
  <si>
    <t xml:space="preserve">fhbbLTy5S16 squareup.com/receipts
THE HANGAR
Santa Monica
CA
</t>
  </si>
  <si>
    <t>11/22/2025</t>
  </si>
  <si>
    <t>2TYJX6UBHJ7 DIGITAL
PRIME VIDEO CHANNELS
AMZN.COM/BILL
WA
DIGITAL</t>
  </si>
  <si>
    <t>11/17/2025</t>
  </si>
  <si>
    <t>AMAZON PRIME*B891K9WAMZN.COM/BILL       WA</t>
  </si>
  <si>
    <t>41CMMV5PL55 DIGITAL
AMAZON PRIME*B891K9W82
AMZN.COM/BILL
WA
DIGITAL</t>
  </si>
  <si>
    <t>11/14/2025</t>
  </si>
  <si>
    <t>6JRNVAC4V2T DIGITAL
PRIME VIDEO CHANNELS
AMZN.COM/BILL
WA
DIGITAL</t>
  </si>
  <si>
    <t>11/13/2025</t>
  </si>
  <si>
    <t>54PEX513AR5 DIGITAL
PRIME VIDEO CHANNELS
AMZN.COM/BILL
WA
DIGITAL</t>
  </si>
  <si>
    <t>11/09/2025</t>
  </si>
  <si>
    <t>536YVJMVJJC DIGITAL
PRIME VIDEO CHANNELS
AMZN.COM/BILL
WA
DIGITAL</t>
  </si>
  <si>
    <t>11/02/2025</t>
  </si>
  <si>
    <t>2XNU8A2H4XI SUBSCRIPTION
Amazon Prime
Amazon.com
WA
SUBSCRIPTION</t>
  </si>
  <si>
    <t>10/31/2025</t>
  </si>
  <si>
    <t>63VKP761ABJ DIGITAL
PRIME VIDEO CHANNELS
AMZN.COM/BILL
WA
DIGITAL</t>
  </si>
  <si>
    <t>10/29/2025</t>
  </si>
  <si>
    <t>Y2TLPG34913 DIGITAL
PRIME VIDEO CHANNELS
AMZN.COM/BILL
WA
DIGITAL</t>
  </si>
  <si>
    <t>10/28/2025</t>
  </si>
  <si>
    <t>1PYESD6Y5UP DIGITAL
PRIME VIDEO CHANNELS
AMZN.COM/BILL
WA
DIGITAL</t>
  </si>
  <si>
    <t>10/27/2025</t>
  </si>
  <si>
    <t>10/22/2025</t>
  </si>
  <si>
    <t>599DPFVFPLZ DIGITAL
PRIME VIDEO CHANNELS
AMZN.COM/BILL
WA
DIGITAL</t>
  </si>
  <si>
    <t>10/18/2025</t>
  </si>
  <si>
    <t>AMAZON PRIME*NM1B50XAMZN.COM/BILL       WA</t>
  </si>
  <si>
    <t>2MC1DN63784 DIGITAL
AMAZON PRIME*NM1B50XO2
AMZN.COM/BILL
WA
DIGITAL</t>
  </si>
  <si>
    <t>CHIPOTLE 2250 2250  WEATHERFORD         TX</t>
  </si>
  <si>
    <t>010873      303-595-4000
CHIPOTLE 2250 2250
WEATHERFORD
TX
Description : FAST FOOD RESTAURAN Price : 0.00
303-595-4000</t>
  </si>
  <si>
    <t>10/14/2025</t>
  </si>
  <si>
    <t>4P6VC52FUYV DIGITAL
PRIME VIDEO CHANNELS
AMZN.COM/BILL
WA
DIGITAL</t>
  </si>
  <si>
    <t>48CIZNFZAQ4 DIGITAL
PRIME VIDEO CHANNELS
AMZN.COM/BILL
WA
DIGITAL</t>
  </si>
  <si>
    <t>10/09/2025</t>
  </si>
  <si>
    <t>3B5VNYG748Y DIGITAL
PRIME VIDEO CHANNELS
AMZN.COM/BILL
WA
DIGITAL</t>
  </si>
  <si>
    <t>10/06/2025</t>
  </si>
  <si>
    <t>10043226   8007467287
PHARMACIES
CVS PHARMACY
LOS ANGELES
CA
PHARMACIES
8007467287</t>
  </si>
  <si>
    <t>10/03/2025</t>
  </si>
  <si>
    <t>Interest Charge on Pay Over Time Purchases</t>
  </si>
  <si>
    <t xml:space="preserve">Interest Charge on Pay Over Time Purchases
</t>
  </si>
  <si>
    <t>10/02/2025</t>
  </si>
  <si>
    <t>4099A51RJCD SUBSCRIPTION
Amazon Prime
Amazon.com
WA
SUBSCRIPTION</t>
  </si>
  <si>
    <t>09/30/2025</t>
  </si>
  <si>
    <t>6EQ9BO12WAC DIGITAL
PRIME VIDEO CHANNELS
AMZN.COM/BILL
WA
DIGITAL</t>
  </si>
  <si>
    <t>09/29/2025</t>
  </si>
  <si>
    <t>110RWQ2OJP8 DIGITAL
PRIME VIDEO CHANNELS
AMZN.COM/BILL
WA
DIGITAL</t>
  </si>
  <si>
    <t>09/28/2025</t>
  </si>
  <si>
    <t>LJWDR5URY29 DIGITAL
PRIME VIDEO CHANNELS
AMZN.COM/BILL
WA
DIGITAL</t>
  </si>
  <si>
    <t>09/22/2025</t>
  </si>
  <si>
    <t>5B3NVHZWM2S DIGITAL
PRIME VIDEO CHANNELS
AMZN.COM/BILL
WA
DIGITAL</t>
  </si>
  <si>
    <t>09/18/2025</t>
  </si>
  <si>
    <t>AMAZON PRIME*473YR50AMZN.COM/BILL       WA</t>
  </si>
  <si>
    <t>3XLE4KIWOR5 DIGITAL
AMAZON PRIME*473YR50J3
AMZN.COM/BILL
WA
DIGITAL</t>
  </si>
  <si>
    <t>09/14/2025</t>
  </si>
  <si>
    <t>2N3CW8NU49M DIGITAL
PRIME VIDEO CHANNELS
AMZN.COM/BILL
WA
DIGITAL</t>
  </si>
  <si>
    <t>5DEJZUUJCNX DIGITAL
PRIME VIDEO CHANNELS
AMZN.COM/BILL
WA
DIGITAL</t>
  </si>
  <si>
    <t>09/09/2025</t>
  </si>
  <si>
    <t>6BSZLRHGDQR DIGITAL
PRIME VIDEO CHANNELS
AMZN.COM/BILL
WA
DIGITAL</t>
  </si>
  <si>
    <t>09/03/2025</t>
  </si>
  <si>
    <t>09/02/2025</t>
  </si>
  <si>
    <t>35D9F6KN1FD SUBSCRIPTION
Amazon Prime
Amazon.com
WA
SUBSCRIPTION</t>
  </si>
  <si>
    <t>08/31/2025</t>
  </si>
  <si>
    <t>08/29/2025</t>
  </si>
  <si>
    <t>3Q1M4LGTGVJ DIGITAL
PRIME VIDEO CHANNELS
AMZN.COM/BILL
WA
DIGITAL</t>
  </si>
  <si>
    <t>08/28/2025</t>
  </si>
  <si>
    <t>1XVAUI1DSU6 DIGITAL
PRIME VIDEO CHANNELS
AMZN.COM/BILL
WA
DIGITAL</t>
  </si>
  <si>
    <t>08/22/2025</t>
  </si>
  <si>
    <t>2OSN6DN5QBU DIGITAL
PRIME VIDEO CHANNELS
AMZN.COM/BILL
WA
DIGITAL</t>
  </si>
  <si>
    <t>08/18/2025</t>
  </si>
  <si>
    <t>AMAZON PRIME*IK61V6NAMZN.COM/BILL       WA</t>
  </si>
  <si>
    <t>2CVERXTKPCJ DIGITAL
AMAZON PRIME*IK61V6NZ3
AMZN.COM/BILL
WA
DIGITAL</t>
  </si>
  <si>
    <t>08/14/2025</t>
  </si>
  <si>
    <t>54F3WIDUS7F DIGITAL
PRIME VIDEO CHANNELS
AMZN.COM/BILL
WA
DIGITAL</t>
  </si>
  <si>
    <t>XXPA8KV4M1D DIGITAL
PRIME VIDEO CHANNELS
AMZN.COM/BILL
WA
DIGITAL</t>
  </si>
  <si>
    <t>08/09/2025</t>
  </si>
  <si>
    <t>USMMED3DEFX DIGITAL
PRIME VIDEO CHANNELS
AMZN.COM/BILL
WA
DIGITAL</t>
  </si>
  <si>
    <t>08/04/2025</t>
  </si>
  <si>
    <t>08/03/2025</t>
  </si>
  <si>
    <t>08/02/2025</t>
  </si>
  <si>
    <t>2P5HDEVTR1M SUBSCRIPTION
Amazon Prime
Amazon.com
WA
SUBSCRIPTION</t>
  </si>
  <si>
    <t>07/31/2025</t>
  </si>
  <si>
    <t>7BO50HEMGFY DIGITAL
PRIME VIDEO CHANNELS
AMZN.COM/BILL
WA
DIGITAL</t>
  </si>
  <si>
    <t>07/29/2025</t>
  </si>
  <si>
    <t>4UM53UKZON9 DIGITAL
PRIME VIDEO CHANNELS
AMZN.COM/BILL
WA
DIGITAL</t>
  </si>
  <si>
    <t>07/28/2025</t>
  </si>
  <si>
    <t>LATE FEE</t>
  </si>
  <si>
    <t xml:space="preserve">LATE FEE
</t>
  </si>
  <si>
    <t>2ER9SDUPZID DIGITAL
PRIME VIDEO CHANNELS
AMZN.COM/BILL
WA
DIGITAL</t>
  </si>
  <si>
    <t>07/22/2025</t>
  </si>
  <si>
    <t>67O3SAV2THP DIGITAL
PRIME VIDEO CHANNELS
AMZN.COM/BILL
WA
DIGITAL</t>
  </si>
  <si>
    <t>07/18/2025</t>
  </si>
  <si>
    <t>AMAZON PRIME*W31WL8FAMZN.COM/BILL       WA</t>
  </si>
  <si>
    <t>58SKUGC46EM DIGITAL
AMAZON PRIME*W31WL8F13
AMZN.COM/BILL
WA
DIGITAL</t>
  </si>
  <si>
    <t>07/14/2025</t>
  </si>
  <si>
    <t>6L7305W6S4C DIGITAL
PRIME VIDEO CHANNELS
AMZN.COM/BILL
WA
DIGITAL</t>
  </si>
  <si>
    <t>612JNXBNKMR DIGITAL
PRIME VIDEO CHANNELS
AMZN.COM/BILL
WA
DIGITAL</t>
  </si>
  <si>
    <t>07/09/2025</t>
  </si>
  <si>
    <t>5ZAMZN38CDV DIGITAL
PRIME VIDEO CHANNELS
AMZN.COM/BILL
WA
DIGITAL</t>
  </si>
  <si>
    <t>07/03/2025</t>
  </si>
  <si>
    <t>07/02/2025</t>
  </si>
  <si>
    <t>3FT6FKLSN3U SUBSCRIPTION
Amazon Prime
Amazon.com
WA
SUBSCRIPTION</t>
  </si>
  <si>
    <t>06/30/2025</t>
  </si>
  <si>
    <t>1NL1XKMFRE2 DIGITAL
PRIME VIDEO CHANNELS
AMZN.COM/BILL
WA
DIGITAL</t>
  </si>
  <si>
    <t>06/29/2025</t>
  </si>
  <si>
    <t>5I2IO8AGRVY DIGITAL
PRIME VIDEO CHANNELS
AMZN.COM/BILL
WA
DIGITAL</t>
  </si>
  <si>
    <t>06/28/2025</t>
  </si>
  <si>
    <t>6SBITJ8KMTJ DIGITAL
PRIME VIDEO CHANNELS
AMZN.COM/BILL
WA
DIGITAL</t>
  </si>
  <si>
    <t>06/27/2025</t>
  </si>
  <si>
    <t>COSTAR* COSTAR      ARLINGTON           VA</t>
  </si>
  <si>
    <t>CH_3RECQOJ1 +18008944720
COSTAR* COSTAR
ARLINGTON
VA
+18008944720</t>
  </si>
  <si>
    <t>06/22/2025</t>
  </si>
  <si>
    <t>6INYPMFY3RL DIGITAL
PRIME VIDEO CHANNELS
AMZN.COM/BILL
WA
DIGITAL</t>
  </si>
  <si>
    <t>06/18/2025</t>
  </si>
  <si>
    <t>AMAZON PRIME*NO2CD3XAMZN.COM/BILL       WA</t>
  </si>
  <si>
    <t>2QPY30IQFTF DIGITAL
AMAZON PRIME*NO2CD3XS2
AMZN.COM/BILL
WA
DIGITAL</t>
  </si>
  <si>
    <t>06/14/2025</t>
  </si>
  <si>
    <t>6YD9463CI25 DIGITAL
PRIME VIDEO CHANNELS
AMZN.COM/BILL
WA
DIGITAL</t>
  </si>
  <si>
    <t>3ZMYZWHJYG7 DIGITAL
PRIME VIDEO CHANNELS
AMZN.COM/BILL
WA
DIGITAL</t>
  </si>
  <si>
    <t>06/12/2025</t>
  </si>
  <si>
    <t>Epay3*RealCare InsurSonoma              CA</t>
  </si>
  <si>
    <t xml:space="preserve">3FlwpYuRsEK https://epay3.com/
Epay3*RealCare Insurance Marke
Sonoma
CA
</t>
  </si>
  <si>
    <t>06/09/2025</t>
  </si>
  <si>
    <t>2LAJCZSXE1C DIGITAL
PRIME VIDEO CHANNELS
AMZN.COM/BILL
WA
DIGITAL</t>
  </si>
  <si>
    <t>06/06/2025</t>
  </si>
  <si>
    <t>06/03/2025</t>
  </si>
  <si>
    <t>06/02/2025</t>
  </si>
  <si>
    <t>3EIY7SCZ104 SUBSCRIPTION
Amazon Prime
Amazon.com
WA
SUBSCRIPTION</t>
  </si>
  <si>
    <t>05/31/2025</t>
  </si>
  <si>
    <t>1MB3HWEEM68 DIGITAL
PRIME VIDEO CHANNELS
AMZN.COM/BILL
WA
DIGITAL</t>
  </si>
  <si>
    <t>05/30/2025</t>
  </si>
  <si>
    <t>CITY OF SANTA MONICASANTA MONICA        CA</t>
  </si>
  <si>
    <t>577176     100003747209162  90401
CITY OF SANTA MONICA
SANTA MONICA
CA
100003747209162  90401</t>
  </si>
  <si>
    <t>05/29/2025</t>
  </si>
  <si>
    <t>6BT14VSNC91 DIGITAL
PRIME VIDEO CHANNELS
AMZN.COM/BILL
WA
DIGITAL</t>
  </si>
  <si>
    <t>05/28/2025</t>
  </si>
  <si>
    <t>56UNF2NAJKK DIGITAL
PRIME VIDEO CHANNELS
AMZN.COM/BILL
WA
DIGITAL</t>
  </si>
  <si>
    <t>05/22/2025</t>
  </si>
  <si>
    <t>JCSBO9V5VV1 DIGITAL
PRIME VIDEO CHANNELS
AMZN.COM/BILL
WA
DIGITAL</t>
  </si>
  <si>
    <t>05/18/2025</t>
  </si>
  <si>
    <t>AMAZON PRIME*NZ6X585AMZN.COM/BILL       WA</t>
  </si>
  <si>
    <t>3JJRE6PSAV8 DIGITAL
AMAZON PRIME*NZ6X585Q2
AMZN.COM/BILL
WA
DIGITAL</t>
  </si>
  <si>
    <t>05/14/2025</t>
  </si>
  <si>
    <t>L13PZTULM07 DIGITAL
PRIME VIDEO CHANNELS
AMZN.COM/BILL
WA
DIGITAL</t>
  </si>
  <si>
    <t>NOD4PGCSIJW DIGITAL
PRIME VIDEO CHANNELS
AMZN.COM/BILL
WA
DIGITAL</t>
  </si>
  <si>
    <t>05/09/2025</t>
  </si>
  <si>
    <t>1YZAB5DW2DX DIGITAL
PRIME VIDEO CHANNELS
AMZN.COM/BILL
WA
DIGITAL</t>
  </si>
  <si>
    <t>05/02/2025</t>
  </si>
  <si>
    <t>1Z0C7PIKB97 SUBSCRIPTION
Amazon Prime
Amazon.com
WA
SUBSCRIPTION</t>
  </si>
  <si>
    <t>04/30/2025</t>
  </si>
  <si>
    <t>2EA5SOW5CHK DIGITAL
PRIME VIDEO CHANNELS
AMZN.COM/BILL
WA
DIGITAL</t>
  </si>
  <si>
    <t>04/29/2025</t>
  </si>
  <si>
    <t>444AA82E4KG DIGITAL
PRIME VIDEO CHANNELS
AMZN.COM/BILL
WA
DIGITAL</t>
  </si>
  <si>
    <t>04/28/2025</t>
  </si>
  <si>
    <t>1YCA7BLDD1C DIGITAL
PRIME VIDEO CHANNELS
AMZN.COM/BILL
WA
DIGITAL</t>
  </si>
  <si>
    <t>04/22/2025</t>
  </si>
  <si>
    <t>ZGNR0BV2CF4 DIGITAL
PRIME VIDEO CHANNELS
AMZN.COM/BILL
WA
DIGITAL</t>
  </si>
  <si>
    <t>04/17/2025</t>
  </si>
  <si>
    <t>AMAZON PRIME*IG2HX3TAMZN.COM/BILL       WA</t>
  </si>
  <si>
    <t>67RO8IR7M1O DIGITAL
AMAZON PRIME*IG2HX3TU3
AMZN.COM/BILL
WA
DIGITAL</t>
  </si>
  <si>
    <t>04/14/2025</t>
  </si>
  <si>
    <t>1DQMVKUPFNR DIGITAL
PRIME VIDEO CHANNELS
AMZN.COM/BILL
WA
DIGITAL</t>
  </si>
  <si>
    <t>7HB7D8VOC8O DIGITAL
PRIME VIDEO CHANNELS
AMZN.COM/BILL
WA
DIGITAL</t>
  </si>
  <si>
    <t>04/10/2025</t>
  </si>
  <si>
    <t>04/03/2025</t>
  </si>
  <si>
    <t>04/02/2025</t>
  </si>
  <si>
    <t>1FUX6E0KFBB SUBSCRIPTION
Amazon Prime
Amazon.com
WA
SUBSCRIPTION</t>
  </si>
  <si>
    <t>03/31/2025</t>
  </si>
  <si>
    <t>5988FPTJO6L DIGITAL
PRIME VIDEO CHANNELS
AMZN.COM/BILL
WA
DIGITAL</t>
  </si>
  <si>
    <t>03/29/2025</t>
  </si>
  <si>
    <t>471YDEIGRDO DIGITAL
PRIME VIDEO CHANNELS
AMZN.COM/BILL
WA
DIGITAL</t>
  </si>
  <si>
    <t>03/28/2025</t>
  </si>
  <si>
    <t>3NVA6QRUD5N DIGITAL
PRIME VIDEO CHANNELS
AMZN.COM/BILL
WA
DIGITAL</t>
  </si>
  <si>
    <t>03/22/2025</t>
  </si>
  <si>
    <t>4MZCPV1EVVE DIGITAL
PRIME VIDEO CHANNELS
AMZN.COM/BILL
WA
DIGITAL</t>
  </si>
  <si>
    <t>03/17/2025</t>
  </si>
  <si>
    <t>AMAZON PRIME*Y38W26XAMZN.COM/BILL       WA</t>
  </si>
  <si>
    <t>4P9609R7TZ6 DIGITAL
AMAZON PRIME*Y38W26XJ3
AMZN.COM/BILL
WA
DIGITAL</t>
  </si>
  <si>
    <t>03/14/2025</t>
  </si>
  <si>
    <t>6X6XMIUY0N0 DIGITAL
PRIME VIDEO CHANNELS
AMZN.COM/BILL
WA
DIGITAL</t>
  </si>
  <si>
    <t>5D5CY0O7WUH DIGITAL
PRIME VIDEO CHANNELS
AMZN.COM/BILL
WA
DIGITAL</t>
  </si>
  <si>
    <t>03/09/2025</t>
  </si>
  <si>
    <t>2Y15JDEQW4I DIGITAL
PRIME VIDEO CHANNELS
AMZN.COM/BILL
WA
DIGITAL</t>
  </si>
  <si>
    <t>03/03/2025</t>
  </si>
  <si>
    <t>RENEWAL MEMBERSHIP FEE</t>
  </si>
  <si>
    <t xml:space="preserve">RENEWAL MEMBERSHIP FEE
</t>
  </si>
  <si>
    <t>03/02/2025</t>
  </si>
  <si>
    <t>1G01CQOGROR SUBSCRIPTION
Amazon Prime
Amazon.com
WA
SUBSCRIPTION</t>
  </si>
  <si>
    <t>02/28/2025</t>
  </si>
  <si>
    <t>1BPTY9J7BRO DIGITAL
PRIME VIDEO CHANNELS
AMZN.COM/BILL
WA
DIGITAL</t>
  </si>
  <si>
    <t>4Z5BCWN8QUK DIGITAL
PRIME VIDEO CHANNELS
AMZN.COM/BILL
WA
DIGITAL</t>
  </si>
  <si>
    <t>14Y1EIZ0FXC DIGITAL
PRIME VIDEO CHANNELS
AMZN.COM/BILL
WA
DIGITAL</t>
  </si>
  <si>
    <t>02/24/2025</t>
  </si>
  <si>
    <t>02/22/2025</t>
  </si>
  <si>
    <t>2TPDECU1XZQ DIGITAL
PRIME VIDEO CHANNELS
AMZN.COM/BILL
WA
DIGITAL</t>
  </si>
  <si>
    <t>02/14/2025</t>
  </si>
  <si>
    <t>1OPEXRFCAVX DIGITAL
PRIME VIDEO CHANNELS
AMZN.COM/BILL
WA
DIGITAL</t>
  </si>
  <si>
    <t>444IX6B3H2Y DIGITAL
PRIME VIDEO CHANNELS
AMZN.COM/BILL
WA
DIGITAL</t>
  </si>
  <si>
    <t>02/09/2025</t>
  </si>
  <si>
    <t>5DLWX2SD7KZ DIGITAL
PRIME VIDEO CHANNELS
AMZN.COM/BILL
WA
DIGITAL</t>
  </si>
  <si>
    <t>02/02/2025</t>
  </si>
  <si>
    <t>63V4JMNXQ3H SUBSCRIPTION
Amazon Prime
Amazon.com
WA
SUBSCRIPTION</t>
  </si>
  <si>
    <t>01/31/2025</t>
  </si>
  <si>
    <t>2N4LRN5DWFJ DIGITAL
PRIME VIDEO CHANNELS
AMZN.COM/BILL
WA
DIGITAL</t>
  </si>
  <si>
    <t>01/29/2025</t>
  </si>
  <si>
    <t>1VAHKFOPRW0 DIGITAL
PRIME VIDEO CHANNELS
AMZN.COM/BILL
WA
DIGITAL</t>
  </si>
  <si>
    <t>01/28/2025</t>
  </si>
  <si>
    <t>2M1KKDSDH53 DIGITAL
PRIME VIDEO CHANNELS
AMZN.COM/BILL
WA
DIGITAL</t>
  </si>
  <si>
    <t>01/22/2025</t>
  </si>
  <si>
    <t>617PZBFSGUS DIGITAL
PRIME VIDEO CHANNELS
AMZN.COM/BILL
WA
DIGITAL</t>
  </si>
  <si>
    <t>01/14/2025</t>
  </si>
  <si>
    <t>326FXZ9CCV2 DIGITAL
PRIME VIDEO CHANNELS
AMZN.COM/BILL
WA
DIGITAL</t>
  </si>
  <si>
    <t>5NGKC2P2M1X DIGITAL
PRIME VIDEO CHANNELS
AMZN.COM/BILL
WA
DIGITAL</t>
  </si>
  <si>
    <t>01/09/2025</t>
  </si>
  <si>
    <t>5RY71JRDZYD DIGITAL
PRIME VIDEO CHANNELS
AMZN.COM/BILL
WA
DIGITAL</t>
  </si>
  <si>
    <t>01/02/2025</t>
  </si>
  <si>
    <t>6Z3D0KHCA56 SUBSCRIPTION
Amazon Prime
Amazon.com
WA
SUBSCRIPTION</t>
  </si>
  <si>
    <t>Charges</t>
  </si>
  <si>
    <t>Total</t>
  </si>
  <si>
    <t>Online AMEX Payment</t>
  </si>
  <si>
    <t>Personal - Amazon</t>
  </si>
  <si>
    <t>Personal - Food</t>
  </si>
  <si>
    <t>Personal - Health</t>
  </si>
  <si>
    <t>Personal - Car</t>
  </si>
  <si>
    <t>Personal - House</t>
  </si>
  <si>
    <t>DWG - Costar Billing</t>
  </si>
  <si>
    <t>E&amp;O Insurance Payment</t>
  </si>
  <si>
    <t>American Express — The Platinum Card</t>
  </si>
  <si>
    <t>The Platinum Card®  |  Transaction Detail</t>
  </si>
  <si>
    <t>Account Holder</t>
  </si>
  <si>
    <t>John L Dunning</t>
  </si>
  <si>
    <t>Account</t>
  </si>
  <si>
    <t>Statement Period</t>
  </si>
  <si>
    <t>Jan 1, 2025 – Dec 31, 2025</t>
  </si>
  <si>
    <t>Entity</t>
  </si>
  <si>
    <t>Merchant</t>
  </si>
  <si>
    <t>B/P</t>
  </si>
  <si>
    <t>Reimb.</t>
  </si>
  <si>
    <t>Notes</t>
  </si>
  <si>
    <t>Totals</t>
  </si>
  <si>
    <t>Credits &amp; Payments</t>
  </si>
  <si>
    <t>Net Balance</t>
  </si>
  <si>
    <t>The Platinum Card®  |  Statement Summary</t>
  </si>
  <si>
    <t>Jan 2025 - Dec 2025</t>
  </si>
  <si>
    <t>TOTALS</t>
  </si>
  <si>
    <t>SPEND BY CATEGORY</t>
  </si>
  <si>
    <t>% of Charges</t>
  </si>
  <si>
    <t>Business / DWG</t>
  </si>
  <si>
    <t xml:space="preserve">  Subtotal — Business</t>
  </si>
  <si>
    <t>Card Fees &amp; Interest</t>
  </si>
  <si>
    <t xml:space="preserve">  Subtotal — Fees &amp; Interest</t>
  </si>
  <si>
    <t>Personal</t>
  </si>
  <si>
    <t xml:space="preserve">  Subtotal — Personal</t>
  </si>
  <si>
    <t>TOTAL CHARGES</t>
  </si>
  <si>
    <t>The Platinum Card®  |  Monthly Breakdown</t>
  </si>
  <si>
    <t>Period</t>
  </si>
  <si>
    <t>Total Charges</t>
  </si>
  <si>
    <t>Net</t>
  </si>
  <si>
    <t>5H26486N6Z3 SUBSCRIPTION
Amazon Prime
Amazon.com
WA
SUBSCRIPTION</t>
  </si>
  <si>
    <t>01/02/2026</t>
  </si>
  <si>
    <t>5TC54I31KOY DIGITAL
PRIME VIDEO CHANNELS
AMZN.COM/BILL
WA
DIGITAL</t>
  </si>
  <si>
    <t>01/09/2026</t>
  </si>
  <si>
    <t>6GER4ZWUAKA DIGITAL
PRIME VIDEO CHANNELS
AMZN.COM/BILL
WA
DIGITAL</t>
  </si>
  <si>
    <t>01/14/2026</t>
  </si>
  <si>
    <t>513FZQ7L5O3 DIGITAL
PRIME VIDEO CHANNELS
AMZN.COM/BILL
WA
DIGITAL</t>
  </si>
  <si>
    <t>AMAZON PRIME*LU0F265AMZN.COM/BILL       WA</t>
  </si>
  <si>
    <t>1SJG9WXQRI6 DIGITAL
AMAZON PRIME*LU0F265L3
AMZN.COM/BILL
WA
DIGITAL</t>
  </si>
  <si>
    <t>01/17/2026</t>
  </si>
  <si>
    <t>5YWDMGO9I74 DIGITAL
PRIME VIDEO CHANNELS
AMZN.COM/BILL
WA
DIGITAL</t>
  </si>
  <si>
    <t>01/22/2026</t>
  </si>
  <si>
    <t>01/24/2026</t>
  </si>
  <si>
    <t>ESPRESSO            LAS VEGAS           NV</t>
  </si>
  <si>
    <t>741524144518     89109
ESPRESSO
LAS VEGAS
NV
741524144518     89109</t>
  </si>
  <si>
    <t>01/26/2026</t>
  </si>
  <si>
    <t>6M2VR8P65TF DIGITAL
PRIME VIDEO CHANNELS
AMZN.COM/BILL
WA
DIGITAL</t>
  </si>
  <si>
    <t>01/28/2026</t>
  </si>
  <si>
    <t>7FEZ5IO7LMN DIGITAL
PRIME VIDEO CHANNELS
AMZN.COM/BILL
WA
DIGITAL</t>
  </si>
  <si>
    <t>01/29/2026</t>
  </si>
  <si>
    <t>3TKAVOY5ZJV DIGITAL
PRIME VIDEO CHANNELS
AMZN.COM/BILL
WA
DIGITAL</t>
  </si>
  <si>
    <t>01/31/2026</t>
  </si>
  <si>
    <t>29U67JSXG82 SUBSCRIPTION
Amazon Prime
Amazon.com
WA
SUBSCRIPTION</t>
  </si>
  <si>
    <t>02/01/2026</t>
  </si>
  <si>
    <t>Bridge Loan - JC Whitner</t>
  </si>
  <si>
    <t>WEALTH COLLECTIVE   IRVINE              CA</t>
  </si>
  <si>
    <t>CH_3SXAZFEX +16614760666
WEALTH COLLECTIVE
IRVINE
CA
+16614760666</t>
  </si>
  <si>
    <t>02/05/2026</t>
  </si>
  <si>
    <t>22SU99XO3U4 DIGITAL
PRIME VIDEO CHANNELS
AMZN.COM/BILL
WA
DIGITAL</t>
  </si>
  <si>
    <t>02/09/2026</t>
  </si>
  <si>
    <t>6P7HTLPAAHX DIGITAL
PRIME VIDEO CHANNELS
AMZN.COM/BILL
WA
DIGITAL</t>
  </si>
  <si>
    <t>02/14/2026</t>
  </si>
  <si>
    <t>2EAWCYA2M9Y DIGITAL
PRIME VIDEO CHANNELS
AMZN.COM/BILL
WA
DIGITAL</t>
  </si>
  <si>
    <t>AMAZON PRIME*B98K824AMZN.COM/BILL       WA</t>
  </si>
  <si>
    <t>2TEJCCXGNUB DIGITAL
AMAZON PRIME*B98K824E2
AMZN.COM/BILL
WA
DIGITAL</t>
  </si>
  <si>
    <t>02/17/2026</t>
  </si>
  <si>
    <t>5825V31AQ4S DIGITAL
PRIME VIDEO CHANNELS
AMZN.COM/BILL
WA
DIGITAL</t>
  </si>
  <si>
    <t>02/22/2026</t>
  </si>
  <si>
    <t>02/24/2026</t>
  </si>
  <si>
    <t>AMAZON DIGITAL SVCS AMZN.COM/BILL       WA</t>
  </si>
  <si>
    <t>6RDEHBYQFM8 DIGITAL
AMAZON DIGITAL SVCS
AMZN.COM/BILL
WA
DIGITAL</t>
  </si>
  <si>
    <t>02/28/2026</t>
  </si>
  <si>
    <t>61HFQ2I79H2 DIGITAL
AMAZON DIGITAL SVCS
AMZN.COM/BILL
WA
DIGITAL</t>
  </si>
  <si>
    <t>6GDW0NC1KJH DIGITAL
AMAZON DIGITAL SVCS
AMZN.COM/BILL
WA
DIGITAL</t>
  </si>
  <si>
    <t>1BRIYCYJ6UX SUBSCRIPTION
Amazon Prime
Amazon.com
WA
SUBSCRIPTION</t>
  </si>
  <si>
    <t>03/02/2026</t>
  </si>
  <si>
    <t>03/03/2026</t>
  </si>
  <si>
    <t>84600092    310-850-1336
PACOS TACOS
LOS ANGELES
CA
Description : FOOD/BEVERAGE Price : 0.00
310-850-1336</t>
  </si>
  <si>
    <t>03/04/2026</t>
  </si>
  <si>
    <t>4A1UPVKJAEN DIGITAL
AMAZON DIGITAL SVCS
AMZN.COM/BILL
WA
DIGITAL</t>
  </si>
  <si>
    <t>03/09/2026</t>
  </si>
  <si>
    <t>FNI5UZLJY3M DIGITAL
AMAZON DIGITAL SVCS
AMZN.COM/BILL
WA
DIGITAL</t>
  </si>
  <si>
    <t>03/14/2026</t>
  </si>
  <si>
    <t>5TD6UV7ZFQP DIGITAL
AMAZON DIGITAL SVCS
AMZN.COM/BILL
WA
DIGITAL</t>
  </si>
  <si>
    <t>AMAZON PRIME*BD62Y2GAMZN.COM/BILL       WA</t>
  </si>
  <si>
    <t>QF48VGOG2CF DIGITAL
AMAZON PRIME*BD62Y2GA1
AMZN.COM/BILL
WA
DIGITAL</t>
  </si>
  <si>
    <t>03/18/2026</t>
  </si>
  <si>
    <t>6CPBS70FC71 DIGITAL
AMAZON DIGITAL SVCS
AMZN.COM/BILL
WA
DIGITAL</t>
  </si>
  <si>
    <t>03/22/2026</t>
  </si>
  <si>
    <t>03/28/2026</t>
  </si>
  <si>
    <t>5I4OSE5YUZ6 DIGITAL
AMAZON DIGITAL SVCS
AMZN.COM/BILL
WA
DIGITAL</t>
  </si>
  <si>
    <t>DQF6FHCO2GX DIGITAL
AMAZON DIGITAL SVCS
AMZN.COM/BILL
WA
DIGITAL</t>
  </si>
  <si>
    <t>03/29/2026</t>
  </si>
  <si>
    <t>2P3Q0LCL7NY DIGITAL
AMAZON DIGITAL SVCS
AMZN.COM/BILL
WA
DIGITAL</t>
  </si>
  <si>
    <t>03/31/2026</t>
  </si>
  <si>
    <t>194LXEGINGZ SUBSCRIPTION
Amazon Prime
Amazon.com
WA
SUBSCRIPTION</t>
  </si>
  <si>
    <t>04/02/2026</t>
  </si>
  <si>
    <t>NATURALMENTE 3573261SEVILLA             ES</t>
  </si>
  <si>
    <t>0014517     RESTAURANT
NATURALMENTE 357326156
SEVILLA
ES
RESTAURANTForeign Spend Amount: 106.20 EURO Commission Amount:  Currency Exchange Rate: null</t>
  </si>
  <si>
    <t>04/06/2026</t>
  </si>
  <si>
    <t>04/08/2026</t>
  </si>
  <si>
    <t>3FIFFFP58RJ DIGITAL
AMAZON DIGITAL SVCS
AMZN.COM/BILL
WA
DIGITAL</t>
  </si>
  <si>
    <t>04/09/2026</t>
  </si>
  <si>
    <t>5TOY1ELRNZD DIGITAL
AMAZON DIGITAL SVCS
AMZN.COM/BILL
WA
DIGITAL</t>
  </si>
  <si>
    <t>04/14/2026</t>
  </si>
  <si>
    <t>5C3VYG41N3L DIGITAL
AMAZON DIGITAL SVCS
AMZN.COM/BILL
WA
DIGITAL</t>
  </si>
  <si>
    <t>AMAZON PRIME*BY8J583AMZN.COM/BILL       WA</t>
  </si>
  <si>
    <t>7FUGL2C4HUR DIGITAL
AMAZON PRIME*BY8J583P1
AMZN.COM/BILL
WA
DIGITAL</t>
  </si>
  <si>
    <t>04/18/2026</t>
  </si>
  <si>
    <t>5VM0GSFAZN8 DIGITAL
AMAZON DIGITAL SVCS
AMZN.COM/BILL
WA
DIGITAL</t>
  </si>
  <si>
    <t>04/22/2026</t>
  </si>
  <si>
    <t>5OJ2UAMF59V DIGITAL
AMAZON DIGITAL SVCS
AMZN.COM/BILL
WA
DIGITAL</t>
  </si>
  <si>
    <t>04/28/2026</t>
  </si>
  <si>
    <t>T10O6IXWQNM DIGITAL
AMAZON DIGITAL SVCS
AMZN.COM/BILL
WA
DIGITAL</t>
  </si>
  <si>
    <t>04/29/2026</t>
  </si>
  <si>
    <t>46IDX3EZWU2 DIGITAL
AMAZON DIGITAL SVCS
AMZN.COM/BILL
WA
DIGITAL</t>
  </si>
  <si>
    <t>04/30/2026</t>
  </si>
  <si>
    <t>4Q40467Q7LT SUBSCRIPTION
Amazon Prime
Amazon.com
WA
SUBSCRIPTION</t>
  </si>
  <si>
    <t>05/02/2026</t>
  </si>
  <si>
    <t>5Y73M6FGFGI DIGITAL
AMAZON DIGITAL SVCS
AMZN.COM/BILL
WA
DIGITAL</t>
  </si>
  <si>
    <t>05/09/2026</t>
  </si>
  <si>
    <t>05/11/2026</t>
  </si>
  <si>
    <t>2FZS2WX0TTV DIGITAL
AMAZON DIGITAL SVCS
AMZN.COM/BILL
WA
DIGITAL</t>
  </si>
  <si>
    <t>05/14/2026</t>
  </si>
  <si>
    <t>5EX0WLQGEJ0 DIGITAL
AMAZON DIGITAL SVCS
AMZN.COM/BILL
WA
DIGITAL</t>
  </si>
  <si>
    <t>AMAZON PRIME*BF01455AMZN.COM/BILL       WA</t>
  </si>
  <si>
    <t>4NFXLEEQAQP DIGITAL
AMAZON PRIME*BF0145590
AMZN.COM/BILL
WA
DIGITAL</t>
  </si>
  <si>
    <t>05/18/2026</t>
  </si>
  <si>
    <t>5EQM5O88DTP DIGITAL
AMAZON DIGITAL SVCS
AMZN.COM/BILL
WA
DIGITAL</t>
  </si>
  <si>
    <t>05/22/2026</t>
  </si>
  <si>
    <t>05/27/2026</t>
  </si>
  <si>
    <t>3CIX5Y0WP6O BOOK STORES
AMAZON.COM
AMZN.COM/BILL
WA
BOOK STORES</t>
  </si>
  <si>
    <t>Platinum Card® / Jan 01, 2026 to Jun 12, 2026</t>
  </si>
  <si>
    <t>Jan 2025 – Present (through Jun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</si>
</sst>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&quot;$&quot;#,##0.00;\(&quot;$&quot;#,##0.00\);\-"/>
    <numFmt numFmtId="166" formatCode="0.0%"/>
    <numFmt numFmtId="168" formatCode="&quot;$&quot;#,##0;\(&quot;$&quot;#,##0\);\-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  <fill>
      <patternFill patternType="solid">
        <fgColor rgb="FF2C2C2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7" fillId="0" borderId="1"/>
  </cellStyleXfs>
  <cellXfs count="5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center" wrapText="1"/>
    </xf>
    <xf numFmtId="2" fontId="5" fillId="3" borderId="3" xfId="0" applyNumberFormat="1" applyFont="1" applyFill="1" applyBorder="1" applyAlignment="1">
      <alignment horizontal="right" wrapText="1"/>
    </xf>
    <xf numFmtId="2" fontId="6" fillId="2" borderId="3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0" fillId="5" borderId="0" xfId="0" applyFill="1"/>
    <xf numFmtId="0" fontId="8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0" borderId="0" xfId="0" applyFont="1"/>
    <xf numFmtId="0" fontId="9" fillId="5" borderId="0" xfId="0" applyFont="1" applyFill="1" applyAlignment="1">
      <alignment horizontal="center"/>
    </xf>
    <xf numFmtId="0" fontId="9" fillId="5" borderId="2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1" fillId="0" borderId="0" xfId="0" applyNumberFormat="1" applyFont="1"/>
    <xf numFmtId="0" fontId="11" fillId="0" borderId="4" xfId="0" applyFont="1" applyBorder="1"/>
    <xf numFmtId="165" fontId="11" fillId="0" borderId="4" xfId="0" applyNumberFormat="1" applyFont="1" applyBorder="1"/>
    <xf numFmtId="0" fontId="12" fillId="0" borderId="0" xfId="0" applyFont="1"/>
    <xf numFmtId="0" fontId="9" fillId="5" borderId="0" xfId="0" applyFont="1" applyFill="1" applyAlignment="1">
      <alignment horizontal="right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5" fontId="14" fillId="0" borderId="0" xfId="0" applyNumberFormat="1" applyFont="1"/>
    <xf numFmtId="0" fontId="13" fillId="0" borderId="4" xfId="0" applyFont="1" applyBorder="1"/>
    <xf numFmtId="165" fontId="13" fillId="0" borderId="4" xfId="0" applyNumberFormat="1" applyFont="1" applyBorder="1"/>
    <xf numFmtId="0" fontId="13" fillId="6" borderId="0" xfId="0" applyFont="1" applyFill="1"/>
    <xf numFmtId="166" fontId="14" fillId="0" borderId="0" xfId="0" applyNumberFormat="1" applyFont="1"/>
    <xf numFmtId="166" fontId="13" fillId="0" borderId="4" xfId="0" applyNumberFormat="1" applyFont="1" applyBorder="1"/>
    <xf numFmtId="0" fontId="15" fillId="0" borderId="5" xfId="0" applyFont="1" applyBorder="1"/>
    <xf numFmtId="165" fontId="15" fillId="0" borderId="5" xfId="0" applyNumberFormat="1" applyFont="1" applyBorder="1"/>
    <xf numFmtId="166" fontId="15" fillId="0" borderId="5" xfId="0" applyNumberFormat="1" applyFont="1" applyBorder="1"/>
    <xf numFmtId="168" fontId="14" fillId="0" borderId="0" xfId="0" applyNumberFormat="1" applyFont="1"/>
    <xf numFmtId="168" fontId="13" fillId="0" borderId="0" xfId="0" applyNumberFormat="1" applyFont="1"/>
    <xf numFmtId="168" fontId="13" fillId="0" borderId="4" xfId="0" applyNumberFormat="1" applyFont="1" applyBorder="1"/>
    <xf numFmtId="0" fontId="13" fillId="0" borderId="2" xfId="0" applyFont="1" applyBorder="1"/>
    <xf numFmtId="168" fontId="13" fillId="0" borderId="2" xfId="0" applyNumberFormat="1" applyFont="1" applyBorder="1"/>
    <xf numFmtId="0" fontId="7" fillId="0" borderId="1" xfId="1"/>
    <xf numFmtId="0" fontId="3" fillId="2" borderId="3" xfId="1" applyFont="1" applyFill="1" applyBorder="1" applyAlignment="1">
      <alignment horizontal="left" wrapText="1"/>
    </xf>
    <xf numFmtId="0" fontId="3" fillId="3" borderId="3" xfId="1" applyFont="1" applyFill="1" applyBorder="1" applyAlignment="1">
      <alignment horizontal="left" wrapText="1"/>
    </xf>
    <xf numFmtId="2" fontId="3" fillId="3" borderId="3" xfId="1" applyNumberFormat="1" applyFont="1" applyFill="1" applyBorder="1" applyAlignment="1">
      <alignment horizontal="right" wrapText="1"/>
    </xf>
    <xf numFmtId="2" fontId="3" fillId="2" borderId="3" xfId="1" applyNumberFormat="1" applyFont="1" applyFill="1" applyBorder="1" applyAlignment="1">
      <alignment horizontal="right" wrapText="1"/>
    </xf>
    <xf numFmtId="0" fontId="1" fillId="4" borderId="2" xfId="1" applyFont="1" applyFill="1" applyBorder="1" applyAlignment="1">
      <alignment horizontal="center" wrapText="1"/>
    </xf>
    <xf numFmtId="0" fontId="2" fillId="2" borderId="1" xfId="1" applyFont="1" applyFill="1" applyAlignment="1">
      <alignment horizontal="left" wrapText="1"/>
    </xf>
    <xf numFmtId="0" fontId="3" fillId="2" borderId="1" xfId="1" applyFont="1" applyFill="1" applyAlignment="1">
      <alignment horizontal="left" wrapText="1"/>
    </xf>
    <xf numFmtId="0" fontId="1" fillId="2" borderId="1" xfId="1" applyFont="1" applyFill="1" applyAlignment="1">
      <alignment horizontal="left" vertical="center" wrapText="1"/>
    </xf>
    <xf numFmtId="17" fontId="9" fillId="5" borderId="0" xfId="0" applyNumberFormat="1" applyFont="1" applyFill="1" applyAlignment="1">
      <alignment horizontal="center"/>
    </xf>
    <xf numFmtId="0" fontId="13" fillId="7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14" fillId="8" borderId="0" xfId="0" applyFont="1" applyFill="1"/>
    <xf numFmtId="0" fontId="0" fillId="7" borderId="0" xfId="0" applyFill="1"/>
  </cellXfs>
  <cellStyles count="2">
    <cellStyle name="Normal" xfId="0" builtinId="0"/>
    <cellStyle name="Normal 2" xfId="1" xr:uid="{FA52B80F-B7AC-4060-BA33-A9213C89F5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171B05-5B0D-4364-8265-65FE34AF60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bd2ce0c-c96a-472a-9170-16e60be8446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workbookViewId="0">
      <selection activeCell="E15" sqref="E15"/>
    </sheetView>
  </sheetViews>
  <sheetFormatPr defaultColWidth="26.28515625" defaultRowHeight="15" x14ac:dyDescent="0.25"/>
  <cols>
    <col min="1" max="1" width="55.28515625" customWidth="1"/>
    <col min="2" max="2" width="33.85546875" customWidth="1"/>
    <col min="3" max="3" width="18.140625" customWidth="1"/>
  </cols>
  <sheetData>
    <row r="1" spans="1:3" ht="36" customHeight="1" x14ac:dyDescent="0.35">
      <c r="A1" s="12" t="s">
        <v>291</v>
      </c>
      <c r="B1" s="9"/>
      <c r="C1" s="9"/>
    </row>
    <row r="2" spans="1:3" x14ac:dyDescent="0.25">
      <c r="A2" s="10" t="s">
        <v>306</v>
      </c>
      <c r="B2" s="9"/>
      <c r="C2" s="9"/>
    </row>
    <row r="4" spans="1:3" x14ac:dyDescent="0.25">
      <c r="A4" s="24" t="s">
        <v>293</v>
      </c>
      <c r="B4" s="25" t="s">
        <v>294</v>
      </c>
      <c r="C4" s="25"/>
    </row>
    <row r="5" spans="1:3" x14ac:dyDescent="0.25">
      <c r="A5" s="24" t="s">
        <v>295</v>
      </c>
      <c r="B5" s="25" t="s">
        <v>6</v>
      </c>
      <c r="C5" s="25"/>
    </row>
    <row r="6" spans="1:3" x14ac:dyDescent="0.25">
      <c r="A6" s="13" t="s">
        <v>296</v>
      </c>
      <c r="B6" t="s">
        <v>425</v>
      </c>
    </row>
    <row r="8" spans="1:3" ht="15.75" x14ac:dyDescent="0.25">
      <c r="A8" s="22" t="s">
        <v>308</v>
      </c>
    </row>
    <row r="9" spans="1:3" x14ac:dyDescent="0.25">
      <c r="A9" s="25" t="s">
        <v>281</v>
      </c>
      <c r="B9" s="27">
        <f>'Transaction Details'!D207</f>
        <v>18556.540000000052</v>
      </c>
      <c r="C9" s="25"/>
    </row>
    <row r="10" spans="1:3" x14ac:dyDescent="0.25">
      <c r="A10" s="25" t="s">
        <v>304</v>
      </c>
      <c r="B10" s="27">
        <f>'Transaction Details'!D208</f>
        <v>-18560.46</v>
      </c>
      <c r="C10" s="25"/>
    </row>
    <row r="11" spans="1:3" x14ac:dyDescent="0.25">
      <c r="A11" s="28" t="s">
        <v>305</v>
      </c>
      <c r="B11" s="29">
        <f>B9+B10</f>
        <v>-3.9199999999473221</v>
      </c>
      <c r="C11" s="25"/>
    </row>
    <row r="12" spans="1:3" x14ac:dyDescent="0.25">
      <c r="A12" s="25"/>
      <c r="B12" s="25"/>
      <c r="C12" s="25"/>
    </row>
    <row r="13" spans="1:3" ht="15.75" x14ac:dyDescent="0.25">
      <c r="A13" s="26" t="s">
        <v>309</v>
      </c>
      <c r="B13" s="25"/>
      <c r="C13" s="25"/>
    </row>
    <row r="14" spans="1:3" x14ac:dyDescent="0.25">
      <c r="A14" s="11" t="s">
        <v>14</v>
      </c>
      <c r="B14" s="23" t="s">
        <v>11</v>
      </c>
      <c r="C14" s="23" t="s">
        <v>310</v>
      </c>
    </row>
    <row r="15" spans="1:3" x14ac:dyDescent="0.25">
      <c r="A15" s="30" t="s">
        <v>311</v>
      </c>
      <c r="B15" s="30"/>
      <c r="C15" s="30"/>
    </row>
    <row r="16" spans="1:3" x14ac:dyDescent="0.25">
      <c r="A16" s="25" t="s">
        <v>289</v>
      </c>
      <c r="B16" s="27">
        <f>SUMIFS('Transaction Details'!D:D,'Transaction Details'!C:C,A16)</f>
        <v>4623.59</v>
      </c>
      <c r="C16" s="31">
        <f>IFERROR(B16/$B$9,0)</f>
        <v>0.24916228995275991</v>
      </c>
    </row>
    <row r="17" spans="1:3" x14ac:dyDescent="0.25">
      <c r="A17" s="25" t="s">
        <v>290</v>
      </c>
      <c r="B17" s="27">
        <f>SUMIFS('Transaction Details'!D:D,'Transaction Details'!C:C,A17)</f>
        <v>2788.42</v>
      </c>
      <c r="C17" s="31">
        <f>IFERROR(B17/$B$9,0)</f>
        <v>0.15026615953189507</v>
      </c>
    </row>
    <row r="18" spans="1:3" x14ac:dyDescent="0.25">
      <c r="A18" s="25" t="s">
        <v>346</v>
      </c>
      <c r="B18" s="27">
        <f>SUMIFS('Transaction Details'!D:D,'Transaction Details'!C:C,A18)</f>
        <v>3000</v>
      </c>
      <c r="C18" s="31">
        <f>IFERROR(B18/$B$9,0)</f>
        <v>0.16166806958624785</v>
      </c>
    </row>
    <row r="19" spans="1:3" x14ac:dyDescent="0.25">
      <c r="A19" s="28" t="s">
        <v>312</v>
      </c>
      <c r="B19" s="29">
        <f>SUM(B16:B18)</f>
        <v>10412.01</v>
      </c>
      <c r="C19" s="32">
        <f>IFERROR(B19/$B$9,0)</f>
        <v>0.56109651907090285</v>
      </c>
    </row>
    <row r="20" spans="1:3" x14ac:dyDescent="0.25">
      <c r="A20" s="25"/>
      <c r="B20" s="25"/>
      <c r="C20" s="25"/>
    </row>
    <row r="21" spans="1:3" x14ac:dyDescent="0.25">
      <c r="A21" s="30" t="s">
        <v>313</v>
      </c>
      <c r="B21" s="30"/>
      <c r="C21" s="30"/>
    </row>
    <row r="22" spans="1:3" x14ac:dyDescent="0.25">
      <c r="A22" s="25" t="s">
        <v>248</v>
      </c>
      <c r="B22" s="27">
        <f>SUMIFS('Transaction Details'!D:D,'Transaction Details'!C:C,A22)</f>
        <v>1590</v>
      </c>
      <c r="C22" s="31">
        <f>IFERROR(B22/$B$9,0)</f>
        <v>8.5684076880711363E-2</v>
      </c>
    </row>
    <row r="23" spans="1:3" x14ac:dyDescent="0.25">
      <c r="A23" s="25" t="s">
        <v>150</v>
      </c>
      <c r="B23" s="27">
        <f>SUMIFS('Transaction Details'!D:D,'Transaction Details'!C:C,A23)</f>
        <v>160</v>
      </c>
      <c r="C23" s="31">
        <f>IFERROR(B23/$B$9,0)</f>
        <v>8.6222970445998855E-3</v>
      </c>
    </row>
    <row r="24" spans="1:3" x14ac:dyDescent="0.25">
      <c r="A24" s="25" t="s">
        <v>103</v>
      </c>
      <c r="B24" s="27">
        <f>SUMIFS('Transaction Details'!D:D,'Transaction Details'!C:C,A24)</f>
        <v>243.99999999999997</v>
      </c>
      <c r="C24" s="31">
        <f>IFERROR(B24/$B$9,0)</f>
        <v>1.3149002993014823E-2</v>
      </c>
    </row>
    <row r="25" spans="1:3" x14ac:dyDescent="0.25">
      <c r="A25" s="28" t="s">
        <v>314</v>
      </c>
      <c r="B25" s="29">
        <f>SUM(B22:B24)</f>
        <v>1994</v>
      </c>
      <c r="C25" s="32">
        <f>IFERROR(B25/$B$9,0)</f>
        <v>0.10745537691832607</v>
      </c>
    </row>
    <row r="26" spans="1:3" x14ac:dyDescent="0.25">
      <c r="A26" s="25"/>
      <c r="B26" s="25"/>
      <c r="C26" s="25"/>
    </row>
    <row r="27" spans="1:3" x14ac:dyDescent="0.25">
      <c r="A27" s="30" t="s">
        <v>315</v>
      </c>
      <c r="B27" s="30"/>
      <c r="C27" s="30"/>
    </row>
    <row r="28" spans="1:3" x14ac:dyDescent="0.25">
      <c r="A28" s="25" t="s">
        <v>284</v>
      </c>
      <c r="B28" s="27">
        <f>SUMIFS('Transaction Details'!D:D,'Transaction Details'!C:C,A28)</f>
        <v>2539.8299999999904</v>
      </c>
      <c r="C28" s="31">
        <f>IFERROR(B28/$B$9,0)</f>
        <v>0.13686980439241278</v>
      </c>
    </row>
    <row r="29" spans="1:3" x14ac:dyDescent="0.25">
      <c r="A29" s="25" t="s">
        <v>285</v>
      </c>
      <c r="B29" s="27">
        <f>SUMIFS('Transaction Details'!D:D,'Transaction Details'!C:C,A29)</f>
        <v>679.12</v>
      </c>
      <c r="C29" s="31">
        <f>IFERROR(B29/$B$9,0)</f>
        <v>3.6597339805804215E-2</v>
      </c>
    </row>
    <row r="30" spans="1:3" x14ac:dyDescent="0.25">
      <c r="A30" s="25" t="s">
        <v>286</v>
      </c>
      <c r="B30" s="27">
        <f>SUMIFS('Transaction Details'!D:D,'Transaction Details'!C:C,A30)</f>
        <v>334.58</v>
      </c>
      <c r="C30" s="31">
        <f>IFERROR(B30/$B$9,0)</f>
        <v>1.8030300907388934E-2</v>
      </c>
    </row>
    <row r="31" spans="1:3" x14ac:dyDescent="0.25">
      <c r="A31" s="25" t="s">
        <v>287</v>
      </c>
      <c r="B31" s="27">
        <f>SUMIFS('Transaction Details'!D:D,'Transaction Details'!C:C,A31)</f>
        <v>9.879999999999999</v>
      </c>
      <c r="C31" s="31">
        <f>IFERROR(B31/$B$9,0)</f>
        <v>5.3242684250404289E-4</v>
      </c>
    </row>
    <row r="32" spans="1:3" x14ac:dyDescent="0.25">
      <c r="A32" s="25" t="s">
        <v>288</v>
      </c>
      <c r="B32" s="27">
        <f>SUMIFS('Transaction Details'!D:D,'Transaction Details'!C:C,A32)</f>
        <v>2587.12</v>
      </c>
      <c r="C32" s="31">
        <f>IFERROR(B32/$B$9,0)</f>
        <v>0.13941823206265783</v>
      </c>
    </row>
    <row r="33" spans="1:3" x14ac:dyDescent="0.25">
      <c r="A33" s="28" t="s">
        <v>316</v>
      </c>
      <c r="B33" s="29">
        <f>SUM(B28:B32)</f>
        <v>6150.5299999999897</v>
      </c>
      <c r="C33" s="32">
        <f>IFERROR(B33/$B$9,0)</f>
        <v>0.3314481040107678</v>
      </c>
    </row>
    <row r="34" spans="1:3" x14ac:dyDescent="0.25">
      <c r="A34" s="25"/>
      <c r="B34" s="25"/>
      <c r="C34" s="25"/>
    </row>
    <row r="35" spans="1:3" ht="16.5" thickBot="1" x14ac:dyDescent="0.3">
      <c r="A35" s="33" t="s">
        <v>317</v>
      </c>
      <c r="B35" s="34">
        <f>B19+B25+B33</f>
        <v>18556.53999999999</v>
      </c>
      <c r="C35" s="35">
        <f>IFERROR(B35/$B$9,0)</f>
        <v>0.99999999999999667</v>
      </c>
    </row>
    <row r="36" spans="1:3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E5C7-6C77-4237-8CDE-2DD4F6A1EA82}">
  <dimension ref="A1:T20"/>
  <sheetViews>
    <sheetView workbookViewId="0">
      <pane xSplit="1" topLeftCell="B1" activePane="topRight" state="frozen"/>
      <selection pane="topRight" activeCell="V8" sqref="V8"/>
    </sheetView>
  </sheetViews>
  <sheetFormatPr defaultRowHeight="15" x14ac:dyDescent="0.25"/>
  <cols>
    <col min="1" max="1" width="45.7109375" customWidth="1"/>
    <col min="2" max="20" width="11" customWidth="1"/>
  </cols>
  <sheetData>
    <row r="1" spans="1:20" ht="21" x14ac:dyDescent="0.35">
      <c r="A1" s="12" t="s">
        <v>291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20" x14ac:dyDescent="0.25">
      <c r="A2" s="10" t="s">
        <v>318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20" x14ac:dyDescent="0.25">
      <c r="A4" s="24" t="s">
        <v>319</v>
      </c>
      <c r="B4" s="25" t="s">
        <v>307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20" x14ac:dyDescent="0.25">
      <c r="A5" s="25"/>
      <c r="B5" s="52">
        <v>2025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1">
        <v>2026</v>
      </c>
      <c r="O5" s="54"/>
      <c r="P5" s="54"/>
      <c r="Q5" s="54"/>
      <c r="R5" s="54"/>
      <c r="S5" s="54"/>
    </row>
    <row r="6" spans="1:20" x14ac:dyDescent="0.25">
      <c r="A6" s="11" t="s">
        <v>14</v>
      </c>
      <c r="B6" s="50">
        <f>DATE(2025,1,1)</f>
        <v>45658</v>
      </c>
      <c r="C6" s="50">
        <f>EDATE(B6,1)</f>
        <v>45689</v>
      </c>
      <c r="D6" s="50">
        <f>EDATE(C6,1)</f>
        <v>45717</v>
      </c>
      <c r="E6" s="50">
        <f>EDATE(D6,1)</f>
        <v>45748</v>
      </c>
      <c r="F6" s="50">
        <f>EDATE(E6,1)</f>
        <v>45778</v>
      </c>
      <c r="G6" s="50">
        <f>EDATE(F6,1)</f>
        <v>45809</v>
      </c>
      <c r="H6" s="50">
        <f>EDATE(G6,1)</f>
        <v>45839</v>
      </c>
      <c r="I6" s="50">
        <f>EDATE(H6,1)</f>
        <v>45870</v>
      </c>
      <c r="J6" s="50">
        <f>EDATE(I6,1)</f>
        <v>45901</v>
      </c>
      <c r="K6" s="50">
        <f>EDATE(J6,1)</f>
        <v>45931</v>
      </c>
      <c r="L6" s="50">
        <f>EDATE(K6,1)</f>
        <v>45962</v>
      </c>
      <c r="M6" s="50">
        <f>EDATE(L6,1)</f>
        <v>45992</v>
      </c>
      <c r="N6" s="50">
        <f>EDATE(M6,1)</f>
        <v>46023</v>
      </c>
      <c r="O6" s="50">
        <f>EDATE(N6,1)</f>
        <v>46054</v>
      </c>
      <c r="P6" s="50">
        <f>EDATE(O6,1)</f>
        <v>46082</v>
      </c>
      <c r="Q6" s="50">
        <f>EDATE(P6,1)</f>
        <v>46113</v>
      </c>
      <c r="R6" s="50">
        <f>EDATE(Q6,1)</f>
        <v>46143</v>
      </c>
      <c r="S6" s="50">
        <f>EDATE(R6,1)</f>
        <v>46174</v>
      </c>
      <c r="T6" s="14" t="s">
        <v>282</v>
      </c>
    </row>
    <row r="7" spans="1:20" x14ac:dyDescent="0.25">
      <c r="A7" s="25" t="s">
        <v>289</v>
      </c>
      <c r="B7" s="36">
        <f>SUMIFS('Transaction Details'!$D:$D,'Transaction Details'!$C:$C,$A7,'Transaction Details'!$A:$A,"&gt;="&amp;B$6,'Transaction Details'!$A:$A,"&lt;"&amp;EDATE(B$6,1))</f>
        <v>0</v>
      </c>
      <c r="C7" s="36">
        <f>SUMIFS('Transaction Details'!$D:$D,'Transaction Details'!$C:$C,$A7,'Transaction Details'!$A:$A,"&gt;="&amp;C$6,'Transaction Details'!$A:$A,"&lt;"&amp;EDATE(C$6,1))</f>
        <v>0</v>
      </c>
      <c r="D7" s="36">
        <f>SUMIFS('Transaction Details'!$D:$D,'Transaction Details'!$C:$C,$A7,'Transaction Details'!$A:$A,"&gt;="&amp;D$6,'Transaction Details'!$A:$A,"&lt;"&amp;EDATE(D$6,1))</f>
        <v>0</v>
      </c>
      <c r="E7" s="36">
        <f>SUMIFS('Transaction Details'!$D:$D,'Transaction Details'!$C:$C,$A7,'Transaction Details'!$A:$A,"&gt;="&amp;E$6,'Transaction Details'!$A:$A,"&lt;"&amp;EDATE(E$6,1))</f>
        <v>0</v>
      </c>
      <c r="F7" s="36">
        <f>SUMIFS('Transaction Details'!$D:$D,'Transaction Details'!$C:$C,$A7,'Transaction Details'!$A:$A,"&gt;="&amp;F$6,'Transaction Details'!$A:$A,"&lt;"&amp;EDATE(F$6,1))</f>
        <v>0</v>
      </c>
      <c r="G7" s="36">
        <f>SUMIFS('Transaction Details'!$D:$D,'Transaction Details'!$C:$C,$A7,'Transaction Details'!$A:$A,"&gt;="&amp;G$6,'Transaction Details'!$A:$A,"&lt;"&amp;EDATE(G$6,1))</f>
        <v>4623.59</v>
      </c>
      <c r="H7" s="36">
        <f>SUMIFS('Transaction Details'!$D:$D,'Transaction Details'!$C:$C,$A7,'Transaction Details'!$A:$A,"&gt;="&amp;H$6,'Transaction Details'!$A:$A,"&lt;"&amp;EDATE(H$6,1))</f>
        <v>0</v>
      </c>
      <c r="I7" s="36">
        <f>SUMIFS('Transaction Details'!$D:$D,'Transaction Details'!$C:$C,$A7,'Transaction Details'!$A:$A,"&gt;="&amp;I$6,'Transaction Details'!$A:$A,"&lt;"&amp;EDATE(I$6,1))</f>
        <v>0</v>
      </c>
      <c r="J7" s="36">
        <f>SUMIFS('Transaction Details'!$D:$D,'Transaction Details'!$C:$C,$A7,'Transaction Details'!$A:$A,"&gt;="&amp;J$6,'Transaction Details'!$A:$A,"&lt;"&amp;EDATE(J$6,1))</f>
        <v>0</v>
      </c>
      <c r="K7" s="36">
        <f>SUMIFS('Transaction Details'!$D:$D,'Transaction Details'!$C:$C,$A7,'Transaction Details'!$A:$A,"&gt;="&amp;K$6,'Transaction Details'!$A:$A,"&lt;"&amp;EDATE(K$6,1))</f>
        <v>0</v>
      </c>
      <c r="L7" s="36">
        <f>SUMIFS('Transaction Details'!$D:$D,'Transaction Details'!$C:$C,$A7,'Transaction Details'!$A:$A,"&gt;="&amp;L$6,'Transaction Details'!$A:$A,"&lt;"&amp;EDATE(L$6,1))</f>
        <v>0</v>
      </c>
      <c r="M7" s="36">
        <f>SUMIFS('Transaction Details'!$D:$D,'Transaction Details'!$C:$C,$A7,'Transaction Details'!$A:$A,"&gt;="&amp;M$6,'Transaction Details'!$A:$A,"&lt;"&amp;EDATE(M$6,1))</f>
        <v>0</v>
      </c>
      <c r="N7" s="36">
        <f>SUMIFS('Transaction Details'!$D:$D,'Transaction Details'!$C:$C,$A7,'Transaction Details'!$A:$A,"&gt;="&amp;N$6,'Transaction Details'!$A:$A,"&lt;"&amp;EDATE(N$6,1))</f>
        <v>0</v>
      </c>
      <c r="O7" s="36">
        <f>SUMIFS('Transaction Details'!$D:$D,'Transaction Details'!$C:$C,$A7,'Transaction Details'!$A:$A,"&gt;="&amp;O$6,'Transaction Details'!$A:$A,"&lt;"&amp;EDATE(O$6,1))</f>
        <v>0</v>
      </c>
      <c r="P7" s="36">
        <f>SUMIFS('Transaction Details'!$D:$D,'Transaction Details'!$C:$C,$A7,'Transaction Details'!$A:$A,"&gt;="&amp;P$6,'Transaction Details'!$A:$A,"&lt;"&amp;EDATE(P$6,1))</f>
        <v>0</v>
      </c>
      <c r="Q7" s="36">
        <f>SUMIFS('Transaction Details'!$D:$D,'Transaction Details'!$C:$C,$A7,'Transaction Details'!$A:$A,"&gt;="&amp;Q$6,'Transaction Details'!$A:$A,"&lt;"&amp;EDATE(Q$6,1))</f>
        <v>0</v>
      </c>
      <c r="R7" s="36">
        <f>SUMIFS('Transaction Details'!$D:$D,'Transaction Details'!$C:$C,$A7,'Transaction Details'!$A:$A,"&gt;="&amp;R$6,'Transaction Details'!$A:$A,"&lt;"&amp;EDATE(R$6,1))</f>
        <v>0</v>
      </c>
      <c r="S7" s="36">
        <f>SUMIFS('Transaction Details'!$D:$D,'Transaction Details'!$C:$C,$A7,'Transaction Details'!$A:$A,"&gt;="&amp;S$6,'Transaction Details'!$A:$A,"&lt;"&amp;EDATE(S$6,1))</f>
        <v>0</v>
      </c>
      <c r="T7" s="37">
        <f>SUM(B7:S7)</f>
        <v>4623.59</v>
      </c>
    </row>
    <row r="8" spans="1:20" x14ac:dyDescent="0.25">
      <c r="A8" s="25" t="s">
        <v>290</v>
      </c>
      <c r="B8" s="36">
        <f>SUMIFS('Transaction Details'!$D:$D,'Transaction Details'!$C:$C,$A8,'Transaction Details'!$A:$A,"&gt;="&amp;B$6,'Transaction Details'!$A:$A,"&lt;"&amp;EDATE(B$6,1))</f>
        <v>0</v>
      </c>
      <c r="C8" s="36">
        <f>SUMIFS('Transaction Details'!$D:$D,'Transaction Details'!$C:$C,$A8,'Transaction Details'!$A:$A,"&gt;="&amp;C$6,'Transaction Details'!$A:$A,"&lt;"&amp;EDATE(C$6,1))</f>
        <v>0</v>
      </c>
      <c r="D8" s="36">
        <f>SUMIFS('Transaction Details'!$D:$D,'Transaction Details'!$C:$C,$A8,'Transaction Details'!$A:$A,"&gt;="&amp;D$6,'Transaction Details'!$A:$A,"&lt;"&amp;EDATE(D$6,1))</f>
        <v>0</v>
      </c>
      <c r="E8" s="36">
        <f>SUMIFS('Transaction Details'!$D:$D,'Transaction Details'!$C:$C,$A8,'Transaction Details'!$A:$A,"&gt;="&amp;E$6,'Transaction Details'!$A:$A,"&lt;"&amp;EDATE(E$6,1))</f>
        <v>0</v>
      </c>
      <c r="F8" s="36">
        <f>SUMIFS('Transaction Details'!$D:$D,'Transaction Details'!$C:$C,$A8,'Transaction Details'!$A:$A,"&gt;="&amp;F$6,'Transaction Details'!$A:$A,"&lt;"&amp;EDATE(F$6,1))</f>
        <v>0</v>
      </c>
      <c r="G8" s="36">
        <f>SUMIFS('Transaction Details'!$D:$D,'Transaction Details'!$C:$C,$A8,'Transaction Details'!$A:$A,"&gt;="&amp;G$6,'Transaction Details'!$A:$A,"&lt;"&amp;EDATE(G$6,1))</f>
        <v>2788.42</v>
      </c>
      <c r="H8" s="36">
        <f>SUMIFS('Transaction Details'!$D:$D,'Transaction Details'!$C:$C,$A8,'Transaction Details'!$A:$A,"&gt;="&amp;H$6,'Transaction Details'!$A:$A,"&lt;"&amp;EDATE(H$6,1))</f>
        <v>0</v>
      </c>
      <c r="I8" s="36">
        <f>SUMIFS('Transaction Details'!$D:$D,'Transaction Details'!$C:$C,$A8,'Transaction Details'!$A:$A,"&gt;="&amp;I$6,'Transaction Details'!$A:$A,"&lt;"&amp;EDATE(I$6,1))</f>
        <v>0</v>
      </c>
      <c r="J8" s="36">
        <f>SUMIFS('Transaction Details'!$D:$D,'Transaction Details'!$C:$C,$A8,'Transaction Details'!$A:$A,"&gt;="&amp;J$6,'Transaction Details'!$A:$A,"&lt;"&amp;EDATE(J$6,1))</f>
        <v>0</v>
      </c>
      <c r="K8" s="36">
        <f>SUMIFS('Transaction Details'!$D:$D,'Transaction Details'!$C:$C,$A8,'Transaction Details'!$A:$A,"&gt;="&amp;K$6,'Transaction Details'!$A:$A,"&lt;"&amp;EDATE(K$6,1))</f>
        <v>0</v>
      </c>
      <c r="L8" s="36">
        <f>SUMIFS('Transaction Details'!$D:$D,'Transaction Details'!$C:$C,$A8,'Transaction Details'!$A:$A,"&gt;="&amp;L$6,'Transaction Details'!$A:$A,"&lt;"&amp;EDATE(L$6,1))</f>
        <v>0</v>
      </c>
      <c r="M8" s="36">
        <f>SUMIFS('Transaction Details'!$D:$D,'Transaction Details'!$C:$C,$A8,'Transaction Details'!$A:$A,"&gt;="&amp;M$6,'Transaction Details'!$A:$A,"&lt;"&amp;EDATE(M$6,1))</f>
        <v>0</v>
      </c>
      <c r="N8" s="36">
        <f>SUMIFS('Transaction Details'!$D:$D,'Transaction Details'!$C:$C,$A8,'Transaction Details'!$A:$A,"&gt;="&amp;N$6,'Transaction Details'!$A:$A,"&lt;"&amp;EDATE(N$6,1))</f>
        <v>0</v>
      </c>
      <c r="O8" s="36">
        <f>SUMIFS('Transaction Details'!$D:$D,'Transaction Details'!$C:$C,$A8,'Transaction Details'!$A:$A,"&gt;="&amp;O$6,'Transaction Details'!$A:$A,"&lt;"&amp;EDATE(O$6,1))</f>
        <v>0</v>
      </c>
      <c r="P8" s="36">
        <f>SUMIFS('Transaction Details'!$D:$D,'Transaction Details'!$C:$C,$A8,'Transaction Details'!$A:$A,"&gt;="&amp;P$6,'Transaction Details'!$A:$A,"&lt;"&amp;EDATE(P$6,1))</f>
        <v>0</v>
      </c>
      <c r="Q8" s="36">
        <f>SUMIFS('Transaction Details'!$D:$D,'Transaction Details'!$C:$C,$A8,'Transaction Details'!$A:$A,"&gt;="&amp;Q$6,'Transaction Details'!$A:$A,"&lt;"&amp;EDATE(Q$6,1))</f>
        <v>0</v>
      </c>
      <c r="R8" s="36">
        <f>SUMIFS('Transaction Details'!$D:$D,'Transaction Details'!$C:$C,$A8,'Transaction Details'!$A:$A,"&gt;="&amp;R$6,'Transaction Details'!$A:$A,"&lt;"&amp;EDATE(R$6,1))</f>
        <v>0</v>
      </c>
      <c r="S8" s="36">
        <f>SUMIFS('Transaction Details'!$D:$D,'Transaction Details'!$C:$C,$A8,'Transaction Details'!$A:$A,"&gt;="&amp;S$6,'Transaction Details'!$A:$A,"&lt;"&amp;EDATE(S$6,1))</f>
        <v>0</v>
      </c>
      <c r="T8" s="37">
        <f>SUM(B8:S8)</f>
        <v>2788.42</v>
      </c>
    </row>
    <row r="9" spans="1:20" x14ac:dyDescent="0.25">
      <c r="A9" s="25" t="s">
        <v>346</v>
      </c>
      <c r="B9" s="36">
        <f>SUMIFS('Transaction Details'!$D:$D,'Transaction Details'!$C:$C,$A9,'Transaction Details'!$A:$A,"&gt;="&amp;B$6,'Transaction Details'!$A:$A,"&lt;"&amp;EDATE(B$6,1))</f>
        <v>0</v>
      </c>
      <c r="C9" s="36">
        <f>SUMIFS('Transaction Details'!$D:$D,'Transaction Details'!$C:$C,$A9,'Transaction Details'!$A:$A,"&gt;="&amp;C$6,'Transaction Details'!$A:$A,"&lt;"&amp;EDATE(C$6,1))</f>
        <v>0</v>
      </c>
      <c r="D9" s="36">
        <f>SUMIFS('Transaction Details'!$D:$D,'Transaction Details'!$C:$C,$A9,'Transaction Details'!$A:$A,"&gt;="&amp;D$6,'Transaction Details'!$A:$A,"&lt;"&amp;EDATE(D$6,1))</f>
        <v>0</v>
      </c>
      <c r="E9" s="36">
        <f>SUMIFS('Transaction Details'!$D:$D,'Transaction Details'!$C:$C,$A9,'Transaction Details'!$A:$A,"&gt;="&amp;E$6,'Transaction Details'!$A:$A,"&lt;"&amp;EDATE(E$6,1))</f>
        <v>0</v>
      </c>
      <c r="F9" s="36">
        <f>SUMIFS('Transaction Details'!$D:$D,'Transaction Details'!$C:$C,$A9,'Transaction Details'!$A:$A,"&gt;="&amp;F$6,'Transaction Details'!$A:$A,"&lt;"&amp;EDATE(F$6,1))</f>
        <v>0</v>
      </c>
      <c r="G9" s="36">
        <f>SUMIFS('Transaction Details'!$D:$D,'Transaction Details'!$C:$C,$A9,'Transaction Details'!$A:$A,"&gt;="&amp;G$6,'Transaction Details'!$A:$A,"&lt;"&amp;EDATE(G$6,1))</f>
        <v>0</v>
      </c>
      <c r="H9" s="36">
        <f>SUMIFS('Transaction Details'!$D:$D,'Transaction Details'!$C:$C,$A9,'Transaction Details'!$A:$A,"&gt;="&amp;H$6,'Transaction Details'!$A:$A,"&lt;"&amp;EDATE(H$6,1))</f>
        <v>0</v>
      </c>
      <c r="I9" s="36">
        <f>SUMIFS('Transaction Details'!$D:$D,'Transaction Details'!$C:$C,$A9,'Transaction Details'!$A:$A,"&gt;="&amp;I$6,'Transaction Details'!$A:$A,"&lt;"&amp;EDATE(I$6,1))</f>
        <v>0</v>
      </c>
      <c r="J9" s="36">
        <f>SUMIFS('Transaction Details'!$D:$D,'Transaction Details'!$C:$C,$A9,'Transaction Details'!$A:$A,"&gt;="&amp;J$6,'Transaction Details'!$A:$A,"&lt;"&amp;EDATE(J$6,1))</f>
        <v>0</v>
      </c>
      <c r="K9" s="36">
        <f>SUMIFS('Transaction Details'!$D:$D,'Transaction Details'!$C:$C,$A9,'Transaction Details'!$A:$A,"&gt;="&amp;K$6,'Transaction Details'!$A:$A,"&lt;"&amp;EDATE(K$6,1))</f>
        <v>0</v>
      </c>
      <c r="L9" s="36">
        <f>SUMIFS('Transaction Details'!$D:$D,'Transaction Details'!$C:$C,$A9,'Transaction Details'!$A:$A,"&gt;="&amp;L$6,'Transaction Details'!$A:$A,"&lt;"&amp;EDATE(L$6,1))</f>
        <v>0</v>
      </c>
      <c r="M9" s="36">
        <f>SUMIFS('Transaction Details'!$D:$D,'Transaction Details'!$C:$C,$A9,'Transaction Details'!$A:$A,"&gt;="&amp;M$6,'Transaction Details'!$A:$A,"&lt;"&amp;EDATE(M$6,1))</f>
        <v>0</v>
      </c>
      <c r="N9" s="36">
        <f>SUMIFS('Transaction Details'!$D:$D,'Transaction Details'!$C:$C,$A9,'Transaction Details'!$A:$A,"&gt;="&amp;N$6,'Transaction Details'!$A:$A,"&lt;"&amp;EDATE(N$6,1))</f>
        <v>0</v>
      </c>
      <c r="O9" s="36">
        <f>SUMIFS('Transaction Details'!$D:$D,'Transaction Details'!$C:$C,$A9,'Transaction Details'!$A:$A,"&gt;="&amp;O$6,'Transaction Details'!$A:$A,"&lt;"&amp;EDATE(O$6,1))</f>
        <v>3000</v>
      </c>
      <c r="P9" s="36">
        <f>SUMIFS('Transaction Details'!$D:$D,'Transaction Details'!$C:$C,$A9,'Transaction Details'!$A:$A,"&gt;="&amp;P$6,'Transaction Details'!$A:$A,"&lt;"&amp;EDATE(P$6,1))</f>
        <v>0</v>
      </c>
      <c r="Q9" s="36">
        <f>SUMIFS('Transaction Details'!$D:$D,'Transaction Details'!$C:$C,$A9,'Transaction Details'!$A:$A,"&gt;="&amp;Q$6,'Transaction Details'!$A:$A,"&lt;"&amp;EDATE(Q$6,1))</f>
        <v>0</v>
      </c>
      <c r="R9" s="36">
        <f>SUMIFS('Transaction Details'!$D:$D,'Transaction Details'!$C:$C,$A9,'Transaction Details'!$A:$A,"&gt;="&amp;R$6,'Transaction Details'!$A:$A,"&lt;"&amp;EDATE(R$6,1))</f>
        <v>0</v>
      </c>
      <c r="S9" s="36">
        <f>SUMIFS('Transaction Details'!$D:$D,'Transaction Details'!$C:$C,$A9,'Transaction Details'!$A:$A,"&gt;="&amp;S$6,'Transaction Details'!$A:$A,"&lt;"&amp;EDATE(S$6,1))</f>
        <v>0</v>
      </c>
      <c r="T9" s="37">
        <f>SUM(B9:S9)</f>
        <v>3000</v>
      </c>
    </row>
    <row r="10" spans="1:20" x14ac:dyDescent="0.25">
      <c r="A10" s="25" t="s">
        <v>248</v>
      </c>
      <c r="B10" s="36">
        <f>SUMIFS('Transaction Details'!$D:$D,'Transaction Details'!$C:$C,$A10,'Transaction Details'!$A:$A,"&gt;="&amp;B$6,'Transaction Details'!$A:$A,"&lt;"&amp;EDATE(B$6,1))</f>
        <v>0</v>
      </c>
      <c r="C10" s="36">
        <f>SUMIFS('Transaction Details'!$D:$D,'Transaction Details'!$C:$C,$A10,'Transaction Details'!$A:$A,"&gt;="&amp;C$6,'Transaction Details'!$A:$A,"&lt;"&amp;EDATE(C$6,1))</f>
        <v>0</v>
      </c>
      <c r="D10" s="36">
        <f>SUMIFS('Transaction Details'!$D:$D,'Transaction Details'!$C:$C,$A10,'Transaction Details'!$A:$A,"&gt;="&amp;D$6,'Transaction Details'!$A:$A,"&lt;"&amp;EDATE(D$6,1))</f>
        <v>695</v>
      </c>
      <c r="E10" s="36">
        <f>SUMIFS('Transaction Details'!$D:$D,'Transaction Details'!$C:$C,$A10,'Transaction Details'!$A:$A,"&gt;="&amp;E$6,'Transaction Details'!$A:$A,"&lt;"&amp;EDATE(E$6,1))</f>
        <v>0</v>
      </c>
      <c r="F10" s="36">
        <f>SUMIFS('Transaction Details'!$D:$D,'Transaction Details'!$C:$C,$A10,'Transaction Details'!$A:$A,"&gt;="&amp;F$6,'Transaction Details'!$A:$A,"&lt;"&amp;EDATE(F$6,1))</f>
        <v>0</v>
      </c>
      <c r="G10" s="36">
        <f>SUMIFS('Transaction Details'!$D:$D,'Transaction Details'!$C:$C,$A10,'Transaction Details'!$A:$A,"&gt;="&amp;G$6,'Transaction Details'!$A:$A,"&lt;"&amp;EDATE(G$6,1))</f>
        <v>0</v>
      </c>
      <c r="H10" s="36">
        <f>SUMIFS('Transaction Details'!$D:$D,'Transaction Details'!$C:$C,$A10,'Transaction Details'!$A:$A,"&gt;="&amp;H$6,'Transaction Details'!$A:$A,"&lt;"&amp;EDATE(H$6,1))</f>
        <v>0</v>
      </c>
      <c r="I10" s="36">
        <f>SUMIFS('Transaction Details'!$D:$D,'Transaction Details'!$C:$C,$A10,'Transaction Details'!$A:$A,"&gt;="&amp;I$6,'Transaction Details'!$A:$A,"&lt;"&amp;EDATE(I$6,1))</f>
        <v>0</v>
      </c>
      <c r="J10" s="36">
        <f>SUMIFS('Transaction Details'!$D:$D,'Transaction Details'!$C:$C,$A10,'Transaction Details'!$A:$A,"&gt;="&amp;J$6,'Transaction Details'!$A:$A,"&lt;"&amp;EDATE(J$6,1))</f>
        <v>0</v>
      </c>
      <c r="K10" s="36">
        <f>SUMIFS('Transaction Details'!$D:$D,'Transaction Details'!$C:$C,$A10,'Transaction Details'!$A:$A,"&gt;="&amp;K$6,'Transaction Details'!$A:$A,"&lt;"&amp;EDATE(K$6,1))</f>
        <v>0</v>
      </c>
      <c r="L10" s="36">
        <f>SUMIFS('Transaction Details'!$D:$D,'Transaction Details'!$C:$C,$A10,'Transaction Details'!$A:$A,"&gt;="&amp;L$6,'Transaction Details'!$A:$A,"&lt;"&amp;EDATE(L$6,1))</f>
        <v>0</v>
      </c>
      <c r="M10" s="36">
        <f>SUMIFS('Transaction Details'!$D:$D,'Transaction Details'!$C:$C,$A10,'Transaction Details'!$A:$A,"&gt;="&amp;M$6,'Transaction Details'!$A:$A,"&lt;"&amp;EDATE(M$6,1))</f>
        <v>0</v>
      </c>
      <c r="N10" s="36">
        <f>SUMIFS('Transaction Details'!$D:$D,'Transaction Details'!$C:$C,$A10,'Transaction Details'!$A:$A,"&gt;="&amp;N$6,'Transaction Details'!$A:$A,"&lt;"&amp;EDATE(N$6,1))</f>
        <v>0</v>
      </c>
      <c r="O10" s="36">
        <f>SUMIFS('Transaction Details'!$D:$D,'Transaction Details'!$C:$C,$A10,'Transaction Details'!$A:$A,"&gt;="&amp;O$6,'Transaction Details'!$A:$A,"&lt;"&amp;EDATE(O$6,1))</f>
        <v>0</v>
      </c>
      <c r="P10" s="36">
        <f>SUMIFS('Transaction Details'!$D:$D,'Transaction Details'!$C:$C,$A10,'Transaction Details'!$A:$A,"&gt;="&amp;P$6,'Transaction Details'!$A:$A,"&lt;"&amp;EDATE(P$6,1))</f>
        <v>895</v>
      </c>
      <c r="Q10" s="36">
        <f>SUMIFS('Transaction Details'!$D:$D,'Transaction Details'!$C:$C,$A10,'Transaction Details'!$A:$A,"&gt;="&amp;Q$6,'Transaction Details'!$A:$A,"&lt;"&amp;EDATE(Q$6,1))</f>
        <v>0</v>
      </c>
      <c r="R10" s="36">
        <f>SUMIFS('Transaction Details'!$D:$D,'Transaction Details'!$C:$C,$A10,'Transaction Details'!$A:$A,"&gt;="&amp;R$6,'Transaction Details'!$A:$A,"&lt;"&amp;EDATE(R$6,1))</f>
        <v>0</v>
      </c>
      <c r="S10" s="36">
        <f>SUMIFS('Transaction Details'!$D:$D,'Transaction Details'!$C:$C,$A10,'Transaction Details'!$A:$A,"&gt;="&amp;S$6,'Transaction Details'!$A:$A,"&lt;"&amp;EDATE(S$6,1))</f>
        <v>0</v>
      </c>
      <c r="T10" s="37">
        <f>SUM(B10:S10)</f>
        <v>1590</v>
      </c>
    </row>
    <row r="11" spans="1:20" x14ac:dyDescent="0.25">
      <c r="A11" s="25" t="s">
        <v>150</v>
      </c>
      <c r="B11" s="36">
        <f>SUMIFS('Transaction Details'!$D:$D,'Transaction Details'!$C:$C,$A11,'Transaction Details'!$A:$A,"&gt;="&amp;B$6,'Transaction Details'!$A:$A,"&lt;"&amp;EDATE(B$6,1))</f>
        <v>40</v>
      </c>
      <c r="C11" s="36">
        <f>SUMIFS('Transaction Details'!$D:$D,'Transaction Details'!$C:$C,$A11,'Transaction Details'!$A:$A,"&gt;="&amp;C$6,'Transaction Details'!$A:$A,"&lt;"&amp;EDATE(C$6,1))</f>
        <v>0</v>
      </c>
      <c r="D11" s="36">
        <f>SUMIFS('Transaction Details'!$D:$D,'Transaction Details'!$C:$C,$A11,'Transaction Details'!$A:$A,"&gt;="&amp;D$6,'Transaction Details'!$A:$A,"&lt;"&amp;EDATE(D$6,1))</f>
        <v>40</v>
      </c>
      <c r="E11" s="36">
        <f>SUMIFS('Transaction Details'!$D:$D,'Transaction Details'!$C:$C,$A11,'Transaction Details'!$A:$A,"&gt;="&amp;E$6,'Transaction Details'!$A:$A,"&lt;"&amp;EDATE(E$6,1))</f>
        <v>0</v>
      </c>
      <c r="F11" s="36">
        <f>SUMIFS('Transaction Details'!$D:$D,'Transaction Details'!$C:$C,$A11,'Transaction Details'!$A:$A,"&gt;="&amp;F$6,'Transaction Details'!$A:$A,"&lt;"&amp;EDATE(F$6,1))</f>
        <v>40</v>
      </c>
      <c r="G11" s="36">
        <f>SUMIFS('Transaction Details'!$D:$D,'Transaction Details'!$C:$C,$A11,'Transaction Details'!$A:$A,"&gt;="&amp;G$6,'Transaction Details'!$A:$A,"&lt;"&amp;EDATE(G$6,1))</f>
        <v>0</v>
      </c>
      <c r="H11" s="36">
        <f>SUMIFS('Transaction Details'!$D:$D,'Transaction Details'!$C:$C,$A11,'Transaction Details'!$A:$A,"&gt;="&amp;H$6,'Transaction Details'!$A:$A,"&lt;"&amp;EDATE(H$6,1))</f>
        <v>40</v>
      </c>
      <c r="I11" s="36">
        <f>SUMIFS('Transaction Details'!$D:$D,'Transaction Details'!$C:$C,$A11,'Transaction Details'!$A:$A,"&gt;="&amp;I$6,'Transaction Details'!$A:$A,"&lt;"&amp;EDATE(I$6,1))</f>
        <v>0</v>
      </c>
      <c r="J11" s="36">
        <f>SUMIFS('Transaction Details'!$D:$D,'Transaction Details'!$C:$C,$A11,'Transaction Details'!$A:$A,"&gt;="&amp;J$6,'Transaction Details'!$A:$A,"&lt;"&amp;EDATE(J$6,1))</f>
        <v>0</v>
      </c>
      <c r="K11" s="36">
        <f>SUMIFS('Transaction Details'!$D:$D,'Transaction Details'!$C:$C,$A11,'Transaction Details'!$A:$A,"&gt;="&amp;K$6,'Transaction Details'!$A:$A,"&lt;"&amp;EDATE(K$6,1))</f>
        <v>0</v>
      </c>
      <c r="L11" s="36">
        <f>SUMIFS('Transaction Details'!$D:$D,'Transaction Details'!$C:$C,$A11,'Transaction Details'!$A:$A,"&gt;="&amp;L$6,'Transaction Details'!$A:$A,"&lt;"&amp;EDATE(L$6,1))</f>
        <v>0</v>
      </c>
      <c r="M11" s="36">
        <f>SUMIFS('Transaction Details'!$D:$D,'Transaction Details'!$C:$C,$A11,'Transaction Details'!$A:$A,"&gt;="&amp;M$6,'Transaction Details'!$A:$A,"&lt;"&amp;EDATE(M$6,1))</f>
        <v>0</v>
      </c>
      <c r="N11" s="36">
        <f>SUMIFS('Transaction Details'!$D:$D,'Transaction Details'!$C:$C,$A11,'Transaction Details'!$A:$A,"&gt;="&amp;N$6,'Transaction Details'!$A:$A,"&lt;"&amp;EDATE(N$6,1))</f>
        <v>0</v>
      </c>
      <c r="O11" s="36">
        <f>SUMIFS('Transaction Details'!$D:$D,'Transaction Details'!$C:$C,$A11,'Transaction Details'!$A:$A,"&gt;="&amp;O$6,'Transaction Details'!$A:$A,"&lt;"&amp;EDATE(O$6,1))</f>
        <v>0</v>
      </c>
      <c r="P11" s="36">
        <f>SUMIFS('Transaction Details'!$D:$D,'Transaction Details'!$C:$C,$A11,'Transaction Details'!$A:$A,"&gt;="&amp;P$6,'Transaction Details'!$A:$A,"&lt;"&amp;EDATE(P$6,1))</f>
        <v>0</v>
      </c>
      <c r="Q11" s="36">
        <f>SUMIFS('Transaction Details'!$D:$D,'Transaction Details'!$C:$C,$A11,'Transaction Details'!$A:$A,"&gt;="&amp;Q$6,'Transaction Details'!$A:$A,"&lt;"&amp;EDATE(Q$6,1))</f>
        <v>0</v>
      </c>
      <c r="R11" s="36">
        <f>SUMIFS('Transaction Details'!$D:$D,'Transaction Details'!$C:$C,$A11,'Transaction Details'!$A:$A,"&gt;="&amp;R$6,'Transaction Details'!$A:$A,"&lt;"&amp;EDATE(R$6,1))</f>
        <v>0</v>
      </c>
      <c r="S11" s="36">
        <f>SUMIFS('Transaction Details'!$D:$D,'Transaction Details'!$C:$C,$A11,'Transaction Details'!$A:$A,"&gt;="&amp;S$6,'Transaction Details'!$A:$A,"&lt;"&amp;EDATE(S$6,1))</f>
        <v>0</v>
      </c>
      <c r="T11" s="37">
        <f>SUM(B11:S11)</f>
        <v>160</v>
      </c>
    </row>
    <row r="12" spans="1:20" x14ac:dyDescent="0.25">
      <c r="A12" s="25" t="s">
        <v>103</v>
      </c>
      <c r="B12" s="36">
        <f>SUMIFS('Transaction Details'!$D:$D,'Transaction Details'!$C:$C,$A12,'Transaction Details'!$A:$A,"&gt;="&amp;B$6,'Transaction Details'!$A:$A,"&lt;"&amp;EDATE(B$6,1))</f>
        <v>0</v>
      </c>
      <c r="C12" s="36">
        <f>SUMIFS('Transaction Details'!$D:$D,'Transaction Details'!$C:$C,$A12,'Transaction Details'!$A:$A,"&gt;="&amp;C$6,'Transaction Details'!$A:$A,"&lt;"&amp;EDATE(C$6,1))</f>
        <v>0</v>
      </c>
      <c r="D12" s="36">
        <f>SUMIFS('Transaction Details'!$D:$D,'Transaction Details'!$C:$C,$A12,'Transaction Details'!$A:$A,"&gt;="&amp;D$6,'Transaction Details'!$A:$A,"&lt;"&amp;EDATE(D$6,1))</f>
        <v>0</v>
      </c>
      <c r="E12" s="36">
        <f>SUMIFS('Transaction Details'!$D:$D,'Transaction Details'!$C:$C,$A12,'Transaction Details'!$A:$A,"&gt;="&amp;E$6,'Transaction Details'!$A:$A,"&lt;"&amp;EDATE(E$6,1))</f>
        <v>15.95</v>
      </c>
      <c r="F12" s="36">
        <f>SUMIFS('Transaction Details'!$D:$D,'Transaction Details'!$C:$C,$A12,'Transaction Details'!$A:$A,"&gt;="&amp;F$6,'Transaction Details'!$A:$A,"&lt;"&amp;EDATE(F$6,1))</f>
        <v>3.13</v>
      </c>
      <c r="G12" s="36">
        <f>SUMIFS('Transaction Details'!$D:$D,'Transaction Details'!$C:$C,$A12,'Transaction Details'!$A:$A,"&gt;="&amp;G$6,'Transaction Details'!$A:$A,"&lt;"&amp;EDATE(G$6,1))</f>
        <v>0.82</v>
      </c>
      <c r="H12" s="36">
        <f>SUMIFS('Transaction Details'!$D:$D,'Transaction Details'!$C:$C,$A12,'Transaction Details'!$A:$A,"&gt;="&amp;H$6,'Transaction Details'!$A:$A,"&lt;"&amp;EDATE(H$6,1))</f>
        <v>0.15</v>
      </c>
      <c r="I12" s="36">
        <f>SUMIFS('Transaction Details'!$D:$D,'Transaction Details'!$C:$C,$A12,'Transaction Details'!$A:$A,"&gt;="&amp;I$6,'Transaction Details'!$A:$A,"&lt;"&amp;EDATE(I$6,1))</f>
        <v>118.17</v>
      </c>
      <c r="J12" s="36">
        <f>SUMIFS('Transaction Details'!$D:$D,'Transaction Details'!$C:$C,$A12,'Transaction Details'!$A:$A,"&gt;="&amp;J$6,'Transaction Details'!$A:$A,"&lt;"&amp;EDATE(J$6,1))</f>
        <v>101.98</v>
      </c>
      <c r="K12" s="36">
        <f>SUMIFS('Transaction Details'!$D:$D,'Transaction Details'!$C:$C,$A12,'Transaction Details'!$A:$A,"&gt;="&amp;K$6,'Transaction Details'!$A:$A,"&lt;"&amp;EDATE(K$6,1))</f>
        <v>3.8</v>
      </c>
      <c r="L12" s="36">
        <f>SUMIFS('Transaction Details'!$D:$D,'Transaction Details'!$C:$C,$A12,'Transaction Details'!$A:$A,"&gt;="&amp;L$6,'Transaction Details'!$A:$A,"&lt;"&amp;EDATE(L$6,1))</f>
        <v>0</v>
      </c>
      <c r="M12" s="36">
        <f>SUMIFS('Transaction Details'!$D:$D,'Transaction Details'!$C:$C,$A12,'Transaction Details'!$A:$A,"&gt;="&amp;M$6,'Transaction Details'!$A:$A,"&lt;"&amp;EDATE(M$6,1))</f>
        <v>0</v>
      </c>
      <c r="N12" s="36">
        <f>SUMIFS('Transaction Details'!$D:$D,'Transaction Details'!$C:$C,$A12,'Transaction Details'!$A:$A,"&gt;="&amp;N$6,'Transaction Details'!$A:$A,"&lt;"&amp;EDATE(N$6,1))</f>
        <v>0</v>
      </c>
      <c r="O12" s="36">
        <f>SUMIFS('Transaction Details'!$D:$D,'Transaction Details'!$C:$C,$A12,'Transaction Details'!$A:$A,"&gt;="&amp;O$6,'Transaction Details'!$A:$A,"&lt;"&amp;EDATE(O$6,1))</f>
        <v>0</v>
      </c>
      <c r="P12" s="36">
        <f>SUMIFS('Transaction Details'!$D:$D,'Transaction Details'!$C:$C,$A12,'Transaction Details'!$A:$A,"&gt;="&amp;P$6,'Transaction Details'!$A:$A,"&lt;"&amp;EDATE(P$6,1))</f>
        <v>0</v>
      </c>
      <c r="Q12" s="36">
        <f>SUMIFS('Transaction Details'!$D:$D,'Transaction Details'!$C:$C,$A12,'Transaction Details'!$A:$A,"&gt;="&amp;Q$6,'Transaction Details'!$A:$A,"&lt;"&amp;EDATE(Q$6,1))</f>
        <v>0</v>
      </c>
      <c r="R12" s="36">
        <f>SUMIFS('Transaction Details'!$D:$D,'Transaction Details'!$C:$C,$A12,'Transaction Details'!$A:$A,"&gt;="&amp;R$6,'Transaction Details'!$A:$A,"&lt;"&amp;EDATE(R$6,1))</f>
        <v>0</v>
      </c>
      <c r="S12" s="36">
        <f>SUMIFS('Transaction Details'!$D:$D,'Transaction Details'!$C:$C,$A12,'Transaction Details'!$A:$A,"&gt;="&amp;S$6,'Transaction Details'!$A:$A,"&lt;"&amp;EDATE(S$6,1))</f>
        <v>0</v>
      </c>
      <c r="T12" s="37">
        <f>SUM(B12:S12)</f>
        <v>244</v>
      </c>
    </row>
    <row r="13" spans="1:20" x14ac:dyDescent="0.25">
      <c r="A13" s="25" t="s">
        <v>284</v>
      </c>
      <c r="B13" s="36">
        <f>SUMIFS('Transaction Details'!$D:$D,'Transaction Details'!$C:$C,$A13,'Transaction Details'!$A:$A,"&gt;="&amp;B$6,'Transaction Details'!$A:$A,"&lt;"&amp;EDATE(B$6,1))</f>
        <v>83.34</v>
      </c>
      <c r="C13" s="36">
        <f>SUMIFS('Transaction Details'!$D:$D,'Transaction Details'!$C:$C,$A13,'Transaction Details'!$A:$A,"&gt;="&amp;C$6,'Transaction Details'!$A:$A,"&lt;"&amp;EDATE(C$6,1))</f>
        <v>84.34</v>
      </c>
      <c r="D13" s="36">
        <f>SUMIFS('Transaction Details'!$D:$D,'Transaction Details'!$C:$C,$A13,'Transaction Details'!$A:$A,"&gt;="&amp;D$6,'Transaction Details'!$A:$A,"&lt;"&amp;EDATE(D$6,1))</f>
        <v>87.33</v>
      </c>
      <c r="E13" s="36">
        <f>SUMIFS('Transaction Details'!$D:$D,'Transaction Details'!$C:$C,$A13,'Transaction Details'!$A:$A,"&gt;="&amp;E$6,'Transaction Details'!$A:$A,"&lt;"&amp;EDATE(E$6,1))</f>
        <v>80.38000000000001</v>
      </c>
      <c r="F13" s="36">
        <f>SUMIFS('Transaction Details'!$D:$D,'Transaction Details'!$C:$C,$A13,'Transaction Details'!$A:$A,"&gt;="&amp;F$6,'Transaction Details'!$A:$A,"&lt;"&amp;EDATE(F$6,1))</f>
        <v>87.37</v>
      </c>
      <c r="G13" s="36">
        <f>SUMIFS('Transaction Details'!$D:$D,'Transaction Details'!$C:$C,$A13,'Transaction Details'!$A:$A,"&gt;="&amp;G$6,'Transaction Details'!$A:$A,"&lt;"&amp;EDATE(G$6,1))</f>
        <v>87.37</v>
      </c>
      <c r="H13" s="36">
        <f>SUMIFS('Transaction Details'!$D:$D,'Transaction Details'!$C:$C,$A13,'Transaction Details'!$A:$A,"&gt;="&amp;H$6,'Transaction Details'!$A:$A,"&lt;"&amp;EDATE(H$6,1))</f>
        <v>87.37</v>
      </c>
      <c r="I13" s="36">
        <f>SUMIFS('Transaction Details'!$D:$D,'Transaction Details'!$C:$C,$A13,'Transaction Details'!$A:$A,"&gt;="&amp;I$6,'Transaction Details'!$A:$A,"&lt;"&amp;EDATE(I$6,1))</f>
        <v>74.38000000000001</v>
      </c>
      <c r="J13" s="36">
        <f>SUMIFS('Transaction Details'!$D:$D,'Transaction Details'!$C:$C,$A13,'Transaction Details'!$A:$A,"&gt;="&amp;J$6,'Transaction Details'!$A:$A,"&lt;"&amp;EDATE(J$6,1))</f>
        <v>87.37</v>
      </c>
      <c r="K13" s="36">
        <f>SUMIFS('Transaction Details'!$D:$D,'Transaction Details'!$C:$C,$A13,'Transaction Details'!$A:$A,"&gt;="&amp;K$6,'Transaction Details'!$A:$A,"&lt;"&amp;EDATE(K$6,1))</f>
        <v>90.37</v>
      </c>
      <c r="L13" s="36">
        <f>SUMIFS('Transaction Details'!$D:$D,'Transaction Details'!$C:$C,$A13,'Transaction Details'!$A:$A,"&gt;="&amp;L$6,'Transaction Details'!$A:$A,"&lt;"&amp;EDATE(L$6,1))</f>
        <v>1122.92</v>
      </c>
      <c r="M13" s="36">
        <f>SUMIFS('Transaction Details'!$D:$D,'Transaction Details'!$C:$C,$A13,'Transaction Details'!$A:$A,"&gt;="&amp;M$6,'Transaction Details'!$A:$A,"&lt;"&amp;EDATE(M$6,1))</f>
        <v>92.37</v>
      </c>
      <c r="N13" s="36">
        <f>SUMIFS('Transaction Details'!$D:$D,'Transaction Details'!$C:$C,$A13,'Transaction Details'!$A:$A,"&gt;="&amp;N$6,'Transaction Details'!$A:$A,"&lt;"&amp;EDATE(N$6,1))</f>
        <v>92.37</v>
      </c>
      <c r="O13" s="36">
        <f>SUMIFS('Transaction Details'!$D:$D,'Transaction Details'!$C:$C,$A13,'Transaction Details'!$A:$A,"&gt;="&amp;O$6,'Transaction Details'!$A:$A,"&lt;"&amp;EDATE(O$6,1))</f>
        <v>92.37</v>
      </c>
      <c r="P13" s="36">
        <f>SUMIFS('Transaction Details'!$D:$D,'Transaction Details'!$C:$C,$A13,'Transaction Details'!$A:$A,"&gt;="&amp;P$6,'Transaction Details'!$A:$A,"&lt;"&amp;EDATE(P$6,1))</f>
        <v>94.37</v>
      </c>
      <c r="Q13" s="36">
        <f>SUMIFS('Transaction Details'!$D:$D,'Transaction Details'!$C:$C,$A13,'Transaction Details'!$A:$A,"&gt;="&amp;Q$6,'Transaction Details'!$A:$A,"&lt;"&amp;EDATE(Q$6,1))</f>
        <v>96.37</v>
      </c>
      <c r="R13" s="36">
        <f>SUMIFS('Transaction Details'!$D:$D,'Transaction Details'!$C:$C,$A13,'Transaction Details'!$A:$A,"&gt;="&amp;R$6,'Transaction Details'!$A:$A,"&lt;"&amp;EDATE(R$6,1))</f>
        <v>99.44</v>
      </c>
      <c r="S13" s="36">
        <f>SUMIFS('Transaction Details'!$D:$D,'Transaction Details'!$C:$C,$A13,'Transaction Details'!$A:$A,"&gt;="&amp;S$6,'Transaction Details'!$A:$A,"&lt;"&amp;EDATE(S$6,1))</f>
        <v>0</v>
      </c>
      <c r="T13" s="37">
        <f>SUM(B13:S13)</f>
        <v>2539.8299999999995</v>
      </c>
    </row>
    <row r="14" spans="1:20" x14ac:dyDescent="0.25">
      <c r="A14" s="25" t="s">
        <v>285</v>
      </c>
      <c r="B14" s="36">
        <f>SUMIFS('Transaction Details'!$D:$D,'Transaction Details'!$C:$C,$A14,'Transaction Details'!$A:$A,"&gt;="&amp;B$6,'Transaction Details'!$A:$A,"&lt;"&amp;EDATE(B$6,1))</f>
        <v>0</v>
      </c>
      <c r="C14" s="36">
        <f>SUMIFS('Transaction Details'!$D:$D,'Transaction Details'!$C:$C,$A14,'Transaction Details'!$A:$A,"&gt;="&amp;C$6,'Transaction Details'!$A:$A,"&lt;"&amp;EDATE(C$6,1))</f>
        <v>0</v>
      </c>
      <c r="D14" s="36">
        <f>SUMIFS('Transaction Details'!$D:$D,'Transaction Details'!$C:$C,$A14,'Transaction Details'!$A:$A,"&gt;="&amp;D$6,'Transaction Details'!$A:$A,"&lt;"&amp;EDATE(D$6,1))</f>
        <v>0</v>
      </c>
      <c r="E14" s="36">
        <f>SUMIFS('Transaction Details'!$D:$D,'Transaction Details'!$C:$C,$A14,'Transaction Details'!$A:$A,"&gt;="&amp;E$6,'Transaction Details'!$A:$A,"&lt;"&amp;EDATE(E$6,1))</f>
        <v>0</v>
      </c>
      <c r="F14" s="36">
        <f>SUMIFS('Transaction Details'!$D:$D,'Transaction Details'!$C:$C,$A14,'Transaction Details'!$A:$A,"&gt;="&amp;F$6,'Transaction Details'!$A:$A,"&lt;"&amp;EDATE(F$6,1))</f>
        <v>0</v>
      </c>
      <c r="G14" s="36">
        <f>SUMIFS('Transaction Details'!$D:$D,'Transaction Details'!$C:$C,$A14,'Transaction Details'!$A:$A,"&gt;="&amp;G$6,'Transaction Details'!$A:$A,"&lt;"&amp;EDATE(G$6,1))</f>
        <v>0</v>
      </c>
      <c r="H14" s="36">
        <f>SUMIFS('Transaction Details'!$D:$D,'Transaction Details'!$C:$C,$A14,'Transaction Details'!$A:$A,"&gt;="&amp;H$6,'Transaction Details'!$A:$A,"&lt;"&amp;EDATE(H$6,1))</f>
        <v>0</v>
      </c>
      <c r="I14" s="36">
        <f>SUMIFS('Transaction Details'!$D:$D,'Transaction Details'!$C:$C,$A14,'Transaction Details'!$A:$A,"&gt;="&amp;I$6,'Transaction Details'!$A:$A,"&lt;"&amp;EDATE(I$6,1))</f>
        <v>0</v>
      </c>
      <c r="J14" s="36">
        <f>SUMIFS('Transaction Details'!$D:$D,'Transaction Details'!$C:$C,$A14,'Transaction Details'!$A:$A,"&gt;="&amp;J$6,'Transaction Details'!$A:$A,"&lt;"&amp;EDATE(J$6,1))</f>
        <v>0</v>
      </c>
      <c r="K14" s="36">
        <f>SUMIFS('Transaction Details'!$D:$D,'Transaction Details'!$C:$C,$A14,'Transaction Details'!$A:$A,"&gt;="&amp;K$6,'Transaction Details'!$A:$A,"&lt;"&amp;EDATE(K$6,1))</f>
        <v>20.350000000000001</v>
      </c>
      <c r="L14" s="36">
        <f>SUMIFS('Transaction Details'!$D:$D,'Transaction Details'!$C:$C,$A14,'Transaction Details'!$A:$A,"&gt;="&amp;L$6,'Transaction Details'!$A:$A,"&lt;"&amp;EDATE(L$6,1))</f>
        <v>113.94</v>
      </c>
      <c r="M14" s="36">
        <f>SUMIFS('Transaction Details'!$D:$D,'Transaction Details'!$C:$C,$A14,'Transaction Details'!$A:$A,"&gt;="&amp;M$6,'Transaction Details'!$A:$A,"&lt;"&amp;EDATE(M$6,1))</f>
        <v>161.43</v>
      </c>
      <c r="N14" s="36">
        <f>SUMIFS('Transaction Details'!$D:$D,'Transaction Details'!$C:$C,$A14,'Transaction Details'!$A:$A,"&gt;="&amp;N$6,'Transaction Details'!$A:$A,"&lt;"&amp;EDATE(N$6,1))</f>
        <v>10.73</v>
      </c>
      <c r="O14" s="36">
        <f>SUMIFS('Transaction Details'!$D:$D,'Transaction Details'!$C:$C,$A14,'Transaction Details'!$A:$A,"&gt;="&amp;O$6,'Transaction Details'!$A:$A,"&lt;"&amp;EDATE(O$6,1))</f>
        <v>0</v>
      </c>
      <c r="P14" s="36">
        <f>SUMIFS('Transaction Details'!$D:$D,'Transaction Details'!$C:$C,$A14,'Transaction Details'!$A:$A,"&gt;="&amp;P$6,'Transaction Details'!$A:$A,"&lt;"&amp;EDATE(P$6,1))</f>
        <v>250</v>
      </c>
      <c r="Q14" s="36">
        <f>SUMIFS('Transaction Details'!$D:$D,'Transaction Details'!$C:$C,$A14,'Transaction Details'!$A:$A,"&gt;="&amp;Q$6,'Transaction Details'!$A:$A,"&lt;"&amp;EDATE(Q$6,1))</f>
        <v>122.67</v>
      </c>
      <c r="R14" s="36">
        <f>SUMIFS('Transaction Details'!$D:$D,'Transaction Details'!$C:$C,$A14,'Transaction Details'!$A:$A,"&gt;="&amp;R$6,'Transaction Details'!$A:$A,"&lt;"&amp;EDATE(R$6,1))</f>
        <v>0</v>
      </c>
      <c r="S14" s="36">
        <f>SUMIFS('Transaction Details'!$D:$D,'Transaction Details'!$C:$C,$A14,'Transaction Details'!$A:$A,"&gt;="&amp;S$6,'Transaction Details'!$A:$A,"&lt;"&amp;EDATE(S$6,1))</f>
        <v>0</v>
      </c>
      <c r="T14" s="37">
        <f>SUM(B14:S14)</f>
        <v>679.12</v>
      </c>
    </row>
    <row r="15" spans="1:20" x14ac:dyDescent="0.25">
      <c r="A15" s="25" t="s">
        <v>286</v>
      </c>
      <c r="B15" s="36">
        <f>SUMIFS('Transaction Details'!$D:$D,'Transaction Details'!$C:$C,$A15,'Transaction Details'!$A:$A,"&gt;="&amp;B$6,'Transaction Details'!$A:$A,"&lt;"&amp;EDATE(B$6,1))</f>
        <v>0</v>
      </c>
      <c r="C15" s="36">
        <f>SUMIFS('Transaction Details'!$D:$D,'Transaction Details'!$C:$C,$A15,'Transaction Details'!$A:$A,"&gt;="&amp;C$6,'Transaction Details'!$A:$A,"&lt;"&amp;EDATE(C$6,1))</f>
        <v>0</v>
      </c>
      <c r="D15" s="36">
        <f>SUMIFS('Transaction Details'!$D:$D,'Transaction Details'!$C:$C,$A15,'Transaction Details'!$A:$A,"&gt;="&amp;D$6,'Transaction Details'!$A:$A,"&lt;"&amp;EDATE(D$6,1))</f>
        <v>0</v>
      </c>
      <c r="E15" s="36">
        <f>SUMIFS('Transaction Details'!$D:$D,'Transaction Details'!$C:$C,$A15,'Transaction Details'!$A:$A,"&gt;="&amp;E$6,'Transaction Details'!$A:$A,"&lt;"&amp;EDATE(E$6,1))</f>
        <v>0</v>
      </c>
      <c r="F15" s="36">
        <f>SUMIFS('Transaction Details'!$D:$D,'Transaction Details'!$C:$C,$A15,'Transaction Details'!$A:$A,"&gt;="&amp;F$6,'Transaction Details'!$A:$A,"&lt;"&amp;EDATE(F$6,1))</f>
        <v>0</v>
      </c>
      <c r="G15" s="36">
        <f>SUMIFS('Transaction Details'!$D:$D,'Transaction Details'!$C:$C,$A15,'Transaction Details'!$A:$A,"&gt;="&amp;G$6,'Transaction Details'!$A:$A,"&lt;"&amp;EDATE(G$6,1))</f>
        <v>0</v>
      </c>
      <c r="H15" s="36">
        <f>SUMIFS('Transaction Details'!$D:$D,'Transaction Details'!$C:$C,$A15,'Transaction Details'!$A:$A,"&gt;="&amp;H$6,'Transaction Details'!$A:$A,"&lt;"&amp;EDATE(H$6,1))</f>
        <v>0</v>
      </c>
      <c r="I15" s="36">
        <f>SUMIFS('Transaction Details'!$D:$D,'Transaction Details'!$C:$C,$A15,'Transaction Details'!$A:$A,"&gt;="&amp;I$6,'Transaction Details'!$A:$A,"&lt;"&amp;EDATE(I$6,1))</f>
        <v>0</v>
      </c>
      <c r="J15" s="36">
        <f>SUMIFS('Transaction Details'!$D:$D,'Transaction Details'!$C:$C,$A15,'Transaction Details'!$A:$A,"&gt;="&amp;J$6,'Transaction Details'!$A:$A,"&lt;"&amp;EDATE(J$6,1))</f>
        <v>0</v>
      </c>
      <c r="K15" s="36">
        <f>SUMIFS('Transaction Details'!$D:$D,'Transaction Details'!$C:$C,$A15,'Transaction Details'!$A:$A,"&gt;="&amp;K$6,'Transaction Details'!$A:$A,"&lt;"&amp;EDATE(K$6,1))</f>
        <v>21.94</v>
      </c>
      <c r="L15" s="36">
        <f>SUMIFS('Transaction Details'!$D:$D,'Transaction Details'!$C:$C,$A15,'Transaction Details'!$A:$A,"&gt;="&amp;L$6,'Transaction Details'!$A:$A,"&lt;"&amp;EDATE(L$6,1))</f>
        <v>23.62</v>
      </c>
      <c r="M15" s="36">
        <f>SUMIFS('Transaction Details'!$D:$D,'Transaction Details'!$C:$C,$A15,'Transaction Details'!$A:$A,"&gt;="&amp;M$6,'Transaction Details'!$A:$A,"&lt;"&amp;EDATE(M$6,1))</f>
        <v>289.02</v>
      </c>
      <c r="N15" s="36">
        <f>SUMIFS('Transaction Details'!$D:$D,'Transaction Details'!$C:$C,$A15,'Transaction Details'!$A:$A,"&gt;="&amp;N$6,'Transaction Details'!$A:$A,"&lt;"&amp;EDATE(N$6,1))</f>
        <v>0</v>
      </c>
      <c r="O15" s="36">
        <f>SUMIFS('Transaction Details'!$D:$D,'Transaction Details'!$C:$C,$A15,'Transaction Details'!$A:$A,"&gt;="&amp;O$6,'Transaction Details'!$A:$A,"&lt;"&amp;EDATE(O$6,1))</f>
        <v>0</v>
      </c>
      <c r="P15" s="36">
        <f>SUMIFS('Transaction Details'!$D:$D,'Transaction Details'!$C:$C,$A15,'Transaction Details'!$A:$A,"&gt;="&amp;P$6,'Transaction Details'!$A:$A,"&lt;"&amp;EDATE(P$6,1))</f>
        <v>0</v>
      </c>
      <c r="Q15" s="36">
        <f>SUMIFS('Transaction Details'!$D:$D,'Transaction Details'!$C:$C,$A15,'Transaction Details'!$A:$A,"&gt;="&amp;Q$6,'Transaction Details'!$A:$A,"&lt;"&amp;EDATE(Q$6,1))</f>
        <v>0</v>
      </c>
      <c r="R15" s="36">
        <f>SUMIFS('Transaction Details'!$D:$D,'Transaction Details'!$C:$C,$A15,'Transaction Details'!$A:$A,"&gt;="&amp;R$6,'Transaction Details'!$A:$A,"&lt;"&amp;EDATE(R$6,1))</f>
        <v>0</v>
      </c>
      <c r="S15" s="36">
        <f>SUMIFS('Transaction Details'!$D:$D,'Transaction Details'!$C:$C,$A15,'Transaction Details'!$A:$A,"&gt;="&amp;S$6,'Transaction Details'!$A:$A,"&lt;"&amp;EDATE(S$6,1))</f>
        <v>0</v>
      </c>
      <c r="T15" s="37">
        <f>SUM(B15:S15)</f>
        <v>334.58</v>
      </c>
    </row>
    <row r="16" spans="1:20" x14ac:dyDescent="0.25">
      <c r="A16" s="25" t="s">
        <v>287</v>
      </c>
      <c r="B16" s="36">
        <f>SUMIFS('Transaction Details'!$D:$D,'Transaction Details'!$C:$C,$A16,'Transaction Details'!$A:$A,"&gt;="&amp;B$6,'Transaction Details'!$A:$A,"&lt;"&amp;EDATE(B$6,1))</f>
        <v>0</v>
      </c>
      <c r="C16" s="36">
        <f>SUMIFS('Transaction Details'!$D:$D,'Transaction Details'!$C:$C,$A16,'Transaction Details'!$A:$A,"&gt;="&amp;C$6,'Transaction Details'!$A:$A,"&lt;"&amp;EDATE(C$6,1))</f>
        <v>0</v>
      </c>
      <c r="D16" s="36">
        <f>SUMIFS('Transaction Details'!$D:$D,'Transaction Details'!$C:$C,$A16,'Transaction Details'!$A:$A,"&gt;="&amp;D$6,'Transaction Details'!$A:$A,"&lt;"&amp;EDATE(D$6,1))</f>
        <v>0</v>
      </c>
      <c r="E16" s="36">
        <f>SUMIFS('Transaction Details'!$D:$D,'Transaction Details'!$C:$C,$A16,'Transaction Details'!$A:$A,"&gt;="&amp;E$6,'Transaction Details'!$A:$A,"&lt;"&amp;EDATE(E$6,1))</f>
        <v>0</v>
      </c>
      <c r="F16" s="36">
        <f>SUMIFS('Transaction Details'!$D:$D,'Transaction Details'!$C:$C,$A16,'Transaction Details'!$A:$A,"&gt;="&amp;F$6,'Transaction Details'!$A:$A,"&lt;"&amp;EDATE(F$6,1))</f>
        <v>2.5</v>
      </c>
      <c r="G16" s="36">
        <f>SUMIFS('Transaction Details'!$D:$D,'Transaction Details'!$C:$C,$A16,'Transaction Details'!$A:$A,"&gt;="&amp;G$6,'Transaction Details'!$A:$A,"&lt;"&amp;EDATE(G$6,1))</f>
        <v>0</v>
      </c>
      <c r="H16" s="36">
        <f>SUMIFS('Transaction Details'!$D:$D,'Transaction Details'!$C:$C,$A16,'Transaction Details'!$A:$A,"&gt;="&amp;H$6,'Transaction Details'!$A:$A,"&lt;"&amp;EDATE(H$6,1))</f>
        <v>0</v>
      </c>
      <c r="I16" s="36">
        <f>SUMIFS('Transaction Details'!$D:$D,'Transaction Details'!$C:$C,$A16,'Transaction Details'!$A:$A,"&gt;="&amp;I$6,'Transaction Details'!$A:$A,"&lt;"&amp;EDATE(I$6,1))</f>
        <v>0</v>
      </c>
      <c r="J16" s="36">
        <f>SUMIFS('Transaction Details'!$D:$D,'Transaction Details'!$C:$C,$A16,'Transaction Details'!$A:$A,"&gt;="&amp;J$6,'Transaction Details'!$A:$A,"&lt;"&amp;EDATE(J$6,1))</f>
        <v>0</v>
      </c>
      <c r="K16" s="36">
        <f>SUMIFS('Transaction Details'!$D:$D,'Transaction Details'!$C:$C,$A16,'Transaction Details'!$A:$A,"&gt;="&amp;K$6,'Transaction Details'!$A:$A,"&lt;"&amp;EDATE(K$6,1))</f>
        <v>0</v>
      </c>
      <c r="L16" s="36">
        <f>SUMIFS('Transaction Details'!$D:$D,'Transaction Details'!$C:$C,$A16,'Transaction Details'!$A:$A,"&gt;="&amp;L$6,'Transaction Details'!$A:$A,"&lt;"&amp;EDATE(L$6,1))</f>
        <v>7.38</v>
      </c>
      <c r="M16" s="36">
        <f>SUMIFS('Transaction Details'!$D:$D,'Transaction Details'!$C:$C,$A16,'Transaction Details'!$A:$A,"&gt;="&amp;M$6,'Transaction Details'!$A:$A,"&lt;"&amp;EDATE(M$6,1))</f>
        <v>0</v>
      </c>
      <c r="N16" s="36">
        <f>SUMIFS('Transaction Details'!$D:$D,'Transaction Details'!$C:$C,$A16,'Transaction Details'!$A:$A,"&gt;="&amp;N$6,'Transaction Details'!$A:$A,"&lt;"&amp;EDATE(N$6,1))</f>
        <v>0</v>
      </c>
      <c r="O16" s="36">
        <f>SUMIFS('Transaction Details'!$D:$D,'Transaction Details'!$C:$C,$A16,'Transaction Details'!$A:$A,"&gt;="&amp;O$6,'Transaction Details'!$A:$A,"&lt;"&amp;EDATE(O$6,1))</f>
        <v>0</v>
      </c>
      <c r="P16" s="36">
        <f>SUMIFS('Transaction Details'!$D:$D,'Transaction Details'!$C:$C,$A16,'Transaction Details'!$A:$A,"&gt;="&amp;P$6,'Transaction Details'!$A:$A,"&lt;"&amp;EDATE(P$6,1))</f>
        <v>0</v>
      </c>
      <c r="Q16" s="36">
        <f>SUMIFS('Transaction Details'!$D:$D,'Transaction Details'!$C:$C,$A16,'Transaction Details'!$A:$A,"&gt;="&amp;Q$6,'Transaction Details'!$A:$A,"&lt;"&amp;EDATE(Q$6,1))</f>
        <v>0</v>
      </c>
      <c r="R16" s="36">
        <f>SUMIFS('Transaction Details'!$D:$D,'Transaction Details'!$C:$C,$A16,'Transaction Details'!$A:$A,"&gt;="&amp;R$6,'Transaction Details'!$A:$A,"&lt;"&amp;EDATE(R$6,1))</f>
        <v>0</v>
      </c>
      <c r="S16" s="36">
        <f>SUMIFS('Transaction Details'!$D:$D,'Transaction Details'!$C:$C,$A16,'Transaction Details'!$A:$A,"&gt;="&amp;S$6,'Transaction Details'!$A:$A,"&lt;"&amp;EDATE(S$6,1))</f>
        <v>0</v>
      </c>
      <c r="T16" s="37">
        <f>SUM(B16:S16)</f>
        <v>9.879999999999999</v>
      </c>
    </row>
    <row r="17" spans="1:20" x14ac:dyDescent="0.25">
      <c r="A17" s="25" t="s">
        <v>288</v>
      </c>
      <c r="B17" s="36">
        <f>SUMIFS('Transaction Details'!$D:$D,'Transaction Details'!$C:$C,$A17,'Transaction Details'!$A:$A,"&gt;="&amp;B$6,'Transaction Details'!$A:$A,"&lt;"&amp;EDATE(B$6,1))</f>
        <v>0</v>
      </c>
      <c r="C17" s="36">
        <f>SUMIFS('Transaction Details'!$D:$D,'Transaction Details'!$C:$C,$A17,'Transaction Details'!$A:$A,"&gt;="&amp;C$6,'Transaction Details'!$A:$A,"&lt;"&amp;EDATE(C$6,1))</f>
        <v>0</v>
      </c>
      <c r="D17" s="36">
        <f>SUMIFS('Transaction Details'!$D:$D,'Transaction Details'!$C:$C,$A17,'Transaction Details'!$A:$A,"&gt;="&amp;D$6,'Transaction Details'!$A:$A,"&lt;"&amp;EDATE(D$6,1))</f>
        <v>0</v>
      </c>
      <c r="E17" s="36">
        <f>SUMIFS('Transaction Details'!$D:$D,'Transaction Details'!$C:$C,$A17,'Transaction Details'!$A:$A,"&gt;="&amp;E$6,'Transaction Details'!$A:$A,"&lt;"&amp;EDATE(E$6,1))</f>
        <v>0</v>
      </c>
      <c r="F17" s="36">
        <f>SUMIFS('Transaction Details'!$D:$D,'Transaction Details'!$C:$C,$A17,'Transaction Details'!$A:$A,"&gt;="&amp;F$6,'Transaction Details'!$A:$A,"&lt;"&amp;EDATE(F$6,1))</f>
        <v>0</v>
      </c>
      <c r="G17" s="36">
        <f>SUMIFS('Transaction Details'!$D:$D,'Transaction Details'!$C:$C,$A17,'Transaction Details'!$A:$A,"&gt;="&amp;G$6,'Transaction Details'!$A:$A,"&lt;"&amp;EDATE(G$6,1))</f>
        <v>0</v>
      </c>
      <c r="H17" s="36">
        <f>SUMIFS('Transaction Details'!$D:$D,'Transaction Details'!$C:$C,$A17,'Transaction Details'!$A:$A,"&gt;="&amp;H$6,'Transaction Details'!$A:$A,"&lt;"&amp;EDATE(H$6,1))</f>
        <v>0</v>
      </c>
      <c r="I17" s="36">
        <f>SUMIFS('Transaction Details'!$D:$D,'Transaction Details'!$C:$C,$A17,'Transaction Details'!$A:$A,"&gt;="&amp;I$6,'Transaction Details'!$A:$A,"&lt;"&amp;EDATE(I$6,1))</f>
        <v>0</v>
      </c>
      <c r="J17" s="36">
        <f>SUMIFS('Transaction Details'!$D:$D,'Transaction Details'!$C:$C,$A17,'Transaction Details'!$A:$A,"&gt;="&amp;J$6,'Transaction Details'!$A:$A,"&lt;"&amp;EDATE(J$6,1))</f>
        <v>0</v>
      </c>
      <c r="K17" s="36">
        <f>SUMIFS('Transaction Details'!$D:$D,'Transaction Details'!$C:$C,$A17,'Transaction Details'!$A:$A,"&gt;="&amp;K$6,'Transaction Details'!$A:$A,"&lt;"&amp;EDATE(K$6,1))</f>
        <v>0</v>
      </c>
      <c r="L17" s="36">
        <f>SUMIFS('Transaction Details'!$D:$D,'Transaction Details'!$C:$C,$A17,'Transaction Details'!$A:$A,"&gt;="&amp;L$6,'Transaction Details'!$A:$A,"&lt;"&amp;EDATE(L$6,1))</f>
        <v>2587.12</v>
      </c>
      <c r="M17" s="36">
        <f>SUMIFS('Transaction Details'!$D:$D,'Transaction Details'!$C:$C,$A17,'Transaction Details'!$A:$A,"&gt;="&amp;M$6,'Transaction Details'!$A:$A,"&lt;"&amp;EDATE(M$6,1))</f>
        <v>0</v>
      </c>
      <c r="N17" s="36">
        <f>SUMIFS('Transaction Details'!$D:$D,'Transaction Details'!$C:$C,$A17,'Transaction Details'!$A:$A,"&gt;="&amp;N$6,'Transaction Details'!$A:$A,"&lt;"&amp;EDATE(N$6,1))</f>
        <v>0</v>
      </c>
      <c r="O17" s="36">
        <f>SUMIFS('Transaction Details'!$D:$D,'Transaction Details'!$C:$C,$A17,'Transaction Details'!$A:$A,"&gt;="&amp;O$6,'Transaction Details'!$A:$A,"&lt;"&amp;EDATE(O$6,1))</f>
        <v>0</v>
      </c>
      <c r="P17" s="36">
        <f>SUMIFS('Transaction Details'!$D:$D,'Transaction Details'!$C:$C,$A17,'Transaction Details'!$A:$A,"&gt;="&amp;P$6,'Transaction Details'!$A:$A,"&lt;"&amp;EDATE(P$6,1))</f>
        <v>0</v>
      </c>
      <c r="Q17" s="36">
        <f>SUMIFS('Transaction Details'!$D:$D,'Transaction Details'!$C:$C,$A17,'Transaction Details'!$A:$A,"&gt;="&amp;Q$6,'Transaction Details'!$A:$A,"&lt;"&amp;EDATE(Q$6,1))</f>
        <v>0</v>
      </c>
      <c r="R17" s="36">
        <f>SUMIFS('Transaction Details'!$D:$D,'Transaction Details'!$C:$C,$A17,'Transaction Details'!$A:$A,"&gt;="&amp;R$6,'Transaction Details'!$A:$A,"&lt;"&amp;EDATE(R$6,1))</f>
        <v>0</v>
      </c>
      <c r="S17" s="36">
        <f>SUMIFS('Transaction Details'!$D:$D,'Transaction Details'!$C:$C,$A17,'Transaction Details'!$A:$A,"&gt;="&amp;S$6,'Transaction Details'!$A:$A,"&lt;"&amp;EDATE(S$6,1))</f>
        <v>0</v>
      </c>
      <c r="T17" s="37">
        <f>SUM(B17:S17)</f>
        <v>2587.12</v>
      </c>
    </row>
    <row r="18" spans="1:20" x14ac:dyDescent="0.25">
      <c r="A18" s="28" t="s">
        <v>320</v>
      </c>
      <c r="B18" s="38">
        <f>SUMIFS('Transaction Details'!$D:$D,'Transaction Details'!$A:$A,"&gt;="&amp;B$6,'Transaction Details'!$A:$A,"&lt;"&amp;EDATE(B$6,1),'Transaction Details'!$D:$D,"&gt;0")</f>
        <v>123.33999999999997</v>
      </c>
      <c r="C18" s="38">
        <f>SUMIFS('Transaction Details'!$D:$D,'Transaction Details'!$A:$A,"&gt;="&amp;C$6,'Transaction Details'!$A:$A,"&lt;"&amp;EDATE(C$6,1),'Transaction Details'!$D:$D,"&gt;0")</f>
        <v>84.34</v>
      </c>
      <c r="D18" s="38">
        <f>SUMIFS('Transaction Details'!$D:$D,'Transaction Details'!$A:$A,"&gt;="&amp;D$6,'Transaction Details'!$A:$A,"&lt;"&amp;EDATE(D$6,1),'Transaction Details'!$D:$D,"&gt;0")</f>
        <v>822.32999999999993</v>
      </c>
      <c r="E18" s="38">
        <f>SUMIFS('Transaction Details'!$D:$D,'Transaction Details'!$A:$A,"&gt;="&amp;E$6,'Transaction Details'!$A:$A,"&lt;"&amp;EDATE(E$6,1),'Transaction Details'!$D:$D,"&gt;0")</f>
        <v>96.330000000000013</v>
      </c>
      <c r="F18" s="38">
        <f>SUMIFS('Transaction Details'!$D:$D,'Transaction Details'!$A:$A,"&gt;="&amp;F$6,'Transaction Details'!$A:$A,"&lt;"&amp;EDATE(F$6,1),'Transaction Details'!$D:$D,"&gt;0")</f>
        <v>132.99999999999997</v>
      </c>
      <c r="G18" s="38">
        <f>SUMIFS('Transaction Details'!$D:$D,'Transaction Details'!$A:$A,"&gt;="&amp;G$6,'Transaction Details'!$A:$A,"&lt;"&amp;EDATE(G$6,1),'Transaction Details'!$D:$D,"&gt;0")</f>
        <v>7500.1999999999989</v>
      </c>
      <c r="H18" s="38">
        <f>SUMIFS('Transaction Details'!$D:$D,'Transaction Details'!$A:$A,"&gt;="&amp;H$6,'Transaction Details'!$A:$A,"&lt;"&amp;EDATE(H$6,1),'Transaction Details'!$D:$D,"&gt;0")</f>
        <v>127.51999999999998</v>
      </c>
      <c r="I18" s="38">
        <f>SUMIFS('Transaction Details'!$D:$D,'Transaction Details'!$A:$A,"&gt;="&amp;I$6,'Transaction Details'!$A:$A,"&lt;"&amp;EDATE(I$6,1),'Transaction Details'!$D:$D,"&gt;0")</f>
        <v>192.55</v>
      </c>
      <c r="J18" s="38">
        <f>SUMIFS('Transaction Details'!$D:$D,'Transaction Details'!$A:$A,"&gt;="&amp;J$6,'Transaction Details'!$A:$A,"&lt;"&amp;EDATE(J$6,1),'Transaction Details'!$D:$D,"&gt;0")</f>
        <v>189.35</v>
      </c>
      <c r="K18" s="38">
        <f>SUMIFS('Transaction Details'!$D:$D,'Transaction Details'!$A:$A,"&gt;="&amp;K$6,'Transaction Details'!$A:$A,"&lt;"&amp;EDATE(K$6,1),'Transaction Details'!$D:$D,"&gt;0")</f>
        <v>136.45999999999998</v>
      </c>
      <c r="L18" s="38">
        <f>SUMIFS('Transaction Details'!$D:$D,'Transaction Details'!$A:$A,"&gt;="&amp;L$6,'Transaction Details'!$A:$A,"&lt;"&amp;EDATE(L$6,1),'Transaction Details'!$D:$D,"&gt;0")</f>
        <v>3854.9799999999987</v>
      </c>
      <c r="M18" s="38">
        <f>SUMIFS('Transaction Details'!$D:$D,'Transaction Details'!$A:$A,"&gt;="&amp;M$6,'Transaction Details'!$A:$A,"&lt;"&amp;EDATE(M$6,1),'Transaction Details'!$D:$D,"&gt;0")</f>
        <v>542.81999999999994</v>
      </c>
      <c r="N18" s="38">
        <f>SUMIFS('Transaction Details'!$D:$D,'Transaction Details'!$A:$A,"&gt;="&amp;N$6,'Transaction Details'!$A:$A,"&lt;"&amp;EDATE(N$6,1),'Transaction Details'!$D:$D,"&gt;0")</f>
        <v>103.1</v>
      </c>
      <c r="O18" s="38">
        <f>SUMIFS('Transaction Details'!$D:$D,'Transaction Details'!$A:$A,"&gt;="&amp;O$6,'Transaction Details'!$A:$A,"&lt;"&amp;EDATE(O$6,1),'Transaction Details'!$D:$D,"&gt;0")</f>
        <v>3092.37</v>
      </c>
      <c r="P18" s="38">
        <f>SUMIFS('Transaction Details'!$D:$D,'Transaction Details'!$A:$A,"&gt;="&amp;P$6,'Transaction Details'!$A:$A,"&lt;"&amp;EDATE(P$6,1),'Transaction Details'!$D:$D,"&gt;0")</f>
        <v>1239.3700000000001</v>
      </c>
      <c r="Q18" s="38">
        <f>SUMIFS('Transaction Details'!$D:$D,'Transaction Details'!$A:$A,"&gt;="&amp;Q$6,'Transaction Details'!$A:$A,"&lt;"&amp;EDATE(Q$6,1),'Transaction Details'!$D:$D,"&gt;0")</f>
        <v>219.04</v>
      </c>
      <c r="R18" s="38">
        <f>SUMIFS('Transaction Details'!$D:$D,'Transaction Details'!$A:$A,"&gt;="&amp;R$6,'Transaction Details'!$A:$A,"&lt;"&amp;EDATE(R$6,1),'Transaction Details'!$D:$D,"&gt;0")</f>
        <v>99.44</v>
      </c>
      <c r="S18" s="38">
        <f>SUMIFS('Transaction Details'!$D:$D,'Transaction Details'!$A:$A,"&gt;="&amp;S$6,'Transaction Details'!$A:$A,"&lt;"&amp;EDATE(S$6,1),'Transaction Details'!$D:$D,"&gt;0")</f>
        <v>0</v>
      </c>
      <c r="T18" s="38">
        <f>SUM(B18:S18)</f>
        <v>18556.539999999997</v>
      </c>
    </row>
    <row r="19" spans="1:20" x14ac:dyDescent="0.25">
      <c r="A19" s="24" t="s">
        <v>304</v>
      </c>
      <c r="B19" s="37">
        <f>SUMIFS('Transaction Details'!$D:$D,'Transaction Details'!$A:$A,"&gt;="&amp;B$6,'Transaction Details'!$A:$A,"&lt;"&amp;EDATE(B$6,1),'Transaction Details'!$D:$D,"&lt;0")</f>
        <v>-142.32</v>
      </c>
      <c r="C19" s="37">
        <f>SUMIFS('Transaction Details'!$D:$D,'Transaction Details'!$A:$A,"&gt;="&amp;C$6,'Transaction Details'!$A:$A,"&lt;"&amp;EDATE(C$6,1),'Transaction Details'!$D:$D,"&lt;0")</f>
        <v>-74.349999999999994</v>
      </c>
      <c r="D19" s="37">
        <f>SUMIFS('Transaction Details'!$D:$D,'Transaction Details'!$A:$A,"&gt;="&amp;D$6,'Transaction Details'!$A:$A,"&lt;"&amp;EDATE(D$6,1),'Transaction Details'!$D:$D,"&lt;0")</f>
        <v>0</v>
      </c>
      <c r="E19" s="37">
        <f>SUMIFS('Transaction Details'!$D:$D,'Transaction Details'!$A:$A,"&gt;="&amp;E$6,'Transaction Details'!$A:$A,"&lt;"&amp;EDATE(E$6,1),'Transaction Details'!$D:$D,"&lt;0")</f>
        <v>-918.66000000000008</v>
      </c>
      <c r="F19" s="37">
        <f>SUMIFS('Transaction Details'!$D:$D,'Transaction Details'!$A:$A,"&gt;="&amp;F$6,'Transaction Details'!$A:$A,"&lt;"&amp;EDATE(F$6,1),'Transaction Details'!$D:$D,"&lt;0")</f>
        <v>0</v>
      </c>
      <c r="G19" s="37">
        <f>SUMIFS('Transaction Details'!$D:$D,'Transaction Details'!$A:$A,"&gt;="&amp;G$6,'Transaction Details'!$A:$A,"&lt;"&amp;EDATE(G$6,1),'Transaction Details'!$D:$D,"&lt;0")</f>
        <v>-3009.6099999999997</v>
      </c>
      <c r="H19" s="37">
        <f>SUMIFS('Transaction Details'!$D:$D,'Transaction Details'!$A:$A,"&gt;="&amp;H$6,'Transaction Details'!$A:$A,"&lt;"&amp;EDATE(H$6,1),'Transaction Details'!$D:$D,"&lt;0")</f>
        <v>0</v>
      </c>
      <c r="I19" s="37">
        <f>SUMIFS('Transaction Details'!$D:$D,'Transaction Details'!$A:$A,"&gt;="&amp;I$6,'Transaction Details'!$A:$A,"&lt;"&amp;EDATE(I$6,1),'Transaction Details'!$D:$D,"&lt;0")</f>
        <v>-4915.7000000000007</v>
      </c>
      <c r="J19" s="37">
        <f>SUMIFS('Transaction Details'!$D:$D,'Transaction Details'!$A:$A,"&gt;="&amp;J$6,'Transaction Details'!$A:$A,"&lt;"&amp;EDATE(J$6,1),'Transaction Details'!$D:$D,"&lt;0")</f>
        <v>-176.36</v>
      </c>
      <c r="K19" s="37">
        <f>SUMIFS('Transaction Details'!$D:$D,'Transaction Details'!$A:$A,"&gt;="&amp;K$6,'Transaction Details'!$A:$A,"&lt;"&amp;EDATE(K$6,1),'Transaction Details'!$D:$D,"&lt;0")</f>
        <v>-177.41</v>
      </c>
      <c r="L19" s="37">
        <f>SUMIFS('Transaction Details'!$D:$D,'Transaction Details'!$A:$A,"&gt;="&amp;L$6,'Transaction Details'!$A:$A,"&lt;"&amp;EDATE(L$6,1),'Transaction Details'!$D:$D,"&lt;0")</f>
        <v>-2815.05</v>
      </c>
      <c r="M19" s="37">
        <f>SUMIFS('Transaction Details'!$D:$D,'Transaction Details'!$A:$A,"&gt;="&amp;M$6,'Transaction Details'!$A:$A,"&lt;"&amp;EDATE(M$6,1),'Transaction Details'!$D:$D,"&lt;0")</f>
        <v>-1581.75</v>
      </c>
      <c r="N19" s="37">
        <f>SUMIFS('Transaction Details'!$D:$D,'Transaction Details'!$A:$A,"&gt;="&amp;N$6,'Transaction Details'!$A:$A,"&lt;"&amp;EDATE(N$6,1),'Transaction Details'!$D:$D,"&lt;0")</f>
        <v>-92.37</v>
      </c>
      <c r="O19" s="37">
        <f>SUMIFS('Transaction Details'!$D:$D,'Transaction Details'!$A:$A,"&gt;="&amp;O$6,'Transaction Details'!$A:$A,"&lt;"&amp;EDATE(O$6,1),'Transaction Details'!$D:$D,"&lt;0")</f>
        <v>-3103.1</v>
      </c>
      <c r="P19" s="37">
        <f>SUMIFS('Transaction Details'!$D:$D,'Transaction Details'!$A:$A,"&gt;="&amp;P$6,'Transaction Details'!$A:$A,"&lt;"&amp;EDATE(P$6,1),'Transaction Details'!$D:$D,"&lt;0")</f>
        <v>-1237.3699999999999</v>
      </c>
      <c r="Q19" s="37">
        <f>SUMIFS('Transaction Details'!$D:$D,'Transaction Details'!$A:$A,"&gt;="&amp;Q$6,'Transaction Details'!$A:$A,"&lt;"&amp;EDATE(Q$6,1),'Transaction Details'!$D:$D,"&lt;0")</f>
        <v>-172.09</v>
      </c>
      <c r="R19" s="37">
        <f>SUMIFS('Transaction Details'!$D:$D,'Transaction Details'!$A:$A,"&gt;="&amp;R$6,'Transaction Details'!$A:$A,"&lt;"&amp;EDATE(R$6,1),'Transaction Details'!$D:$D,"&lt;0")</f>
        <v>-144.32</v>
      </c>
      <c r="S19" s="37">
        <f>SUMIFS('Transaction Details'!$D:$D,'Transaction Details'!$A:$A,"&gt;="&amp;S$6,'Transaction Details'!$A:$A,"&lt;"&amp;EDATE(S$6,1),'Transaction Details'!$D:$D,"&lt;0")</f>
        <v>0</v>
      </c>
      <c r="T19" s="37">
        <f>SUM(B19:S19)</f>
        <v>-18560.46</v>
      </c>
    </row>
    <row r="20" spans="1:20" x14ac:dyDescent="0.25">
      <c r="A20" s="39" t="s">
        <v>321</v>
      </c>
      <c r="B20" s="40">
        <f>B18+B19</f>
        <v>-18.980000000000018</v>
      </c>
      <c r="C20" s="40">
        <f>C18+C19</f>
        <v>9.9900000000000091</v>
      </c>
      <c r="D20" s="40">
        <f>D18+D19</f>
        <v>822.32999999999993</v>
      </c>
      <c r="E20" s="40">
        <f>E18+E19</f>
        <v>-822.33</v>
      </c>
      <c r="F20" s="40">
        <f>F18+F19</f>
        <v>132.99999999999997</v>
      </c>
      <c r="G20" s="40">
        <f>G18+G19</f>
        <v>4490.5899999999992</v>
      </c>
      <c r="H20" s="40">
        <f>H18+H19</f>
        <v>127.51999999999998</v>
      </c>
      <c r="I20" s="40">
        <f>I18+I19</f>
        <v>-4723.1500000000005</v>
      </c>
      <c r="J20" s="40">
        <f>J18+J19</f>
        <v>12.989999999999981</v>
      </c>
      <c r="K20" s="40">
        <f>K18+K19</f>
        <v>-40.950000000000017</v>
      </c>
      <c r="L20" s="40">
        <f>L18+L19</f>
        <v>1039.9299999999985</v>
      </c>
      <c r="M20" s="40">
        <f>M18+M19</f>
        <v>-1038.93</v>
      </c>
      <c r="N20" s="40">
        <f>N18+N19</f>
        <v>10.72999999999999</v>
      </c>
      <c r="O20" s="40">
        <f>O18+O19</f>
        <v>-10.730000000000018</v>
      </c>
      <c r="P20" s="40">
        <f>P18+P19</f>
        <v>2.0000000000002274</v>
      </c>
      <c r="Q20" s="40">
        <f>Q18+Q19</f>
        <v>46.949999999999989</v>
      </c>
      <c r="R20" s="40">
        <f>R18+R19</f>
        <v>-44.879999999999995</v>
      </c>
      <c r="S20" s="40">
        <f>S18+S19</f>
        <v>0</v>
      </c>
      <c r="T20" s="40">
        <f>T18+T19</f>
        <v>-3.9200000000018917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05C4-18BA-4340-9A02-2EB5C54938FE}">
  <dimension ref="A1:G209"/>
  <sheetViews>
    <sheetView workbookViewId="0">
      <pane ySplit="9" topLeftCell="A52" activePane="bottomLeft" state="frozen"/>
      <selection pane="bottomLeft" activeCell="B209" sqref="B209"/>
    </sheetView>
  </sheetViews>
  <sheetFormatPr defaultRowHeight="15" x14ac:dyDescent="0.25"/>
  <cols>
    <col min="1" max="1" width="16.7109375" customWidth="1"/>
    <col min="2" max="2" width="45.7109375" customWidth="1"/>
    <col min="3" max="3" width="38.140625" customWidth="1"/>
    <col min="4" max="4" width="19" customWidth="1"/>
    <col min="6" max="6" width="11.85546875" customWidth="1"/>
    <col min="7" max="7" width="45.7109375" customWidth="1"/>
  </cols>
  <sheetData>
    <row r="1" spans="1:7" ht="21" x14ac:dyDescent="0.35">
      <c r="A1" s="12" t="s">
        <v>291</v>
      </c>
      <c r="B1" s="9"/>
      <c r="C1" s="9"/>
      <c r="D1" s="9"/>
      <c r="E1" s="9"/>
      <c r="F1" s="9"/>
      <c r="G1" s="9"/>
    </row>
    <row r="2" spans="1:7" x14ac:dyDescent="0.25">
      <c r="A2" s="10" t="s">
        <v>292</v>
      </c>
      <c r="B2" s="9"/>
      <c r="C2" s="9"/>
      <c r="D2" s="9"/>
      <c r="E2" s="9"/>
      <c r="F2" s="9"/>
      <c r="G2" s="9"/>
    </row>
    <row r="4" spans="1:7" x14ac:dyDescent="0.25">
      <c r="A4" s="13" t="s">
        <v>293</v>
      </c>
      <c r="B4" t="s">
        <v>294</v>
      </c>
    </row>
    <row r="5" spans="1:7" x14ac:dyDescent="0.25">
      <c r="A5" s="13" t="s">
        <v>295</v>
      </c>
      <c r="B5" t="s">
        <v>6</v>
      </c>
    </row>
    <row r="6" spans="1:7" x14ac:dyDescent="0.25">
      <c r="A6" s="13" t="s">
        <v>296</v>
      </c>
      <c r="B6" t="s">
        <v>297</v>
      </c>
    </row>
    <row r="7" spans="1:7" x14ac:dyDescent="0.25">
      <c r="A7" s="13" t="s">
        <v>298</v>
      </c>
      <c r="B7" t="s">
        <v>294</v>
      </c>
    </row>
    <row r="9" spans="1:7" x14ac:dyDescent="0.25">
      <c r="A9" s="15" t="s">
        <v>7</v>
      </c>
      <c r="B9" s="15" t="s">
        <v>299</v>
      </c>
      <c r="C9" s="15" t="s">
        <v>14</v>
      </c>
      <c r="D9" s="15" t="s">
        <v>11</v>
      </c>
      <c r="E9" s="15" t="s">
        <v>300</v>
      </c>
      <c r="F9" s="15" t="s">
        <v>301</v>
      </c>
      <c r="G9" s="15" t="s">
        <v>302</v>
      </c>
    </row>
    <row r="10" spans="1:7" x14ac:dyDescent="0.25">
      <c r="A10" s="16">
        <f>IF(ISNUMBER('2026_Transaction Details'!A8),'2026_Transaction Details'!A8,DATEVALUE('2026_Transaction Details'!A8))</f>
        <v>46169</v>
      </c>
      <c r="B10" t="str">
        <f>'2026_Transaction Details'!B8</f>
        <v>AMAZON.COM          AMZN.COM/BILL       WA</v>
      </c>
      <c r="C10" t="str">
        <f>'2026_Transaction Details'!H8</f>
        <v>Personal - Amazon</v>
      </c>
      <c r="D10" s="17">
        <f>'2026_Transaction Details'!E8</f>
        <v>35.04</v>
      </c>
      <c r="E10" s="18" t="str">
        <f>IF(LEFT('2026_Transaction Details'!H8,8)="Personal","P","B")</f>
        <v>P</v>
      </c>
    </row>
    <row r="11" spans="1:7" x14ac:dyDescent="0.25">
      <c r="A11" s="16">
        <f>IF(ISNUMBER('2026_Transaction Details'!A9),'2026_Transaction Details'!A9,DATEVALUE('2026_Transaction Details'!A9))</f>
        <v>46169</v>
      </c>
      <c r="B11" t="str">
        <f>'2026_Transaction Details'!B9</f>
        <v>ONLINE PAYMENT - THANK YOU</v>
      </c>
      <c r="C11" t="str">
        <f>'2026_Transaction Details'!H9</f>
        <v>Online AMEX Payment</v>
      </c>
      <c r="D11" s="17">
        <f>'2026_Transaction Details'!E9</f>
        <v>-40.96</v>
      </c>
      <c r="E11" s="18" t="str">
        <f>IF(LEFT('2026_Transaction Details'!H9,8)="Personal","P","B")</f>
        <v>B</v>
      </c>
    </row>
    <row r="12" spans="1:7" x14ac:dyDescent="0.25">
      <c r="A12" s="16">
        <f>IF(ISNUMBER('2026_Transaction Details'!A10),'2026_Transaction Details'!A10,DATEVALUE('2026_Transaction Details'!A10))</f>
        <v>46164</v>
      </c>
      <c r="B12" t="str">
        <f>'2026_Transaction Details'!B10</f>
        <v>AMAZON DIGITAL SVCS AMZN.COM/BILL       WA</v>
      </c>
      <c r="C12" t="str">
        <f>'2026_Transaction Details'!H10</f>
        <v>Personal - Amazon</v>
      </c>
      <c r="D12" s="17">
        <f>'2026_Transaction Details'!E10</f>
        <v>12.99</v>
      </c>
      <c r="E12" s="18" t="str">
        <f>IF(LEFT('2026_Transaction Details'!H10,8)="Personal","P","B")</f>
        <v>P</v>
      </c>
    </row>
    <row r="13" spans="1:7" x14ac:dyDescent="0.25">
      <c r="A13" s="16">
        <f>IF(ISNUMBER('2026_Transaction Details'!A11),'2026_Transaction Details'!A11,DATEVALUE('2026_Transaction Details'!A11))</f>
        <v>46160</v>
      </c>
      <c r="B13" t="str">
        <f>'2026_Transaction Details'!B11</f>
        <v>AMAZON PRIME*BF01455AMZN.COM/BILL       WA</v>
      </c>
      <c r="C13" t="str">
        <f>'2026_Transaction Details'!H11</f>
        <v>Personal - Amazon</v>
      </c>
      <c r="D13" s="17">
        <f>'2026_Transaction Details'!E11</f>
        <v>4.99</v>
      </c>
      <c r="E13" s="18" t="str">
        <f>IF(LEFT('2026_Transaction Details'!H11,8)="Personal","P","B")</f>
        <v>P</v>
      </c>
    </row>
    <row r="14" spans="1:7" x14ac:dyDescent="0.25">
      <c r="A14" s="16">
        <f>IF(ISNUMBER('2026_Transaction Details'!A12),'2026_Transaction Details'!A12,DATEVALUE('2026_Transaction Details'!A12))</f>
        <v>46156</v>
      </c>
      <c r="B14" t="str">
        <f>'2026_Transaction Details'!B12</f>
        <v>AMAZON DIGITAL SVCS AMZN.COM/BILL       WA</v>
      </c>
      <c r="C14" t="str">
        <f>'2026_Transaction Details'!H12</f>
        <v>Personal - Amazon</v>
      </c>
      <c r="D14" s="17">
        <f>'2026_Transaction Details'!E12</f>
        <v>10.99</v>
      </c>
      <c r="E14" s="18" t="str">
        <f>IF(LEFT('2026_Transaction Details'!H12,8)="Personal","P","B")</f>
        <v>P</v>
      </c>
    </row>
    <row r="15" spans="1:7" x14ac:dyDescent="0.25">
      <c r="A15" s="16">
        <f>IF(ISNUMBER('2026_Transaction Details'!A13),'2026_Transaction Details'!A13,DATEVALUE('2026_Transaction Details'!A13))</f>
        <v>46156</v>
      </c>
      <c r="B15" t="str">
        <f>'2026_Transaction Details'!B13</f>
        <v>AMAZON DIGITAL SVCS AMZN.COM/BILL       WA</v>
      </c>
      <c r="C15" t="str">
        <f>'2026_Transaction Details'!H13</f>
        <v>Personal - Amazon</v>
      </c>
      <c r="D15" s="17">
        <f>'2026_Transaction Details'!E13</f>
        <v>11.99</v>
      </c>
      <c r="E15" s="18" t="str">
        <f>IF(LEFT('2026_Transaction Details'!H13,8)="Personal","P","B")</f>
        <v>P</v>
      </c>
    </row>
    <row r="16" spans="1:7" x14ac:dyDescent="0.25">
      <c r="A16" s="16">
        <f>IF(ISNUMBER('2026_Transaction Details'!A14),'2026_Transaction Details'!A14,DATEVALUE('2026_Transaction Details'!A14))</f>
        <v>46153</v>
      </c>
      <c r="B16" t="str">
        <f>'2026_Transaction Details'!B14</f>
        <v>ONLINE PAYMENT - THANK YOU</v>
      </c>
      <c r="C16" t="str">
        <f>'2026_Transaction Details'!H14</f>
        <v>Online AMEX Payment</v>
      </c>
      <c r="D16" s="17">
        <f>'2026_Transaction Details'!E14</f>
        <v>-103.36</v>
      </c>
      <c r="E16" s="18" t="str">
        <f>IF(LEFT('2026_Transaction Details'!H14,8)="Personal","P","B")</f>
        <v>B</v>
      </c>
    </row>
    <row r="17" spans="1:5" x14ac:dyDescent="0.25">
      <c r="A17" s="16">
        <f>IF(ISNUMBER('2026_Transaction Details'!A15),'2026_Transaction Details'!A15,DATEVALUE('2026_Transaction Details'!A15))</f>
        <v>46151</v>
      </c>
      <c r="B17" t="str">
        <f>'2026_Transaction Details'!B15</f>
        <v>AMAZON DIGITAL SVCS AMZN.COM/BILL       WA</v>
      </c>
      <c r="C17" t="str">
        <f>'2026_Transaction Details'!H15</f>
        <v>Personal - Amazon</v>
      </c>
      <c r="D17" s="17">
        <f>'2026_Transaction Details'!E15</f>
        <v>6.99</v>
      </c>
      <c r="E17" s="18" t="str">
        <f>IF(LEFT('2026_Transaction Details'!H15,8)="Personal","P","B")</f>
        <v>P</v>
      </c>
    </row>
    <row r="18" spans="1:5" x14ac:dyDescent="0.25">
      <c r="A18" s="16">
        <f>IF(ISNUMBER('2026_Transaction Details'!A16),'2026_Transaction Details'!A16,DATEVALUE('2026_Transaction Details'!A16))</f>
        <v>46144</v>
      </c>
      <c r="B18" t="str">
        <f>'2026_Transaction Details'!B16</f>
        <v>Amazon Prime        Amazon.com          WA</v>
      </c>
      <c r="C18" t="str">
        <f>'2026_Transaction Details'!H16</f>
        <v>Personal - Amazon</v>
      </c>
      <c r="D18" s="17">
        <f>'2026_Transaction Details'!E16</f>
        <v>16.45</v>
      </c>
      <c r="E18" s="18" t="str">
        <f>IF(LEFT('2026_Transaction Details'!H16,8)="Personal","P","B")</f>
        <v>P</v>
      </c>
    </row>
    <row r="19" spans="1:5" x14ac:dyDescent="0.25">
      <c r="A19" s="16">
        <f>IF(ISNUMBER('2026_Transaction Details'!A17),'2026_Transaction Details'!A17,DATEVALUE('2026_Transaction Details'!A17))</f>
        <v>46142</v>
      </c>
      <c r="B19" t="str">
        <f>'2026_Transaction Details'!B17</f>
        <v>AMAZON DIGITAL SVCS AMZN.COM/BILL       WA</v>
      </c>
      <c r="C19" t="str">
        <f>'2026_Transaction Details'!H17</f>
        <v>Personal - Amazon</v>
      </c>
      <c r="D19" s="17">
        <f>'2026_Transaction Details'!E17</f>
        <v>13.99</v>
      </c>
      <c r="E19" s="18" t="str">
        <f>IF(LEFT('2026_Transaction Details'!H17,8)="Personal","P","B")</f>
        <v>P</v>
      </c>
    </row>
    <row r="20" spans="1:5" x14ac:dyDescent="0.25">
      <c r="A20" s="16">
        <f>IF(ISNUMBER('2026_Transaction Details'!A18),'2026_Transaction Details'!A18,DATEVALUE('2026_Transaction Details'!A18))</f>
        <v>46141</v>
      </c>
      <c r="B20" t="str">
        <f>'2026_Transaction Details'!B18</f>
        <v>AMAZON DIGITAL SVCS AMZN.COM/BILL       WA</v>
      </c>
      <c r="C20" t="str">
        <f>'2026_Transaction Details'!H18</f>
        <v>Personal - Amazon</v>
      </c>
      <c r="D20" s="17">
        <f>'2026_Transaction Details'!E18</f>
        <v>7.99</v>
      </c>
      <c r="E20" s="18" t="str">
        <f>IF(LEFT('2026_Transaction Details'!H18,8)="Personal","P","B")</f>
        <v>P</v>
      </c>
    </row>
    <row r="21" spans="1:5" x14ac:dyDescent="0.25">
      <c r="A21" s="16">
        <f>IF(ISNUMBER('2026_Transaction Details'!A19),'2026_Transaction Details'!A19,DATEVALUE('2026_Transaction Details'!A19))</f>
        <v>46140</v>
      </c>
      <c r="B21" t="str">
        <f>'2026_Transaction Details'!B19</f>
        <v>AMAZON DIGITAL SVCS AMZN.COM/BILL       WA</v>
      </c>
      <c r="C21" t="str">
        <f>'2026_Transaction Details'!H19</f>
        <v>Personal - Amazon</v>
      </c>
      <c r="D21" s="17">
        <f>'2026_Transaction Details'!E19</f>
        <v>10.99</v>
      </c>
      <c r="E21" s="18" t="str">
        <f>IF(LEFT('2026_Transaction Details'!H19,8)="Personal","P","B")</f>
        <v>P</v>
      </c>
    </row>
    <row r="22" spans="1:5" x14ac:dyDescent="0.25">
      <c r="A22" s="16">
        <f>IF(ISNUMBER('2026_Transaction Details'!A20),'2026_Transaction Details'!A20,DATEVALUE('2026_Transaction Details'!A20))</f>
        <v>46134</v>
      </c>
      <c r="B22" t="str">
        <f>'2026_Transaction Details'!B20</f>
        <v>AMAZON DIGITAL SVCS AMZN.COM/BILL       WA</v>
      </c>
      <c r="C22" t="str">
        <f>'2026_Transaction Details'!H20</f>
        <v>Personal - Amazon</v>
      </c>
      <c r="D22" s="17">
        <f>'2026_Transaction Details'!E20</f>
        <v>12.99</v>
      </c>
      <c r="E22" s="18" t="str">
        <f>IF(LEFT('2026_Transaction Details'!H20,8)="Personal","P","B")</f>
        <v>P</v>
      </c>
    </row>
    <row r="23" spans="1:5" x14ac:dyDescent="0.25">
      <c r="A23" s="16">
        <f>IF(ISNUMBER('2026_Transaction Details'!A21),'2026_Transaction Details'!A21,DATEVALUE('2026_Transaction Details'!A21))</f>
        <v>46130</v>
      </c>
      <c r="B23" t="str">
        <f>'2026_Transaction Details'!B21</f>
        <v>AMAZON PRIME*BY8J583AMZN.COM/BILL       WA</v>
      </c>
      <c r="C23" t="str">
        <f>'2026_Transaction Details'!H21</f>
        <v>Personal - Amazon</v>
      </c>
      <c r="D23" s="17">
        <f>'2026_Transaction Details'!E21</f>
        <v>4.99</v>
      </c>
      <c r="E23" s="18" t="str">
        <f>IF(LEFT('2026_Transaction Details'!H21,8)="Personal","P","B")</f>
        <v>P</v>
      </c>
    </row>
    <row r="24" spans="1:5" x14ac:dyDescent="0.25">
      <c r="A24" s="16">
        <f>IF(ISNUMBER('2026_Transaction Details'!A22),'2026_Transaction Details'!A22,DATEVALUE('2026_Transaction Details'!A22))</f>
        <v>46126</v>
      </c>
      <c r="B24" t="str">
        <f>'2026_Transaction Details'!B22</f>
        <v>AMAZON DIGITAL SVCS AMZN.COM/BILL       WA</v>
      </c>
      <c r="C24" t="str">
        <f>'2026_Transaction Details'!H22</f>
        <v>Personal - Amazon</v>
      </c>
      <c r="D24" s="17">
        <f>'2026_Transaction Details'!E22</f>
        <v>10.99</v>
      </c>
      <c r="E24" s="18" t="str">
        <f>IF(LEFT('2026_Transaction Details'!H22,8)="Personal","P","B")</f>
        <v>P</v>
      </c>
    </row>
    <row r="25" spans="1:5" x14ac:dyDescent="0.25">
      <c r="A25" s="16">
        <f>IF(ISNUMBER('2026_Transaction Details'!A23),'2026_Transaction Details'!A23,DATEVALUE('2026_Transaction Details'!A23))</f>
        <v>46126</v>
      </c>
      <c r="B25" t="str">
        <f>'2026_Transaction Details'!B23</f>
        <v>AMAZON DIGITAL SVCS AMZN.COM/BILL       WA</v>
      </c>
      <c r="C25" t="str">
        <f>'2026_Transaction Details'!H23</f>
        <v>Personal - Amazon</v>
      </c>
      <c r="D25" s="17">
        <f>'2026_Transaction Details'!E23</f>
        <v>10.99</v>
      </c>
      <c r="E25" s="18" t="str">
        <f>IF(LEFT('2026_Transaction Details'!H23,8)="Personal","P","B")</f>
        <v>P</v>
      </c>
    </row>
    <row r="26" spans="1:5" x14ac:dyDescent="0.25">
      <c r="A26" s="16">
        <f>IF(ISNUMBER('2026_Transaction Details'!A24),'2026_Transaction Details'!A24,DATEVALUE('2026_Transaction Details'!A24))</f>
        <v>46121</v>
      </c>
      <c r="B26" t="str">
        <f>'2026_Transaction Details'!B24</f>
        <v>AMAZON DIGITAL SVCS AMZN.COM/BILL       WA</v>
      </c>
      <c r="C26" t="str">
        <f>'2026_Transaction Details'!H24</f>
        <v>Personal - Amazon</v>
      </c>
      <c r="D26" s="17">
        <f>'2026_Transaction Details'!E24</f>
        <v>6.99</v>
      </c>
      <c r="E26" s="18" t="str">
        <f>IF(LEFT('2026_Transaction Details'!H24,8)="Personal","P","B")</f>
        <v>P</v>
      </c>
    </row>
    <row r="27" spans="1:5" x14ac:dyDescent="0.25">
      <c r="A27" s="16">
        <f>IF(ISNUMBER('2026_Transaction Details'!A25),'2026_Transaction Details'!A25,DATEVALUE('2026_Transaction Details'!A25))</f>
        <v>46120</v>
      </c>
      <c r="B27" t="str">
        <f>'2026_Transaction Details'!B25</f>
        <v>ONLINE PAYMENT - THANK YOU</v>
      </c>
      <c r="C27" t="str">
        <f>'2026_Transaction Details'!H25</f>
        <v>Online AMEX Payment</v>
      </c>
      <c r="D27" s="17">
        <f>'2026_Transaction Details'!E25</f>
        <v>-172.09</v>
      </c>
      <c r="E27" s="18" t="str">
        <f>IF(LEFT('2026_Transaction Details'!H25,8)="Personal","P","B")</f>
        <v>B</v>
      </c>
    </row>
    <row r="28" spans="1:5" x14ac:dyDescent="0.25">
      <c r="A28" s="16">
        <f>IF(ISNUMBER('2026_Transaction Details'!A26),'2026_Transaction Details'!A26,DATEVALUE('2026_Transaction Details'!A26))</f>
        <v>46118</v>
      </c>
      <c r="B28" t="str">
        <f>'2026_Transaction Details'!B26</f>
        <v>NATURALMENTE 3573261SEVILLA             ES</v>
      </c>
      <c r="C28" t="str">
        <f>'2026_Transaction Details'!H26</f>
        <v>Personal - Food</v>
      </c>
      <c r="D28" s="17">
        <f>'2026_Transaction Details'!E26</f>
        <v>122.67</v>
      </c>
      <c r="E28" s="18" t="str">
        <f>IF(LEFT('2026_Transaction Details'!H26,8)="Personal","P","B")</f>
        <v>P</v>
      </c>
    </row>
    <row r="29" spans="1:5" x14ac:dyDescent="0.25">
      <c r="A29" s="16">
        <f>IF(ISNUMBER('2026_Transaction Details'!A27),'2026_Transaction Details'!A27,DATEVALUE('2026_Transaction Details'!A27))</f>
        <v>46114</v>
      </c>
      <c r="B29" t="str">
        <f>'2026_Transaction Details'!B27</f>
        <v>Amazon Prime        Amazon.com          WA</v>
      </c>
      <c r="C29" t="str">
        <f>'2026_Transaction Details'!H27</f>
        <v>Personal - Amazon</v>
      </c>
      <c r="D29" s="17">
        <f>'2026_Transaction Details'!E27</f>
        <v>16.45</v>
      </c>
      <c r="E29" s="18" t="str">
        <f>IF(LEFT('2026_Transaction Details'!H27,8)="Personal","P","B")</f>
        <v>P</v>
      </c>
    </row>
    <row r="30" spans="1:5" x14ac:dyDescent="0.25">
      <c r="A30" s="16">
        <f>IF(ISNUMBER('2026_Transaction Details'!A28),'2026_Transaction Details'!A28,DATEVALUE('2026_Transaction Details'!A28))</f>
        <v>46112</v>
      </c>
      <c r="B30" t="str">
        <f>'2026_Transaction Details'!B28</f>
        <v>AMAZON DIGITAL SVCS AMZN.COM/BILL       WA</v>
      </c>
      <c r="C30" t="str">
        <f>'2026_Transaction Details'!H28</f>
        <v>Personal - Amazon</v>
      </c>
      <c r="D30" s="17">
        <f>'2026_Transaction Details'!E28</f>
        <v>13.99</v>
      </c>
      <c r="E30" s="18" t="str">
        <f>IF(LEFT('2026_Transaction Details'!H28,8)="Personal","P","B")</f>
        <v>P</v>
      </c>
    </row>
    <row r="31" spans="1:5" x14ac:dyDescent="0.25">
      <c r="A31" s="16">
        <f>IF(ISNUMBER('2026_Transaction Details'!A29),'2026_Transaction Details'!A29,DATEVALUE('2026_Transaction Details'!A29))</f>
        <v>46110</v>
      </c>
      <c r="B31" t="str">
        <f>'2026_Transaction Details'!B29</f>
        <v>AMAZON DIGITAL SVCS AMZN.COM/BILL       WA</v>
      </c>
      <c r="C31" t="str">
        <f>'2026_Transaction Details'!H29</f>
        <v>Personal - Amazon</v>
      </c>
      <c r="D31" s="17">
        <f>'2026_Transaction Details'!E29</f>
        <v>7.99</v>
      </c>
      <c r="E31" s="18" t="str">
        <f>IF(LEFT('2026_Transaction Details'!H29,8)="Personal","P","B")</f>
        <v>P</v>
      </c>
    </row>
    <row r="32" spans="1:5" x14ac:dyDescent="0.25">
      <c r="A32" s="16">
        <f>IF(ISNUMBER('2026_Transaction Details'!A30),'2026_Transaction Details'!A30,DATEVALUE('2026_Transaction Details'!A30))</f>
        <v>46109</v>
      </c>
      <c r="B32" t="str">
        <f>'2026_Transaction Details'!B30</f>
        <v>AMAZON DIGITAL SVCS AMZN.COM/BILL       WA</v>
      </c>
      <c r="C32" t="str">
        <f>'2026_Transaction Details'!H30</f>
        <v>Personal - Amazon</v>
      </c>
      <c r="D32" s="17">
        <f>'2026_Transaction Details'!E30</f>
        <v>10.99</v>
      </c>
      <c r="E32" s="18" t="str">
        <f>IF(LEFT('2026_Transaction Details'!H30,8)="Personal","P","B")</f>
        <v>P</v>
      </c>
    </row>
    <row r="33" spans="1:5" x14ac:dyDescent="0.25">
      <c r="A33" s="16">
        <f>IF(ISNUMBER('2026_Transaction Details'!A31),'2026_Transaction Details'!A31,DATEVALUE('2026_Transaction Details'!A31))</f>
        <v>46109</v>
      </c>
      <c r="B33" t="str">
        <f>'2026_Transaction Details'!B31</f>
        <v>ONLINE PAYMENT - THANK YOU</v>
      </c>
      <c r="C33" t="str">
        <f>'2026_Transaction Details'!H31</f>
        <v>Online AMEX Payment</v>
      </c>
      <c r="D33" s="17">
        <f>'2026_Transaction Details'!E31</f>
        <v>-1237.3699999999999</v>
      </c>
      <c r="E33" s="18" t="str">
        <f>IF(LEFT('2026_Transaction Details'!H31,8)="Personal","P","B")</f>
        <v>B</v>
      </c>
    </row>
    <row r="34" spans="1:5" x14ac:dyDescent="0.25">
      <c r="A34" s="16">
        <f>IF(ISNUMBER('2026_Transaction Details'!A32),'2026_Transaction Details'!A32,DATEVALUE('2026_Transaction Details'!A32))</f>
        <v>46103</v>
      </c>
      <c r="B34" t="str">
        <f>'2026_Transaction Details'!B32</f>
        <v>AMAZON DIGITAL SVCS AMZN.COM/BILL       WA</v>
      </c>
      <c r="C34" t="str">
        <f>'2026_Transaction Details'!H32</f>
        <v>Personal - Amazon</v>
      </c>
      <c r="D34" s="17">
        <f>'2026_Transaction Details'!E32</f>
        <v>12.99</v>
      </c>
      <c r="E34" s="18" t="str">
        <f>IF(LEFT('2026_Transaction Details'!H32,8)="Personal","P","B")</f>
        <v>P</v>
      </c>
    </row>
    <row r="35" spans="1:5" x14ac:dyDescent="0.25">
      <c r="A35" s="16">
        <f>IF(ISNUMBER('2026_Transaction Details'!A33),'2026_Transaction Details'!A33,DATEVALUE('2026_Transaction Details'!A33))</f>
        <v>46099</v>
      </c>
      <c r="B35" t="str">
        <f>'2026_Transaction Details'!B33</f>
        <v>AMAZON PRIME*BD62Y2GAMZN.COM/BILL       WA</v>
      </c>
      <c r="C35" t="str">
        <f>'2026_Transaction Details'!H33</f>
        <v>Personal - Amazon</v>
      </c>
      <c r="D35" s="17">
        <f>'2026_Transaction Details'!E33</f>
        <v>2.99</v>
      </c>
      <c r="E35" s="18" t="str">
        <f>IF(LEFT('2026_Transaction Details'!H33,8)="Personal","P","B")</f>
        <v>P</v>
      </c>
    </row>
    <row r="36" spans="1:5" x14ac:dyDescent="0.25">
      <c r="A36" s="16">
        <f>IF(ISNUMBER('2026_Transaction Details'!A34),'2026_Transaction Details'!A34,DATEVALUE('2026_Transaction Details'!A34))</f>
        <v>46095</v>
      </c>
      <c r="B36" t="str">
        <f>'2026_Transaction Details'!B34</f>
        <v>AMAZON DIGITAL SVCS AMZN.COM/BILL       WA</v>
      </c>
      <c r="C36" t="str">
        <f>'2026_Transaction Details'!H34</f>
        <v>Personal - Amazon</v>
      </c>
      <c r="D36" s="17">
        <f>'2026_Transaction Details'!E34</f>
        <v>10.99</v>
      </c>
      <c r="E36" s="18" t="str">
        <f>IF(LEFT('2026_Transaction Details'!H34,8)="Personal","P","B")</f>
        <v>P</v>
      </c>
    </row>
    <row r="37" spans="1:5" x14ac:dyDescent="0.25">
      <c r="A37" s="16">
        <f>IF(ISNUMBER('2026_Transaction Details'!A35),'2026_Transaction Details'!A35,DATEVALUE('2026_Transaction Details'!A35))</f>
        <v>46095</v>
      </c>
      <c r="B37" t="str">
        <f>'2026_Transaction Details'!B35</f>
        <v>AMAZON DIGITAL SVCS AMZN.COM/BILL       WA</v>
      </c>
      <c r="C37" t="str">
        <f>'2026_Transaction Details'!H35</f>
        <v>Personal - Amazon</v>
      </c>
      <c r="D37" s="17">
        <f>'2026_Transaction Details'!E35</f>
        <v>10.99</v>
      </c>
      <c r="E37" s="18" t="str">
        <f>IF(LEFT('2026_Transaction Details'!H35,8)="Personal","P","B")</f>
        <v>P</v>
      </c>
    </row>
    <row r="38" spans="1:5" x14ac:dyDescent="0.25">
      <c r="A38" s="16">
        <f>IF(ISNUMBER('2026_Transaction Details'!A36),'2026_Transaction Details'!A36,DATEVALUE('2026_Transaction Details'!A36))</f>
        <v>46090</v>
      </c>
      <c r="B38" t="str">
        <f>'2026_Transaction Details'!B36</f>
        <v>AMAZON DIGITAL SVCS AMZN.COM/BILL       WA</v>
      </c>
      <c r="C38" t="str">
        <f>'2026_Transaction Details'!H36</f>
        <v>Personal - Amazon</v>
      </c>
      <c r="D38" s="17">
        <f>'2026_Transaction Details'!E36</f>
        <v>6.99</v>
      </c>
      <c r="E38" s="18" t="str">
        <f>IF(LEFT('2026_Transaction Details'!H36,8)="Personal","P","B")</f>
        <v>P</v>
      </c>
    </row>
    <row r="39" spans="1:5" x14ac:dyDescent="0.25">
      <c r="A39" s="16">
        <f>IF(ISNUMBER('2026_Transaction Details'!A37),'2026_Transaction Details'!A37,DATEVALUE('2026_Transaction Details'!A37))</f>
        <v>46085</v>
      </c>
      <c r="B39" t="str">
        <f>'2026_Transaction Details'!B37</f>
        <v>PACOS TACOS         LOS ANGELES         CA</v>
      </c>
      <c r="C39" t="str">
        <f>'2026_Transaction Details'!H37</f>
        <v>Personal - Food</v>
      </c>
      <c r="D39" s="17">
        <f>'2026_Transaction Details'!E37</f>
        <v>250</v>
      </c>
      <c r="E39" s="18" t="str">
        <f>IF(LEFT('2026_Transaction Details'!H37,8)="Personal","P","B")</f>
        <v>P</v>
      </c>
    </row>
    <row r="40" spans="1:5" x14ac:dyDescent="0.25">
      <c r="A40" s="16">
        <f>IF(ISNUMBER('2026_Transaction Details'!A38),'2026_Transaction Details'!A38,DATEVALUE('2026_Transaction Details'!A38))</f>
        <v>46084</v>
      </c>
      <c r="B40" t="str">
        <f>'2026_Transaction Details'!B38</f>
        <v>RENEWAL MEMBERSHIP FEE</v>
      </c>
      <c r="C40" t="str">
        <f>'2026_Transaction Details'!H38</f>
        <v>RENEWAL MEMBERSHIP FEE</v>
      </c>
      <c r="D40" s="17">
        <f>'2026_Transaction Details'!E38</f>
        <v>895</v>
      </c>
      <c r="E40" s="18" t="str">
        <f>IF(LEFT('2026_Transaction Details'!H38,8)="Personal","P","B")</f>
        <v>B</v>
      </c>
    </row>
    <row r="41" spans="1:5" x14ac:dyDescent="0.25">
      <c r="A41" s="16">
        <f>IF(ISNUMBER('2026_Transaction Details'!A39),'2026_Transaction Details'!A39,DATEVALUE('2026_Transaction Details'!A39))</f>
        <v>46083</v>
      </c>
      <c r="B41" t="str">
        <f>'2026_Transaction Details'!B39</f>
        <v>Amazon Prime        Amazon.com          WA</v>
      </c>
      <c r="C41" t="str">
        <f>'2026_Transaction Details'!H39</f>
        <v>Personal - Amazon</v>
      </c>
      <c r="D41" s="17">
        <f>'2026_Transaction Details'!E39</f>
        <v>16.45</v>
      </c>
      <c r="E41" s="18" t="str">
        <f>IF(LEFT('2026_Transaction Details'!H39,8)="Personal","P","B")</f>
        <v>P</v>
      </c>
    </row>
    <row r="42" spans="1:5" x14ac:dyDescent="0.25">
      <c r="A42" s="16">
        <f>IF(ISNUMBER('2026_Transaction Details'!A40),'2026_Transaction Details'!A40,DATEVALUE('2026_Transaction Details'!A40))</f>
        <v>46081</v>
      </c>
      <c r="B42" t="str">
        <f>'2026_Transaction Details'!B40</f>
        <v>AMAZON DIGITAL SVCS AMZN.COM/BILL       WA</v>
      </c>
      <c r="C42" t="str">
        <f>'2026_Transaction Details'!H40</f>
        <v>Personal - Amazon</v>
      </c>
      <c r="D42" s="17">
        <f>'2026_Transaction Details'!E40</f>
        <v>7.99</v>
      </c>
      <c r="E42" s="18" t="str">
        <f>IF(LEFT('2026_Transaction Details'!H40,8)="Personal","P","B")</f>
        <v>P</v>
      </c>
    </row>
    <row r="43" spans="1:5" x14ac:dyDescent="0.25">
      <c r="A43" s="16">
        <f>IF(ISNUMBER('2026_Transaction Details'!A41),'2026_Transaction Details'!A41,DATEVALUE('2026_Transaction Details'!A41))</f>
        <v>46081</v>
      </c>
      <c r="B43" t="str">
        <f>'2026_Transaction Details'!B41</f>
        <v>AMAZON DIGITAL SVCS AMZN.COM/BILL       WA</v>
      </c>
      <c r="C43" t="str">
        <f>'2026_Transaction Details'!H41</f>
        <v>Personal - Amazon</v>
      </c>
      <c r="D43" s="17">
        <f>'2026_Transaction Details'!E41</f>
        <v>9.99</v>
      </c>
      <c r="E43" s="18" t="str">
        <f>IF(LEFT('2026_Transaction Details'!H41,8)="Personal","P","B")</f>
        <v>P</v>
      </c>
    </row>
    <row r="44" spans="1:5" x14ac:dyDescent="0.25">
      <c r="A44" s="16">
        <f>IF(ISNUMBER('2026_Transaction Details'!A42),'2026_Transaction Details'!A42,DATEVALUE('2026_Transaction Details'!A42))</f>
        <v>46081</v>
      </c>
      <c r="B44" t="str">
        <f>'2026_Transaction Details'!B42</f>
        <v>AMAZON DIGITAL SVCS AMZN.COM/BILL       WA</v>
      </c>
      <c r="C44" t="str">
        <f>'2026_Transaction Details'!H42</f>
        <v>Personal - Amazon</v>
      </c>
      <c r="D44" s="17">
        <f>'2026_Transaction Details'!E42</f>
        <v>12.99</v>
      </c>
      <c r="E44" s="18" t="str">
        <f>IF(LEFT('2026_Transaction Details'!H42,8)="Personal","P","B")</f>
        <v>P</v>
      </c>
    </row>
    <row r="45" spans="1:5" x14ac:dyDescent="0.25">
      <c r="A45" s="16">
        <f>IF(ISNUMBER('2026_Transaction Details'!A43),'2026_Transaction Details'!A43,DATEVALUE('2026_Transaction Details'!A43))</f>
        <v>46077</v>
      </c>
      <c r="B45" t="str">
        <f>'2026_Transaction Details'!B43</f>
        <v>ONLINE PAYMENT - THANK YOU</v>
      </c>
      <c r="C45" t="str">
        <f>'2026_Transaction Details'!H43</f>
        <v>Online AMEX Payment</v>
      </c>
      <c r="D45" s="17">
        <f>'2026_Transaction Details'!E43</f>
        <v>-3103.1</v>
      </c>
      <c r="E45" s="18" t="str">
        <f>IF(LEFT('2026_Transaction Details'!H43,8)="Personal","P","B")</f>
        <v>B</v>
      </c>
    </row>
    <row r="46" spans="1:5" x14ac:dyDescent="0.25">
      <c r="A46" s="16">
        <f>IF(ISNUMBER('2026_Transaction Details'!A44),'2026_Transaction Details'!A44,DATEVALUE('2026_Transaction Details'!A44))</f>
        <v>46075</v>
      </c>
      <c r="B46" t="str">
        <f>'2026_Transaction Details'!B44</f>
        <v>PRIME VIDEO CHANNELSAMZN.COM/BILL       WA</v>
      </c>
      <c r="C46" t="str">
        <f>'2026_Transaction Details'!H44</f>
        <v>Personal - Amazon</v>
      </c>
      <c r="D46" s="17">
        <f>'2026_Transaction Details'!E44</f>
        <v>12.99</v>
      </c>
      <c r="E46" s="18" t="str">
        <f>IF(LEFT('2026_Transaction Details'!H44,8)="Personal","P","B")</f>
        <v>P</v>
      </c>
    </row>
    <row r="47" spans="1:5" x14ac:dyDescent="0.25">
      <c r="A47" s="16">
        <f>IF(ISNUMBER('2026_Transaction Details'!A45),'2026_Transaction Details'!A45,DATEVALUE('2026_Transaction Details'!A45))</f>
        <v>46070</v>
      </c>
      <c r="B47" t="str">
        <f>'2026_Transaction Details'!B45</f>
        <v>AMAZON PRIME*B98K824AMZN.COM/BILL       WA</v>
      </c>
      <c r="C47" t="str">
        <f>'2026_Transaction Details'!H45</f>
        <v>Personal - Amazon</v>
      </c>
      <c r="D47" s="17">
        <f>'2026_Transaction Details'!E45</f>
        <v>2.99</v>
      </c>
      <c r="E47" s="18" t="str">
        <f>IF(LEFT('2026_Transaction Details'!H45,8)="Personal","P","B")</f>
        <v>P</v>
      </c>
    </row>
    <row r="48" spans="1:5" x14ac:dyDescent="0.25">
      <c r="A48" s="16">
        <f>IF(ISNUMBER('2026_Transaction Details'!A46),'2026_Transaction Details'!A46,DATEVALUE('2026_Transaction Details'!A46))</f>
        <v>46067</v>
      </c>
      <c r="B48" t="str">
        <f>'2026_Transaction Details'!B46</f>
        <v>PRIME VIDEO CHANNELSAMZN.COM/BILL       WA</v>
      </c>
      <c r="C48" t="str">
        <f>'2026_Transaction Details'!H46</f>
        <v>Personal - Amazon</v>
      </c>
      <c r="D48" s="17">
        <f>'2026_Transaction Details'!E46</f>
        <v>10.99</v>
      </c>
      <c r="E48" s="18" t="str">
        <f>IF(LEFT('2026_Transaction Details'!H46,8)="Personal","P","B")</f>
        <v>P</v>
      </c>
    </row>
    <row r="49" spans="1:5" x14ac:dyDescent="0.25">
      <c r="A49" s="16">
        <f>IF(ISNUMBER('2026_Transaction Details'!A47),'2026_Transaction Details'!A47,DATEVALUE('2026_Transaction Details'!A47))</f>
        <v>46067</v>
      </c>
      <c r="B49" t="str">
        <f>'2026_Transaction Details'!B47</f>
        <v>PRIME VIDEO CHANNELSAMZN.COM/BILL       WA</v>
      </c>
      <c r="C49" t="str">
        <f>'2026_Transaction Details'!H47</f>
        <v>Personal - Amazon</v>
      </c>
      <c r="D49" s="17">
        <f>'2026_Transaction Details'!E47</f>
        <v>10.99</v>
      </c>
      <c r="E49" s="18" t="str">
        <f>IF(LEFT('2026_Transaction Details'!H47,8)="Personal","P","B")</f>
        <v>P</v>
      </c>
    </row>
    <row r="50" spans="1:5" x14ac:dyDescent="0.25">
      <c r="A50" s="16">
        <f>IF(ISNUMBER('2026_Transaction Details'!A48),'2026_Transaction Details'!A48,DATEVALUE('2026_Transaction Details'!A48))</f>
        <v>46062</v>
      </c>
      <c r="B50" t="str">
        <f>'2026_Transaction Details'!B48</f>
        <v>PRIME VIDEO CHANNELSAMZN.COM/BILL       WA</v>
      </c>
      <c r="C50" t="str">
        <f>'2026_Transaction Details'!H48</f>
        <v>Personal - Amazon</v>
      </c>
      <c r="D50" s="17">
        <f>'2026_Transaction Details'!E48</f>
        <v>6.99</v>
      </c>
      <c r="E50" s="18" t="str">
        <f>IF(LEFT('2026_Transaction Details'!H48,8)="Personal","P","B")</f>
        <v>P</v>
      </c>
    </row>
    <row r="51" spans="1:5" x14ac:dyDescent="0.25">
      <c r="A51" s="16">
        <f>IF(ISNUMBER('2026_Transaction Details'!A49),'2026_Transaction Details'!A49,DATEVALUE('2026_Transaction Details'!A49))</f>
        <v>46058</v>
      </c>
      <c r="B51" t="str">
        <f>'2026_Transaction Details'!B49</f>
        <v>WEALTH COLLECTIVE   IRVINE              CA</v>
      </c>
      <c r="C51" t="str">
        <f>'2026_Transaction Details'!H49</f>
        <v>Bridge Loan - JC Whitner</v>
      </c>
      <c r="D51" s="17">
        <f>'2026_Transaction Details'!E49</f>
        <v>3000</v>
      </c>
      <c r="E51" s="18" t="str">
        <f>IF(LEFT('2026_Transaction Details'!H49,8)="Personal","P","B")</f>
        <v>B</v>
      </c>
    </row>
    <row r="52" spans="1:5" x14ac:dyDescent="0.25">
      <c r="A52" s="16">
        <f>IF(ISNUMBER('2026_Transaction Details'!A50),'2026_Transaction Details'!A50,DATEVALUE('2026_Transaction Details'!A50))</f>
        <v>46054</v>
      </c>
      <c r="B52" t="str">
        <f>'2026_Transaction Details'!B50</f>
        <v>Amazon Prime        Amazon.com          WA</v>
      </c>
      <c r="C52" t="str">
        <f>'2026_Transaction Details'!H50</f>
        <v>Personal - Amazon</v>
      </c>
      <c r="D52" s="17">
        <f>'2026_Transaction Details'!E50</f>
        <v>16.45</v>
      </c>
      <c r="E52" s="18" t="str">
        <f>IF(LEFT('2026_Transaction Details'!H50,8)="Personal","P","B")</f>
        <v>P</v>
      </c>
    </row>
    <row r="53" spans="1:5" x14ac:dyDescent="0.25">
      <c r="A53" s="16">
        <f>IF(ISNUMBER('2026_Transaction Details'!A51),'2026_Transaction Details'!A51,DATEVALUE('2026_Transaction Details'!A51))</f>
        <v>46053</v>
      </c>
      <c r="B53" t="str">
        <f>'2026_Transaction Details'!B51</f>
        <v>PRIME VIDEO CHANNELSAMZN.COM/BILL       WA</v>
      </c>
      <c r="C53" t="str">
        <f>'2026_Transaction Details'!H51</f>
        <v>Personal - Amazon</v>
      </c>
      <c r="D53" s="17">
        <f>'2026_Transaction Details'!E51</f>
        <v>12.99</v>
      </c>
      <c r="E53" s="18" t="str">
        <f>IF(LEFT('2026_Transaction Details'!H51,8)="Personal","P","B")</f>
        <v>P</v>
      </c>
    </row>
    <row r="54" spans="1:5" x14ac:dyDescent="0.25">
      <c r="A54" s="16">
        <f>IF(ISNUMBER('2026_Transaction Details'!A52),'2026_Transaction Details'!A52,DATEVALUE('2026_Transaction Details'!A52))</f>
        <v>46051</v>
      </c>
      <c r="B54" t="str">
        <f>'2026_Transaction Details'!B52</f>
        <v>PRIME VIDEO CHANNELSAMZN.COM/BILL       WA</v>
      </c>
      <c r="C54" t="str">
        <f>'2026_Transaction Details'!H52</f>
        <v>Personal - Amazon</v>
      </c>
      <c r="D54" s="17">
        <f>'2026_Transaction Details'!E52</f>
        <v>7.99</v>
      </c>
      <c r="E54" s="18" t="str">
        <f>IF(LEFT('2026_Transaction Details'!H52,8)="Personal","P","B")</f>
        <v>P</v>
      </c>
    </row>
    <row r="55" spans="1:5" x14ac:dyDescent="0.25">
      <c r="A55" s="16">
        <f>IF(ISNUMBER('2026_Transaction Details'!A53),'2026_Transaction Details'!A53,DATEVALUE('2026_Transaction Details'!A53))</f>
        <v>46050</v>
      </c>
      <c r="B55" t="str">
        <f>'2026_Transaction Details'!B53</f>
        <v>PRIME VIDEO CHANNELSAMZN.COM/BILL       WA</v>
      </c>
      <c r="C55" t="str">
        <f>'2026_Transaction Details'!H53</f>
        <v>Personal - Amazon</v>
      </c>
      <c r="D55" s="17">
        <f>'2026_Transaction Details'!E53</f>
        <v>9.99</v>
      </c>
      <c r="E55" s="18" t="str">
        <f>IF(LEFT('2026_Transaction Details'!H53,8)="Personal","P","B")</f>
        <v>P</v>
      </c>
    </row>
    <row r="56" spans="1:5" x14ac:dyDescent="0.25">
      <c r="A56" s="16">
        <f>IF(ISNUMBER('2026_Transaction Details'!A54),'2026_Transaction Details'!A54,DATEVALUE('2026_Transaction Details'!A54))</f>
        <v>46048</v>
      </c>
      <c r="B56" t="str">
        <f>'2026_Transaction Details'!B54</f>
        <v>ESPRESSO            LAS VEGAS           NV</v>
      </c>
      <c r="C56" t="str">
        <f>'2026_Transaction Details'!H54</f>
        <v>Personal - Food</v>
      </c>
      <c r="D56" s="17">
        <f>'2026_Transaction Details'!E54</f>
        <v>10.73</v>
      </c>
      <c r="E56" s="18" t="str">
        <f>IF(LEFT('2026_Transaction Details'!H54,8)="Personal","P","B")</f>
        <v>P</v>
      </c>
    </row>
    <row r="57" spans="1:5" x14ac:dyDescent="0.25">
      <c r="A57" s="16">
        <f>IF(ISNUMBER('2026_Transaction Details'!A55),'2026_Transaction Details'!A55,DATEVALUE('2026_Transaction Details'!A55))</f>
        <v>46046</v>
      </c>
      <c r="B57" t="str">
        <f>'2026_Transaction Details'!B55</f>
        <v>ONLINE PAYMENT - THANK YOU</v>
      </c>
      <c r="C57" t="str">
        <f>'2026_Transaction Details'!H55</f>
        <v>Online AMEX Payment</v>
      </c>
      <c r="D57" s="17">
        <f>'2026_Transaction Details'!E55</f>
        <v>-92.37</v>
      </c>
      <c r="E57" s="18" t="str">
        <f>IF(LEFT('2026_Transaction Details'!H55,8)="Personal","P","B")</f>
        <v>B</v>
      </c>
    </row>
    <row r="58" spans="1:5" x14ac:dyDescent="0.25">
      <c r="A58" s="16">
        <f>IF(ISNUMBER('2026_Transaction Details'!A56),'2026_Transaction Details'!A56,DATEVALUE('2026_Transaction Details'!A56))</f>
        <v>46044</v>
      </c>
      <c r="B58" t="str">
        <f>'2026_Transaction Details'!B56</f>
        <v>PRIME VIDEO CHANNELSAMZN.COM/BILL       WA</v>
      </c>
      <c r="C58" t="str">
        <f>'2026_Transaction Details'!H56</f>
        <v>Personal - Amazon</v>
      </c>
      <c r="D58" s="17">
        <f>'2026_Transaction Details'!E56</f>
        <v>12.99</v>
      </c>
      <c r="E58" s="18" t="str">
        <f>IF(LEFT('2026_Transaction Details'!H56,8)="Personal","P","B")</f>
        <v>P</v>
      </c>
    </row>
    <row r="59" spans="1:5" x14ac:dyDescent="0.25">
      <c r="A59" s="16">
        <f>IF(ISNUMBER('2026_Transaction Details'!A57),'2026_Transaction Details'!A57,DATEVALUE('2026_Transaction Details'!A57))</f>
        <v>46039</v>
      </c>
      <c r="B59" t="str">
        <f>'2026_Transaction Details'!B57</f>
        <v>AMAZON PRIME*LU0F265AMZN.COM/BILL       WA</v>
      </c>
      <c r="C59" t="str">
        <f>'2026_Transaction Details'!H57</f>
        <v>Personal - Amazon</v>
      </c>
      <c r="D59" s="17">
        <f>'2026_Transaction Details'!E57</f>
        <v>2.99</v>
      </c>
      <c r="E59" s="18" t="str">
        <f>IF(LEFT('2026_Transaction Details'!H57,8)="Personal","P","B")</f>
        <v>P</v>
      </c>
    </row>
    <row r="60" spans="1:5" x14ac:dyDescent="0.25">
      <c r="A60" s="16">
        <f>IF(ISNUMBER('2026_Transaction Details'!A58),'2026_Transaction Details'!A58,DATEVALUE('2026_Transaction Details'!A58))</f>
        <v>46036</v>
      </c>
      <c r="B60" t="str">
        <f>'2026_Transaction Details'!B58</f>
        <v>PRIME VIDEO CHANNELSAMZN.COM/BILL       WA</v>
      </c>
      <c r="C60" t="str">
        <f>'2026_Transaction Details'!H58</f>
        <v>Personal - Amazon</v>
      </c>
      <c r="D60" s="17">
        <f>'2026_Transaction Details'!E58</f>
        <v>10.99</v>
      </c>
      <c r="E60" s="18" t="str">
        <f>IF(LEFT('2026_Transaction Details'!H58,8)="Personal","P","B")</f>
        <v>P</v>
      </c>
    </row>
    <row r="61" spans="1:5" x14ac:dyDescent="0.25">
      <c r="A61" s="16">
        <f>IF(ISNUMBER('2026_Transaction Details'!A59),'2026_Transaction Details'!A59,DATEVALUE('2026_Transaction Details'!A59))</f>
        <v>46036</v>
      </c>
      <c r="B61" t="str">
        <f>'2026_Transaction Details'!B59</f>
        <v>PRIME VIDEO CHANNELSAMZN.COM/BILL       WA</v>
      </c>
      <c r="C61" t="str">
        <f>'2026_Transaction Details'!H59</f>
        <v>Personal - Amazon</v>
      </c>
      <c r="D61" s="17">
        <f>'2026_Transaction Details'!E59</f>
        <v>10.99</v>
      </c>
      <c r="E61" s="18" t="str">
        <f>IF(LEFT('2026_Transaction Details'!H59,8)="Personal","P","B")</f>
        <v>P</v>
      </c>
    </row>
    <row r="62" spans="1:5" x14ac:dyDescent="0.25">
      <c r="A62" s="16">
        <f>IF(ISNUMBER('2026_Transaction Details'!A60),'2026_Transaction Details'!A60,DATEVALUE('2026_Transaction Details'!A60))</f>
        <v>46031</v>
      </c>
      <c r="B62" t="str">
        <f>'2026_Transaction Details'!B60</f>
        <v>PRIME VIDEO CHANNELSAMZN.COM/BILL       WA</v>
      </c>
      <c r="C62" t="str">
        <f>'2026_Transaction Details'!H60</f>
        <v>Personal - Amazon</v>
      </c>
      <c r="D62" s="17">
        <f>'2026_Transaction Details'!E60</f>
        <v>6.99</v>
      </c>
      <c r="E62" s="18" t="str">
        <f>IF(LEFT('2026_Transaction Details'!H60,8)="Personal","P","B")</f>
        <v>P</v>
      </c>
    </row>
    <row r="63" spans="1:5" x14ac:dyDescent="0.25">
      <c r="A63" s="16">
        <f>IF(ISNUMBER('2026_Transaction Details'!A61),'2026_Transaction Details'!A61,DATEVALUE('2026_Transaction Details'!A61))</f>
        <v>46024</v>
      </c>
      <c r="B63" t="str">
        <f>'2026_Transaction Details'!B61</f>
        <v>Amazon Prime        Amazon.com          WA</v>
      </c>
      <c r="C63" t="str">
        <f>'2026_Transaction Details'!H61</f>
        <v>Personal - Amazon</v>
      </c>
      <c r="D63" s="17">
        <f>'2026_Transaction Details'!E61</f>
        <v>16.45</v>
      </c>
      <c r="E63" s="18" t="str">
        <f>IF(LEFT('2026_Transaction Details'!H61,8)="Personal","P","B")</f>
        <v>P</v>
      </c>
    </row>
    <row r="64" spans="1:5" x14ac:dyDescent="0.25">
      <c r="A64" s="16">
        <f>IF(ISNUMBER('Raw Data'!A8),'Raw Data'!A8,DATEVALUE('Raw Data'!A8))</f>
        <v>46022</v>
      </c>
      <c r="B64" t="str">
        <f>'Raw Data'!B8</f>
        <v>PRIME VIDEO CHANNELSAMZN.COM/BILL       WA</v>
      </c>
      <c r="C64" t="str">
        <f>'Raw Data'!H8</f>
        <v>Personal - Amazon</v>
      </c>
      <c r="D64" s="17">
        <f>'Raw Data'!E8</f>
        <v>12.99</v>
      </c>
      <c r="E64" s="18" t="str">
        <f>IF(LEFT('Raw Data'!H8,8)="Personal","P","B")</f>
        <v>P</v>
      </c>
    </row>
    <row r="65" spans="1:5" x14ac:dyDescent="0.25">
      <c r="A65" s="16">
        <f>IF(ISNUMBER('Raw Data'!A9),'Raw Data'!A9,DATEVALUE('Raw Data'!A9))</f>
        <v>46020</v>
      </c>
      <c r="B65" t="str">
        <f>'Raw Data'!B9</f>
        <v>PRIME VIDEO CHANNELSAMZN.COM/BILL       WA</v>
      </c>
      <c r="C65" t="str">
        <f>'Raw Data'!H9</f>
        <v>Personal - Amazon</v>
      </c>
      <c r="D65" s="17">
        <f>'Raw Data'!E9</f>
        <v>7.99</v>
      </c>
      <c r="E65" s="18" t="str">
        <f>IF(LEFT('Raw Data'!H9,8)="Personal","P","B")</f>
        <v>P</v>
      </c>
    </row>
    <row r="66" spans="1:5" x14ac:dyDescent="0.25">
      <c r="A66" s="16">
        <f>IF(ISNUMBER('Raw Data'!A10),'Raw Data'!A10,DATEVALUE('Raw Data'!A10))</f>
        <v>46019</v>
      </c>
      <c r="B66" t="str">
        <f>'Raw Data'!B10</f>
        <v>ONLINE PAYMENT - THANK YOU</v>
      </c>
      <c r="C66" t="str">
        <f>'Raw Data'!H10</f>
        <v>Online AMEX Payment</v>
      </c>
      <c r="D66" s="17">
        <f>'Raw Data'!E10</f>
        <v>-1581.75</v>
      </c>
      <c r="E66" s="18" t="str">
        <f>IF(LEFT('Raw Data'!H10,8)="Personal","P","B")</f>
        <v>B</v>
      </c>
    </row>
    <row r="67" spans="1:5" x14ac:dyDescent="0.25">
      <c r="A67" s="16">
        <f>IF(ISNUMBER('Raw Data'!A11),'Raw Data'!A11,DATEVALUE('Raw Data'!A11))</f>
        <v>46019</v>
      </c>
      <c r="B67" t="str">
        <f>'Raw Data'!B11</f>
        <v>PRIME VIDEO CHANNELSAMZN.COM/BILL       WA</v>
      </c>
      <c r="C67" t="str">
        <f>'Raw Data'!H11</f>
        <v>Personal - Amazon</v>
      </c>
      <c r="D67" s="17">
        <f>'Raw Data'!E11</f>
        <v>9.99</v>
      </c>
      <c r="E67" s="18" t="str">
        <f>IF(LEFT('Raw Data'!H11,8)="Personal","P","B")</f>
        <v>P</v>
      </c>
    </row>
    <row r="68" spans="1:5" x14ac:dyDescent="0.25">
      <c r="A68" s="16">
        <f>IF(ISNUMBER('Raw Data'!A12),'Raw Data'!A12,DATEVALUE('Raw Data'!A12))</f>
        <v>46013</v>
      </c>
      <c r="B68" t="str">
        <f>'Raw Data'!B12</f>
        <v>PRIME VIDEO CHANNELSAMZN.COM/BILL       WA</v>
      </c>
      <c r="C68" t="str">
        <f>'Raw Data'!H12</f>
        <v>Personal - Amazon</v>
      </c>
      <c r="D68" s="17">
        <f>'Raw Data'!E12</f>
        <v>12.99</v>
      </c>
      <c r="E68" s="18" t="str">
        <f>IF(LEFT('Raw Data'!H12,8)="Personal","P","B")</f>
        <v>P</v>
      </c>
    </row>
    <row r="69" spans="1:5" x14ac:dyDescent="0.25">
      <c r="A69" s="16">
        <f>IF(ISNUMBER('Raw Data'!A13),'Raw Data'!A13,DATEVALUE('Raw Data'!A13))</f>
        <v>46008</v>
      </c>
      <c r="B69" t="str">
        <f>'Raw Data'!B13</f>
        <v>AMAZON PRIME*6D4319NAMZN.COM/BILL       WA</v>
      </c>
      <c r="C69" t="str">
        <f>'Raw Data'!H13</f>
        <v>Personal - Amazon</v>
      </c>
      <c r="D69" s="17">
        <f>'Raw Data'!E13</f>
        <v>2.99</v>
      </c>
      <c r="E69" s="18" t="str">
        <f>IF(LEFT('Raw Data'!H13,8)="Personal","P","B")</f>
        <v>P</v>
      </c>
    </row>
    <row r="70" spans="1:5" x14ac:dyDescent="0.25">
      <c r="A70" s="16">
        <f>IF(ISNUMBER('Raw Data'!A14),'Raw Data'!A14,DATEVALUE('Raw Data'!A14))</f>
        <v>46005</v>
      </c>
      <c r="B70" t="str">
        <f>'Raw Data'!B14</f>
        <v>PRIME VIDEO CHANNELSAMZN.COM/BILL       WA</v>
      </c>
      <c r="C70" t="str">
        <f>'Raw Data'!H14</f>
        <v>Personal - Amazon</v>
      </c>
      <c r="D70" s="17">
        <f>'Raw Data'!E14</f>
        <v>10.99</v>
      </c>
      <c r="E70" s="18" t="str">
        <f>IF(LEFT('Raw Data'!H14,8)="Personal","P","B")</f>
        <v>P</v>
      </c>
    </row>
    <row r="71" spans="1:5" x14ac:dyDescent="0.25">
      <c r="A71" s="16">
        <f>IF(ISNUMBER('Raw Data'!A15),'Raw Data'!A15,DATEVALUE('Raw Data'!A15))</f>
        <v>46004</v>
      </c>
      <c r="B71" t="str">
        <f>'Raw Data'!B15</f>
        <v>PRIME VIDEO CHANNELSAMZN.COM/BILL       WA</v>
      </c>
      <c r="C71" t="str">
        <f>'Raw Data'!H15</f>
        <v>Personal - Amazon</v>
      </c>
      <c r="D71" s="17">
        <f>'Raw Data'!E15</f>
        <v>10.99</v>
      </c>
      <c r="E71" s="18" t="str">
        <f>IF(LEFT('Raw Data'!H15,8)="Personal","P","B")</f>
        <v>P</v>
      </c>
    </row>
    <row r="72" spans="1:5" x14ac:dyDescent="0.25">
      <c r="A72" s="16">
        <f>IF(ISNUMBER('Raw Data'!A16),'Raw Data'!A16,DATEVALUE('Raw Data'!A16))</f>
        <v>46000</v>
      </c>
      <c r="B72" t="str">
        <f>'Raw Data'!B16</f>
        <v>PRIME VIDEO CHANNELSAMZN.COM/BILL       WA</v>
      </c>
      <c r="C72" t="str">
        <f>'Raw Data'!H16</f>
        <v>Personal - Amazon</v>
      </c>
      <c r="D72" s="17">
        <f>'Raw Data'!E16</f>
        <v>6.99</v>
      </c>
      <c r="E72" s="18" t="str">
        <f>IF(LEFT('Raw Data'!H16,8)="Personal","P","B")</f>
        <v>P</v>
      </c>
    </row>
    <row r="73" spans="1:5" x14ac:dyDescent="0.25">
      <c r="A73" s="16">
        <f>IF(ISNUMBER('Raw Data'!A17),'Raw Data'!A17,DATEVALUE('Raw Data'!A17))</f>
        <v>45993</v>
      </c>
      <c r="B73" t="str">
        <f>'Raw Data'!B17</f>
        <v>Amazon Prime        Amazon.com          WA</v>
      </c>
      <c r="C73" t="str">
        <f>'Raw Data'!H17</f>
        <v>Personal - Amazon</v>
      </c>
      <c r="D73" s="17">
        <f>'Raw Data'!E17</f>
        <v>16.45</v>
      </c>
      <c r="E73" s="18" t="str">
        <f>IF(LEFT('Raw Data'!H17,8)="Personal","P","B")</f>
        <v>P</v>
      </c>
    </row>
    <row r="74" spans="1:5" x14ac:dyDescent="0.25">
      <c r="A74" s="16">
        <f>IF(ISNUMBER('Raw Data'!A18),'Raw Data'!A18,DATEVALUE('Raw Data'!A18))</f>
        <v>45993</v>
      </c>
      <c r="B74" t="str">
        <f>'Raw Data'!B18</f>
        <v>PACOS TACOS         LOS ANGELES         CA</v>
      </c>
      <c r="C74" t="str">
        <f>'Raw Data'!H18</f>
        <v>Personal - Food</v>
      </c>
      <c r="D74" s="17">
        <f>'Raw Data'!E18</f>
        <v>161.43</v>
      </c>
      <c r="E74" s="18" t="str">
        <f>IF(LEFT('Raw Data'!H18,8)="Personal","P","B")</f>
        <v>P</v>
      </c>
    </row>
    <row r="75" spans="1:5" x14ac:dyDescent="0.25">
      <c r="A75" s="16">
        <f>IF(ISNUMBER('Raw Data'!A19),'Raw Data'!A19,DATEVALUE('Raw Data'!A19))</f>
        <v>45993</v>
      </c>
      <c r="B75" t="str">
        <f>'Raw Data'!B19</f>
        <v>RENOUVEAUM* RENOUVEALOS ANGELES         CA</v>
      </c>
      <c r="C75" t="str">
        <f>'Raw Data'!H19</f>
        <v>Personal - Health</v>
      </c>
      <c r="D75" s="17">
        <f>'Raw Data'!E19</f>
        <v>289.02</v>
      </c>
      <c r="E75" s="18" t="str">
        <f>IF(LEFT('Raw Data'!H19,8)="Personal","P","B")</f>
        <v>P</v>
      </c>
    </row>
    <row r="76" spans="1:5" x14ac:dyDescent="0.25">
      <c r="A76" s="16">
        <f>IF(ISNUMBER('Raw Data'!A20),'Raw Data'!A20,DATEVALUE('Raw Data'!A20))</f>
        <v>45991</v>
      </c>
      <c r="B76" t="str">
        <f>'Raw Data'!B20</f>
        <v>PRIME VIDEO CHANNELSAMZN.COM/BILL       WA</v>
      </c>
      <c r="C76" t="str">
        <f>'Raw Data'!H20</f>
        <v>Personal - Amazon</v>
      </c>
      <c r="D76" s="17">
        <f>'Raw Data'!E20</f>
        <v>12.99</v>
      </c>
      <c r="E76" s="18" t="str">
        <f>IF(LEFT('Raw Data'!H20,8)="Personal","P","B")</f>
        <v>P</v>
      </c>
    </row>
    <row r="77" spans="1:5" x14ac:dyDescent="0.25">
      <c r="A77" s="16">
        <f>IF(ISNUMBER('Raw Data'!A21),'Raw Data'!A21,DATEVALUE('Raw Data'!A21))</f>
        <v>45990</v>
      </c>
      <c r="B77" t="str">
        <f>'Raw Data'!B21</f>
        <v>PRIME VIDEO CHANNELSAMZN.COM/BILL       WA</v>
      </c>
      <c r="C77" t="str">
        <f>'Raw Data'!H21</f>
        <v>Personal - Amazon</v>
      </c>
      <c r="D77" s="17">
        <f>'Raw Data'!E21</f>
        <v>7.99</v>
      </c>
      <c r="E77" s="18" t="str">
        <f>IF(LEFT('Raw Data'!H21,8)="Personal","P","B")</f>
        <v>P</v>
      </c>
    </row>
    <row r="78" spans="1:5" x14ac:dyDescent="0.25">
      <c r="A78" s="16">
        <f>IF(ISNUMBER('Raw Data'!A22),'Raw Data'!A22,DATEVALUE('Raw Data'!A22))</f>
        <v>45989</v>
      </c>
      <c r="B78" t="str">
        <f>'Raw Data'!B22</f>
        <v>PRIME VIDEO CHANNELSAMZN.COM/BILL       WA</v>
      </c>
      <c r="C78" t="str">
        <f>'Raw Data'!H22</f>
        <v>Personal - Amazon</v>
      </c>
      <c r="D78" s="17">
        <f>'Raw Data'!E22</f>
        <v>9.99</v>
      </c>
      <c r="E78" s="18" t="str">
        <f>IF(LEFT('Raw Data'!H22,8)="Personal","P","B")</f>
        <v>P</v>
      </c>
    </row>
    <row r="79" spans="1:5" x14ac:dyDescent="0.25">
      <c r="A79" s="16">
        <f>IF(ISNUMBER('Raw Data'!A23),'Raw Data'!A23,DATEVALUE('Raw Data'!A23))</f>
        <v>45988</v>
      </c>
      <c r="B79" t="str">
        <f>'Raw Data'!B23</f>
        <v>7-ELEVEN 46332 00074MALIBU              CA</v>
      </c>
      <c r="C79" t="str">
        <f>'Raw Data'!H23</f>
        <v>Personal - Car</v>
      </c>
      <c r="D79" s="17">
        <f>'Raw Data'!E23</f>
        <v>7.38</v>
      </c>
      <c r="E79" s="18" t="str">
        <f>IF(LEFT('Raw Data'!H23,8)="Personal","P","B")</f>
        <v>P</v>
      </c>
    </row>
    <row r="80" spans="1:5" x14ac:dyDescent="0.25">
      <c r="A80" s="16">
        <f>IF(ISNUMBER('Raw Data'!A24),'Raw Data'!A24,DATEVALUE('Raw Data'!A24))</f>
        <v>45988</v>
      </c>
      <c r="B80" t="str">
        <f>'Raw Data'!B24</f>
        <v>AMAZON.COM          AMZN.COM/BILL       WA</v>
      </c>
      <c r="C80" t="str">
        <f>'Raw Data'!H24</f>
        <v>Personal - Amazon</v>
      </c>
      <c r="D80" s="17">
        <f>'Raw Data'!E24</f>
        <v>991.56</v>
      </c>
      <c r="E80" s="18" t="str">
        <f>IF(LEFT('Raw Data'!H24,8)="Personal","P","B")</f>
        <v>P</v>
      </c>
    </row>
    <row r="81" spans="1:5" x14ac:dyDescent="0.25">
      <c r="A81" s="16">
        <f>IF(ISNUMBER('Raw Data'!A25),'Raw Data'!A25,DATEVALUE('Raw Data'!A25))</f>
        <v>45988</v>
      </c>
      <c r="B81" t="str">
        <f>'Raw Data'!B25</f>
        <v>AMZN DIGITAL*B20PZ4R888-802-3080        WA</v>
      </c>
      <c r="C81" t="str">
        <f>'Raw Data'!H25</f>
        <v>Personal - Amazon</v>
      </c>
      <c r="D81" s="17">
        <f>'Raw Data'!E25</f>
        <v>39.99</v>
      </c>
      <c r="E81" s="18" t="str">
        <f>IF(LEFT('Raw Data'!H25,8)="Personal","P","B")</f>
        <v>P</v>
      </c>
    </row>
    <row r="82" spans="1:5" x14ac:dyDescent="0.25">
      <c r="A82" s="16">
        <f>IF(ISNUMBER('Raw Data'!A26),'Raw Data'!A26,DATEVALUE('Raw Data'!A26))</f>
        <v>45987</v>
      </c>
      <c r="B82" t="str">
        <f>'Raw Data'!B26</f>
        <v>CUSTOMER SERVICE PAYMENT - THANK YOU</v>
      </c>
      <c r="C82" t="str">
        <f>'Raw Data'!H26</f>
        <v>Online AMEX Payment</v>
      </c>
      <c r="D82" s="17">
        <f>'Raw Data'!E26</f>
        <v>-2815.05</v>
      </c>
      <c r="E82" s="18" t="str">
        <f>IF(LEFT('Raw Data'!H26,8)="Personal","P","B")</f>
        <v>B</v>
      </c>
    </row>
    <row r="83" spans="1:5" x14ac:dyDescent="0.25">
      <c r="A83" s="16">
        <f>IF(ISNUMBER('Raw Data'!A27),'Raw Data'!A27,DATEVALUE('Raw Data'!A27))</f>
        <v>45985</v>
      </c>
      <c r="B83" t="str">
        <f>'Raw Data'!B27</f>
        <v>CVS PHARMACY        LOS ANGELES         CA</v>
      </c>
      <c r="C83" t="str">
        <f>'Raw Data'!H27</f>
        <v>Personal - Health</v>
      </c>
      <c r="D83" s="17">
        <f>'Raw Data'!E27</f>
        <v>23.62</v>
      </c>
      <c r="E83" s="18" t="str">
        <f>IF(LEFT('Raw Data'!H27,8)="Personal","P","B")</f>
        <v>P</v>
      </c>
    </row>
    <row r="84" spans="1:5" x14ac:dyDescent="0.25">
      <c r="A84" s="16">
        <f>IF(ISNUMBER('Raw Data'!A28),'Raw Data'!A28,DATEVALUE('Raw Data'!A28))</f>
        <v>45985</v>
      </c>
      <c r="B84" t="str">
        <f>'Raw Data'!B28</f>
        <v>TST* BLUEYS KITCHEN LOS ANGELES         CA</v>
      </c>
      <c r="C84" t="str">
        <f>'Raw Data'!H28</f>
        <v>Personal - Food</v>
      </c>
      <c r="D84" s="17">
        <f>'Raw Data'!E28</f>
        <v>113.94</v>
      </c>
      <c r="E84" s="18" t="str">
        <f>IF(LEFT('Raw Data'!H28,8)="Personal","P","B")</f>
        <v>P</v>
      </c>
    </row>
    <row r="85" spans="1:5" x14ac:dyDescent="0.25">
      <c r="A85" s="16">
        <f>IF(ISNUMBER('Raw Data'!A29),'Raw Data'!A29,DATEVALUE('Raw Data'!A29))</f>
        <v>45984</v>
      </c>
      <c r="B85" t="str">
        <f>'Raw Data'!B29</f>
        <v>THE HANGAR          Santa Monica        CA</v>
      </c>
      <c r="C85" t="str">
        <f>'Raw Data'!H29</f>
        <v>Personal - House</v>
      </c>
      <c r="D85" s="17">
        <f>'Raw Data'!E29</f>
        <v>221.5</v>
      </c>
      <c r="E85" s="18" t="str">
        <f>IF(LEFT('Raw Data'!H29,8)="Personal","P","B")</f>
        <v>P</v>
      </c>
    </row>
    <row r="86" spans="1:5" x14ac:dyDescent="0.25">
      <c r="A86" s="16">
        <f>IF(ISNUMBER('Raw Data'!A30),'Raw Data'!A30,DATEVALUE('Raw Data'!A30))</f>
        <v>45984</v>
      </c>
      <c r="B86" t="str">
        <f>'Raw Data'!B30</f>
        <v>THE HANGAR          Santa Monica        CA</v>
      </c>
      <c r="C86" t="str">
        <f>'Raw Data'!H30</f>
        <v>Personal - House</v>
      </c>
      <c r="D86" s="17">
        <f>'Raw Data'!E30</f>
        <v>2365.62</v>
      </c>
      <c r="E86" s="18" t="str">
        <f>IF(LEFT('Raw Data'!H30,8)="Personal","P","B")</f>
        <v>P</v>
      </c>
    </row>
    <row r="87" spans="1:5" x14ac:dyDescent="0.25">
      <c r="A87" s="16">
        <f>IF(ISNUMBER('Raw Data'!A31),'Raw Data'!A31,DATEVALUE('Raw Data'!A31))</f>
        <v>45983</v>
      </c>
      <c r="B87" t="str">
        <f>'Raw Data'!B31</f>
        <v>PRIME VIDEO CHANNELSAMZN.COM/BILL       WA</v>
      </c>
      <c r="C87" t="str">
        <f>'Raw Data'!H31</f>
        <v>Personal - Amazon</v>
      </c>
      <c r="D87" s="17">
        <f>'Raw Data'!E31</f>
        <v>12.99</v>
      </c>
      <c r="E87" s="18" t="str">
        <f>IF(LEFT('Raw Data'!H31,8)="Personal","P","B")</f>
        <v>P</v>
      </c>
    </row>
    <row r="88" spans="1:5" x14ac:dyDescent="0.25">
      <c r="A88" s="16">
        <f>IF(ISNUMBER('Raw Data'!A32),'Raw Data'!A32,DATEVALUE('Raw Data'!A32))</f>
        <v>45978</v>
      </c>
      <c r="B88" t="str">
        <f>'Raw Data'!B32</f>
        <v>AMAZON PRIME*B891K9WAMZN.COM/BILL       WA</v>
      </c>
      <c r="C88" t="str">
        <f>'Raw Data'!H32</f>
        <v>Personal - Amazon</v>
      </c>
      <c r="D88" s="17">
        <f>'Raw Data'!E32</f>
        <v>2.99</v>
      </c>
      <c r="E88" s="18" t="str">
        <f>IF(LEFT('Raw Data'!H32,8)="Personal","P","B")</f>
        <v>P</v>
      </c>
    </row>
    <row r="89" spans="1:5" x14ac:dyDescent="0.25">
      <c r="A89" s="16">
        <f>IF(ISNUMBER('Raw Data'!A33),'Raw Data'!A33,DATEVALUE('Raw Data'!A33))</f>
        <v>45975</v>
      </c>
      <c r="B89" t="str">
        <f>'Raw Data'!B33</f>
        <v>PRIME VIDEO CHANNELSAMZN.COM/BILL       WA</v>
      </c>
      <c r="C89" t="str">
        <f>'Raw Data'!H33</f>
        <v>Personal - Amazon</v>
      </c>
      <c r="D89" s="17">
        <f>'Raw Data'!E33</f>
        <v>9.99</v>
      </c>
      <c r="E89" s="18" t="str">
        <f>IF(LEFT('Raw Data'!H33,8)="Personal","P","B")</f>
        <v>P</v>
      </c>
    </row>
    <row r="90" spans="1:5" x14ac:dyDescent="0.25">
      <c r="A90" s="16">
        <f>IF(ISNUMBER('Raw Data'!A34),'Raw Data'!A34,DATEVALUE('Raw Data'!A34))</f>
        <v>45974</v>
      </c>
      <c r="B90" t="str">
        <f>'Raw Data'!B34</f>
        <v>PRIME VIDEO CHANNELSAMZN.COM/BILL       WA</v>
      </c>
      <c r="C90" t="str">
        <f>'Raw Data'!H34</f>
        <v>Personal - Amazon</v>
      </c>
      <c r="D90" s="17">
        <f>'Raw Data'!E34</f>
        <v>10.99</v>
      </c>
      <c r="E90" s="18" t="str">
        <f>IF(LEFT('Raw Data'!H34,8)="Personal","P","B")</f>
        <v>P</v>
      </c>
    </row>
    <row r="91" spans="1:5" x14ac:dyDescent="0.25">
      <c r="A91" s="16">
        <f>IF(ISNUMBER('Raw Data'!A35),'Raw Data'!A35,DATEVALUE('Raw Data'!A35))</f>
        <v>45970</v>
      </c>
      <c r="B91" t="str">
        <f>'Raw Data'!B35</f>
        <v>PRIME VIDEO CHANNELSAMZN.COM/BILL       WA</v>
      </c>
      <c r="C91" t="str">
        <f>'Raw Data'!H35</f>
        <v>Personal - Amazon</v>
      </c>
      <c r="D91" s="17">
        <f>'Raw Data'!E35</f>
        <v>6.99</v>
      </c>
      <c r="E91" s="18" t="str">
        <f>IF(LEFT('Raw Data'!H35,8)="Personal","P","B")</f>
        <v>P</v>
      </c>
    </row>
    <row r="92" spans="1:5" x14ac:dyDescent="0.25">
      <c r="A92" s="16">
        <f>IF(ISNUMBER('Raw Data'!A36),'Raw Data'!A36,DATEVALUE('Raw Data'!A36))</f>
        <v>45963</v>
      </c>
      <c r="B92" t="str">
        <f>'Raw Data'!B36</f>
        <v>Amazon Prime        Amazon.com          WA</v>
      </c>
      <c r="C92" t="str">
        <f>'Raw Data'!H36</f>
        <v>Personal - Amazon</v>
      </c>
      <c r="D92" s="17">
        <f>'Raw Data'!E36</f>
        <v>16.45</v>
      </c>
      <c r="E92" s="18" t="str">
        <f>IF(LEFT('Raw Data'!H36,8)="Personal","P","B")</f>
        <v>P</v>
      </c>
    </row>
    <row r="93" spans="1:5" x14ac:dyDescent="0.25">
      <c r="A93" s="16">
        <f>IF(ISNUMBER('Raw Data'!A37),'Raw Data'!A37,DATEVALUE('Raw Data'!A37))</f>
        <v>45961</v>
      </c>
      <c r="B93" t="str">
        <f>'Raw Data'!B37</f>
        <v>PRIME VIDEO CHANNELSAMZN.COM/BILL       WA</v>
      </c>
      <c r="C93" t="str">
        <f>'Raw Data'!H37</f>
        <v>Personal - Amazon</v>
      </c>
      <c r="D93" s="17">
        <f>'Raw Data'!E37</f>
        <v>12.99</v>
      </c>
      <c r="E93" s="18" t="str">
        <f>IF(LEFT('Raw Data'!H37,8)="Personal","P","B")</f>
        <v>P</v>
      </c>
    </row>
    <row r="94" spans="1:5" x14ac:dyDescent="0.25">
      <c r="A94" s="16">
        <f>IF(ISNUMBER('Raw Data'!A38),'Raw Data'!A38,DATEVALUE('Raw Data'!A38))</f>
        <v>45959</v>
      </c>
      <c r="B94" t="str">
        <f>'Raw Data'!B38</f>
        <v>PRIME VIDEO CHANNELSAMZN.COM/BILL       WA</v>
      </c>
      <c r="C94" t="str">
        <f>'Raw Data'!H38</f>
        <v>Personal - Amazon</v>
      </c>
      <c r="D94" s="17">
        <f>'Raw Data'!E38</f>
        <v>6.99</v>
      </c>
      <c r="E94" s="18" t="str">
        <f>IF(LEFT('Raw Data'!H38,8)="Personal","P","B")</f>
        <v>P</v>
      </c>
    </row>
    <row r="95" spans="1:5" x14ac:dyDescent="0.25">
      <c r="A95" s="16">
        <f>IF(ISNUMBER('Raw Data'!A39),'Raw Data'!A39,DATEVALUE('Raw Data'!A39))</f>
        <v>45958</v>
      </c>
      <c r="B95" t="str">
        <f>'Raw Data'!B39</f>
        <v>PRIME VIDEO CHANNELSAMZN.COM/BILL       WA</v>
      </c>
      <c r="C95" t="str">
        <f>'Raw Data'!H39</f>
        <v>Personal - Amazon</v>
      </c>
      <c r="D95" s="17">
        <f>'Raw Data'!E39</f>
        <v>9.99</v>
      </c>
      <c r="E95" s="18" t="str">
        <f>IF(LEFT('Raw Data'!H39,8)="Personal","P","B")</f>
        <v>P</v>
      </c>
    </row>
    <row r="96" spans="1:5" x14ac:dyDescent="0.25">
      <c r="A96" s="16">
        <f>IF(ISNUMBER('Raw Data'!A40),'Raw Data'!A40,DATEVALUE('Raw Data'!A40))</f>
        <v>45957</v>
      </c>
      <c r="B96" t="str">
        <f>'Raw Data'!B40</f>
        <v>ONLINE PAYMENT - THANK YOU</v>
      </c>
      <c r="C96" t="str">
        <f>'Raw Data'!H40</f>
        <v>Online AMEX Payment</v>
      </c>
      <c r="D96" s="17">
        <f>'Raw Data'!E40</f>
        <v>-177.41</v>
      </c>
      <c r="E96" s="18" t="str">
        <f>IF(LEFT('Raw Data'!H40,8)="Personal","P","B")</f>
        <v>B</v>
      </c>
    </row>
    <row r="97" spans="1:5" x14ac:dyDescent="0.25">
      <c r="A97" s="16">
        <f>IF(ISNUMBER('Raw Data'!A41),'Raw Data'!A41,DATEVALUE('Raw Data'!A41))</f>
        <v>45952</v>
      </c>
      <c r="B97" t="str">
        <f>'Raw Data'!B41</f>
        <v>PRIME VIDEO CHANNELSAMZN.COM/BILL       WA</v>
      </c>
      <c r="C97" t="str">
        <f>'Raw Data'!H41</f>
        <v>Personal - Amazon</v>
      </c>
      <c r="D97" s="17">
        <f>'Raw Data'!E41</f>
        <v>12.99</v>
      </c>
      <c r="E97" s="18" t="str">
        <f>IF(LEFT('Raw Data'!H41,8)="Personal","P","B")</f>
        <v>P</v>
      </c>
    </row>
    <row r="98" spans="1:5" x14ac:dyDescent="0.25">
      <c r="A98" s="16">
        <f>IF(ISNUMBER('Raw Data'!A42),'Raw Data'!A42,DATEVALUE('Raw Data'!A42))</f>
        <v>45948</v>
      </c>
      <c r="B98" t="str">
        <f>'Raw Data'!B42</f>
        <v>AMAZON PRIME*NM1B50XAMZN.COM/BILL       WA</v>
      </c>
      <c r="C98" t="str">
        <f>'Raw Data'!H42</f>
        <v>Personal - Amazon</v>
      </c>
      <c r="D98" s="17">
        <f>'Raw Data'!E42</f>
        <v>2.99</v>
      </c>
      <c r="E98" s="18" t="str">
        <f>IF(LEFT('Raw Data'!H42,8)="Personal","P","B")</f>
        <v>P</v>
      </c>
    </row>
    <row r="99" spans="1:5" x14ac:dyDescent="0.25">
      <c r="A99" s="16">
        <f>IF(ISNUMBER('Raw Data'!A43),'Raw Data'!A43,DATEVALUE('Raw Data'!A43))</f>
        <v>45948</v>
      </c>
      <c r="B99" t="str">
        <f>'Raw Data'!B43</f>
        <v>CHIPOTLE 2250 2250  WEATHERFORD         TX</v>
      </c>
      <c r="C99" t="str">
        <f>'Raw Data'!H43</f>
        <v>Personal - Food</v>
      </c>
      <c r="D99" s="17">
        <f>'Raw Data'!E43</f>
        <v>20.350000000000001</v>
      </c>
      <c r="E99" s="18" t="str">
        <f>IF(LEFT('Raw Data'!H43,8)="Personal","P","B")</f>
        <v>P</v>
      </c>
    </row>
    <row r="100" spans="1:5" x14ac:dyDescent="0.25">
      <c r="A100" s="16">
        <f>IF(ISNUMBER('Raw Data'!A44),'Raw Data'!A44,DATEVALUE('Raw Data'!A44))</f>
        <v>45944</v>
      </c>
      <c r="B100" t="str">
        <f>'Raw Data'!B44</f>
        <v>PRIME VIDEO CHANNELSAMZN.COM/BILL       WA</v>
      </c>
      <c r="C100" t="str">
        <f>'Raw Data'!H44</f>
        <v>Personal - Amazon</v>
      </c>
      <c r="D100" s="17">
        <f>'Raw Data'!E44</f>
        <v>9.99</v>
      </c>
      <c r="E100" s="18" t="str">
        <f>IF(LEFT('Raw Data'!H44,8)="Personal","P","B")</f>
        <v>P</v>
      </c>
    </row>
    <row r="101" spans="1:5" x14ac:dyDescent="0.25">
      <c r="A101" s="16">
        <f>IF(ISNUMBER('Raw Data'!A45),'Raw Data'!A45,DATEVALUE('Raw Data'!A45))</f>
        <v>45944</v>
      </c>
      <c r="B101" t="str">
        <f>'Raw Data'!B45</f>
        <v>PRIME VIDEO CHANNELSAMZN.COM/BILL       WA</v>
      </c>
      <c r="C101" t="str">
        <f>'Raw Data'!H45</f>
        <v>Personal - Amazon</v>
      </c>
      <c r="D101" s="17">
        <f>'Raw Data'!E45</f>
        <v>10.99</v>
      </c>
      <c r="E101" s="18" t="str">
        <f>IF(LEFT('Raw Data'!H45,8)="Personal","P","B")</f>
        <v>P</v>
      </c>
    </row>
    <row r="102" spans="1:5" x14ac:dyDescent="0.25">
      <c r="A102" s="16">
        <f>IF(ISNUMBER('Raw Data'!A46),'Raw Data'!A46,DATEVALUE('Raw Data'!A46))</f>
        <v>45939</v>
      </c>
      <c r="B102" t="str">
        <f>'Raw Data'!B46</f>
        <v>PRIME VIDEO CHANNELSAMZN.COM/BILL       WA</v>
      </c>
      <c r="C102" t="str">
        <f>'Raw Data'!H46</f>
        <v>Personal - Amazon</v>
      </c>
      <c r="D102" s="17">
        <f>'Raw Data'!E46</f>
        <v>6.99</v>
      </c>
      <c r="E102" s="18" t="str">
        <f>IF(LEFT('Raw Data'!H46,8)="Personal","P","B")</f>
        <v>P</v>
      </c>
    </row>
    <row r="103" spans="1:5" x14ac:dyDescent="0.25">
      <c r="A103" s="16">
        <f>IF(ISNUMBER('Raw Data'!A47),'Raw Data'!A47,DATEVALUE('Raw Data'!A47))</f>
        <v>45936</v>
      </c>
      <c r="B103" t="str">
        <f>'Raw Data'!B47</f>
        <v>CVS PHARMACY        LOS ANGELES         CA</v>
      </c>
      <c r="C103" t="str">
        <f>'Raw Data'!H47</f>
        <v>Personal - Health</v>
      </c>
      <c r="D103" s="17">
        <f>'Raw Data'!E47</f>
        <v>21.94</v>
      </c>
      <c r="E103" s="18" t="str">
        <f>IF(LEFT('Raw Data'!H47,8)="Personal","P","B")</f>
        <v>P</v>
      </c>
    </row>
    <row r="104" spans="1:5" x14ac:dyDescent="0.25">
      <c r="A104" s="16">
        <f>IF(ISNUMBER('Raw Data'!A48),'Raw Data'!A48,DATEVALUE('Raw Data'!A48))</f>
        <v>45933</v>
      </c>
      <c r="B104" t="str">
        <f>'Raw Data'!B48</f>
        <v>Interest Charge on Pay Over Time Purchases</v>
      </c>
      <c r="C104" t="str">
        <f>'Raw Data'!H48</f>
        <v>Interest Charge on Pay Over Time Purchases</v>
      </c>
      <c r="D104" s="17">
        <f>'Raw Data'!E48</f>
        <v>3.8</v>
      </c>
      <c r="E104" s="18" t="str">
        <f>IF(LEFT('Raw Data'!H48,8)="Personal","P","B")</f>
        <v>B</v>
      </c>
    </row>
    <row r="105" spans="1:5" x14ac:dyDescent="0.25">
      <c r="A105" s="16">
        <f>IF(ISNUMBER('Raw Data'!A49),'Raw Data'!A49,DATEVALUE('Raw Data'!A49))</f>
        <v>45932</v>
      </c>
      <c r="B105" t="str">
        <f>'Raw Data'!B49</f>
        <v>Amazon Prime        Amazon.com          WA</v>
      </c>
      <c r="C105" t="str">
        <f>'Raw Data'!H49</f>
        <v>Personal - Amazon</v>
      </c>
      <c r="D105" s="17">
        <f>'Raw Data'!E49</f>
        <v>16.45</v>
      </c>
      <c r="E105" s="18" t="str">
        <f>IF(LEFT('Raw Data'!H49,8)="Personal","P","B")</f>
        <v>P</v>
      </c>
    </row>
    <row r="106" spans="1:5" x14ac:dyDescent="0.25">
      <c r="A106" s="16">
        <f>IF(ISNUMBER('Raw Data'!A50),'Raw Data'!A50,DATEVALUE('Raw Data'!A50))</f>
        <v>45930</v>
      </c>
      <c r="B106" t="str">
        <f>'Raw Data'!B50</f>
        <v>PRIME VIDEO CHANNELSAMZN.COM/BILL       WA</v>
      </c>
      <c r="C106" t="str">
        <f>'Raw Data'!H50</f>
        <v>Personal - Amazon</v>
      </c>
      <c r="D106" s="17">
        <f>'Raw Data'!E50</f>
        <v>12.99</v>
      </c>
      <c r="E106" s="18" t="str">
        <f>IF(LEFT('Raw Data'!H50,8)="Personal","P","B")</f>
        <v>P</v>
      </c>
    </row>
    <row r="107" spans="1:5" x14ac:dyDescent="0.25">
      <c r="A107" s="16">
        <f>IF(ISNUMBER('Raw Data'!A51),'Raw Data'!A51,DATEVALUE('Raw Data'!A51))</f>
        <v>45929</v>
      </c>
      <c r="B107" t="str">
        <f>'Raw Data'!B51</f>
        <v>PRIME VIDEO CHANNELSAMZN.COM/BILL       WA</v>
      </c>
      <c r="C107" t="str">
        <f>'Raw Data'!H51</f>
        <v>Personal - Amazon</v>
      </c>
      <c r="D107" s="17">
        <f>'Raw Data'!E51</f>
        <v>6.99</v>
      </c>
      <c r="E107" s="18" t="str">
        <f>IF(LEFT('Raw Data'!H51,8)="Personal","P","B")</f>
        <v>P</v>
      </c>
    </row>
    <row r="108" spans="1:5" x14ac:dyDescent="0.25">
      <c r="A108" s="16">
        <f>IF(ISNUMBER('Raw Data'!A52),'Raw Data'!A52,DATEVALUE('Raw Data'!A52))</f>
        <v>45928</v>
      </c>
      <c r="B108" t="str">
        <f>'Raw Data'!B52</f>
        <v>ONLINE PAYMENT - THANK YOU</v>
      </c>
      <c r="C108" t="str">
        <f>'Raw Data'!H52</f>
        <v>Online AMEX Payment</v>
      </c>
      <c r="D108" s="17">
        <f>'Raw Data'!E52</f>
        <v>-176.36</v>
      </c>
      <c r="E108" s="18" t="str">
        <f>IF(LEFT('Raw Data'!H52,8)="Personal","P","B")</f>
        <v>B</v>
      </c>
    </row>
    <row r="109" spans="1:5" x14ac:dyDescent="0.25">
      <c r="A109" s="16">
        <f>IF(ISNUMBER('Raw Data'!A53),'Raw Data'!A53,DATEVALUE('Raw Data'!A53))</f>
        <v>45928</v>
      </c>
      <c r="B109" t="str">
        <f>'Raw Data'!B53</f>
        <v>PRIME VIDEO CHANNELSAMZN.COM/BILL       WA</v>
      </c>
      <c r="C109" t="str">
        <f>'Raw Data'!H53</f>
        <v>Personal - Amazon</v>
      </c>
      <c r="D109" s="17">
        <f>'Raw Data'!E53</f>
        <v>9.99</v>
      </c>
      <c r="E109" s="18" t="str">
        <f>IF(LEFT('Raw Data'!H53,8)="Personal","P","B")</f>
        <v>P</v>
      </c>
    </row>
    <row r="110" spans="1:5" x14ac:dyDescent="0.25">
      <c r="A110" s="16">
        <f>IF(ISNUMBER('Raw Data'!A54),'Raw Data'!A54,DATEVALUE('Raw Data'!A54))</f>
        <v>45922</v>
      </c>
      <c r="B110" t="str">
        <f>'Raw Data'!B54</f>
        <v>PRIME VIDEO CHANNELSAMZN.COM/BILL       WA</v>
      </c>
      <c r="C110" t="str">
        <f>'Raw Data'!H54</f>
        <v>Personal - Amazon</v>
      </c>
      <c r="D110" s="17">
        <f>'Raw Data'!E54</f>
        <v>9.99</v>
      </c>
      <c r="E110" s="18" t="str">
        <f>IF(LEFT('Raw Data'!H54,8)="Personal","P","B")</f>
        <v>P</v>
      </c>
    </row>
    <row r="111" spans="1:5" x14ac:dyDescent="0.25">
      <c r="A111" s="16">
        <f>IF(ISNUMBER('Raw Data'!A55),'Raw Data'!A55,DATEVALUE('Raw Data'!A55))</f>
        <v>45918</v>
      </c>
      <c r="B111" t="str">
        <f>'Raw Data'!B55</f>
        <v>AMAZON PRIME*473YR50AMZN.COM/BILL       WA</v>
      </c>
      <c r="C111" t="str">
        <f>'Raw Data'!H55</f>
        <v>Personal - Amazon</v>
      </c>
      <c r="D111" s="17">
        <f>'Raw Data'!E55</f>
        <v>2.99</v>
      </c>
      <c r="E111" s="18" t="str">
        <f>IF(LEFT('Raw Data'!H55,8)="Personal","P","B")</f>
        <v>P</v>
      </c>
    </row>
    <row r="112" spans="1:5" x14ac:dyDescent="0.25">
      <c r="A112" s="16">
        <f>IF(ISNUMBER('Raw Data'!A56),'Raw Data'!A56,DATEVALUE('Raw Data'!A56))</f>
        <v>45914</v>
      </c>
      <c r="B112" t="str">
        <f>'Raw Data'!B56</f>
        <v>PRIME VIDEO CHANNELSAMZN.COM/BILL       WA</v>
      </c>
      <c r="C112" t="str">
        <f>'Raw Data'!H56</f>
        <v>Personal - Amazon</v>
      </c>
      <c r="D112" s="17">
        <f>'Raw Data'!E56</f>
        <v>9.99</v>
      </c>
      <c r="E112" s="18" t="str">
        <f>IF(LEFT('Raw Data'!H56,8)="Personal","P","B")</f>
        <v>P</v>
      </c>
    </row>
    <row r="113" spans="1:5" x14ac:dyDescent="0.25">
      <c r="A113" s="16">
        <f>IF(ISNUMBER('Raw Data'!A57),'Raw Data'!A57,DATEVALUE('Raw Data'!A57))</f>
        <v>45914</v>
      </c>
      <c r="B113" t="str">
        <f>'Raw Data'!B57</f>
        <v>PRIME VIDEO CHANNELSAMZN.COM/BILL       WA</v>
      </c>
      <c r="C113" t="str">
        <f>'Raw Data'!H57</f>
        <v>Personal - Amazon</v>
      </c>
      <c r="D113" s="17">
        <f>'Raw Data'!E57</f>
        <v>10.99</v>
      </c>
      <c r="E113" s="18" t="str">
        <f>IF(LEFT('Raw Data'!H57,8)="Personal","P","B")</f>
        <v>P</v>
      </c>
    </row>
    <row r="114" spans="1:5" x14ac:dyDescent="0.25">
      <c r="A114" s="16">
        <f>IF(ISNUMBER('Raw Data'!A58),'Raw Data'!A58,DATEVALUE('Raw Data'!A58))</f>
        <v>45909</v>
      </c>
      <c r="B114" t="str">
        <f>'Raw Data'!B58</f>
        <v>PRIME VIDEO CHANNELSAMZN.COM/BILL       WA</v>
      </c>
      <c r="C114" t="str">
        <f>'Raw Data'!H58</f>
        <v>Personal - Amazon</v>
      </c>
      <c r="D114" s="17">
        <f>'Raw Data'!E58</f>
        <v>6.99</v>
      </c>
      <c r="E114" s="18" t="str">
        <f>IF(LEFT('Raw Data'!H58,8)="Personal","P","B")</f>
        <v>P</v>
      </c>
    </row>
    <row r="115" spans="1:5" x14ac:dyDescent="0.25">
      <c r="A115" s="16">
        <f>IF(ISNUMBER('Raw Data'!A59),'Raw Data'!A59,DATEVALUE('Raw Data'!A59))</f>
        <v>45903</v>
      </c>
      <c r="B115" t="str">
        <f>'Raw Data'!B59</f>
        <v>Interest Charge on Pay Over Time Purchases</v>
      </c>
      <c r="C115" t="str">
        <f>'Raw Data'!H59</f>
        <v>Interest Charge on Pay Over Time Purchases</v>
      </c>
      <c r="D115" s="17">
        <f>'Raw Data'!E59</f>
        <v>101.98</v>
      </c>
      <c r="E115" s="18" t="str">
        <f>IF(LEFT('Raw Data'!H59,8)="Personal","P","B")</f>
        <v>B</v>
      </c>
    </row>
    <row r="116" spans="1:5" x14ac:dyDescent="0.25">
      <c r="A116" s="16">
        <f>IF(ISNUMBER('Raw Data'!A60),'Raw Data'!A60,DATEVALUE('Raw Data'!A60))</f>
        <v>45902</v>
      </c>
      <c r="B116" t="str">
        <f>'Raw Data'!B60</f>
        <v>Amazon Prime        Amazon.com          WA</v>
      </c>
      <c r="C116" t="str">
        <f>'Raw Data'!H60</f>
        <v>Personal - Amazon</v>
      </c>
      <c r="D116" s="17">
        <f>'Raw Data'!E60</f>
        <v>16.45</v>
      </c>
      <c r="E116" s="18" t="str">
        <f>IF(LEFT('Raw Data'!H60,8)="Personal","P","B")</f>
        <v>P</v>
      </c>
    </row>
    <row r="117" spans="1:5" x14ac:dyDescent="0.25">
      <c r="A117" s="16">
        <f>IF(ISNUMBER('Raw Data'!A61),'Raw Data'!A61,DATEVALUE('Raw Data'!A61))</f>
        <v>45900</v>
      </c>
      <c r="B117" t="str">
        <f>'Raw Data'!B61</f>
        <v>ONLINE PAYMENT - THANK YOU</v>
      </c>
      <c r="C117" t="str">
        <f>'Raw Data'!H61</f>
        <v>Online AMEX Payment</v>
      </c>
      <c r="D117" s="17">
        <f>'Raw Data'!E61</f>
        <v>-4616.5600000000004</v>
      </c>
      <c r="E117" s="18" t="str">
        <f>IF(LEFT('Raw Data'!H61,8)="Personal","P","B")</f>
        <v>B</v>
      </c>
    </row>
    <row r="118" spans="1:5" x14ac:dyDescent="0.25">
      <c r="A118" s="16">
        <f>IF(ISNUMBER('Raw Data'!A62),'Raw Data'!A62,DATEVALUE('Raw Data'!A62))</f>
        <v>45898</v>
      </c>
      <c r="B118" t="str">
        <f>'Raw Data'!B62</f>
        <v>PRIME VIDEO CHANNELSAMZN.COM/BILL       WA</v>
      </c>
      <c r="C118" t="str">
        <f>'Raw Data'!H62</f>
        <v>Personal - Amazon</v>
      </c>
      <c r="D118" s="17">
        <f>'Raw Data'!E62</f>
        <v>6.99</v>
      </c>
      <c r="E118" s="18" t="str">
        <f>IF(LEFT('Raw Data'!H62,8)="Personal","P","B")</f>
        <v>P</v>
      </c>
    </row>
    <row r="119" spans="1:5" x14ac:dyDescent="0.25">
      <c r="A119" s="16">
        <f>IF(ISNUMBER('Raw Data'!A63),'Raw Data'!A63,DATEVALUE('Raw Data'!A63))</f>
        <v>45897</v>
      </c>
      <c r="B119" t="str">
        <f>'Raw Data'!B63</f>
        <v>PRIME VIDEO CHANNELSAMZN.COM/BILL       WA</v>
      </c>
      <c r="C119" t="str">
        <f>'Raw Data'!H63</f>
        <v>Personal - Amazon</v>
      </c>
      <c r="D119" s="17">
        <f>'Raw Data'!E63</f>
        <v>9.99</v>
      </c>
      <c r="E119" s="18" t="str">
        <f>IF(LEFT('Raw Data'!H63,8)="Personal","P","B")</f>
        <v>P</v>
      </c>
    </row>
    <row r="120" spans="1:5" x14ac:dyDescent="0.25">
      <c r="A120" s="16">
        <f>IF(ISNUMBER('Raw Data'!A64),'Raw Data'!A64,DATEVALUE('Raw Data'!A64))</f>
        <v>45891</v>
      </c>
      <c r="B120" t="str">
        <f>'Raw Data'!B64</f>
        <v>PRIME VIDEO CHANNELSAMZN.COM/BILL       WA</v>
      </c>
      <c r="C120" t="str">
        <f>'Raw Data'!H64</f>
        <v>Personal - Amazon</v>
      </c>
      <c r="D120" s="17">
        <f>'Raw Data'!E64</f>
        <v>9.99</v>
      </c>
      <c r="E120" s="18" t="str">
        <f>IF(LEFT('Raw Data'!H64,8)="Personal","P","B")</f>
        <v>P</v>
      </c>
    </row>
    <row r="121" spans="1:5" x14ac:dyDescent="0.25">
      <c r="A121" s="16">
        <f>IF(ISNUMBER('Raw Data'!A65),'Raw Data'!A65,DATEVALUE('Raw Data'!A65))</f>
        <v>45887</v>
      </c>
      <c r="B121" t="str">
        <f>'Raw Data'!B65</f>
        <v>AMAZON PRIME*IK61V6NAMZN.COM/BILL       WA</v>
      </c>
      <c r="C121" t="str">
        <f>'Raw Data'!H65</f>
        <v>Personal - Amazon</v>
      </c>
      <c r="D121" s="17">
        <f>'Raw Data'!E65</f>
        <v>2.99</v>
      </c>
      <c r="E121" s="18" t="str">
        <f>IF(LEFT('Raw Data'!H65,8)="Personal","P","B")</f>
        <v>P</v>
      </c>
    </row>
    <row r="122" spans="1:5" x14ac:dyDescent="0.25">
      <c r="A122" s="16">
        <f>IF(ISNUMBER('Raw Data'!A66),'Raw Data'!A66,DATEVALUE('Raw Data'!A66))</f>
        <v>45883</v>
      </c>
      <c r="B122" t="str">
        <f>'Raw Data'!B66</f>
        <v>PRIME VIDEO CHANNELSAMZN.COM/BILL       WA</v>
      </c>
      <c r="C122" t="str">
        <f>'Raw Data'!H66</f>
        <v>Personal - Amazon</v>
      </c>
      <c r="D122" s="17">
        <f>'Raw Data'!E66</f>
        <v>9.99</v>
      </c>
      <c r="E122" s="18" t="str">
        <f>IF(LEFT('Raw Data'!H66,8)="Personal","P","B")</f>
        <v>P</v>
      </c>
    </row>
    <row r="123" spans="1:5" x14ac:dyDescent="0.25">
      <c r="A123" s="16">
        <f>IF(ISNUMBER('Raw Data'!A67),'Raw Data'!A67,DATEVALUE('Raw Data'!A67))</f>
        <v>45883</v>
      </c>
      <c r="B123" t="str">
        <f>'Raw Data'!B67</f>
        <v>PRIME VIDEO CHANNELSAMZN.COM/BILL       WA</v>
      </c>
      <c r="C123" t="str">
        <f>'Raw Data'!H67</f>
        <v>Personal - Amazon</v>
      </c>
      <c r="D123" s="17">
        <f>'Raw Data'!E67</f>
        <v>10.99</v>
      </c>
      <c r="E123" s="18" t="str">
        <f>IF(LEFT('Raw Data'!H67,8)="Personal","P","B")</f>
        <v>P</v>
      </c>
    </row>
    <row r="124" spans="1:5" x14ac:dyDescent="0.25">
      <c r="A124" s="16">
        <f>IF(ISNUMBER('Raw Data'!A68),'Raw Data'!A68,DATEVALUE('Raw Data'!A68))</f>
        <v>45878</v>
      </c>
      <c r="B124" t="str">
        <f>'Raw Data'!B68</f>
        <v>PRIME VIDEO CHANNELSAMZN.COM/BILL       WA</v>
      </c>
      <c r="C124" t="str">
        <f>'Raw Data'!H68</f>
        <v>Personal - Amazon</v>
      </c>
      <c r="D124" s="17">
        <f>'Raw Data'!E68</f>
        <v>6.99</v>
      </c>
      <c r="E124" s="18" t="str">
        <f>IF(LEFT('Raw Data'!H68,8)="Personal","P","B")</f>
        <v>P</v>
      </c>
    </row>
    <row r="125" spans="1:5" x14ac:dyDescent="0.25">
      <c r="A125" s="16">
        <f>IF(ISNUMBER('Raw Data'!A69),'Raw Data'!A69,DATEVALUE('Raw Data'!A69))</f>
        <v>45873</v>
      </c>
      <c r="B125" t="str">
        <f>'Raw Data'!B69</f>
        <v>ONLINE PAYMENT - THANK YOU</v>
      </c>
      <c r="C125" t="str">
        <f>'Raw Data'!H69</f>
        <v>Online AMEX Payment</v>
      </c>
      <c r="D125" s="17">
        <f>'Raw Data'!E69</f>
        <v>-299.14</v>
      </c>
      <c r="E125" s="18" t="str">
        <f>IF(LEFT('Raw Data'!H69,8)="Personal","P","B")</f>
        <v>B</v>
      </c>
    </row>
    <row r="126" spans="1:5" x14ac:dyDescent="0.25">
      <c r="A126" s="16">
        <f>IF(ISNUMBER('Raw Data'!A70),'Raw Data'!A70,DATEVALUE('Raw Data'!A70))</f>
        <v>45872</v>
      </c>
      <c r="B126" t="str">
        <f>'Raw Data'!B70</f>
        <v>Interest Charge on Pay Over Time Purchases</v>
      </c>
      <c r="C126" t="str">
        <f>'Raw Data'!H70</f>
        <v>Interest Charge on Pay Over Time Purchases</v>
      </c>
      <c r="D126" s="17">
        <f>'Raw Data'!E70</f>
        <v>118.17</v>
      </c>
      <c r="E126" s="18" t="str">
        <f>IF(LEFT('Raw Data'!H70,8)="Personal","P","B")</f>
        <v>B</v>
      </c>
    </row>
    <row r="127" spans="1:5" x14ac:dyDescent="0.25">
      <c r="A127" s="16">
        <f>IF(ISNUMBER('Raw Data'!A71),'Raw Data'!A71,DATEVALUE('Raw Data'!A71))</f>
        <v>45871</v>
      </c>
      <c r="B127" t="str">
        <f>'Raw Data'!B71</f>
        <v>Amazon Prime        Amazon.com          WA</v>
      </c>
      <c r="C127" t="str">
        <f>'Raw Data'!H71</f>
        <v>Personal - Amazon</v>
      </c>
      <c r="D127" s="17">
        <f>'Raw Data'!E71</f>
        <v>16.45</v>
      </c>
      <c r="E127" s="18" t="str">
        <f>IF(LEFT('Raw Data'!H71,8)="Personal","P","B")</f>
        <v>P</v>
      </c>
    </row>
    <row r="128" spans="1:5" x14ac:dyDescent="0.25">
      <c r="A128" s="16">
        <f>IF(ISNUMBER('Raw Data'!A72),'Raw Data'!A72,DATEVALUE('Raw Data'!A72))</f>
        <v>45869</v>
      </c>
      <c r="B128" t="str">
        <f>'Raw Data'!B72</f>
        <v>PRIME VIDEO CHANNELSAMZN.COM/BILL       WA</v>
      </c>
      <c r="C128" t="str">
        <f>'Raw Data'!H72</f>
        <v>Personal - Amazon</v>
      </c>
      <c r="D128" s="17">
        <f>'Raw Data'!E72</f>
        <v>12.99</v>
      </c>
      <c r="E128" s="18" t="str">
        <f>IF(LEFT('Raw Data'!H72,8)="Personal","P","B")</f>
        <v>P</v>
      </c>
    </row>
    <row r="129" spans="1:5" x14ac:dyDescent="0.25">
      <c r="A129" s="16">
        <f>IF(ISNUMBER('Raw Data'!A73),'Raw Data'!A73,DATEVALUE('Raw Data'!A73))</f>
        <v>45867</v>
      </c>
      <c r="B129" t="str">
        <f>'Raw Data'!B73</f>
        <v>PRIME VIDEO CHANNELSAMZN.COM/BILL       WA</v>
      </c>
      <c r="C129" t="str">
        <f>'Raw Data'!H73</f>
        <v>Personal - Amazon</v>
      </c>
      <c r="D129" s="17">
        <f>'Raw Data'!E73</f>
        <v>6.99</v>
      </c>
      <c r="E129" s="18" t="str">
        <f>IF(LEFT('Raw Data'!H73,8)="Personal","P","B")</f>
        <v>P</v>
      </c>
    </row>
    <row r="130" spans="1:5" x14ac:dyDescent="0.25">
      <c r="A130" s="16">
        <f>IF(ISNUMBER('Raw Data'!A74),'Raw Data'!A74,DATEVALUE('Raw Data'!A74))</f>
        <v>45866</v>
      </c>
      <c r="B130" t="str">
        <f>'Raw Data'!B74</f>
        <v>LATE FEE</v>
      </c>
      <c r="C130" t="str">
        <f>'Raw Data'!H74</f>
        <v>LATE FEE</v>
      </c>
      <c r="D130" s="17">
        <f>'Raw Data'!E74</f>
        <v>40</v>
      </c>
      <c r="E130" s="18" t="str">
        <f>IF(LEFT('Raw Data'!H74,8)="Personal","P","B")</f>
        <v>B</v>
      </c>
    </row>
    <row r="131" spans="1:5" x14ac:dyDescent="0.25">
      <c r="A131" s="16">
        <f>IF(ISNUMBER('Raw Data'!A75),'Raw Data'!A75,DATEVALUE('Raw Data'!A75))</f>
        <v>45866</v>
      </c>
      <c r="B131" t="str">
        <f>'Raw Data'!B75</f>
        <v>PRIME VIDEO CHANNELSAMZN.COM/BILL       WA</v>
      </c>
      <c r="C131" t="str">
        <f>'Raw Data'!H75</f>
        <v>Personal - Amazon</v>
      </c>
      <c r="D131" s="17">
        <f>'Raw Data'!E75</f>
        <v>9.99</v>
      </c>
      <c r="E131" s="18" t="str">
        <f>IF(LEFT('Raw Data'!H75,8)="Personal","P","B")</f>
        <v>P</v>
      </c>
    </row>
    <row r="132" spans="1:5" x14ac:dyDescent="0.25">
      <c r="A132" s="16">
        <f>IF(ISNUMBER('Raw Data'!A76),'Raw Data'!A76,DATEVALUE('Raw Data'!A76))</f>
        <v>45860</v>
      </c>
      <c r="B132" t="str">
        <f>'Raw Data'!B76</f>
        <v>PRIME VIDEO CHANNELSAMZN.COM/BILL       WA</v>
      </c>
      <c r="C132" t="str">
        <f>'Raw Data'!H76</f>
        <v>Personal - Amazon</v>
      </c>
      <c r="D132" s="17">
        <f>'Raw Data'!E76</f>
        <v>9.99</v>
      </c>
      <c r="E132" s="18" t="str">
        <f>IF(LEFT('Raw Data'!H76,8)="Personal","P","B")</f>
        <v>P</v>
      </c>
    </row>
    <row r="133" spans="1:5" x14ac:dyDescent="0.25">
      <c r="A133" s="16">
        <f>IF(ISNUMBER('Raw Data'!A77),'Raw Data'!A77,DATEVALUE('Raw Data'!A77))</f>
        <v>45856</v>
      </c>
      <c r="B133" t="str">
        <f>'Raw Data'!B77</f>
        <v>AMAZON PRIME*W31WL8FAMZN.COM/BILL       WA</v>
      </c>
      <c r="C133" t="str">
        <f>'Raw Data'!H77</f>
        <v>Personal - Amazon</v>
      </c>
      <c r="D133" s="17">
        <f>'Raw Data'!E77</f>
        <v>2.99</v>
      </c>
      <c r="E133" s="18" t="str">
        <f>IF(LEFT('Raw Data'!H77,8)="Personal","P","B")</f>
        <v>P</v>
      </c>
    </row>
    <row r="134" spans="1:5" x14ac:dyDescent="0.25">
      <c r="A134" s="16">
        <f>IF(ISNUMBER('Raw Data'!A78),'Raw Data'!A78,DATEVALUE('Raw Data'!A78))</f>
        <v>45852</v>
      </c>
      <c r="B134" t="str">
        <f>'Raw Data'!B78</f>
        <v>PRIME VIDEO CHANNELSAMZN.COM/BILL       WA</v>
      </c>
      <c r="C134" t="str">
        <f>'Raw Data'!H78</f>
        <v>Personal - Amazon</v>
      </c>
      <c r="D134" s="17">
        <f>'Raw Data'!E78</f>
        <v>9.99</v>
      </c>
      <c r="E134" s="18" t="str">
        <f>IF(LEFT('Raw Data'!H78,8)="Personal","P","B")</f>
        <v>P</v>
      </c>
    </row>
    <row r="135" spans="1:5" x14ac:dyDescent="0.25">
      <c r="A135" s="16">
        <f>IF(ISNUMBER('Raw Data'!A79),'Raw Data'!A79,DATEVALUE('Raw Data'!A79))</f>
        <v>45852</v>
      </c>
      <c r="B135" t="str">
        <f>'Raw Data'!B79</f>
        <v>PRIME VIDEO CHANNELSAMZN.COM/BILL       WA</v>
      </c>
      <c r="C135" t="str">
        <f>'Raw Data'!H79</f>
        <v>Personal - Amazon</v>
      </c>
      <c r="D135" s="17">
        <f>'Raw Data'!E79</f>
        <v>10.99</v>
      </c>
      <c r="E135" s="18" t="str">
        <f>IF(LEFT('Raw Data'!H79,8)="Personal","P","B")</f>
        <v>P</v>
      </c>
    </row>
    <row r="136" spans="1:5" x14ac:dyDescent="0.25">
      <c r="A136" s="16">
        <f>IF(ISNUMBER('Raw Data'!A80),'Raw Data'!A80,DATEVALUE('Raw Data'!A80))</f>
        <v>45847</v>
      </c>
      <c r="B136" t="str">
        <f>'Raw Data'!B80</f>
        <v>PRIME VIDEO CHANNELSAMZN.COM/BILL       WA</v>
      </c>
      <c r="C136" t="str">
        <f>'Raw Data'!H80</f>
        <v>Personal - Amazon</v>
      </c>
      <c r="D136" s="17">
        <f>'Raw Data'!E80</f>
        <v>6.99</v>
      </c>
      <c r="E136" s="18" t="str">
        <f>IF(LEFT('Raw Data'!H80,8)="Personal","P","B")</f>
        <v>P</v>
      </c>
    </row>
    <row r="137" spans="1:5" x14ac:dyDescent="0.25">
      <c r="A137" s="16">
        <f>IF(ISNUMBER('Raw Data'!A81),'Raw Data'!A81,DATEVALUE('Raw Data'!A81))</f>
        <v>45841</v>
      </c>
      <c r="B137" t="str">
        <f>'Raw Data'!B81</f>
        <v>Interest Charge on Pay Over Time Purchases</v>
      </c>
      <c r="C137" t="str">
        <f>'Raw Data'!H81</f>
        <v>Interest Charge on Pay Over Time Purchases</v>
      </c>
      <c r="D137" s="17">
        <f>'Raw Data'!E81</f>
        <v>0.15</v>
      </c>
      <c r="E137" s="18" t="str">
        <f>IF(LEFT('Raw Data'!H81,8)="Personal","P","B")</f>
        <v>B</v>
      </c>
    </row>
    <row r="138" spans="1:5" x14ac:dyDescent="0.25">
      <c r="A138" s="16">
        <f>IF(ISNUMBER('Raw Data'!A82),'Raw Data'!A82,DATEVALUE('Raw Data'!A82))</f>
        <v>45840</v>
      </c>
      <c r="B138" t="str">
        <f>'Raw Data'!B82</f>
        <v>Amazon Prime        Amazon.com          WA</v>
      </c>
      <c r="C138" t="str">
        <f>'Raw Data'!H82</f>
        <v>Personal - Amazon</v>
      </c>
      <c r="D138" s="17">
        <f>'Raw Data'!E82</f>
        <v>16.45</v>
      </c>
      <c r="E138" s="18" t="str">
        <f>IF(LEFT('Raw Data'!H82,8)="Personal","P","B")</f>
        <v>P</v>
      </c>
    </row>
    <row r="139" spans="1:5" x14ac:dyDescent="0.25">
      <c r="A139" s="16">
        <f>IF(ISNUMBER('Raw Data'!A83),'Raw Data'!A83,DATEVALUE('Raw Data'!A83))</f>
        <v>45838</v>
      </c>
      <c r="B139" t="str">
        <f>'Raw Data'!B83</f>
        <v>PRIME VIDEO CHANNELSAMZN.COM/BILL       WA</v>
      </c>
      <c r="C139" t="str">
        <f>'Raw Data'!H83</f>
        <v>Personal - Amazon</v>
      </c>
      <c r="D139" s="17">
        <f>'Raw Data'!E83</f>
        <v>12.99</v>
      </c>
      <c r="E139" s="18" t="str">
        <f>IF(LEFT('Raw Data'!H83,8)="Personal","P","B")</f>
        <v>P</v>
      </c>
    </row>
    <row r="140" spans="1:5" x14ac:dyDescent="0.25">
      <c r="A140" s="16">
        <f>IF(ISNUMBER('Raw Data'!A84),'Raw Data'!A84,DATEVALUE('Raw Data'!A84))</f>
        <v>45837</v>
      </c>
      <c r="B140" t="str">
        <f>'Raw Data'!B84</f>
        <v>PRIME VIDEO CHANNELSAMZN.COM/BILL       WA</v>
      </c>
      <c r="C140" t="str">
        <f>'Raw Data'!H84</f>
        <v>Personal - Amazon</v>
      </c>
      <c r="D140" s="17">
        <f>'Raw Data'!E84</f>
        <v>6.99</v>
      </c>
      <c r="E140" s="18" t="str">
        <f>IF(LEFT('Raw Data'!H84,8)="Personal","P","B")</f>
        <v>P</v>
      </c>
    </row>
    <row r="141" spans="1:5" x14ac:dyDescent="0.25">
      <c r="A141" s="16">
        <f>IF(ISNUMBER('Raw Data'!A85),'Raw Data'!A85,DATEVALUE('Raw Data'!A85))</f>
        <v>45836</v>
      </c>
      <c r="B141" t="str">
        <f>'Raw Data'!B85</f>
        <v>PRIME VIDEO CHANNELSAMZN.COM/BILL       WA</v>
      </c>
      <c r="C141" t="str">
        <f>'Raw Data'!H85</f>
        <v>Personal - Amazon</v>
      </c>
      <c r="D141" s="17">
        <f>'Raw Data'!E85</f>
        <v>9.99</v>
      </c>
      <c r="E141" s="18" t="str">
        <f>IF(LEFT('Raw Data'!H85,8)="Personal","P","B")</f>
        <v>P</v>
      </c>
    </row>
    <row r="142" spans="1:5" x14ac:dyDescent="0.25">
      <c r="A142" s="16">
        <f>IF(ISNUMBER('Raw Data'!A86),'Raw Data'!A86,DATEVALUE('Raw Data'!A86))</f>
        <v>45835</v>
      </c>
      <c r="B142" t="str">
        <f>'Raw Data'!B86</f>
        <v>COSTAR* COSTAR      ARLINGTON           VA</v>
      </c>
      <c r="C142" t="str">
        <f>'Raw Data'!H86</f>
        <v>DWG - Costar Billing</v>
      </c>
      <c r="D142" s="17">
        <f>'Raw Data'!E86</f>
        <v>4623.59</v>
      </c>
      <c r="E142" s="18" t="str">
        <f>IF(LEFT('Raw Data'!H86,8)="Personal","P","B")</f>
        <v>B</v>
      </c>
    </row>
    <row r="143" spans="1:5" x14ac:dyDescent="0.25">
      <c r="A143" s="16">
        <f>IF(ISNUMBER('Raw Data'!A87),'Raw Data'!A87,DATEVALUE('Raw Data'!A87))</f>
        <v>45835</v>
      </c>
      <c r="B143" t="str">
        <f>'Raw Data'!B87</f>
        <v>CUSTOMER SERVICE PAYMENT - THANK YOU</v>
      </c>
      <c r="C143" t="str">
        <f>'Raw Data'!H87</f>
        <v>Online AMEX Payment</v>
      </c>
      <c r="D143" s="17">
        <f>'Raw Data'!E87</f>
        <v>-2829.37</v>
      </c>
      <c r="E143" s="18" t="str">
        <f>IF(LEFT('Raw Data'!H87,8)="Personal","P","B")</f>
        <v>B</v>
      </c>
    </row>
    <row r="144" spans="1:5" x14ac:dyDescent="0.25">
      <c r="A144" s="16">
        <f>IF(ISNUMBER('Raw Data'!A88),'Raw Data'!A88,DATEVALUE('Raw Data'!A88))</f>
        <v>45830</v>
      </c>
      <c r="B144" t="str">
        <f>'Raw Data'!B88</f>
        <v>PRIME VIDEO CHANNELSAMZN.COM/BILL       WA</v>
      </c>
      <c r="C144" t="str">
        <f>'Raw Data'!H88</f>
        <v>Personal - Amazon</v>
      </c>
      <c r="D144" s="17">
        <f>'Raw Data'!E88</f>
        <v>9.99</v>
      </c>
      <c r="E144" s="18" t="str">
        <f>IF(LEFT('Raw Data'!H88,8)="Personal","P","B")</f>
        <v>P</v>
      </c>
    </row>
    <row r="145" spans="1:5" x14ac:dyDescent="0.25">
      <c r="A145" s="16">
        <f>IF(ISNUMBER('Raw Data'!A89),'Raw Data'!A89,DATEVALUE('Raw Data'!A89))</f>
        <v>45826</v>
      </c>
      <c r="B145" t="str">
        <f>'Raw Data'!B89</f>
        <v>AMAZON PRIME*NO2CD3XAMZN.COM/BILL       WA</v>
      </c>
      <c r="C145" t="str">
        <f>'Raw Data'!H89</f>
        <v>Personal - Amazon</v>
      </c>
      <c r="D145" s="17">
        <f>'Raw Data'!E89</f>
        <v>2.99</v>
      </c>
      <c r="E145" s="18" t="str">
        <f>IF(LEFT('Raw Data'!H89,8)="Personal","P","B")</f>
        <v>P</v>
      </c>
    </row>
    <row r="146" spans="1:5" x14ac:dyDescent="0.25">
      <c r="A146" s="16">
        <f>IF(ISNUMBER('Raw Data'!A90),'Raw Data'!A90,DATEVALUE('Raw Data'!A90))</f>
        <v>45822</v>
      </c>
      <c r="B146" t="str">
        <f>'Raw Data'!B90</f>
        <v>PRIME VIDEO CHANNELSAMZN.COM/BILL       WA</v>
      </c>
      <c r="C146" t="str">
        <f>'Raw Data'!H90</f>
        <v>Personal - Amazon</v>
      </c>
      <c r="D146" s="17">
        <f>'Raw Data'!E90</f>
        <v>9.99</v>
      </c>
      <c r="E146" s="18" t="str">
        <f>IF(LEFT('Raw Data'!H90,8)="Personal","P","B")</f>
        <v>P</v>
      </c>
    </row>
    <row r="147" spans="1:5" x14ac:dyDescent="0.25">
      <c r="A147" s="16">
        <f>IF(ISNUMBER('Raw Data'!A91),'Raw Data'!A91,DATEVALUE('Raw Data'!A91))</f>
        <v>45822</v>
      </c>
      <c r="B147" t="str">
        <f>'Raw Data'!B91</f>
        <v>PRIME VIDEO CHANNELSAMZN.COM/BILL       WA</v>
      </c>
      <c r="C147" t="str">
        <f>'Raw Data'!H91</f>
        <v>Personal - Amazon</v>
      </c>
      <c r="D147" s="17">
        <f>'Raw Data'!E91</f>
        <v>10.99</v>
      </c>
      <c r="E147" s="18" t="str">
        <f>IF(LEFT('Raw Data'!H91,8)="Personal","P","B")</f>
        <v>P</v>
      </c>
    </row>
    <row r="148" spans="1:5" x14ac:dyDescent="0.25">
      <c r="A148" s="16">
        <f>IF(ISNUMBER('Raw Data'!A92),'Raw Data'!A92,DATEVALUE('Raw Data'!A92))</f>
        <v>45820</v>
      </c>
      <c r="B148" t="str">
        <f>'Raw Data'!B92</f>
        <v>Epay3*RealCare InsurSonoma              CA</v>
      </c>
      <c r="C148" t="str">
        <f>'Raw Data'!H92</f>
        <v>E&amp;O Insurance Payment</v>
      </c>
      <c r="D148" s="17">
        <f>'Raw Data'!E92</f>
        <v>2788.42</v>
      </c>
      <c r="E148" s="18" t="str">
        <f>IF(LEFT('Raw Data'!H92,8)="Personal","P","B")</f>
        <v>B</v>
      </c>
    </row>
    <row r="149" spans="1:5" x14ac:dyDescent="0.25">
      <c r="A149" s="16">
        <f>IF(ISNUMBER('Raw Data'!A93),'Raw Data'!A93,DATEVALUE('Raw Data'!A93))</f>
        <v>45817</v>
      </c>
      <c r="B149" t="str">
        <f>'Raw Data'!B93</f>
        <v>PRIME VIDEO CHANNELSAMZN.COM/BILL       WA</v>
      </c>
      <c r="C149" t="str">
        <f>'Raw Data'!H93</f>
        <v>Personal - Amazon</v>
      </c>
      <c r="D149" s="17">
        <f>'Raw Data'!E93</f>
        <v>6.99</v>
      </c>
      <c r="E149" s="18" t="str">
        <f>IF(LEFT('Raw Data'!H93,8)="Personal","P","B")</f>
        <v>P</v>
      </c>
    </row>
    <row r="150" spans="1:5" x14ac:dyDescent="0.25">
      <c r="A150" s="16">
        <f>IF(ISNUMBER('Raw Data'!A94),'Raw Data'!A94,DATEVALUE('Raw Data'!A94))</f>
        <v>45814</v>
      </c>
      <c r="B150" t="str">
        <f>'Raw Data'!B94</f>
        <v>CUSTOMER SERVICE PAYMENT - THANK YOU</v>
      </c>
      <c r="C150" t="str">
        <f>'Raw Data'!H94</f>
        <v>Online AMEX Payment</v>
      </c>
      <c r="D150" s="17">
        <f>'Raw Data'!E94</f>
        <v>-180.24</v>
      </c>
      <c r="E150" s="18" t="str">
        <f>IF(LEFT('Raw Data'!H94,8)="Personal","P","B")</f>
        <v>B</v>
      </c>
    </row>
    <row r="151" spans="1:5" x14ac:dyDescent="0.25">
      <c r="A151" s="16">
        <f>IF(ISNUMBER('Raw Data'!A95),'Raw Data'!A95,DATEVALUE('Raw Data'!A95))</f>
        <v>45811</v>
      </c>
      <c r="B151" t="str">
        <f>'Raw Data'!B95</f>
        <v>Interest Charge on Pay Over Time Purchases</v>
      </c>
      <c r="C151" t="str">
        <f>'Raw Data'!H95</f>
        <v>Interest Charge on Pay Over Time Purchases</v>
      </c>
      <c r="D151" s="17">
        <f>'Raw Data'!E95</f>
        <v>0.82</v>
      </c>
      <c r="E151" s="18" t="str">
        <f>IF(LEFT('Raw Data'!H95,8)="Personal","P","B")</f>
        <v>B</v>
      </c>
    </row>
    <row r="152" spans="1:5" x14ac:dyDescent="0.25">
      <c r="A152" s="16">
        <f>IF(ISNUMBER('Raw Data'!A96),'Raw Data'!A96,DATEVALUE('Raw Data'!A96))</f>
        <v>45810</v>
      </c>
      <c r="B152" t="str">
        <f>'Raw Data'!B96</f>
        <v>Amazon Prime        Amazon.com          WA</v>
      </c>
      <c r="C152" t="str">
        <f>'Raw Data'!H96</f>
        <v>Personal - Amazon</v>
      </c>
      <c r="D152" s="17">
        <f>'Raw Data'!E96</f>
        <v>16.45</v>
      </c>
      <c r="E152" s="18" t="str">
        <f>IF(LEFT('Raw Data'!H96,8)="Personal","P","B")</f>
        <v>P</v>
      </c>
    </row>
    <row r="153" spans="1:5" x14ac:dyDescent="0.25">
      <c r="A153" s="16">
        <f>IF(ISNUMBER('Raw Data'!A97),'Raw Data'!A97,DATEVALUE('Raw Data'!A97))</f>
        <v>45808</v>
      </c>
      <c r="B153" t="str">
        <f>'Raw Data'!B97</f>
        <v>PRIME VIDEO CHANNELSAMZN.COM/BILL       WA</v>
      </c>
      <c r="C153" t="str">
        <f>'Raw Data'!H97</f>
        <v>Personal - Amazon</v>
      </c>
      <c r="D153" s="17">
        <f>'Raw Data'!E97</f>
        <v>12.99</v>
      </c>
      <c r="E153" s="18" t="str">
        <f>IF(LEFT('Raw Data'!H97,8)="Personal","P","B")</f>
        <v>P</v>
      </c>
    </row>
    <row r="154" spans="1:5" x14ac:dyDescent="0.25">
      <c r="A154" s="16">
        <f>IF(ISNUMBER('Raw Data'!A98),'Raw Data'!A98,DATEVALUE('Raw Data'!A98))</f>
        <v>45807</v>
      </c>
      <c r="B154" t="str">
        <f>'Raw Data'!B98</f>
        <v>CITY OF SANTA MONICASANTA MONICA        CA</v>
      </c>
      <c r="C154" t="str">
        <f>'Raw Data'!H98</f>
        <v>Personal - Car</v>
      </c>
      <c r="D154" s="17">
        <f>'Raw Data'!E98</f>
        <v>2.5</v>
      </c>
      <c r="E154" s="18" t="str">
        <f>IF(LEFT('Raw Data'!H98,8)="Personal","P","B")</f>
        <v>P</v>
      </c>
    </row>
    <row r="155" spans="1:5" x14ac:dyDescent="0.25">
      <c r="A155" s="16">
        <f>IF(ISNUMBER('Raw Data'!A99),'Raw Data'!A99,DATEVALUE('Raw Data'!A99))</f>
        <v>45806</v>
      </c>
      <c r="B155" t="str">
        <f>'Raw Data'!B99</f>
        <v>PRIME VIDEO CHANNELSAMZN.COM/BILL       WA</v>
      </c>
      <c r="C155" t="str">
        <f>'Raw Data'!H99</f>
        <v>Personal - Amazon</v>
      </c>
      <c r="D155" s="17">
        <f>'Raw Data'!E99</f>
        <v>6.99</v>
      </c>
      <c r="E155" s="18" t="str">
        <f>IF(LEFT('Raw Data'!H99,8)="Personal","P","B")</f>
        <v>P</v>
      </c>
    </row>
    <row r="156" spans="1:5" x14ac:dyDescent="0.25">
      <c r="A156" s="16">
        <f>IF(ISNUMBER('Raw Data'!A100),'Raw Data'!A100,DATEVALUE('Raw Data'!A100))</f>
        <v>45805</v>
      </c>
      <c r="B156" t="str">
        <f>'Raw Data'!B100</f>
        <v>LATE FEE</v>
      </c>
      <c r="C156" t="str">
        <f>'Raw Data'!H100</f>
        <v>LATE FEE</v>
      </c>
      <c r="D156" s="17">
        <f>'Raw Data'!E100</f>
        <v>40</v>
      </c>
      <c r="E156" s="18" t="str">
        <f>IF(LEFT('Raw Data'!H100,8)="Personal","P","B")</f>
        <v>B</v>
      </c>
    </row>
    <row r="157" spans="1:5" x14ac:dyDescent="0.25">
      <c r="A157" s="16">
        <f>IF(ISNUMBER('Raw Data'!A101),'Raw Data'!A101,DATEVALUE('Raw Data'!A101))</f>
        <v>45805</v>
      </c>
      <c r="B157" t="str">
        <f>'Raw Data'!B101</f>
        <v>PRIME VIDEO CHANNELSAMZN.COM/BILL       WA</v>
      </c>
      <c r="C157" t="str">
        <f>'Raw Data'!H101</f>
        <v>Personal - Amazon</v>
      </c>
      <c r="D157" s="17">
        <f>'Raw Data'!E101</f>
        <v>9.99</v>
      </c>
      <c r="E157" s="18" t="str">
        <f>IF(LEFT('Raw Data'!H101,8)="Personal","P","B")</f>
        <v>P</v>
      </c>
    </row>
    <row r="158" spans="1:5" x14ac:dyDescent="0.25">
      <c r="A158" s="16">
        <f>IF(ISNUMBER('Raw Data'!A102),'Raw Data'!A102,DATEVALUE('Raw Data'!A102))</f>
        <v>45799</v>
      </c>
      <c r="B158" t="str">
        <f>'Raw Data'!B102</f>
        <v>PRIME VIDEO CHANNELSAMZN.COM/BILL       WA</v>
      </c>
      <c r="C158" t="str">
        <f>'Raw Data'!H102</f>
        <v>Personal - Amazon</v>
      </c>
      <c r="D158" s="17">
        <f>'Raw Data'!E102</f>
        <v>9.99</v>
      </c>
      <c r="E158" s="18" t="str">
        <f>IF(LEFT('Raw Data'!H102,8)="Personal","P","B")</f>
        <v>P</v>
      </c>
    </row>
    <row r="159" spans="1:5" x14ac:dyDescent="0.25">
      <c r="A159" s="16">
        <f>IF(ISNUMBER('Raw Data'!A103),'Raw Data'!A103,DATEVALUE('Raw Data'!A103))</f>
        <v>45795</v>
      </c>
      <c r="B159" t="str">
        <f>'Raw Data'!B103</f>
        <v>AMAZON PRIME*NZ6X585AMZN.COM/BILL       WA</v>
      </c>
      <c r="C159" t="str">
        <f>'Raw Data'!H103</f>
        <v>Personal - Amazon</v>
      </c>
      <c r="D159" s="17">
        <f>'Raw Data'!E103</f>
        <v>2.99</v>
      </c>
      <c r="E159" s="18" t="str">
        <f>IF(LEFT('Raw Data'!H103,8)="Personal","P","B")</f>
        <v>P</v>
      </c>
    </row>
    <row r="160" spans="1:5" x14ac:dyDescent="0.25">
      <c r="A160" s="16">
        <f>IF(ISNUMBER('Raw Data'!A104),'Raw Data'!A104,DATEVALUE('Raw Data'!A104))</f>
        <v>45791</v>
      </c>
      <c r="B160" t="str">
        <f>'Raw Data'!B104</f>
        <v>PRIME VIDEO CHANNELSAMZN.COM/BILL       WA</v>
      </c>
      <c r="C160" t="str">
        <f>'Raw Data'!H104</f>
        <v>Personal - Amazon</v>
      </c>
      <c r="D160" s="17">
        <f>'Raw Data'!E104</f>
        <v>9.99</v>
      </c>
      <c r="E160" s="18" t="str">
        <f>IF(LEFT('Raw Data'!H104,8)="Personal","P","B")</f>
        <v>P</v>
      </c>
    </row>
    <row r="161" spans="1:5" x14ac:dyDescent="0.25">
      <c r="A161" s="16">
        <f>IF(ISNUMBER('Raw Data'!A105),'Raw Data'!A105,DATEVALUE('Raw Data'!A105))</f>
        <v>45791</v>
      </c>
      <c r="B161" t="str">
        <f>'Raw Data'!B105</f>
        <v>PRIME VIDEO CHANNELSAMZN.COM/BILL       WA</v>
      </c>
      <c r="C161" t="str">
        <f>'Raw Data'!H105</f>
        <v>Personal - Amazon</v>
      </c>
      <c r="D161" s="17">
        <f>'Raw Data'!E105</f>
        <v>10.99</v>
      </c>
      <c r="E161" s="18" t="str">
        <f>IF(LEFT('Raw Data'!H105,8)="Personal","P","B")</f>
        <v>P</v>
      </c>
    </row>
    <row r="162" spans="1:5" x14ac:dyDescent="0.25">
      <c r="A162" s="16">
        <f>IF(ISNUMBER('Raw Data'!A106),'Raw Data'!A106,DATEVALUE('Raw Data'!A106))</f>
        <v>45786</v>
      </c>
      <c r="B162" t="str">
        <f>'Raw Data'!B106</f>
        <v>PRIME VIDEO CHANNELSAMZN.COM/BILL       WA</v>
      </c>
      <c r="C162" t="str">
        <f>'Raw Data'!H106</f>
        <v>Personal - Amazon</v>
      </c>
      <c r="D162" s="17">
        <f>'Raw Data'!E106</f>
        <v>6.99</v>
      </c>
      <c r="E162" s="18" t="str">
        <f>IF(LEFT('Raw Data'!H106,8)="Personal","P","B")</f>
        <v>P</v>
      </c>
    </row>
    <row r="163" spans="1:5" x14ac:dyDescent="0.25">
      <c r="A163" s="16">
        <f>IF(ISNUMBER('Raw Data'!A107),'Raw Data'!A107,DATEVALUE('Raw Data'!A107))</f>
        <v>45779</v>
      </c>
      <c r="B163" t="str">
        <f>'Raw Data'!B107</f>
        <v>Amazon Prime        Amazon.com          WA</v>
      </c>
      <c r="C163" t="str">
        <f>'Raw Data'!H107</f>
        <v>Personal - Amazon</v>
      </c>
      <c r="D163" s="17">
        <f>'Raw Data'!E107</f>
        <v>16.45</v>
      </c>
      <c r="E163" s="18" t="str">
        <f>IF(LEFT('Raw Data'!H107,8)="Personal","P","B")</f>
        <v>P</v>
      </c>
    </row>
    <row r="164" spans="1:5" x14ac:dyDescent="0.25">
      <c r="A164" s="16">
        <f>IF(ISNUMBER('Raw Data'!A108),'Raw Data'!A108,DATEVALUE('Raw Data'!A108))</f>
        <v>45779</v>
      </c>
      <c r="B164" t="str">
        <f>'Raw Data'!B108</f>
        <v>Interest Charge on Pay Over Time Purchases</v>
      </c>
      <c r="C164" t="str">
        <f>'Raw Data'!H108</f>
        <v>Interest Charge on Pay Over Time Purchases</v>
      </c>
      <c r="D164" s="17">
        <f>'Raw Data'!E108</f>
        <v>3.13</v>
      </c>
      <c r="E164" s="18" t="str">
        <f>IF(LEFT('Raw Data'!H108,8)="Personal","P","B")</f>
        <v>B</v>
      </c>
    </row>
    <row r="165" spans="1:5" x14ac:dyDescent="0.25">
      <c r="A165" s="16">
        <f>IF(ISNUMBER('Raw Data'!A109),'Raw Data'!A109,DATEVALUE('Raw Data'!A109))</f>
        <v>45777</v>
      </c>
      <c r="B165" t="str">
        <f>'Raw Data'!B109</f>
        <v>PRIME VIDEO CHANNELSAMZN.COM/BILL       WA</v>
      </c>
      <c r="C165" t="str">
        <f>'Raw Data'!H109</f>
        <v>Personal - Amazon</v>
      </c>
      <c r="D165" s="17">
        <f>'Raw Data'!E109</f>
        <v>12.99</v>
      </c>
      <c r="E165" s="18" t="str">
        <f>IF(LEFT('Raw Data'!H109,8)="Personal","P","B")</f>
        <v>P</v>
      </c>
    </row>
    <row r="166" spans="1:5" x14ac:dyDescent="0.25">
      <c r="A166" s="16">
        <f>IF(ISNUMBER('Raw Data'!A110),'Raw Data'!A110,DATEVALUE('Raw Data'!A110))</f>
        <v>45776</v>
      </c>
      <c r="B166" t="str">
        <f>'Raw Data'!B110</f>
        <v>PRIME VIDEO CHANNELSAMZN.COM/BILL       WA</v>
      </c>
      <c r="C166" t="str">
        <f>'Raw Data'!H110</f>
        <v>Personal - Amazon</v>
      </c>
      <c r="D166" s="17">
        <f>'Raw Data'!E110</f>
        <v>6.99</v>
      </c>
      <c r="E166" s="18" t="str">
        <f>IF(LEFT('Raw Data'!H110,8)="Personal","P","B")</f>
        <v>P</v>
      </c>
    </row>
    <row r="167" spans="1:5" x14ac:dyDescent="0.25">
      <c r="A167" s="16">
        <f>IF(ISNUMBER('Raw Data'!A111),'Raw Data'!A111,DATEVALUE('Raw Data'!A111))</f>
        <v>45775</v>
      </c>
      <c r="B167" t="str">
        <f>'Raw Data'!B111</f>
        <v>CUSTOMER SERVICE PAYMENT - THANK YOU</v>
      </c>
      <c r="C167" t="str">
        <f>'Raw Data'!H111</f>
        <v>Online AMEX Payment</v>
      </c>
      <c r="D167" s="17">
        <f>'Raw Data'!E111</f>
        <v>-33.96</v>
      </c>
      <c r="E167" s="18" t="str">
        <f>IF(LEFT('Raw Data'!H111,8)="Personal","P","B")</f>
        <v>B</v>
      </c>
    </row>
    <row r="168" spans="1:5" x14ac:dyDescent="0.25">
      <c r="A168" s="16">
        <f>IF(ISNUMBER('Raw Data'!A112),'Raw Data'!A112,DATEVALUE('Raw Data'!A112))</f>
        <v>45775</v>
      </c>
      <c r="B168" t="str">
        <f>'Raw Data'!B112</f>
        <v>PRIME VIDEO CHANNELSAMZN.COM/BILL       WA</v>
      </c>
      <c r="C168" t="str">
        <f>'Raw Data'!H112</f>
        <v>Personal - Amazon</v>
      </c>
      <c r="D168" s="17">
        <f>'Raw Data'!E112</f>
        <v>9.99</v>
      </c>
      <c r="E168" s="18" t="str">
        <f>IF(LEFT('Raw Data'!H112,8)="Personal","P","B")</f>
        <v>P</v>
      </c>
    </row>
    <row r="169" spans="1:5" x14ac:dyDescent="0.25">
      <c r="A169" s="16">
        <f>IF(ISNUMBER('Raw Data'!A113),'Raw Data'!A113,DATEVALUE('Raw Data'!A113))</f>
        <v>45769</v>
      </c>
      <c r="B169" t="str">
        <f>'Raw Data'!B113</f>
        <v>PRIME VIDEO CHANNELSAMZN.COM/BILL       WA</v>
      </c>
      <c r="C169" t="str">
        <f>'Raw Data'!H113</f>
        <v>Personal - Amazon</v>
      </c>
      <c r="D169" s="17">
        <f>'Raw Data'!E113</f>
        <v>9.99</v>
      </c>
      <c r="E169" s="18" t="str">
        <f>IF(LEFT('Raw Data'!H113,8)="Personal","P","B")</f>
        <v>P</v>
      </c>
    </row>
    <row r="170" spans="1:5" x14ac:dyDescent="0.25">
      <c r="A170" s="16">
        <f>IF(ISNUMBER('Raw Data'!A114),'Raw Data'!A114,DATEVALUE('Raw Data'!A114))</f>
        <v>45764</v>
      </c>
      <c r="B170" t="str">
        <f>'Raw Data'!B114</f>
        <v>AMAZON PRIME*IG2HX3TAMZN.COM/BILL       WA</v>
      </c>
      <c r="C170" t="str">
        <f>'Raw Data'!H114</f>
        <v>Personal - Amazon</v>
      </c>
      <c r="D170" s="17">
        <f>'Raw Data'!E114</f>
        <v>2.99</v>
      </c>
      <c r="E170" s="18" t="str">
        <f>IF(LEFT('Raw Data'!H114,8)="Personal","P","B")</f>
        <v>P</v>
      </c>
    </row>
    <row r="171" spans="1:5" x14ac:dyDescent="0.25">
      <c r="A171" s="16">
        <f>IF(ISNUMBER('Raw Data'!A115),'Raw Data'!A115,DATEVALUE('Raw Data'!A115))</f>
        <v>45761</v>
      </c>
      <c r="B171" t="str">
        <f>'Raw Data'!B115</f>
        <v>PRIME VIDEO CHANNELSAMZN.COM/BILL       WA</v>
      </c>
      <c r="C171" t="str">
        <f>'Raw Data'!H115</f>
        <v>Personal - Amazon</v>
      </c>
      <c r="D171" s="17">
        <f>'Raw Data'!E115</f>
        <v>9.99</v>
      </c>
      <c r="E171" s="18" t="str">
        <f>IF(LEFT('Raw Data'!H115,8)="Personal","P","B")</f>
        <v>P</v>
      </c>
    </row>
    <row r="172" spans="1:5" x14ac:dyDescent="0.25">
      <c r="A172" s="16">
        <f>IF(ISNUMBER('Raw Data'!A116),'Raw Data'!A116,DATEVALUE('Raw Data'!A116))</f>
        <v>45761</v>
      </c>
      <c r="B172" t="str">
        <f>'Raw Data'!B116</f>
        <v>PRIME VIDEO CHANNELSAMZN.COM/BILL       WA</v>
      </c>
      <c r="C172" t="str">
        <f>'Raw Data'!H116</f>
        <v>Personal - Amazon</v>
      </c>
      <c r="D172" s="17">
        <f>'Raw Data'!E116</f>
        <v>10.99</v>
      </c>
      <c r="E172" s="18" t="str">
        <f>IF(LEFT('Raw Data'!H116,8)="Personal","P","B")</f>
        <v>P</v>
      </c>
    </row>
    <row r="173" spans="1:5" x14ac:dyDescent="0.25">
      <c r="A173" s="16">
        <f>IF(ISNUMBER('Raw Data'!A117),'Raw Data'!A117,DATEVALUE('Raw Data'!A117))</f>
        <v>45757</v>
      </c>
      <c r="B173" t="str">
        <f>'Raw Data'!B117</f>
        <v>CUSTOMER SERVICE PAYMENT - THANK YOU</v>
      </c>
      <c r="C173" t="str">
        <f>'Raw Data'!H117</f>
        <v>Online AMEX Payment</v>
      </c>
      <c r="D173" s="17">
        <f>'Raw Data'!E117</f>
        <v>-884.7</v>
      </c>
      <c r="E173" s="18" t="str">
        <f>IF(LEFT('Raw Data'!H117,8)="Personal","P","B")</f>
        <v>B</v>
      </c>
    </row>
    <row r="174" spans="1:5" x14ac:dyDescent="0.25">
      <c r="A174" s="16">
        <f>IF(ISNUMBER('Raw Data'!A118),'Raw Data'!A118,DATEVALUE('Raw Data'!A118))</f>
        <v>45750</v>
      </c>
      <c r="B174" t="str">
        <f>'Raw Data'!B118</f>
        <v>Interest Charge on Pay Over Time Purchases</v>
      </c>
      <c r="C174" t="str">
        <f>'Raw Data'!H118</f>
        <v>Interest Charge on Pay Over Time Purchases</v>
      </c>
      <c r="D174" s="17">
        <f>'Raw Data'!E118</f>
        <v>15.95</v>
      </c>
      <c r="E174" s="18" t="str">
        <f>IF(LEFT('Raw Data'!H118,8)="Personal","P","B")</f>
        <v>B</v>
      </c>
    </row>
    <row r="175" spans="1:5" x14ac:dyDescent="0.25">
      <c r="A175" s="16">
        <f>IF(ISNUMBER('Raw Data'!A119),'Raw Data'!A119,DATEVALUE('Raw Data'!A119))</f>
        <v>45749</v>
      </c>
      <c r="B175" t="str">
        <f>'Raw Data'!B119</f>
        <v>Amazon Prime        Amazon.com          WA</v>
      </c>
      <c r="C175" t="str">
        <f>'Raw Data'!H119</f>
        <v>Personal - Amazon</v>
      </c>
      <c r="D175" s="17">
        <f>'Raw Data'!E119</f>
        <v>16.45</v>
      </c>
      <c r="E175" s="18" t="str">
        <f>IF(LEFT('Raw Data'!H119,8)="Personal","P","B")</f>
        <v>P</v>
      </c>
    </row>
    <row r="176" spans="1:5" x14ac:dyDescent="0.25">
      <c r="A176" s="16">
        <f>IF(ISNUMBER('Raw Data'!A120),'Raw Data'!A120,DATEVALUE('Raw Data'!A120))</f>
        <v>45747</v>
      </c>
      <c r="B176" t="str">
        <f>'Raw Data'!B120</f>
        <v>PRIME VIDEO CHANNELSAMZN.COM/BILL       WA</v>
      </c>
      <c r="C176" t="str">
        <f>'Raw Data'!H120</f>
        <v>Personal - Amazon</v>
      </c>
      <c r="D176" s="17">
        <f>'Raw Data'!E120</f>
        <v>12.99</v>
      </c>
      <c r="E176" s="18" t="str">
        <f>IF(LEFT('Raw Data'!H120,8)="Personal","P","B")</f>
        <v>P</v>
      </c>
    </row>
    <row r="177" spans="1:5" x14ac:dyDescent="0.25">
      <c r="A177" s="16">
        <f>IF(ISNUMBER('Raw Data'!A121),'Raw Data'!A121,DATEVALUE('Raw Data'!A121))</f>
        <v>45745</v>
      </c>
      <c r="B177" t="str">
        <f>'Raw Data'!B121</f>
        <v>PRIME VIDEO CHANNELSAMZN.COM/BILL       WA</v>
      </c>
      <c r="C177" t="str">
        <f>'Raw Data'!H121</f>
        <v>Personal - Amazon</v>
      </c>
      <c r="D177" s="17">
        <f>'Raw Data'!E121</f>
        <v>6.99</v>
      </c>
      <c r="E177" s="18" t="str">
        <f>IF(LEFT('Raw Data'!H121,8)="Personal","P","B")</f>
        <v>P</v>
      </c>
    </row>
    <row r="178" spans="1:5" x14ac:dyDescent="0.25">
      <c r="A178" s="16">
        <f>IF(ISNUMBER('Raw Data'!A122),'Raw Data'!A122,DATEVALUE('Raw Data'!A122))</f>
        <v>45744</v>
      </c>
      <c r="B178" t="str">
        <f>'Raw Data'!B122</f>
        <v>LATE FEE</v>
      </c>
      <c r="C178" t="str">
        <f>'Raw Data'!H122</f>
        <v>LATE FEE</v>
      </c>
      <c r="D178" s="17">
        <f>'Raw Data'!E122</f>
        <v>40</v>
      </c>
      <c r="E178" s="18" t="str">
        <f>IF(LEFT('Raw Data'!H122,8)="Personal","P","B")</f>
        <v>B</v>
      </c>
    </row>
    <row r="179" spans="1:5" x14ac:dyDescent="0.25">
      <c r="A179" s="16">
        <f>IF(ISNUMBER('Raw Data'!A123),'Raw Data'!A123,DATEVALUE('Raw Data'!A123))</f>
        <v>45744</v>
      </c>
      <c r="B179" t="str">
        <f>'Raw Data'!B123</f>
        <v>PRIME VIDEO CHANNELSAMZN.COM/BILL       WA</v>
      </c>
      <c r="C179" t="str">
        <f>'Raw Data'!H123</f>
        <v>Personal - Amazon</v>
      </c>
      <c r="D179" s="17">
        <f>'Raw Data'!E123</f>
        <v>9.99</v>
      </c>
      <c r="E179" s="18" t="str">
        <f>IF(LEFT('Raw Data'!H123,8)="Personal","P","B")</f>
        <v>P</v>
      </c>
    </row>
    <row r="180" spans="1:5" x14ac:dyDescent="0.25">
      <c r="A180" s="16">
        <f>IF(ISNUMBER('Raw Data'!A124),'Raw Data'!A124,DATEVALUE('Raw Data'!A124))</f>
        <v>45738</v>
      </c>
      <c r="B180" t="str">
        <f>'Raw Data'!B124</f>
        <v>PRIME VIDEO CHANNELSAMZN.COM/BILL       WA</v>
      </c>
      <c r="C180" t="str">
        <f>'Raw Data'!H124</f>
        <v>Personal - Amazon</v>
      </c>
      <c r="D180" s="17">
        <f>'Raw Data'!E124</f>
        <v>9.99</v>
      </c>
      <c r="E180" s="18" t="str">
        <f>IF(LEFT('Raw Data'!H124,8)="Personal","P","B")</f>
        <v>P</v>
      </c>
    </row>
    <row r="181" spans="1:5" x14ac:dyDescent="0.25">
      <c r="A181" s="16">
        <f>IF(ISNUMBER('Raw Data'!A125),'Raw Data'!A125,DATEVALUE('Raw Data'!A125))</f>
        <v>45733</v>
      </c>
      <c r="B181" t="str">
        <f>'Raw Data'!B125</f>
        <v>AMAZON PRIME*Y38W26XAMZN.COM/BILL       WA</v>
      </c>
      <c r="C181" t="str">
        <f>'Raw Data'!H125</f>
        <v>Personal - Amazon</v>
      </c>
      <c r="D181" s="17">
        <f>'Raw Data'!E125</f>
        <v>2.99</v>
      </c>
      <c r="E181" s="18" t="str">
        <f>IF(LEFT('Raw Data'!H125,8)="Personal","P","B")</f>
        <v>P</v>
      </c>
    </row>
    <row r="182" spans="1:5" x14ac:dyDescent="0.25">
      <c r="A182" s="16">
        <f>IF(ISNUMBER('Raw Data'!A126),'Raw Data'!A126,DATEVALUE('Raw Data'!A126))</f>
        <v>45730</v>
      </c>
      <c r="B182" t="str">
        <f>'Raw Data'!B126</f>
        <v>PRIME VIDEO CHANNELSAMZN.COM/BILL       WA</v>
      </c>
      <c r="C182" t="str">
        <f>'Raw Data'!H126</f>
        <v>Personal - Amazon</v>
      </c>
      <c r="D182" s="17">
        <f>'Raw Data'!E126</f>
        <v>9.99</v>
      </c>
      <c r="E182" s="18" t="str">
        <f>IF(LEFT('Raw Data'!H126,8)="Personal","P","B")</f>
        <v>P</v>
      </c>
    </row>
    <row r="183" spans="1:5" x14ac:dyDescent="0.25">
      <c r="A183" s="16">
        <f>IF(ISNUMBER('Raw Data'!A127),'Raw Data'!A127,DATEVALUE('Raw Data'!A127))</f>
        <v>45730</v>
      </c>
      <c r="B183" t="str">
        <f>'Raw Data'!B127</f>
        <v>PRIME VIDEO CHANNELSAMZN.COM/BILL       WA</v>
      </c>
      <c r="C183" t="str">
        <f>'Raw Data'!H127</f>
        <v>Personal - Amazon</v>
      </c>
      <c r="D183" s="17">
        <f>'Raw Data'!E127</f>
        <v>10.99</v>
      </c>
      <c r="E183" s="18" t="str">
        <f>IF(LEFT('Raw Data'!H127,8)="Personal","P","B")</f>
        <v>P</v>
      </c>
    </row>
    <row r="184" spans="1:5" x14ac:dyDescent="0.25">
      <c r="A184" s="16">
        <f>IF(ISNUMBER('Raw Data'!A128),'Raw Data'!A128,DATEVALUE('Raw Data'!A128))</f>
        <v>45725</v>
      </c>
      <c r="B184" t="str">
        <f>'Raw Data'!B128</f>
        <v>PRIME VIDEO CHANNELSAMZN.COM/BILL       WA</v>
      </c>
      <c r="C184" t="str">
        <f>'Raw Data'!H128</f>
        <v>Personal - Amazon</v>
      </c>
      <c r="D184" s="17">
        <f>'Raw Data'!E128</f>
        <v>6.99</v>
      </c>
      <c r="E184" s="18" t="str">
        <f>IF(LEFT('Raw Data'!H128,8)="Personal","P","B")</f>
        <v>P</v>
      </c>
    </row>
    <row r="185" spans="1:5" x14ac:dyDescent="0.25">
      <c r="A185" s="16">
        <f>IF(ISNUMBER('Raw Data'!A129),'Raw Data'!A129,DATEVALUE('Raw Data'!A129))</f>
        <v>45719</v>
      </c>
      <c r="B185" t="str">
        <f>'Raw Data'!B129</f>
        <v>RENEWAL MEMBERSHIP FEE</v>
      </c>
      <c r="C185" t="str">
        <f>'Raw Data'!H129</f>
        <v>RENEWAL MEMBERSHIP FEE</v>
      </c>
      <c r="D185" s="17">
        <f>'Raw Data'!E129</f>
        <v>695</v>
      </c>
      <c r="E185" s="18" t="str">
        <f>IF(LEFT('Raw Data'!H129,8)="Personal","P","B")</f>
        <v>B</v>
      </c>
    </row>
    <row r="186" spans="1:5" x14ac:dyDescent="0.25">
      <c r="A186" s="16">
        <f>IF(ISNUMBER('Raw Data'!A130),'Raw Data'!A130,DATEVALUE('Raw Data'!A130))</f>
        <v>45718</v>
      </c>
      <c r="B186" t="str">
        <f>'Raw Data'!B130</f>
        <v>Amazon Prime        Amazon.com          WA</v>
      </c>
      <c r="C186" t="str">
        <f>'Raw Data'!H130</f>
        <v>Personal - Amazon</v>
      </c>
      <c r="D186" s="17">
        <f>'Raw Data'!E130</f>
        <v>16.41</v>
      </c>
      <c r="E186" s="18" t="str">
        <f>IF(LEFT('Raw Data'!H130,8)="Personal","P","B")</f>
        <v>P</v>
      </c>
    </row>
    <row r="187" spans="1:5" x14ac:dyDescent="0.25">
      <c r="A187" s="16">
        <f>IF(ISNUMBER('Raw Data'!A131),'Raw Data'!A131,DATEVALUE('Raw Data'!A131))</f>
        <v>45716</v>
      </c>
      <c r="B187" t="str">
        <f>'Raw Data'!B131</f>
        <v>PRIME VIDEO CHANNELSAMZN.COM/BILL       WA</v>
      </c>
      <c r="C187" t="str">
        <f>'Raw Data'!H131</f>
        <v>Personal - Amazon</v>
      </c>
      <c r="D187" s="17">
        <f>'Raw Data'!E131</f>
        <v>6.99</v>
      </c>
      <c r="E187" s="18" t="str">
        <f>IF(LEFT('Raw Data'!H131,8)="Personal","P","B")</f>
        <v>P</v>
      </c>
    </row>
    <row r="188" spans="1:5" x14ac:dyDescent="0.25">
      <c r="A188" s="16">
        <f>IF(ISNUMBER('Raw Data'!A132),'Raw Data'!A132,DATEVALUE('Raw Data'!A132))</f>
        <v>45716</v>
      </c>
      <c r="B188" t="str">
        <f>'Raw Data'!B132</f>
        <v>PRIME VIDEO CHANNELSAMZN.COM/BILL       WA</v>
      </c>
      <c r="C188" t="str">
        <f>'Raw Data'!H132</f>
        <v>Personal - Amazon</v>
      </c>
      <c r="D188" s="17">
        <f>'Raw Data'!E132</f>
        <v>9.99</v>
      </c>
      <c r="E188" s="18" t="str">
        <f>IF(LEFT('Raw Data'!H132,8)="Personal","P","B")</f>
        <v>P</v>
      </c>
    </row>
    <row r="189" spans="1:5" x14ac:dyDescent="0.25">
      <c r="A189" s="16">
        <f>IF(ISNUMBER('Raw Data'!A133),'Raw Data'!A133,DATEVALUE('Raw Data'!A133))</f>
        <v>45716</v>
      </c>
      <c r="B189" t="str">
        <f>'Raw Data'!B133</f>
        <v>PRIME VIDEO CHANNELSAMZN.COM/BILL       WA</v>
      </c>
      <c r="C189" t="str">
        <f>'Raw Data'!H133</f>
        <v>Personal - Amazon</v>
      </c>
      <c r="D189" s="17">
        <f>'Raw Data'!E133</f>
        <v>12.99</v>
      </c>
      <c r="E189" s="18" t="str">
        <f>IF(LEFT('Raw Data'!H133,8)="Personal","P","B")</f>
        <v>P</v>
      </c>
    </row>
    <row r="190" spans="1:5" x14ac:dyDescent="0.25">
      <c r="A190" s="16">
        <f>IF(ISNUMBER('Raw Data'!A134),'Raw Data'!A134,DATEVALUE('Raw Data'!A134))</f>
        <v>45712</v>
      </c>
      <c r="B190" t="str">
        <f>'Raw Data'!B134</f>
        <v>ONLINE PAYMENT - THANK YOU</v>
      </c>
      <c r="C190" t="str">
        <f>'Raw Data'!H134</f>
        <v>Online AMEX Payment</v>
      </c>
      <c r="D190" s="17">
        <f>'Raw Data'!E134</f>
        <v>-74.349999999999994</v>
      </c>
      <c r="E190" s="18" t="str">
        <f>IF(LEFT('Raw Data'!H134,8)="Personal","P","B")</f>
        <v>B</v>
      </c>
    </row>
    <row r="191" spans="1:5" x14ac:dyDescent="0.25">
      <c r="A191" s="16">
        <f>IF(ISNUMBER('Raw Data'!A135),'Raw Data'!A135,DATEVALUE('Raw Data'!A135))</f>
        <v>45710</v>
      </c>
      <c r="B191" t="str">
        <f>'Raw Data'!B135</f>
        <v>PRIME VIDEO CHANNELSAMZN.COM/BILL       WA</v>
      </c>
      <c r="C191" t="str">
        <f>'Raw Data'!H135</f>
        <v>Personal - Amazon</v>
      </c>
      <c r="D191" s="17">
        <f>'Raw Data'!E135</f>
        <v>9.99</v>
      </c>
      <c r="E191" s="18" t="str">
        <f>IF(LEFT('Raw Data'!H135,8)="Personal","P","B")</f>
        <v>P</v>
      </c>
    </row>
    <row r="192" spans="1:5" x14ac:dyDescent="0.25">
      <c r="A192" s="16">
        <f>IF(ISNUMBER('Raw Data'!A136),'Raw Data'!A136,DATEVALUE('Raw Data'!A136))</f>
        <v>45702</v>
      </c>
      <c r="B192" t="str">
        <f>'Raw Data'!B136</f>
        <v>PRIME VIDEO CHANNELSAMZN.COM/BILL       WA</v>
      </c>
      <c r="C192" t="str">
        <f>'Raw Data'!H136</f>
        <v>Personal - Amazon</v>
      </c>
      <c r="D192" s="17">
        <f>'Raw Data'!E136</f>
        <v>9.99</v>
      </c>
      <c r="E192" s="18" t="str">
        <f>IF(LEFT('Raw Data'!H136,8)="Personal","P","B")</f>
        <v>P</v>
      </c>
    </row>
    <row r="193" spans="1:5" x14ac:dyDescent="0.25">
      <c r="A193" s="16">
        <f>IF(ISNUMBER('Raw Data'!A137),'Raw Data'!A137,DATEVALUE('Raw Data'!A137))</f>
        <v>45702</v>
      </c>
      <c r="B193" t="str">
        <f>'Raw Data'!B137</f>
        <v>PRIME VIDEO CHANNELSAMZN.COM/BILL       WA</v>
      </c>
      <c r="C193" t="str">
        <f>'Raw Data'!H137</f>
        <v>Personal - Amazon</v>
      </c>
      <c r="D193" s="17">
        <f>'Raw Data'!E137</f>
        <v>10.99</v>
      </c>
      <c r="E193" s="18" t="str">
        <f>IF(LEFT('Raw Data'!H137,8)="Personal","P","B")</f>
        <v>P</v>
      </c>
    </row>
    <row r="194" spans="1:5" x14ac:dyDescent="0.25">
      <c r="A194" s="16">
        <f>IF(ISNUMBER('Raw Data'!A138),'Raw Data'!A138,DATEVALUE('Raw Data'!A138))</f>
        <v>45697</v>
      </c>
      <c r="B194" t="str">
        <f>'Raw Data'!B138</f>
        <v>PRIME VIDEO CHANNELSAMZN.COM/BILL       WA</v>
      </c>
      <c r="C194" t="str">
        <f>'Raw Data'!H138</f>
        <v>Personal - Amazon</v>
      </c>
      <c r="D194" s="17">
        <f>'Raw Data'!E138</f>
        <v>6.99</v>
      </c>
      <c r="E194" s="18" t="str">
        <f>IF(LEFT('Raw Data'!H138,8)="Personal","P","B")</f>
        <v>P</v>
      </c>
    </row>
    <row r="195" spans="1:5" x14ac:dyDescent="0.25">
      <c r="A195" s="16">
        <f>IF(ISNUMBER('Raw Data'!A139),'Raw Data'!A139,DATEVALUE('Raw Data'!A139))</f>
        <v>45690</v>
      </c>
      <c r="B195" t="str">
        <f>'Raw Data'!B139</f>
        <v>Amazon Prime        Amazon.com          WA</v>
      </c>
      <c r="C195" t="str">
        <f>'Raw Data'!H139</f>
        <v>Personal - Amazon</v>
      </c>
      <c r="D195" s="17">
        <f>'Raw Data'!E139</f>
        <v>16.41</v>
      </c>
      <c r="E195" s="18" t="str">
        <f>IF(LEFT('Raw Data'!H139,8)="Personal","P","B")</f>
        <v>P</v>
      </c>
    </row>
    <row r="196" spans="1:5" x14ac:dyDescent="0.25">
      <c r="A196" s="16">
        <f>IF(ISNUMBER('Raw Data'!A140),'Raw Data'!A140,DATEVALUE('Raw Data'!A140))</f>
        <v>45688</v>
      </c>
      <c r="B196" t="str">
        <f>'Raw Data'!B140</f>
        <v>PRIME VIDEO CHANNELSAMZN.COM/BILL       WA</v>
      </c>
      <c r="C196" t="str">
        <f>'Raw Data'!H140</f>
        <v>Personal - Amazon</v>
      </c>
      <c r="D196" s="17">
        <f>'Raw Data'!E140</f>
        <v>12.99</v>
      </c>
      <c r="E196" s="18" t="str">
        <f>IF(LEFT('Raw Data'!H140,8)="Personal","P","B")</f>
        <v>P</v>
      </c>
    </row>
    <row r="197" spans="1:5" x14ac:dyDescent="0.25">
      <c r="A197" s="16">
        <f>IF(ISNUMBER('Raw Data'!A141),'Raw Data'!A141,DATEVALUE('Raw Data'!A141))</f>
        <v>45686</v>
      </c>
      <c r="B197" t="str">
        <f>'Raw Data'!B141</f>
        <v>ONLINE PAYMENT - THANK YOU</v>
      </c>
      <c r="C197" t="str">
        <f>'Raw Data'!H141</f>
        <v>Online AMEX Payment</v>
      </c>
      <c r="D197" s="17">
        <f>'Raw Data'!E141</f>
        <v>-142.32</v>
      </c>
      <c r="E197" s="18" t="str">
        <f>IF(LEFT('Raw Data'!H141,8)="Personal","P","B")</f>
        <v>B</v>
      </c>
    </row>
    <row r="198" spans="1:5" x14ac:dyDescent="0.25">
      <c r="A198" s="16">
        <f>IF(ISNUMBER('Raw Data'!A142),'Raw Data'!A142,DATEVALUE('Raw Data'!A142))</f>
        <v>45686</v>
      </c>
      <c r="B198" t="str">
        <f>'Raw Data'!B142</f>
        <v>PRIME VIDEO CHANNELSAMZN.COM/BILL       WA</v>
      </c>
      <c r="C198" t="str">
        <f>'Raw Data'!H142</f>
        <v>Personal - Amazon</v>
      </c>
      <c r="D198" s="17">
        <f>'Raw Data'!E142</f>
        <v>6.99</v>
      </c>
      <c r="E198" s="18" t="str">
        <f>IF(LEFT('Raw Data'!H142,8)="Personal","P","B")</f>
        <v>P</v>
      </c>
    </row>
    <row r="199" spans="1:5" x14ac:dyDescent="0.25">
      <c r="A199" s="16">
        <f>IF(ISNUMBER('Raw Data'!A143),'Raw Data'!A143,DATEVALUE('Raw Data'!A143))</f>
        <v>45685</v>
      </c>
      <c r="B199" t="str">
        <f>'Raw Data'!B143</f>
        <v>LATE FEE</v>
      </c>
      <c r="C199" t="str">
        <f>'Raw Data'!H143</f>
        <v>LATE FEE</v>
      </c>
      <c r="D199" s="17">
        <f>'Raw Data'!E143</f>
        <v>40</v>
      </c>
      <c r="E199" s="18" t="str">
        <f>IF(LEFT('Raw Data'!H143,8)="Personal","P","B")</f>
        <v>B</v>
      </c>
    </row>
    <row r="200" spans="1:5" x14ac:dyDescent="0.25">
      <c r="A200" s="16">
        <f>IF(ISNUMBER('Raw Data'!A144),'Raw Data'!A144,DATEVALUE('Raw Data'!A144))</f>
        <v>45685</v>
      </c>
      <c r="B200" t="str">
        <f>'Raw Data'!B144</f>
        <v>PRIME VIDEO CHANNELSAMZN.COM/BILL       WA</v>
      </c>
      <c r="C200" t="str">
        <f>'Raw Data'!H144</f>
        <v>Personal - Amazon</v>
      </c>
      <c r="D200" s="17">
        <f>'Raw Data'!E144</f>
        <v>8.99</v>
      </c>
      <c r="E200" s="18" t="str">
        <f>IF(LEFT('Raw Data'!H144,8)="Personal","P","B")</f>
        <v>P</v>
      </c>
    </row>
    <row r="201" spans="1:5" x14ac:dyDescent="0.25">
      <c r="A201" s="16">
        <f>IF(ISNUMBER('Raw Data'!A145),'Raw Data'!A145,DATEVALUE('Raw Data'!A145))</f>
        <v>45679</v>
      </c>
      <c r="B201" t="str">
        <f>'Raw Data'!B145</f>
        <v>PRIME VIDEO CHANNELSAMZN.COM/BILL       WA</v>
      </c>
      <c r="C201" t="str">
        <f>'Raw Data'!H145</f>
        <v>Personal - Amazon</v>
      </c>
      <c r="D201" s="17">
        <f>'Raw Data'!E145</f>
        <v>9.99</v>
      </c>
      <c r="E201" s="18" t="str">
        <f>IF(LEFT('Raw Data'!H145,8)="Personal","P","B")</f>
        <v>P</v>
      </c>
    </row>
    <row r="202" spans="1:5" x14ac:dyDescent="0.25">
      <c r="A202" s="16">
        <f>IF(ISNUMBER('Raw Data'!A146),'Raw Data'!A146,DATEVALUE('Raw Data'!A146))</f>
        <v>45671</v>
      </c>
      <c r="B202" t="str">
        <f>'Raw Data'!B146</f>
        <v>PRIME VIDEO CHANNELSAMZN.COM/BILL       WA</v>
      </c>
      <c r="C202" t="str">
        <f>'Raw Data'!H146</f>
        <v>Personal - Amazon</v>
      </c>
      <c r="D202" s="17">
        <f>'Raw Data'!E146</f>
        <v>9.99</v>
      </c>
      <c r="E202" s="18" t="str">
        <f>IF(LEFT('Raw Data'!H146,8)="Personal","P","B")</f>
        <v>P</v>
      </c>
    </row>
    <row r="203" spans="1:5" x14ac:dyDescent="0.25">
      <c r="A203" s="16">
        <f>IF(ISNUMBER('Raw Data'!A147),'Raw Data'!A147,DATEVALUE('Raw Data'!A147))</f>
        <v>45671</v>
      </c>
      <c r="B203" t="str">
        <f>'Raw Data'!B147</f>
        <v>PRIME VIDEO CHANNELSAMZN.COM/BILL       WA</v>
      </c>
      <c r="C203" t="str">
        <f>'Raw Data'!H147</f>
        <v>Personal - Amazon</v>
      </c>
      <c r="D203" s="17">
        <f>'Raw Data'!E147</f>
        <v>10.99</v>
      </c>
      <c r="E203" s="18" t="str">
        <f>IF(LEFT('Raw Data'!H147,8)="Personal","P","B")</f>
        <v>P</v>
      </c>
    </row>
    <row r="204" spans="1:5" x14ac:dyDescent="0.25">
      <c r="A204" s="16">
        <f>IF(ISNUMBER('Raw Data'!A148),'Raw Data'!A148,DATEVALUE('Raw Data'!A148))</f>
        <v>45666</v>
      </c>
      <c r="B204" t="str">
        <f>'Raw Data'!B148</f>
        <v>PRIME VIDEO CHANNELSAMZN.COM/BILL       WA</v>
      </c>
      <c r="C204" t="str">
        <f>'Raw Data'!H148</f>
        <v>Personal - Amazon</v>
      </c>
      <c r="D204" s="17">
        <f>'Raw Data'!E148</f>
        <v>6.99</v>
      </c>
      <c r="E204" s="18" t="str">
        <f>IF(LEFT('Raw Data'!H148,8)="Personal","P","B")</f>
        <v>P</v>
      </c>
    </row>
    <row r="205" spans="1:5" x14ac:dyDescent="0.25">
      <c r="A205" s="16">
        <f>IF(ISNUMBER('Raw Data'!A149),'Raw Data'!A149,DATEVALUE('Raw Data'!A149))</f>
        <v>45659</v>
      </c>
      <c r="B205" t="str">
        <f>'Raw Data'!B149</f>
        <v>Amazon Prime        Amazon.com          WA</v>
      </c>
      <c r="C205" t="str">
        <f>'Raw Data'!H149</f>
        <v>Personal - Amazon</v>
      </c>
      <c r="D205" s="17">
        <f>'Raw Data'!E149</f>
        <v>16.41</v>
      </c>
      <c r="E205" s="18" t="str">
        <f>IF(LEFT('Raw Data'!H149,8)="Personal","P","B")</f>
        <v>P</v>
      </c>
    </row>
    <row r="207" spans="1:5" x14ac:dyDescent="0.25">
      <c r="A207" s="13" t="s">
        <v>303</v>
      </c>
      <c r="C207" s="20" t="s">
        <v>281</v>
      </c>
      <c r="D207" s="21">
        <f>SUMIF(D10:D205,"&gt;0")</f>
        <v>18556.540000000052</v>
      </c>
    </row>
    <row r="208" spans="1:5" x14ac:dyDescent="0.25">
      <c r="C208" s="13" t="s">
        <v>304</v>
      </c>
      <c r="D208" s="19">
        <f>SUMIF(D10:D205,"&lt;0")</f>
        <v>-18560.46</v>
      </c>
    </row>
    <row r="209" spans="3:4" x14ac:dyDescent="0.25">
      <c r="C209" s="20" t="s">
        <v>305</v>
      </c>
      <c r="D209" s="21">
        <f>D207+D208</f>
        <v>-3.9199999999473221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opLeftCell="A145" workbookViewId="0">
      <selection activeCell="I149" sqref="I149"/>
    </sheetView>
  </sheetViews>
  <sheetFormatPr defaultColWidth="26.28515625" defaultRowHeight="15" x14ac:dyDescent="0.25"/>
  <cols>
    <col min="3" max="6" width="9" customWidth="1"/>
  </cols>
  <sheetData>
    <row r="1" spans="1:8" ht="30" x14ac:dyDescent="0.25">
      <c r="A1" s="1" t="s">
        <v>1</v>
      </c>
      <c r="B1" s="1" t="s">
        <v>2</v>
      </c>
    </row>
    <row r="2" spans="1:8" x14ac:dyDescent="0.25">
      <c r="A2" s="2" t="s">
        <v>3</v>
      </c>
      <c r="B2" s="2" t="s">
        <v>0</v>
      </c>
    </row>
    <row r="3" spans="1:8" x14ac:dyDescent="0.25">
      <c r="A3" s="3" t="s">
        <v>4</v>
      </c>
      <c r="B3" s="3" t="s">
        <v>0</v>
      </c>
    </row>
    <row r="4" spans="1:8" x14ac:dyDescent="0.25">
      <c r="A4" s="2" t="s">
        <v>5</v>
      </c>
      <c r="B4" s="2" t="s">
        <v>0</v>
      </c>
    </row>
    <row r="5" spans="1:8" x14ac:dyDescent="0.25">
      <c r="A5" s="3" t="s">
        <v>6</v>
      </c>
      <c r="B5" s="3" t="s">
        <v>0</v>
      </c>
    </row>
    <row r="6" spans="1:8" x14ac:dyDescent="0.25">
      <c r="A6" s="2" t="s">
        <v>0</v>
      </c>
      <c r="B6" s="2" t="s">
        <v>0</v>
      </c>
    </row>
    <row r="7" spans="1:8" ht="30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</row>
    <row r="8" spans="1:8" ht="60" customHeight="1" x14ac:dyDescent="0.25">
      <c r="A8" s="8" t="s">
        <v>15</v>
      </c>
      <c r="B8" s="8" t="s">
        <v>16</v>
      </c>
      <c r="C8" s="8" t="s">
        <v>4</v>
      </c>
      <c r="D8" s="8" t="s">
        <v>17</v>
      </c>
      <c r="E8" s="6">
        <v>12.99</v>
      </c>
      <c r="F8" s="8" t="s">
        <v>18</v>
      </c>
      <c r="G8" s="8" t="s">
        <v>16</v>
      </c>
      <c r="H8" s="8" t="s">
        <v>284</v>
      </c>
    </row>
    <row r="9" spans="1:8" ht="60" customHeight="1" x14ac:dyDescent="0.25">
      <c r="A9" s="7" t="s">
        <v>19</v>
      </c>
      <c r="B9" s="7" t="s">
        <v>16</v>
      </c>
      <c r="C9" s="7" t="s">
        <v>4</v>
      </c>
      <c r="D9" s="7" t="s">
        <v>17</v>
      </c>
      <c r="E9" s="5">
        <v>7.99</v>
      </c>
      <c r="F9" s="7" t="s">
        <v>20</v>
      </c>
      <c r="G9" s="7" t="s">
        <v>16</v>
      </c>
      <c r="H9" s="8" t="s">
        <v>284</v>
      </c>
    </row>
    <row r="10" spans="1:8" ht="60" customHeight="1" x14ac:dyDescent="0.25">
      <c r="A10" s="8" t="s">
        <v>21</v>
      </c>
      <c r="B10" s="8" t="s">
        <v>22</v>
      </c>
      <c r="C10" s="8" t="s">
        <v>4</v>
      </c>
      <c r="D10" s="8" t="s">
        <v>17</v>
      </c>
      <c r="E10" s="6">
        <v>-1581.75</v>
      </c>
      <c r="F10" s="8" t="s">
        <v>23</v>
      </c>
      <c r="G10" s="8" t="s">
        <v>22</v>
      </c>
      <c r="H10" s="8" t="s">
        <v>283</v>
      </c>
    </row>
    <row r="11" spans="1:8" ht="60" customHeight="1" x14ac:dyDescent="0.25">
      <c r="A11" s="7" t="s">
        <v>21</v>
      </c>
      <c r="B11" s="7" t="s">
        <v>16</v>
      </c>
      <c r="C11" s="7" t="s">
        <v>4</v>
      </c>
      <c r="D11" s="7" t="s">
        <v>17</v>
      </c>
      <c r="E11" s="5">
        <v>9.99</v>
      </c>
      <c r="F11" s="7" t="s">
        <v>24</v>
      </c>
      <c r="G11" s="7" t="s">
        <v>16</v>
      </c>
      <c r="H11" s="8" t="s">
        <v>284</v>
      </c>
    </row>
    <row r="12" spans="1:8" ht="60" customHeight="1" x14ac:dyDescent="0.25">
      <c r="A12" s="8" t="s">
        <v>25</v>
      </c>
      <c r="B12" s="8" t="s">
        <v>16</v>
      </c>
      <c r="C12" s="8" t="s">
        <v>4</v>
      </c>
      <c r="D12" s="8" t="s">
        <v>17</v>
      </c>
      <c r="E12" s="6">
        <v>12.99</v>
      </c>
      <c r="F12" s="8" t="s">
        <v>26</v>
      </c>
      <c r="G12" s="8" t="s">
        <v>16</v>
      </c>
      <c r="H12" s="8" t="s">
        <v>284</v>
      </c>
    </row>
    <row r="13" spans="1:8" ht="60" customHeight="1" x14ac:dyDescent="0.25">
      <c r="A13" s="7" t="s">
        <v>27</v>
      </c>
      <c r="B13" s="7" t="s">
        <v>28</v>
      </c>
      <c r="C13" s="7" t="s">
        <v>4</v>
      </c>
      <c r="D13" s="7" t="s">
        <v>17</v>
      </c>
      <c r="E13" s="5">
        <v>2.99</v>
      </c>
      <c r="F13" s="7" t="s">
        <v>29</v>
      </c>
      <c r="G13" s="7" t="s">
        <v>28</v>
      </c>
      <c r="H13" s="8" t="s">
        <v>284</v>
      </c>
    </row>
    <row r="14" spans="1:8" ht="60" customHeight="1" x14ac:dyDescent="0.25">
      <c r="A14" s="8" t="s">
        <v>30</v>
      </c>
      <c r="B14" s="8" t="s">
        <v>16</v>
      </c>
      <c r="C14" s="8" t="s">
        <v>4</v>
      </c>
      <c r="D14" s="8" t="s">
        <v>17</v>
      </c>
      <c r="E14" s="6">
        <v>10.99</v>
      </c>
      <c r="F14" s="8" t="s">
        <v>31</v>
      </c>
      <c r="G14" s="8" t="s">
        <v>16</v>
      </c>
      <c r="H14" s="8" t="s">
        <v>284</v>
      </c>
    </row>
    <row r="15" spans="1:8" ht="60" customHeight="1" x14ac:dyDescent="0.25">
      <c r="A15" s="7" t="s">
        <v>32</v>
      </c>
      <c r="B15" s="7" t="s">
        <v>16</v>
      </c>
      <c r="C15" s="7" t="s">
        <v>4</v>
      </c>
      <c r="D15" s="7" t="s">
        <v>17</v>
      </c>
      <c r="E15" s="5">
        <v>10.99</v>
      </c>
      <c r="F15" s="7" t="s">
        <v>33</v>
      </c>
      <c r="G15" s="7" t="s">
        <v>16</v>
      </c>
      <c r="H15" s="8" t="s">
        <v>284</v>
      </c>
    </row>
    <row r="16" spans="1:8" ht="60" customHeight="1" x14ac:dyDescent="0.25">
      <c r="A16" s="8" t="s">
        <v>34</v>
      </c>
      <c r="B16" s="8" t="s">
        <v>16</v>
      </c>
      <c r="C16" s="8" t="s">
        <v>4</v>
      </c>
      <c r="D16" s="8" t="s">
        <v>17</v>
      </c>
      <c r="E16" s="6">
        <v>6.99</v>
      </c>
      <c r="F16" s="8" t="s">
        <v>35</v>
      </c>
      <c r="G16" s="8" t="s">
        <v>16</v>
      </c>
      <c r="H16" s="8" t="s">
        <v>284</v>
      </c>
    </row>
    <row r="17" spans="1:8" ht="60" customHeight="1" x14ac:dyDescent="0.25">
      <c r="A17" s="7" t="s">
        <v>36</v>
      </c>
      <c r="B17" s="7" t="s">
        <v>37</v>
      </c>
      <c r="C17" s="7" t="s">
        <v>4</v>
      </c>
      <c r="D17" s="7" t="s">
        <v>17</v>
      </c>
      <c r="E17" s="5">
        <v>16.45</v>
      </c>
      <c r="F17" s="7" t="s">
        <v>38</v>
      </c>
      <c r="G17" s="7" t="s">
        <v>37</v>
      </c>
      <c r="H17" s="8" t="s">
        <v>284</v>
      </c>
    </row>
    <row r="18" spans="1:8" ht="60" customHeight="1" x14ac:dyDescent="0.25">
      <c r="A18" s="8" t="s">
        <v>36</v>
      </c>
      <c r="B18" s="8" t="s">
        <v>39</v>
      </c>
      <c r="C18" s="8" t="s">
        <v>4</v>
      </c>
      <c r="D18" s="8" t="s">
        <v>17</v>
      </c>
      <c r="E18" s="6">
        <v>161.43</v>
      </c>
      <c r="F18" s="8" t="s">
        <v>40</v>
      </c>
      <c r="G18" s="8" t="s">
        <v>39</v>
      </c>
      <c r="H18" s="8" t="s">
        <v>285</v>
      </c>
    </row>
    <row r="19" spans="1:8" ht="60" customHeight="1" x14ac:dyDescent="0.25">
      <c r="A19" s="7" t="s">
        <v>36</v>
      </c>
      <c r="B19" s="7" t="s">
        <v>41</v>
      </c>
      <c r="C19" s="7" t="s">
        <v>4</v>
      </c>
      <c r="D19" s="7" t="s">
        <v>17</v>
      </c>
      <c r="E19" s="5">
        <v>289.02</v>
      </c>
      <c r="F19" s="7" t="s">
        <v>42</v>
      </c>
      <c r="G19" s="7" t="s">
        <v>41</v>
      </c>
      <c r="H19" s="7" t="s">
        <v>286</v>
      </c>
    </row>
    <row r="20" spans="1:8" ht="60" customHeight="1" x14ac:dyDescent="0.25">
      <c r="A20" s="8" t="s">
        <v>43</v>
      </c>
      <c r="B20" s="8" t="s">
        <v>16</v>
      </c>
      <c r="C20" s="8" t="s">
        <v>4</v>
      </c>
      <c r="D20" s="8" t="s">
        <v>17</v>
      </c>
      <c r="E20" s="6">
        <v>12.99</v>
      </c>
      <c r="F20" s="8" t="s">
        <v>44</v>
      </c>
      <c r="G20" s="8" t="s">
        <v>16</v>
      </c>
      <c r="H20" s="8" t="s">
        <v>284</v>
      </c>
    </row>
    <row r="21" spans="1:8" ht="60" customHeight="1" x14ac:dyDescent="0.25">
      <c r="A21" s="7" t="s">
        <v>45</v>
      </c>
      <c r="B21" s="7" t="s">
        <v>16</v>
      </c>
      <c r="C21" s="7" t="s">
        <v>4</v>
      </c>
      <c r="D21" s="7" t="s">
        <v>17</v>
      </c>
      <c r="E21" s="5">
        <v>7.99</v>
      </c>
      <c r="F21" s="7" t="s">
        <v>46</v>
      </c>
      <c r="G21" s="7" t="s">
        <v>16</v>
      </c>
      <c r="H21" s="8" t="s">
        <v>284</v>
      </c>
    </row>
    <row r="22" spans="1:8" ht="60" customHeight="1" x14ac:dyDescent="0.25">
      <c r="A22" s="8" t="s">
        <v>47</v>
      </c>
      <c r="B22" s="8" t="s">
        <v>16</v>
      </c>
      <c r="C22" s="8" t="s">
        <v>4</v>
      </c>
      <c r="D22" s="8" t="s">
        <v>17</v>
      </c>
      <c r="E22" s="6">
        <v>9.99</v>
      </c>
      <c r="F22" s="8" t="s">
        <v>48</v>
      </c>
      <c r="G22" s="8" t="s">
        <v>16</v>
      </c>
      <c r="H22" s="8" t="s">
        <v>284</v>
      </c>
    </row>
    <row r="23" spans="1:8" ht="60" customHeight="1" x14ac:dyDescent="0.25">
      <c r="A23" s="7" t="s">
        <v>49</v>
      </c>
      <c r="B23" s="7" t="s">
        <v>50</v>
      </c>
      <c r="C23" s="7" t="s">
        <v>4</v>
      </c>
      <c r="D23" s="7" t="s">
        <v>17</v>
      </c>
      <c r="E23" s="5">
        <v>7.38</v>
      </c>
      <c r="F23" s="7" t="s">
        <v>51</v>
      </c>
      <c r="G23" s="7" t="s">
        <v>50</v>
      </c>
      <c r="H23" s="7" t="s">
        <v>287</v>
      </c>
    </row>
    <row r="24" spans="1:8" ht="60" customHeight="1" x14ac:dyDescent="0.25">
      <c r="A24" s="8" t="s">
        <v>49</v>
      </c>
      <c r="B24" s="8" t="s">
        <v>52</v>
      </c>
      <c r="C24" s="8" t="s">
        <v>4</v>
      </c>
      <c r="D24" s="8" t="s">
        <v>17</v>
      </c>
      <c r="E24" s="6">
        <v>991.56</v>
      </c>
      <c r="F24" s="8" t="s">
        <v>53</v>
      </c>
      <c r="G24" s="8" t="s">
        <v>52</v>
      </c>
      <c r="H24" s="8" t="s">
        <v>284</v>
      </c>
    </row>
    <row r="25" spans="1:8" ht="60" customHeight="1" x14ac:dyDescent="0.25">
      <c r="A25" s="7" t="s">
        <v>49</v>
      </c>
      <c r="B25" s="7" t="s">
        <v>54</v>
      </c>
      <c r="C25" s="7" t="s">
        <v>4</v>
      </c>
      <c r="D25" s="7" t="s">
        <v>17</v>
      </c>
      <c r="E25" s="5">
        <v>39.99</v>
      </c>
      <c r="F25" s="7" t="s">
        <v>55</v>
      </c>
      <c r="G25" s="7" t="s">
        <v>54</v>
      </c>
      <c r="H25" s="8" t="s">
        <v>284</v>
      </c>
    </row>
    <row r="26" spans="1:8" ht="60" customHeight="1" x14ac:dyDescent="0.25">
      <c r="A26" s="8" t="s">
        <v>56</v>
      </c>
      <c r="B26" s="8" t="s">
        <v>57</v>
      </c>
      <c r="C26" s="8" t="s">
        <v>4</v>
      </c>
      <c r="D26" s="8" t="s">
        <v>17</v>
      </c>
      <c r="E26" s="6">
        <v>-2815.05</v>
      </c>
      <c r="F26" s="8" t="s">
        <v>58</v>
      </c>
      <c r="G26" s="8" t="s">
        <v>57</v>
      </c>
      <c r="H26" s="8" t="s">
        <v>283</v>
      </c>
    </row>
    <row r="27" spans="1:8" ht="60" customHeight="1" x14ac:dyDescent="0.25">
      <c r="A27" s="7" t="s">
        <v>59</v>
      </c>
      <c r="B27" s="7" t="s">
        <v>60</v>
      </c>
      <c r="C27" s="7" t="s">
        <v>4</v>
      </c>
      <c r="D27" s="7" t="s">
        <v>17</v>
      </c>
      <c r="E27" s="5">
        <v>23.62</v>
      </c>
      <c r="F27" s="7" t="s">
        <v>61</v>
      </c>
      <c r="G27" s="7" t="s">
        <v>60</v>
      </c>
      <c r="H27" s="7" t="s">
        <v>286</v>
      </c>
    </row>
    <row r="28" spans="1:8" ht="60" customHeight="1" x14ac:dyDescent="0.25">
      <c r="A28" s="8" t="s">
        <v>59</v>
      </c>
      <c r="B28" s="8" t="s">
        <v>62</v>
      </c>
      <c r="C28" s="8" t="s">
        <v>4</v>
      </c>
      <c r="D28" s="8" t="s">
        <v>17</v>
      </c>
      <c r="E28" s="6">
        <v>113.94</v>
      </c>
      <c r="F28" s="8" t="s">
        <v>63</v>
      </c>
      <c r="G28" s="8" t="s">
        <v>62</v>
      </c>
      <c r="H28" s="8" t="s">
        <v>285</v>
      </c>
    </row>
    <row r="29" spans="1:8" ht="60" customHeight="1" x14ac:dyDescent="0.25">
      <c r="A29" s="7" t="s">
        <v>64</v>
      </c>
      <c r="B29" s="7" t="s">
        <v>65</v>
      </c>
      <c r="C29" s="7" t="s">
        <v>4</v>
      </c>
      <c r="D29" s="7" t="s">
        <v>17</v>
      </c>
      <c r="E29" s="5">
        <v>221.5</v>
      </c>
      <c r="F29" s="7" t="s">
        <v>66</v>
      </c>
      <c r="G29" s="7" t="s">
        <v>65</v>
      </c>
      <c r="H29" s="7" t="s">
        <v>288</v>
      </c>
    </row>
    <row r="30" spans="1:8" ht="60" customHeight="1" x14ac:dyDescent="0.25">
      <c r="A30" s="8" t="s">
        <v>64</v>
      </c>
      <c r="B30" s="8" t="s">
        <v>65</v>
      </c>
      <c r="C30" s="8" t="s">
        <v>4</v>
      </c>
      <c r="D30" s="8" t="s">
        <v>17</v>
      </c>
      <c r="E30" s="6">
        <v>2365.62</v>
      </c>
      <c r="F30" s="8" t="s">
        <v>67</v>
      </c>
      <c r="G30" s="8" t="s">
        <v>65</v>
      </c>
      <c r="H30" s="8" t="s">
        <v>288</v>
      </c>
    </row>
    <row r="31" spans="1:8" ht="60" customHeight="1" x14ac:dyDescent="0.25">
      <c r="A31" s="7" t="s">
        <v>68</v>
      </c>
      <c r="B31" s="7" t="s">
        <v>16</v>
      </c>
      <c r="C31" s="7" t="s">
        <v>4</v>
      </c>
      <c r="D31" s="7" t="s">
        <v>17</v>
      </c>
      <c r="E31" s="5">
        <v>12.99</v>
      </c>
      <c r="F31" s="7" t="s">
        <v>69</v>
      </c>
      <c r="G31" s="7" t="s">
        <v>16</v>
      </c>
      <c r="H31" s="7" t="s">
        <v>284</v>
      </c>
    </row>
    <row r="32" spans="1:8" ht="60" customHeight="1" x14ac:dyDescent="0.25">
      <c r="A32" s="8" t="s">
        <v>70</v>
      </c>
      <c r="B32" s="8" t="s">
        <v>71</v>
      </c>
      <c r="C32" s="8" t="s">
        <v>4</v>
      </c>
      <c r="D32" s="8" t="s">
        <v>17</v>
      </c>
      <c r="E32" s="6">
        <v>2.99</v>
      </c>
      <c r="F32" s="8" t="s">
        <v>72</v>
      </c>
      <c r="G32" s="8" t="s">
        <v>71</v>
      </c>
      <c r="H32" s="8" t="s">
        <v>284</v>
      </c>
    </row>
    <row r="33" spans="1:8" ht="60" customHeight="1" x14ac:dyDescent="0.25">
      <c r="A33" s="7" t="s">
        <v>73</v>
      </c>
      <c r="B33" s="7" t="s">
        <v>16</v>
      </c>
      <c r="C33" s="7" t="s">
        <v>4</v>
      </c>
      <c r="D33" s="7" t="s">
        <v>17</v>
      </c>
      <c r="E33" s="5">
        <v>9.99</v>
      </c>
      <c r="F33" s="7" t="s">
        <v>74</v>
      </c>
      <c r="G33" s="7" t="s">
        <v>16</v>
      </c>
      <c r="H33" s="7" t="s">
        <v>284</v>
      </c>
    </row>
    <row r="34" spans="1:8" ht="60" customHeight="1" x14ac:dyDescent="0.25">
      <c r="A34" s="8" t="s">
        <v>75</v>
      </c>
      <c r="B34" s="8" t="s">
        <v>16</v>
      </c>
      <c r="C34" s="8" t="s">
        <v>4</v>
      </c>
      <c r="D34" s="8" t="s">
        <v>17</v>
      </c>
      <c r="E34" s="6">
        <v>10.99</v>
      </c>
      <c r="F34" s="8" t="s">
        <v>76</v>
      </c>
      <c r="G34" s="8" t="s">
        <v>16</v>
      </c>
      <c r="H34" s="8" t="s">
        <v>284</v>
      </c>
    </row>
    <row r="35" spans="1:8" ht="60" customHeight="1" x14ac:dyDescent="0.25">
      <c r="A35" s="7" t="s">
        <v>77</v>
      </c>
      <c r="B35" s="7" t="s">
        <v>16</v>
      </c>
      <c r="C35" s="7" t="s">
        <v>4</v>
      </c>
      <c r="D35" s="7" t="s">
        <v>17</v>
      </c>
      <c r="E35" s="5">
        <v>6.99</v>
      </c>
      <c r="F35" s="7" t="s">
        <v>78</v>
      </c>
      <c r="G35" s="7" t="s">
        <v>16</v>
      </c>
      <c r="H35" s="7" t="s">
        <v>284</v>
      </c>
    </row>
    <row r="36" spans="1:8" ht="60" customHeight="1" x14ac:dyDescent="0.25">
      <c r="A36" s="8" t="s">
        <v>79</v>
      </c>
      <c r="B36" s="8" t="s">
        <v>37</v>
      </c>
      <c r="C36" s="8" t="s">
        <v>4</v>
      </c>
      <c r="D36" s="8" t="s">
        <v>17</v>
      </c>
      <c r="E36" s="6">
        <v>16.45</v>
      </c>
      <c r="F36" s="8" t="s">
        <v>80</v>
      </c>
      <c r="G36" s="8" t="s">
        <v>37</v>
      </c>
      <c r="H36" s="7" t="s">
        <v>284</v>
      </c>
    </row>
    <row r="37" spans="1:8" ht="60" customHeight="1" x14ac:dyDescent="0.25">
      <c r="A37" s="7" t="s">
        <v>81</v>
      </c>
      <c r="B37" s="7" t="s">
        <v>16</v>
      </c>
      <c r="C37" s="7" t="s">
        <v>4</v>
      </c>
      <c r="D37" s="7" t="s">
        <v>17</v>
      </c>
      <c r="E37" s="5">
        <v>12.99</v>
      </c>
      <c r="F37" s="7" t="s">
        <v>82</v>
      </c>
      <c r="G37" s="7" t="s">
        <v>16</v>
      </c>
      <c r="H37" s="7" t="s">
        <v>284</v>
      </c>
    </row>
    <row r="38" spans="1:8" ht="60" customHeight="1" x14ac:dyDescent="0.25">
      <c r="A38" s="8" t="s">
        <v>83</v>
      </c>
      <c r="B38" s="8" t="s">
        <v>16</v>
      </c>
      <c r="C38" s="8" t="s">
        <v>4</v>
      </c>
      <c r="D38" s="8" t="s">
        <v>17</v>
      </c>
      <c r="E38" s="6">
        <v>6.99</v>
      </c>
      <c r="F38" s="8" t="s">
        <v>84</v>
      </c>
      <c r="G38" s="8" t="s">
        <v>16</v>
      </c>
      <c r="H38" s="7" t="s">
        <v>284</v>
      </c>
    </row>
    <row r="39" spans="1:8" ht="60" customHeight="1" x14ac:dyDescent="0.25">
      <c r="A39" s="7" t="s">
        <v>85</v>
      </c>
      <c r="B39" s="7" t="s">
        <v>16</v>
      </c>
      <c r="C39" s="7" t="s">
        <v>4</v>
      </c>
      <c r="D39" s="7" t="s">
        <v>17</v>
      </c>
      <c r="E39" s="5">
        <v>9.99</v>
      </c>
      <c r="F39" s="7" t="s">
        <v>86</v>
      </c>
      <c r="G39" s="7" t="s">
        <v>16</v>
      </c>
      <c r="H39" s="7" t="s">
        <v>284</v>
      </c>
    </row>
    <row r="40" spans="1:8" ht="60" customHeight="1" x14ac:dyDescent="0.25">
      <c r="A40" s="8" t="s">
        <v>87</v>
      </c>
      <c r="B40" s="8" t="s">
        <v>22</v>
      </c>
      <c r="C40" s="8" t="s">
        <v>4</v>
      </c>
      <c r="D40" s="8" t="s">
        <v>17</v>
      </c>
      <c r="E40" s="6">
        <v>-177.41</v>
      </c>
      <c r="F40" s="8" t="s">
        <v>23</v>
      </c>
      <c r="G40" s="8" t="s">
        <v>22</v>
      </c>
      <c r="H40" s="8" t="s">
        <v>283</v>
      </c>
    </row>
    <row r="41" spans="1:8" ht="60" customHeight="1" x14ac:dyDescent="0.25">
      <c r="A41" s="7" t="s">
        <v>88</v>
      </c>
      <c r="B41" s="7" t="s">
        <v>16</v>
      </c>
      <c r="C41" s="7" t="s">
        <v>4</v>
      </c>
      <c r="D41" s="7" t="s">
        <v>17</v>
      </c>
      <c r="E41" s="5">
        <v>12.99</v>
      </c>
      <c r="F41" s="7" t="s">
        <v>89</v>
      </c>
      <c r="G41" s="7" t="s">
        <v>16</v>
      </c>
      <c r="H41" s="7" t="s">
        <v>284</v>
      </c>
    </row>
    <row r="42" spans="1:8" ht="60" customHeight="1" x14ac:dyDescent="0.25">
      <c r="A42" s="8" t="s">
        <v>90</v>
      </c>
      <c r="B42" s="8" t="s">
        <v>91</v>
      </c>
      <c r="C42" s="8" t="s">
        <v>4</v>
      </c>
      <c r="D42" s="8" t="s">
        <v>17</v>
      </c>
      <c r="E42" s="6">
        <v>2.99</v>
      </c>
      <c r="F42" s="8" t="s">
        <v>92</v>
      </c>
      <c r="G42" s="8" t="s">
        <v>91</v>
      </c>
      <c r="H42" s="7" t="s">
        <v>284</v>
      </c>
    </row>
    <row r="43" spans="1:8" ht="60" customHeight="1" x14ac:dyDescent="0.25">
      <c r="A43" s="7" t="s">
        <v>90</v>
      </c>
      <c r="B43" s="7" t="s">
        <v>93</v>
      </c>
      <c r="C43" s="7" t="s">
        <v>4</v>
      </c>
      <c r="D43" s="7" t="s">
        <v>17</v>
      </c>
      <c r="E43" s="5">
        <v>20.350000000000001</v>
      </c>
      <c r="F43" s="7" t="s">
        <v>94</v>
      </c>
      <c r="G43" s="7" t="s">
        <v>93</v>
      </c>
      <c r="H43" s="7" t="s">
        <v>285</v>
      </c>
    </row>
    <row r="44" spans="1:8" ht="60" customHeight="1" x14ac:dyDescent="0.25">
      <c r="A44" s="8" t="s">
        <v>95</v>
      </c>
      <c r="B44" s="8" t="s">
        <v>16</v>
      </c>
      <c r="C44" s="8" t="s">
        <v>4</v>
      </c>
      <c r="D44" s="8" t="s">
        <v>17</v>
      </c>
      <c r="E44" s="6">
        <v>9.99</v>
      </c>
      <c r="F44" s="8" t="s">
        <v>96</v>
      </c>
      <c r="G44" s="8" t="s">
        <v>16</v>
      </c>
      <c r="H44" s="8" t="s">
        <v>284</v>
      </c>
    </row>
    <row r="45" spans="1:8" ht="60" customHeight="1" x14ac:dyDescent="0.25">
      <c r="A45" s="7" t="s">
        <v>95</v>
      </c>
      <c r="B45" s="7" t="s">
        <v>16</v>
      </c>
      <c r="C45" s="7" t="s">
        <v>4</v>
      </c>
      <c r="D45" s="7" t="s">
        <v>17</v>
      </c>
      <c r="E45" s="5">
        <v>10.99</v>
      </c>
      <c r="F45" s="7" t="s">
        <v>97</v>
      </c>
      <c r="G45" s="7" t="s">
        <v>16</v>
      </c>
      <c r="H45" s="8" t="s">
        <v>284</v>
      </c>
    </row>
    <row r="46" spans="1:8" ht="60" customHeight="1" x14ac:dyDescent="0.25">
      <c r="A46" s="8" t="s">
        <v>98</v>
      </c>
      <c r="B46" s="8" t="s">
        <v>16</v>
      </c>
      <c r="C46" s="8" t="s">
        <v>4</v>
      </c>
      <c r="D46" s="8" t="s">
        <v>17</v>
      </c>
      <c r="E46" s="6">
        <v>6.99</v>
      </c>
      <c r="F46" s="8" t="s">
        <v>99</v>
      </c>
      <c r="G46" s="8" t="s">
        <v>16</v>
      </c>
      <c r="H46" s="8" t="s">
        <v>284</v>
      </c>
    </row>
    <row r="47" spans="1:8" ht="60" customHeight="1" x14ac:dyDescent="0.25">
      <c r="A47" s="7" t="s">
        <v>100</v>
      </c>
      <c r="B47" s="7" t="s">
        <v>60</v>
      </c>
      <c r="C47" s="7" t="s">
        <v>4</v>
      </c>
      <c r="D47" s="7" t="s">
        <v>17</v>
      </c>
      <c r="E47" s="5">
        <v>21.94</v>
      </c>
      <c r="F47" s="7" t="s">
        <v>101</v>
      </c>
      <c r="G47" s="7" t="s">
        <v>60</v>
      </c>
      <c r="H47" s="7" t="s">
        <v>286</v>
      </c>
    </row>
    <row r="48" spans="1:8" ht="60" customHeight="1" x14ac:dyDescent="0.25">
      <c r="A48" s="8" t="s">
        <v>102</v>
      </c>
      <c r="B48" s="8" t="s">
        <v>103</v>
      </c>
      <c r="C48" s="8" t="s">
        <v>4</v>
      </c>
      <c r="D48" s="8" t="s">
        <v>17</v>
      </c>
      <c r="E48" s="6">
        <v>3.8</v>
      </c>
      <c r="F48" s="8" t="s">
        <v>104</v>
      </c>
      <c r="G48" s="8" t="s">
        <v>103</v>
      </c>
      <c r="H48" s="8" t="s">
        <v>103</v>
      </c>
    </row>
    <row r="49" spans="1:8" ht="60" customHeight="1" x14ac:dyDescent="0.25">
      <c r="A49" s="7" t="s">
        <v>105</v>
      </c>
      <c r="B49" s="7" t="s">
        <v>37</v>
      </c>
      <c r="C49" s="7" t="s">
        <v>4</v>
      </c>
      <c r="D49" s="7" t="s">
        <v>17</v>
      </c>
      <c r="E49" s="5">
        <v>16.45</v>
      </c>
      <c r="F49" s="7" t="s">
        <v>106</v>
      </c>
      <c r="G49" s="7" t="s">
        <v>37</v>
      </c>
      <c r="H49" s="8" t="s">
        <v>284</v>
      </c>
    </row>
    <row r="50" spans="1:8" ht="60" customHeight="1" x14ac:dyDescent="0.25">
      <c r="A50" s="8" t="s">
        <v>107</v>
      </c>
      <c r="B50" s="8" t="s">
        <v>16</v>
      </c>
      <c r="C50" s="8" t="s">
        <v>4</v>
      </c>
      <c r="D50" s="8" t="s">
        <v>17</v>
      </c>
      <c r="E50" s="6">
        <v>12.99</v>
      </c>
      <c r="F50" s="8" t="s">
        <v>108</v>
      </c>
      <c r="G50" s="8" t="s">
        <v>16</v>
      </c>
      <c r="H50" s="8" t="s">
        <v>284</v>
      </c>
    </row>
    <row r="51" spans="1:8" ht="60" customHeight="1" x14ac:dyDescent="0.25">
      <c r="A51" s="7" t="s">
        <v>109</v>
      </c>
      <c r="B51" s="7" t="s">
        <v>16</v>
      </c>
      <c r="C51" s="7" t="s">
        <v>4</v>
      </c>
      <c r="D51" s="7" t="s">
        <v>17</v>
      </c>
      <c r="E51" s="5">
        <v>6.99</v>
      </c>
      <c r="F51" s="7" t="s">
        <v>110</v>
      </c>
      <c r="G51" s="7" t="s">
        <v>16</v>
      </c>
      <c r="H51" s="8" t="s">
        <v>284</v>
      </c>
    </row>
    <row r="52" spans="1:8" ht="60" customHeight="1" x14ac:dyDescent="0.25">
      <c r="A52" s="8" t="s">
        <v>111</v>
      </c>
      <c r="B52" s="8" t="s">
        <v>22</v>
      </c>
      <c r="C52" s="8" t="s">
        <v>4</v>
      </c>
      <c r="D52" s="8" t="s">
        <v>17</v>
      </c>
      <c r="E52" s="6">
        <v>-176.36</v>
      </c>
      <c r="F52" s="8" t="s">
        <v>23</v>
      </c>
      <c r="G52" s="8" t="s">
        <v>22</v>
      </c>
      <c r="H52" s="8" t="s">
        <v>283</v>
      </c>
    </row>
    <row r="53" spans="1:8" ht="60" customHeight="1" x14ac:dyDescent="0.25">
      <c r="A53" s="7" t="s">
        <v>111</v>
      </c>
      <c r="B53" s="7" t="s">
        <v>16</v>
      </c>
      <c r="C53" s="7" t="s">
        <v>4</v>
      </c>
      <c r="D53" s="7" t="s">
        <v>17</v>
      </c>
      <c r="E53" s="5">
        <v>9.99</v>
      </c>
      <c r="F53" s="7" t="s">
        <v>112</v>
      </c>
      <c r="G53" s="7" t="s">
        <v>16</v>
      </c>
      <c r="H53" s="8" t="s">
        <v>284</v>
      </c>
    </row>
    <row r="54" spans="1:8" ht="60" customHeight="1" x14ac:dyDescent="0.25">
      <c r="A54" s="8" t="s">
        <v>113</v>
      </c>
      <c r="B54" s="8" t="s">
        <v>16</v>
      </c>
      <c r="C54" s="8" t="s">
        <v>4</v>
      </c>
      <c r="D54" s="8" t="s">
        <v>17</v>
      </c>
      <c r="E54" s="6">
        <v>9.99</v>
      </c>
      <c r="F54" s="8" t="s">
        <v>114</v>
      </c>
      <c r="G54" s="8" t="s">
        <v>16</v>
      </c>
      <c r="H54" s="8" t="s">
        <v>284</v>
      </c>
    </row>
    <row r="55" spans="1:8" ht="60" customHeight="1" x14ac:dyDescent="0.25">
      <c r="A55" s="7" t="s">
        <v>115</v>
      </c>
      <c r="B55" s="7" t="s">
        <v>116</v>
      </c>
      <c r="C55" s="7" t="s">
        <v>4</v>
      </c>
      <c r="D55" s="7" t="s">
        <v>17</v>
      </c>
      <c r="E55" s="5">
        <v>2.99</v>
      </c>
      <c r="F55" s="7" t="s">
        <v>117</v>
      </c>
      <c r="G55" s="7" t="s">
        <v>116</v>
      </c>
      <c r="H55" s="8" t="s">
        <v>284</v>
      </c>
    </row>
    <row r="56" spans="1:8" ht="60" customHeight="1" x14ac:dyDescent="0.25">
      <c r="A56" s="8" t="s">
        <v>118</v>
      </c>
      <c r="B56" s="8" t="s">
        <v>16</v>
      </c>
      <c r="C56" s="8" t="s">
        <v>4</v>
      </c>
      <c r="D56" s="8" t="s">
        <v>17</v>
      </c>
      <c r="E56" s="6">
        <v>9.99</v>
      </c>
      <c r="F56" s="8" t="s">
        <v>119</v>
      </c>
      <c r="G56" s="8" t="s">
        <v>16</v>
      </c>
      <c r="H56" s="8" t="s">
        <v>284</v>
      </c>
    </row>
    <row r="57" spans="1:8" ht="60" customHeight="1" x14ac:dyDescent="0.25">
      <c r="A57" s="7" t="s">
        <v>118</v>
      </c>
      <c r="B57" s="7" t="s">
        <v>16</v>
      </c>
      <c r="C57" s="7" t="s">
        <v>4</v>
      </c>
      <c r="D57" s="7" t="s">
        <v>17</v>
      </c>
      <c r="E57" s="5">
        <v>10.99</v>
      </c>
      <c r="F57" s="7" t="s">
        <v>120</v>
      </c>
      <c r="G57" s="7" t="s">
        <v>16</v>
      </c>
      <c r="H57" s="8" t="s">
        <v>284</v>
      </c>
    </row>
    <row r="58" spans="1:8" ht="60" customHeight="1" x14ac:dyDescent="0.25">
      <c r="A58" s="8" t="s">
        <v>121</v>
      </c>
      <c r="B58" s="8" t="s">
        <v>16</v>
      </c>
      <c r="C58" s="8" t="s">
        <v>4</v>
      </c>
      <c r="D58" s="8" t="s">
        <v>17</v>
      </c>
      <c r="E58" s="6">
        <v>6.99</v>
      </c>
      <c r="F58" s="8" t="s">
        <v>122</v>
      </c>
      <c r="G58" s="8" t="s">
        <v>16</v>
      </c>
      <c r="H58" s="8" t="s">
        <v>284</v>
      </c>
    </row>
    <row r="59" spans="1:8" ht="60" customHeight="1" x14ac:dyDescent="0.25">
      <c r="A59" s="7" t="s">
        <v>123</v>
      </c>
      <c r="B59" s="7" t="s">
        <v>103</v>
      </c>
      <c r="C59" s="7" t="s">
        <v>4</v>
      </c>
      <c r="D59" s="7" t="s">
        <v>17</v>
      </c>
      <c r="E59" s="5">
        <v>101.98</v>
      </c>
      <c r="F59" s="7" t="s">
        <v>104</v>
      </c>
      <c r="G59" s="7" t="s">
        <v>103</v>
      </c>
      <c r="H59" s="7" t="s">
        <v>103</v>
      </c>
    </row>
    <row r="60" spans="1:8" ht="60" customHeight="1" x14ac:dyDescent="0.25">
      <c r="A60" s="8" t="s">
        <v>124</v>
      </c>
      <c r="B60" s="8" t="s">
        <v>37</v>
      </c>
      <c r="C60" s="8" t="s">
        <v>4</v>
      </c>
      <c r="D60" s="8" t="s">
        <v>17</v>
      </c>
      <c r="E60" s="6">
        <v>16.45</v>
      </c>
      <c r="F60" s="8" t="s">
        <v>125</v>
      </c>
      <c r="G60" s="8" t="s">
        <v>37</v>
      </c>
      <c r="H60" s="8" t="s">
        <v>284</v>
      </c>
    </row>
    <row r="61" spans="1:8" ht="60" customHeight="1" x14ac:dyDescent="0.25">
      <c r="A61" s="7" t="s">
        <v>126</v>
      </c>
      <c r="B61" s="7" t="s">
        <v>22</v>
      </c>
      <c r="C61" s="7" t="s">
        <v>4</v>
      </c>
      <c r="D61" s="7" t="s">
        <v>17</v>
      </c>
      <c r="E61" s="5">
        <v>-4616.5600000000004</v>
      </c>
      <c r="F61" s="7" t="s">
        <v>23</v>
      </c>
      <c r="G61" s="7" t="s">
        <v>22</v>
      </c>
      <c r="H61" s="7" t="s">
        <v>283</v>
      </c>
    </row>
    <row r="62" spans="1:8" ht="60" customHeight="1" x14ac:dyDescent="0.25">
      <c r="A62" s="8" t="s">
        <v>127</v>
      </c>
      <c r="B62" s="8" t="s">
        <v>16</v>
      </c>
      <c r="C62" s="8" t="s">
        <v>4</v>
      </c>
      <c r="D62" s="8" t="s">
        <v>17</v>
      </c>
      <c r="E62" s="6">
        <v>6.99</v>
      </c>
      <c r="F62" s="8" t="s">
        <v>128</v>
      </c>
      <c r="G62" s="8" t="s">
        <v>16</v>
      </c>
      <c r="H62" s="8" t="s">
        <v>284</v>
      </c>
    </row>
    <row r="63" spans="1:8" ht="60" customHeight="1" x14ac:dyDescent="0.25">
      <c r="A63" s="7" t="s">
        <v>129</v>
      </c>
      <c r="B63" s="7" t="s">
        <v>16</v>
      </c>
      <c r="C63" s="7" t="s">
        <v>4</v>
      </c>
      <c r="D63" s="7" t="s">
        <v>17</v>
      </c>
      <c r="E63" s="5">
        <v>9.99</v>
      </c>
      <c r="F63" s="7" t="s">
        <v>130</v>
      </c>
      <c r="G63" s="7" t="s">
        <v>16</v>
      </c>
      <c r="H63" s="8" t="s">
        <v>284</v>
      </c>
    </row>
    <row r="64" spans="1:8" ht="60" customHeight="1" x14ac:dyDescent="0.25">
      <c r="A64" s="8" t="s">
        <v>131</v>
      </c>
      <c r="B64" s="8" t="s">
        <v>16</v>
      </c>
      <c r="C64" s="8" t="s">
        <v>4</v>
      </c>
      <c r="D64" s="8" t="s">
        <v>17</v>
      </c>
      <c r="E64" s="6">
        <v>9.99</v>
      </c>
      <c r="F64" s="8" t="s">
        <v>132</v>
      </c>
      <c r="G64" s="8" t="s">
        <v>16</v>
      </c>
      <c r="H64" s="8" t="s">
        <v>284</v>
      </c>
    </row>
    <row r="65" spans="1:8" ht="60" customHeight="1" x14ac:dyDescent="0.25">
      <c r="A65" s="7" t="s">
        <v>133</v>
      </c>
      <c r="B65" s="7" t="s">
        <v>134</v>
      </c>
      <c r="C65" s="7" t="s">
        <v>4</v>
      </c>
      <c r="D65" s="7" t="s">
        <v>17</v>
      </c>
      <c r="E65" s="5">
        <v>2.99</v>
      </c>
      <c r="F65" s="7" t="s">
        <v>135</v>
      </c>
      <c r="G65" s="7" t="s">
        <v>134</v>
      </c>
      <c r="H65" s="8" t="s">
        <v>284</v>
      </c>
    </row>
    <row r="66" spans="1:8" ht="60" customHeight="1" x14ac:dyDescent="0.25">
      <c r="A66" s="8" t="s">
        <v>136</v>
      </c>
      <c r="B66" s="8" t="s">
        <v>16</v>
      </c>
      <c r="C66" s="8" t="s">
        <v>4</v>
      </c>
      <c r="D66" s="8" t="s">
        <v>17</v>
      </c>
      <c r="E66" s="6">
        <v>9.99</v>
      </c>
      <c r="F66" s="8" t="s">
        <v>137</v>
      </c>
      <c r="G66" s="8" t="s">
        <v>16</v>
      </c>
      <c r="H66" s="8" t="s">
        <v>284</v>
      </c>
    </row>
    <row r="67" spans="1:8" ht="60" customHeight="1" x14ac:dyDescent="0.25">
      <c r="A67" s="7" t="s">
        <v>136</v>
      </c>
      <c r="B67" s="7" t="s">
        <v>16</v>
      </c>
      <c r="C67" s="7" t="s">
        <v>4</v>
      </c>
      <c r="D67" s="7" t="s">
        <v>17</v>
      </c>
      <c r="E67" s="5">
        <v>10.99</v>
      </c>
      <c r="F67" s="7" t="s">
        <v>138</v>
      </c>
      <c r="G67" s="7" t="s">
        <v>16</v>
      </c>
      <c r="H67" s="8" t="s">
        <v>284</v>
      </c>
    </row>
    <row r="68" spans="1:8" ht="60" customHeight="1" x14ac:dyDescent="0.25">
      <c r="A68" s="8" t="s">
        <v>139</v>
      </c>
      <c r="B68" s="8" t="s">
        <v>16</v>
      </c>
      <c r="C68" s="8" t="s">
        <v>4</v>
      </c>
      <c r="D68" s="8" t="s">
        <v>17</v>
      </c>
      <c r="E68" s="6">
        <v>6.99</v>
      </c>
      <c r="F68" s="8" t="s">
        <v>140</v>
      </c>
      <c r="G68" s="8" t="s">
        <v>16</v>
      </c>
      <c r="H68" s="8" t="s">
        <v>284</v>
      </c>
    </row>
    <row r="69" spans="1:8" ht="60" customHeight="1" x14ac:dyDescent="0.25">
      <c r="A69" s="7" t="s">
        <v>141</v>
      </c>
      <c r="B69" s="7" t="s">
        <v>22</v>
      </c>
      <c r="C69" s="7" t="s">
        <v>4</v>
      </c>
      <c r="D69" s="7" t="s">
        <v>17</v>
      </c>
      <c r="E69" s="5">
        <v>-299.14</v>
      </c>
      <c r="F69" s="7" t="s">
        <v>23</v>
      </c>
      <c r="G69" s="7" t="s">
        <v>22</v>
      </c>
      <c r="H69" s="7" t="s">
        <v>283</v>
      </c>
    </row>
    <row r="70" spans="1:8" ht="60" customHeight="1" x14ac:dyDescent="0.25">
      <c r="A70" s="8" t="s">
        <v>142</v>
      </c>
      <c r="B70" s="8" t="s">
        <v>103</v>
      </c>
      <c r="C70" s="8" t="s">
        <v>4</v>
      </c>
      <c r="D70" s="8" t="s">
        <v>17</v>
      </c>
      <c r="E70" s="6">
        <v>118.17</v>
      </c>
      <c r="F70" s="8" t="s">
        <v>104</v>
      </c>
      <c r="G70" s="8" t="s">
        <v>103</v>
      </c>
      <c r="H70" s="8" t="s">
        <v>103</v>
      </c>
    </row>
    <row r="71" spans="1:8" ht="60" customHeight="1" x14ac:dyDescent="0.25">
      <c r="A71" s="7" t="s">
        <v>143</v>
      </c>
      <c r="B71" s="7" t="s">
        <v>37</v>
      </c>
      <c r="C71" s="7" t="s">
        <v>4</v>
      </c>
      <c r="D71" s="7" t="s">
        <v>17</v>
      </c>
      <c r="E71" s="5">
        <v>16.45</v>
      </c>
      <c r="F71" s="7" t="s">
        <v>144</v>
      </c>
      <c r="G71" s="7" t="s">
        <v>37</v>
      </c>
      <c r="H71" s="8" t="s">
        <v>284</v>
      </c>
    </row>
    <row r="72" spans="1:8" ht="60" customHeight="1" x14ac:dyDescent="0.25">
      <c r="A72" s="8" t="s">
        <v>145</v>
      </c>
      <c r="B72" s="8" t="s">
        <v>16</v>
      </c>
      <c r="C72" s="8" t="s">
        <v>4</v>
      </c>
      <c r="D72" s="8" t="s">
        <v>17</v>
      </c>
      <c r="E72" s="6">
        <v>12.99</v>
      </c>
      <c r="F72" s="8" t="s">
        <v>146</v>
      </c>
      <c r="G72" s="8" t="s">
        <v>16</v>
      </c>
      <c r="H72" s="8" t="s">
        <v>284</v>
      </c>
    </row>
    <row r="73" spans="1:8" ht="60" customHeight="1" x14ac:dyDescent="0.25">
      <c r="A73" s="7" t="s">
        <v>147</v>
      </c>
      <c r="B73" s="7" t="s">
        <v>16</v>
      </c>
      <c r="C73" s="7" t="s">
        <v>4</v>
      </c>
      <c r="D73" s="7" t="s">
        <v>17</v>
      </c>
      <c r="E73" s="5">
        <v>6.99</v>
      </c>
      <c r="F73" s="7" t="s">
        <v>148</v>
      </c>
      <c r="G73" s="7" t="s">
        <v>16</v>
      </c>
      <c r="H73" s="8" t="s">
        <v>284</v>
      </c>
    </row>
    <row r="74" spans="1:8" ht="60" customHeight="1" x14ac:dyDescent="0.25">
      <c r="A74" s="8" t="s">
        <v>149</v>
      </c>
      <c r="B74" s="8" t="s">
        <v>150</v>
      </c>
      <c r="C74" s="8" t="s">
        <v>4</v>
      </c>
      <c r="D74" s="8" t="s">
        <v>17</v>
      </c>
      <c r="E74" s="6">
        <v>40</v>
      </c>
      <c r="F74" s="8" t="s">
        <v>151</v>
      </c>
      <c r="G74" s="8" t="s">
        <v>150</v>
      </c>
      <c r="H74" s="8" t="s">
        <v>150</v>
      </c>
    </row>
    <row r="75" spans="1:8" ht="60" customHeight="1" x14ac:dyDescent="0.25">
      <c r="A75" s="7" t="s">
        <v>149</v>
      </c>
      <c r="B75" s="7" t="s">
        <v>16</v>
      </c>
      <c r="C75" s="7" t="s">
        <v>4</v>
      </c>
      <c r="D75" s="7" t="s">
        <v>17</v>
      </c>
      <c r="E75" s="5">
        <v>9.99</v>
      </c>
      <c r="F75" s="7" t="s">
        <v>152</v>
      </c>
      <c r="G75" s="7" t="s">
        <v>16</v>
      </c>
      <c r="H75" s="7" t="s">
        <v>284</v>
      </c>
    </row>
    <row r="76" spans="1:8" ht="60" customHeight="1" x14ac:dyDescent="0.25">
      <c r="A76" s="8" t="s">
        <v>153</v>
      </c>
      <c r="B76" s="8" t="s">
        <v>16</v>
      </c>
      <c r="C76" s="8" t="s">
        <v>4</v>
      </c>
      <c r="D76" s="8" t="s">
        <v>17</v>
      </c>
      <c r="E76" s="6">
        <v>9.99</v>
      </c>
      <c r="F76" s="8" t="s">
        <v>154</v>
      </c>
      <c r="G76" s="8" t="s">
        <v>16</v>
      </c>
      <c r="H76" s="7" t="s">
        <v>284</v>
      </c>
    </row>
    <row r="77" spans="1:8" ht="60" customHeight="1" x14ac:dyDescent="0.25">
      <c r="A77" s="7" t="s">
        <v>155</v>
      </c>
      <c r="B77" s="7" t="s">
        <v>156</v>
      </c>
      <c r="C77" s="7" t="s">
        <v>4</v>
      </c>
      <c r="D77" s="7" t="s">
        <v>17</v>
      </c>
      <c r="E77" s="5">
        <v>2.99</v>
      </c>
      <c r="F77" s="7" t="s">
        <v>157</v>
      </c>
      <c r="G77" s="7" t="s">
        <v>156</v>
      </c>
      <c r="H77" s="7" t="s">
        <v>284</v>
      </c>
    </row>
    <row r="78" spans="1:8" ht="60" customHeight="1" x14ac:dyDescent="0.25">
      <c r="A78" s="8" t="s">
        <v>158</v>
      </c>
      <c r="B78" s="8" t="s">
        <v>16</v>
      </c>
      <c r="C78" s="8" t="s">
        <v>4</v>
      </c>
      <c r="D78" s="8" t="s">
        <v>17</v>
      </c>
      <c r="E78" s="6">
        <v>9.99</v>
      </c>
      <c r="F78" s="8" t="s">
        <v>159</v>
      </c>
      <c r="G78" s="8" t="s">
        <v>16</v>
      </c>
      <c r="H78" s="7" t="s">
        <v>284</v>
      </c>
    </row>
    <row r="79" spans="1:8" ht="60" customHeight="1" x14ac:dyDescent="0.25">
      <c r="A79" s="7" t="s">
        <v>158</v>
      </c>
      <c r="B79" s="7" t="s">
        <v>16</v>
      </c>
      <c r="C79" s="7" t="s">
        <v>4</v>
      </c>
      <c r="D79" s="7" t="s">
        <v>17</v>
      </c>
      <c r="E79" s="5">
        <v>10.99</v>
      </c>
      <c r="F79" s="7" t="s">
        <v>160</v>
      </c>
      <c r="G79" s="7" t="s">
        <v>16</v>
      </c>
      <c r="H79" s="7" t="s">
        <v>284</v>
      </c>
    </row>
    <row r="80" spans="1:8" ht="60" customHeight="1" x14ac:dyDescent="0.25">
      <c r="A80" s="8" t="s">
        <v>161</v>
      </c>
      <c r="B80" s="8" t="s">
        <v>16</v>
      </c>
      <c r="C80" s="8" t="s">
        <v>4</v>
      </c>
      <c r="D80" s="8" t="s">
        <v>17</v>
      </c>
      <c r="E80" s="6">
        <v>6.99</v>
      </c>
      <c r="F80" s="8" t="s">
        <v>162</v>
      </c>
      <c r="G80" s="8" t="s">
        <v>16</v>
      </c>
      <c r="H80" s="7" t="s">
        <v>284</v>
      </c>
    </row>
    <row r="81" spans="1:8" ht="60" customHeight="1" x14ac:dyDescent="0.25">
      <c r="A81" s="7" t="s">
        <v>163</v>
      </c>
      <c r="B81" s="7" t="s">
        <v>103</v>
      </c>
      <c r="C81" s="7" t="s">
        <v>4</v>
      </c>
      <c r="D81" s="7" t="s">
        <v>17</v>
      </c>
      <c r="E81" s="5">
        <v>0.15</v>
      </c>
      <c r="F81" s="7" t="s">
        <v>104</v>
      </c>
      <c r="G81" s="7" t="s">
        <v>103</v>
      </c>
      <c r="H81" s="7" t="s">
        <v>103</v>
      </c>
    </row>
    <row r="82" spans="1:8" ht="60" customHeight="1" x14ac:dyDescent="0.25">
      <c r="A82" s="8" t="s">
        <v>164</v>
      </c>
      <c r="B82" s="8" t="s">
        <v>37</v>
      </c>
      <c r="C82" s="8" t="s">
        <v>4</v>
      </c>
      <c r="D82" s="8" t="s">
        <v>17</v>
      </c>
      <c r="E82" s="6">
        <v>16.45</v>
      </c>
      <c r="F82" s="8" t="s">
        <v>165</v>
      </c>
      <c r="G82" s="8" t="s">
        <v>37</v>
      </c>
      <c r="H82" s="7" t="s">
        <v>284</v>
      </c>
    </row>
    <row r="83" spans="1:8" ht="60" customHeight="1" x14ac:dyDescent="0.25">
      <c r="A83" s="7" t="s">
        <v>166</v>
      </c>
      <c r="B83" s="7" t="s">
        <v>16</v>
      </c>
      <c r="C83" s="7" t="s">
        <v>4</v>
      </c>
      <c r="D83" s="7" t="s">
        <v>17</v>
      </c>
      <c r="E83" s="5">
        <v>12.99</v>
      </c>
      <c r="F83" s="7" t="s">
        <v>167</v>
      </c>
      <c r="G83" s="7" t="s">
        <v>16</v>
      </c>
      <c r="H83" s="7" t="s">
        <v>284</v>
      </c>
    </row>
    <row r="84" spans="1:8" ht="60" customHeight="1" x14ac:dyDescent="0.25">
      <c r="A84" s="8" t="s">
        <v>168</v>
      </c>
      <c r="B84" s="8" t="s">
        <v>16</v>
      </c>
      <c r="C84" s="8" t="s">
        <v>4</v>
      </c>
      <c r="D84" s="8" t="s">
        <v>17</v>
      </c>
      <c r="E84" s="6">
        <v>6.99</v>
      </c>
      <c r="F84" s="8" t="s">
        <v>169</v>
      </c>
      <c r="G84" s="8" t="s">
        <v>16</v>
      </c>
      <c r="H84" s="7" t="s">
        <v>284</v>
      </c>
    </row>
    <row r="85" spans="1:8" ht="60" customHeight="1" x14ac:dyDescent="0.25">
      <c r="A85" s="7" t="s">
        <v>170</v>
      </c>
      <c r="B85" s="7" t="s">
        <v>16</v>
      </c>
      <c r="C85" s="7" t="s">
        <v>4</v>
      </c>
      <c r="D85" s="7" t="s">
        <v>17</v>
      </c>
      <c r="E85" s="5">
        <v>9.99</v>
      </c>
      <c r="F85" s="7" t="s">
        <v>171</v>
      </c>
      <c r="G85" s="7" t="s">
        <v>16</v>
      </c>
      <c r="H85" s="7" t="s">
        <v>284</v>
      </c>
    </row>
    <row r="86" spans="1:8" ht="60" customHeight="1" x14ac:dyDescent="0.25">
      <c r="A86" s="8" t="s">
        <v>172</v>
      </c>
      <c r="B86" s="8" t="s">
        <v>173</v>
      </c>
      <c r="C86" s="8" t="s">
        <v>4</v>
      </c>
      <c r="D86" s="8" t="s">
        <v>17</v>
      </c>
      <c r="E86" s="6">
        <v>4623.59</v>
      </c>
      <c r="F86" s="8" t="s">
        <v>174</v>
      </c>
      <c r="G86" s="8" t="s">
        <v>173</v>
      </c>
      <c r="H86" s="8" t="s">
        <v>289</v>
      </c>
    </row>
    <row r="87" spans="1:8" ht="60" customHeight="1" x14ac:dyDescent="0.25">
      <c r="A87" s="7" t="s">
        <v>172</v>
      </c>
      <c r="B87" s="7" t="s">
        <v>57</v>
      </c>
      <c r="C87" s="7" t="s">
        <v>4</v>
      </c>
      <c r="D87" s="7" t="s">
        <v>17</v>
      </c>
      <c r="E87" s="5">
        <v>-2829.37</v>
      </c>
      <c r="F87" s="7" t="s">
        <v>58</v>
      </c>
      <c r="G87" s="7" t="s">
        <v>57</v>
      </c>
      <c r="H87" s="7" t="s">
        <v>283</v>
      </c>
    </row>
    <row r="88" spans="1:8" ht="60" customHeight="1" x14ac:dyDescent="0.25">
      <c r="A88" s="8" t="s">
        <v>175</v>
      </c>
      <c r="B88" s="8" t="s">
        <v>16</v>
      </c>
      <c r="C88" s="8" t="s">
        <v>4</v>
      </c>
      <c r="D88" s="8" t="s">
        <v>17</v>
      </c>
      <c r="E88" s="6">
        <v>9.99</v>
      </c>
      <c r="F88" s="8" t="s">
        <v>176</v>
      </c>
      <c r="G88" s="8" t="s">
        <v>16</v>
      </c>
      <c r="H88" s="7" t="s">
        <v>284</v>
      </c>
    </row>
    <row r="89" spans="1:8" ht="60" customHeight="1" x14ac:dyDescent="0.25">
      <c r="A89" s="7" t="s">
        <v>177</v>
      </c>
      <c r="B89" s="7" t="s">
        <v>178</v>
      </c>
      <c r="C89" s="7" t="s">
        <v>4</v>
      </c>
      <c r="D89" s="7" t="s">
        <v>17</v>
      </c>
      <c r="E89" s="5">
        <v>2.99</v>
      </c>
      <c r="F89" s="7" t="s">
        <v>179</v>
      </c>
      <c r="G89" s="7" t="s">
        <v>178</v>
      </c>
      <c r="H89" s="7" t="s">
        <v>284</v>
      </c>
    </row>
    <row r="90" spans="1:8" ht="60" customHeight="1" x14ac:dyDescent="0.25">
      <c r="A90" s="8" t="s">
        <v>180</v>
      </c>
      <c r="B90" s="8" t="s">
        <v>16</v>
      </c>
      <c r="C90" s="8" t="s">
        <v>4</v>
      </c>
      <c r="D90" s="8" t="s">
        <v>17</v>
      </c>
      <c r="E90" s="6">
        <v>9.99</v>
      </c>
      <c r="F90" s="8" t="s">
        <v>181</v>
      </c>
      <c r="G90" s="8" t="s">
        <v>16</v>
      </c>
      <c r="H90" s="7" t="s">
        <v>284</v>
      </c>
    </row>
    <row r="91" spans="1:8" ht="60" customHeight="1" x14ac:dyDescent="0.25">
      <c r="A91" s="7" t="s">
        <v>180</v>
      </c>
      <c r="B91" s="7" t="s">
        <v>16</v>
      </c>
      <c r="C91" s="7" t="s">
        <v>4</v>
      </c>
      <c r="D91" s="7" t="s">
        <v>17</v>
      </c>
      <c r="E91" s="5">
        <v>10.99</v>
      </c>
      <c r="F91" s="7" t="s">
        <v>182</v>
      </c>
      <c r="G91" s="7" t="s">
        <v>16</v>
      </c>
      <c r="H91" s="7" t="s">
        <v>284</v>
      </c>
    </row>
    <row r="92" spans="1:8" ht="60" customHeight="1" x14ac:dyDescent="0.25">
      <c r="A92" s="8" t="s">
        <v>183</v>
      </c>
      <c r="B92" s="8" t="s">
        <v>184</v>
      </c>
      <c r="C92" s="8" t="s">
        <v>4</v>
      </c>
      <c r="D92" s="8" t="s">
        <v>17</v>
      </c>
      <c r="E92" s="6">
        <v>2788.42</v>
      </c>
      <c r="F92" s="8" t="s">
        <v>185</v>
      </c>
      <c r="G92" s="8" t="s">
        <v>184</v>
      </c>
      <c r="H92" s="8" t="s">
        <v>290</v>
      </c>
    </row>
    <row r="93" spans="1:8" ht="60" customHeight="1" x14ac:dyDescent="0.25">
      <c r="A93" s="7" t="s">
        <v>186</v>
      </c>
      <c r="B93" s="7" t="s">
        <v>16</v>
      </c>
      <c r="C93" s="7" t="s">
        <v>4</v>
      </c>
      <c r="D93" s="7" t="s">
        <v>17</v>
      </c>
      <c r="E93" s="5">
        <v>6.99</v>
      </c>
      <c r="F93" s="7" t="s">
        <v>187</v>
      </c>
      <c r="G93" s="7" t="s">
        <v>16</v>
      </c>
      <c r="H93" s="7" t="s">
        <v>284</v>
      </c>
    </row>
    <row r="94" spans="1:8" ht="60" customHeight="1" x14ac:dyDescent="0.25">
      <c r="A94" s="8" t="s">
        <v>188</v>
      </c>
      <c r="B94" s="8" t="s">
        <v>57</v>
      </c>
      <c r="C94" s="8" t="s">
        <v>4</v>
      </c>
      <c r="D94" s="8" t="s">
        <v>17</v>
      </c>
      <c r="E94" s="6">
        <v>-180.24</v>
      </c>
      <c r="F94" s="8" t="s">
        <v>58</v>
      </c>
      <c r="G94" s="8" t="s">
        <v>57</v>
      </c>
      <c r="H94" s="8" t="s">
        <v>283</v>
      </c>
    </row>
    <row r="95" spans="1:8" ht="60" customHeight="1" x14ac:dyDescent="0.25">
      <c r="A95" s="7" t="s">
        <v>189</v>
      </c>
      <c r="B95" s="7" t="s">
        <v>103</v>
      </c>
      <c r="C95" s="7" t="s">
        <v>4</v>
      </c>
      <c r="D95" s="7" t="s">
        <v>17</v>
      </c>
      <c r="E95" s="5">
        <v>0.82</v>
      </c>
      <c r="F95" s="7" t="s">
        <v>104</v>
      </c>
      <c r="G95" s="7" t="s">
        <v>103</v>
      </c>
      <c r="H95" s="7" t="s">
        <v>103</v>
      </c>
    </row>
    <row r="96" spans="1:8" ht="60" customHeight="1" x14ac:dyDescent="0.25">
      <c r="A96" s="8" t="s">
        <v>190</v>
      </c>
      <c r="B96" s="8" t="s">
        <v>37</v>
      </c>
      <c r="C96" s="8" t="s">
        <v>4</v>
      </c>
      <c r="D96" s="8" t="s">
        <v>17</v>
      </c>
      <c r="E96" s="6">
        <v>16.45</v>
      </c>
      <c r="F96" s="8" t="s">
        <v>191</v>
      </c>
      <c r="G96" s="8" t="s">
        <v>37</v>
      </c>
      <c r="H96" s="7" t="s">
        <v>284</v>
      </c>
    </row>
    <row r="97" spans="1:8" ht="60" customHeight="1" x14ac:dyDescent="0.25">
      <c r="A97" s="7" t="s">
        <v>192</v>
      </c>
      <c r="B97" s="7" t="s">
        <v>16</v>
      </c>
      <c r="C97" s="7" t="s">
        <v>4</v>
      </c>
      <c r="D97" s="7" t="s">
        <v>17</v>
      </c>
      <c r="E97" s="5">
        <v>12.99</v>
      </c>
      <c r="F97" s="7" t="s">
        <v>193</v>
      </c>
      <c r="G97" s="7" t="s">
        <v>16</v>
      </c>
      <c r="H97" s="7" t="s">
        <v>284</v>
      </c>
    </row>
    <row r="98" spans="1:8" ht="60" customHeight="1" x14ac:dyDescent="0.25">
      <c r="A98" s="8" t="s">
        <v>194</v>
      </c>
      <c r="B98" s="8" t="s">
        <v>195</v>
      </c>
      <c r="C98" s="8" t="s">
        <v>4</v>
      </c>
      <c r="D98" s="8" t="s">
        <v>17</v>
      </c>
      <c r="E98" s="6">
        <v>2.5</v>
      </c>
      <c r="F98" s="8" t="s">
        <v>196</v>
      </c>
      <c r="G98" s="8" t="s">
        <v>195</v>
      </c>
      <c r="H98" s="8" t="s">
        <v>287</v>
      </c>
    </row>
    <row r="99" spans="1:8" ht="60" customHeight="1" x14ac:dyDescent="0.25">
      <c r="A99" s="7" t="s">
        <v>197</v>
      </c>
      <c r="B99" s="7" t="s">
        <v>16</v>
      </c>
      <c r="C99" s="7" t="s">
        <v>4</v>
      </c>
      <c r="D99" s="7" t="s">
        <v>17</v>
      </c>
      <c r="E99" s="5">
        <v>6.99</v>
      </c>
      <c r="F99" s="7" t="s">
        <v>198</v>
      </c>
      <c r="G99" s="7" t="s">
        <v>16</v>
      </c>
      <c r="H99" s="7" t="s">
        <v>284</v>
      </c>
    </row>
    <row r="100" spans="1:8" ht="60" customHeight="1" x14ac:dyDescent="0.25">
      <c r="A100" s="8" t="s">
        <v>199</v>
      </c>
      <c r="B100" s="8" t="s">
        <v>150</v>
      </c>
      <c r="C100" s="8" t="s">
        <v>4</v>
      </c>
      <c r="D100" s="8" t="s">
        <v>17</v>
      </c>
      <c r="E100" s="6">
        <v>40</v>
      </c>
      <c r="F100" s="8" t="s">
        <v>151</v>
      </c>
      <c r="G100" s="8" t="s">
        <v>150</v>
      </c>
      <c r="H100" s="8" t="s">
        <v>150</v>
      </c>
    </row>
    <row r="101" spans="1:8" ht="60" customHeight="1" x14ac:dyDescent="0.25">
      <c r="A101" s="7" t="s">
        <v>199</v>
      </c>
      <c r="B101" s="7" t="s">
        <v>16</v>
      </c>
      <c r="C101" s="7" t="s">
        <v>4</v>
      </c>
      <c r="D101" s="7" t="s">
        <v>17</v>
      </c>
      <c r="E101" s="5">
        <v>9.99</v>
      </c>
      <c r="F101" s="7" t="s">
        <v>200</v>
      </c>
      <c r="G101" s="7" t="s">
        <v>16</v>
      </c>
      <c r="H101" s="7" t="s">
        <v>284</v>
      </c>
    </row>
    <row r="102" spans="1:8" ht="60" customHeight="1" x14ac:dyDescent="0.25">
      <c r="A102" s="8" t="s">
        <v>201</v>
      </c>
      <c r="B102" s="8" t="s">
        <v>16</v>
      </c>
      <c r="C102" s="8" t="s">
        <v>4</v>
      </c>
      <c r="D102" s="8" t="s">
        <v>17</v>
      </c>
      <c r="E102" s="6">
        <v>9.99</v>
      </c>
      <c r="F102" s="8" t="s">
        <v>202</v>
      </c>
      <c r="G102" s="8" t="s">
        <v>16</v>
      </c>
      <c r="H102" s="7" t="s">
        <v>284</v>
      </c>
    </row>
    <row r="103" spans="1:8" ht="60" customHeight="1" x14ac:dyDescent="0.25">
      <c r="A103" s="7" t="s">
        <v>203</v>
      </c>
      <c r="B103" s="7" t="s">
        <v>204</v>
      </c>
      <c r="C103" s="7" t="s">
        <v>4</v>
      </c>
      <c r="D103" s="7" t="s">
        <v>17</v>
      </c>
      <c r="E103" s="5">
        <v>2.99</v>
      </c>
      <c r="F103" s="7" t="s">
        <v>205</v>
      </c>
      <c r="G103" s="7" t="s">
        <v>204</v>
      </c>
      <c r="H103" s="7" t="s">
        <v>284</v>
      </c>
    </row>
    <row r="104" spans="1:8" ht="60" customHeight="1" x14ac:dyDescent="0.25">
      <c r="A104" s="8" t="s">
        <v>206</v>
      </c>
      <c r="B104" s="8" t="s">
        <v>16</v>
      </c>
      <c r="C104" s="8" t="s">
        <v>4</v>
      </c>
      <c r="D104" s="8" t="s">
        <v>17</v>
      </c>
      <c r="E104" s="6">
        <v>9.99</v>
      </c>
      <c r="F104" s="8" t="s">
        <v>207</v>
      </c>
      <c r="G104" s="8" t="s">
        <v>16</v>
      </c>
      <c r="H104" s="7" t="s">
        <v>284</v>
      </c>
    </row>
    <row r="105" spans="1:8" ht="60" customHeight="1" x14ac:dyDescent="0.25">
      <c r="A105" s="7" t="s">
        <v>206</v>
      </c>
      <c r="B105" s="7" t="s">
        <v>16</v>
      </c>
      <c r="C105" s="7" t="s">
        <v>4</v>
      </c>
      <c r="D105" s="7" t="s">
        <v>17</v>
      </c>
      <c r="E105" s="5">
        <v>10.99</v>
      </c>
      <c r="F105" s="7" t="s">
        <v>208</v>
      </c>
      <c r="G105" s="7" t="s">
        <v>16</v>
      </c>
      <c r="H105" s="7" t="s">
        <v>284</v>
      </c>
    </row>
    <row r="106" spans="1:8" ht="60" customHeight="1" x14ac:dyDescent="0.25">
      <c r="A106" s="8" t="s">
        <v>209</v>
      </c>
      <c r="B106" s="8" t="s">
        <v>16</v>
      </c>
      <c r="C106" s="8" t="s">
        <v>4</v>
      </c>
      <c r="D106" s="8" t="s">
        <v>17</v>
      </c>
      <c r="E106" s="6">
        <v>6.99</v>
      </c>
      <c r="F106" s="8" t="s">
        <v>210</v>
      </c>
      <c r="G106" s="8" t="s">
        <v>16</v>
      </c>
      <c r="H106" s="7" t="s">
        <v>284</v>
      </c>
    </row>
    <row r="107" spans="1:8" ht="60" customHeight="1" x14ac:dyDescent="0.25">
      <c r="A107" s="7" t="s">
        <v>211</v>
      </c>
      <c r="B107" s="7" t="s">
        <v>37</v>
      </c>
      <c r="C107" s="7" t="s">
        <v>4</v>
      </c>
      <c r="D107" s="7" t="s">
        <v>17</v>
      </c>
      <c r="E107" s="5">
        <v>16.45</v>
      </c>
      <c r="F107" s="7" t="s">
        <v>212</v>
      </c>
      <c r="G107" s="7" t="s">
        <v>37</v>
      </c>
      <c r="H107" s="7" t="s">
        <v>284</v>
      </c>
    </row>
    <row r="108" spans="1:8" ht="60" customHeight="1" x14ac:dyDescent="0.25">
      <c r="A108" s="8" t="s">
        <v>211</v>
      </c>
      <c r="B108" s="8" t="s">
        <v>103</v>
      </c>
      <c r="C108" s="8" t="s">
        <v>4</v>
      </c>
      <c r="D108" s="8" t="s">
        <v>17</v>
      </c>
      <c r="E108" s="6">
        <v>3.13</v>
      </c>
      <c r="F108" s="8" t="s">
        <v>104</v>
      </c>
      <c r="G108" s="8" t="s">
        <v>103</v>
      </c>
      <c r="H108" s="8" t="s">
        <v>103</v>
      </c>
    </row>
    <row r="109" spans="1:8" ht="60" customHeight="1" x14ac:dyDescent="0.25">
      <c r="A109" s="7" t="s">
        <v>213</v>
      </c>
      <c r="B109" s="7" t="s">
        <v>16</v>
      </c>
      <c r="C109" s="7" t="s">
        <v>4</v>
      </c>
      <c r="D109" s="7" t="s">
        <v>17</v>
      </c>
      <c r="E109" s="5">
        <v>12.99</v>
      </c>
      <c r="F109" s="7" t="s">
        <v>214</v>
      </c>
      <c r="G109" s="7" t="s">
        <v>16</v>
      </c>
      <c r="H109" s="7" t="s">
        <v>284</v>
      </c>
    </row>
    <row r="110" spans="1:8" ht="60" customHeight="1" x14ac:dyDescent="0.25">
      <c r="A110" s="8" t="s">
        <v>215</v>
      </c>
      <c r="B110" s="8" t="s">
        <v>16</v>
      </c>
      <c r="C110" s="8" t="s">
        <v>4</v>
      </c>
      <c r="D110" s="8" t="s">
        <v>17</v>
      </c>
      <c r="E110" s="6">
        <v>6.99</v>
      </c>
      <c r="F110" s="8" t="s">
        <v>216</v>
      </c>
      <c r="G110" s="8" t="s">
        <v>16</v>
      </c>
      <c r="H110" s="7" t="s">
        <v>284</v>
      </c>
    </row>
    <row r="111" spans="1:8" ht="60" customHeight="1" x14ac:dyDescent="0.25">
      <c r="A111" s="7" t="s">
        <v>217</v>
      </c>
      <c r="B111" s="7" t="s">
        <v>57</v>
      </c>
      <c r="C111" s="7" t="s">
        <v>4</v>
      </c>
      <c r="D111" s="7" t="s">
        <v>17</v>
      </c>
      <c r="E111" s="5">
        <v>-33.96</v>
      </c>
      <c r="F111" s="7" t="s">
        <v>58</v>
      </c>
      <c r="G111" s="7" t="s">
        <v>57</v>
      </c>
      <c r="H111" s="7" t="s">
        <v>283</v>
      </c>
    </row>
    <row r="112" spans="1:8" ht="60" customHeight="1" x14ac:dyDescent="0.25">
      <c r="A112" s="8" t="s">
        <v>217</v>
      </c>
      <c r="B112" s="8" t="s">
        <v>16</v>
      </c>
      <c r="C112" s="8" t="s">
        <v>4</v>
      </c>
      <c r="D112" s="8" t="s">
        <v>17</v>
      </c>
      <c r="E112" s="6">
        <v>9.99</v>
      </c>
      <c r="F112" s="8" t="s">
        <v>218</v>
      </c>
      <c r="G112" s="8" t="s">
        <v>16</v>
      </c>
      <c r="H112" s="7" t="s">
        <v>284</v>
      </c>
    </row>
    <row r="113" spans="1:8" ht="60" customHeight="1" x14ac:dyDescent="0.25">
      <c r="A113" s="7" t="s">
        <v>219</v>
      </c>
      <c r="B113" s="7" t="s">
        <v>16</v>
      </c>
      <c r="C113" s="7" t="s">
        <v>4</v>
      </c>
      <c r="D113" s="7" t="s">
        <v>17</v>
      </c>
      <c r="E113" s="5">
        <v>9.99</v>
      </c>
      <c r="F113" s="7" t="s">
        <v>220</v>
      </c>
      <c r="G113" s="7" t="s">
        <v>16</v>
      </c>
      <c r="H113" s="7" t="s">
        <v>284</v>
      </c>
    </row>
    <row r="114" spans="1:8" ht="60" customHeight="1" x14ac:dyDescent="0.25">
      <c r="A114" s="8" t="s">
        <v>221</v>
      </c>
      <c r="B114" s="8" t="s">
        <v>222</v>
      </c>
      <c r="C114" s="8" t="s">
        <v>4</v>
      </c>
      <c r="D114" s="8" t="s">
        <v>17</v>
      </c>
      <c r="E114" s="6">
        <v>2.99</v>
      </c>
      <c r="F114" s="8" t="s">
        <v>223</v>
      </c>
      <c r="G114" s="8" t="s">
        <v>222</v>
      </c>
      <c r="H114" s="7" t="s">
        <v>284</v>
      </c>
    </row>
    <row r="115" spans="1:8" ht="60" customHeight="1" x14ac:dyDescent="0.25">
      <c r="A115" s="7" t="s">
        <v>224</v>
      </c>
      <c r="B115" s="7" t="s">
        <v>16</v>
      </c>
      <c r="C115" s="7" t="s">
        <v>4</v>
      </c>
      <c r="D115" s="7" t="s">
        <v>17</v>
      </c>
      <c r="E115" s="5">
        <v>9.99</v>
      </c>
      <c r="F115" s="7" t="s">
        <v>225</v>
      </c>
      <c r="G115" s="7" t="s">
        <v>16</v>
      </c>
      <c r="H115" s="7" t="s">
        <v>284</v>
      </c>
    </row>
    <row r="116" spans="1:8" ht="60" customHeight="1" x14ac:dyDescent="0.25">
      <c r="A116" s="8" t="s">
        <v>224</v>
      </c>
      <c r="B116" s="8" t="s">
        <v>16</v>
      </c>
      <c r="C116" s="8" t="s">
        <v>4</v>
      </c>
      <c r="D116" s="8" t="s">
        <v>17</v>
      </c>
      <c r="E116" s="6">
        <v>10.99</v>
      </c>
      <c r="F116" s="8" t="s">
        <v>226</v>
      </c>
      <c r="G116" s="8" t="s">
        <v>16</v>
      </c>
      <c r="H116" s="7" t="s">
        <v>284</v>
      </c>
    </row>
    <row r="117" spans="1:8" ht="60" customHeight="1" x14ac:dyDescent="0.25">
      <c r="A117" s="7" t="s">
        <v>227</v>
      </c>
      <c r="B117" s="7" t="s">
        <v>57</v>
      </c>
      <c r="C117" s="7" t="s">
        <v>4</v>
      </c>
      <c r="D117" s="7" t="s">
        <v>17</v>
      </c>
      <c r="E117" s="5">
        <v>-884.7</v>
      </c>
      <c r="F117" s="7" t="s">
        <v>58</v>
      </c>
      <c r="G117" s="7" t="s">
        <v>57</v>
      </c>
      <c r="H117" s="7" t="s">
        <v>283</v>
      </c>
    </row>
    <row r="118" spans="1:8" ht="60" customHeight="1" x14ac:dyDescent="0.25">
      <c r="A118" s="8" t="s">
        <v>228</v>
      </c>
      <c r="B118" s="8" t="s">
        <v>103</v>
      </c>
      <c r="C118" s="8" t="s">
        <v>4</v>
      </c>
      <c r="D118" s="8" t="s">
        <v>17</v>
      </c>
      <c r="E118" s="6">
        <v>15.95</v>
      </c>
      <c r="F118" s="8" t="s">
        <v>104</v>
      </c>
      <c r="G118" s="8" t="s">
        <v>103</v>
      </c>
      <c r="H118" s="8" t="s">
        <v>103</v>
      </c>
    </row>
    <row r="119" spans="1:8" ht="60" customHeight="1" x14ac:dyDescent="0.25">
      <c r="A119" s="7" t="s">
        <v>229</v>
      </c>
      <c r="B119" s="7" t="s">
        <v>37</v>
      </c>
      <c r="C119" s="7" t="s">
        <v>4</v>
      </c>
      <c r="D119" s="7" t="s">
        <v>17</v>
      </c>
      <c r="E119" s="5">
        <v>16.45</v>
      </c>
      <c r="F119" s="7" t="s">
        <v>230</v>
      </c>
      <c r="G119" s="7" t="s">
        <v>37</v>
      </c>
      <c r="H119" s="7" t="s">
        <v>284</v>
      </c>
    </row>
    <row r="120" spans="1:8" ht="60" customHeight="1" x14ac:dyDescent="0.25">
      <c r="A120" s="8" t="s">
        <v>231</v>
      </c>
      <c r="B120" s="8" t="s">
        <v>16</v>
      </c>
      <c r="C120" s="8" t="s">
        <v>4</v>
      </c>
      <c r="D120" s="8" t="s">
        <v>17</v>
      </c>
      <c r="E120" s="6">
        <v>12.99</v>
      </c>
      <c r="F120" s="8" t="s">
        <v>232</v>
      </c>
      <c r="G120" s="8" t="s">
        <v>16</v>
      </c>
      <c r="H120" s="7" t="s">
        <v>284</v>
      </c>
    </row>
    <row r="121" spans="1:8" ht="60" customHeight="1" x14ac:dyDescent="0.25">
      <c r="A121" s="7" t="s">
        <v>233</v>
      </c>
      <c r="B121" s="7" t="s">
        <v>16</v>
      </c>
      <c r="C121" s="7" t="s">
        <v>4</v>
      </c>
      <c r="D121" s="7" t="s">
        <v>17</v>
      </c>
      <c r="E121" s="5">
        <v>6.99</v>
      </c>
      <c r="F121" s="7" t="s">
        <v>234</v>
      </c>
      <c r="G121" s="7" t="s">
        <v>16</v>
      </c>
      <c r="H121" s="7" t="s">
        <v>284</v>
      </c>
    </row>
    <row r="122" spans="1:8" ht="60" customHeight="1" x14ac:dyDescent="0.25">
      <c r="A122" s="8" t="s">
        <v>235</v>
      </c>
      <c r="B122" s="8" t="s">
        <v>150</v>
      </c>
      <c r="C122" s="8" t="s">
        <v>4</v>
      </c>
      <c r="D122" s="8" t="s">
        <v>17</v>
      </c>
      <c r="E122" s="6">
        <v>40</v>
      </c>
      <c r="F122" s="8" t="s">
        <v>151</v>
      </c>
      <c r="G122" s="8" t="s">
        <v>150</v>
      </c>
      <c r="H122" s="8" t="s">
        <v>150</v>
      </c>
    </row>
    <row r="123" spans="1:8" ht="60" customHeight="1" x14ac:dyDescent="0.25">
      <c r="A123" s="7" t="s">
        <v>235</v>
      </c>
      <c r="B123" s="7" t="s">
        <v>16</v>
      </c>
      <c r="C123" s="7" t="s">
        <v>4</v>
      </c>
      <c r="D123" s="7" t="s">
        <v>17</v>
      </c>
      <c r="E123" s="5">
        <v>9.99</v>
      </c>
      <c r="F123" s="7" t="s">
        <v>236</v>
      </c>
      <c r="G123" s="7" t="s">
        <v>16</v>
      </c>
      <c r="H123" s="7" t="s">
        <v>284</v>
      </c>
    </row>
    <row r="124" spans="1:8" ht="60" customHeight="1" x14ac:dyDescent="0.25">
      <c r="A124" s="8" t="s">
        <v>237</v>
      </c>
      <c r="B124" s="8" t="s">
        <v>16</v>
      </c>
      <c r="C124" s="8" t="s">
        <v>4</v>
      </c>
      <c r="D124" s="8" t="s">
        <v>17</v>
      </c>
      <c r="E124" s="6">
        <v>9.99</v>
      </c>
      <c r="F124" s="8" t="s">
        <v>238</v>
      </c>
      <c r="G124" s="8" t="s">
        <v>16</v>
      </c>
      <c r="H124" s="7" t="s">
        <v>284</v>
      </c>
    </row>
    <row r="125" spans="1:8" ht="60" customHeight="1" x14ac:dyDescent="0.25">
      <c r="A125" s="7" t="s">
        <v>239</v>
      </c>
      <c r="B125" s="7" t="s">
        <v>240</v>
      </c>
      <c r="C125" s="7" t="s">
        <v>4</v>
      </c>
      <c r="D125" s="7" t="s">
        <v>17</v>
      </c>
      <c r="E125" s="5">
        <v>2.99</v>
      </c>
      <c r="F125" s="7" t="s">
        <v>241</v>
      </c>
      <c r="G125" s="7" t="s">
        <v>240</v>
      </c>
      <c r="H125" s="7" t="s">
        <v>284</v>
      </c>
    </row>
    <row r="126" spans="1:8" ht="60" customHeight="1" x14ac:dyDescent="0.25">
      <c r="A126" s="8" t="s">
        <v>242</v>
      </c>
      <c r="B126" s="8" t="s">
        <v>16</v>
      </c>
      <c r="C126" s="8" t="s">
        <v>4</v>
      </c>
      <c r="D126" s="8" t="s">
        <v>17</v>
      </c>
      <c r="E126" s="6">
        <v>9.99</v>
      </c>
      <c r="F126" s="8" t="s">
        <v>243</v>
      </c>
      <c r="G126" s="8" t="s">
        <v>16</v>
      </c>
      <c r="H126" s="7" t="s">
        <v>284</v>
      </c>
    </row>
    <row r="127" spans="1:8" ht="60" customHeight="1" x14ac:dyDescent="0.25">
      <c r="A127" s="7" t="s">
        <v>242</v>
      </c>
      <c r="B127" s="7" t="s">
        <v>16</v>
      </c>
      <c r="C127" s="7" t="s">
        <v>4</v>
      </c>
      <c r="D127" s="7" t="s">
        <v>17</v>
      </c>
      <c r="E127" s="5">
        <v>10.99</v>
      </c>
      <c r="F127" s="7" t="s">
        <v>244</v>
      </c>
      <c r="G127" s="7" t="s">
        <v>16</v>
      </c>
      <c r="H127" s="7" t="s">
        <v>284</v>
      </c>
    </row>
    <row r="128" spans="1:8" ht="60" customHeight="1" x14ac:dyDescent="0.25">
      <c r="A128" s="8" t="s">
        <v>245</v>
      </c>
      <c r="B128" s="8" t="s">
        <v>16</v>
      </c>
      <c r="C128" s="8" t="s">
        <v>4</v>
      </c>
      <c r="D128" s="8" t="s">
        <v>17</v>
      </c>
      <c r="E128" s="6">
        <v>6.99</v>
      </c>
      <c r="F128" s="8" t="s">
        <v>246</v>
      </c>
      <c r="G128" s="8" t="s">
        <v>16</v>
      </c>
      <c r="H128" s="7" t="s">
        <v>284</v>
      </c>
    </row>
    <row r="129" spans="1:8" ht="60" customHeight="1" x14ac:dyDescent="0.25">
      <c r="A129" s="7" t="s">
        <v>247</v>
      </c>
      <c r="B129" s="7" t="s">
        <v>248</v>
      </c>
      <c r="C129" s="7" t="s">
        <v>4</v>
      </c>
      <c r="D129" s="7" t="s">
        <v>17</v>
      </c>
      <c r="E129" s="5">
        <v>695</v>
      </c>
      <c r="F129" s="7" t="s">
        <v>249</v>
      </c>
      <c r="G129" s="7" t="s">
        <v>248</v>
      </c>
      <c r="H129" s="7" t="s">
        <v>248</v>
      </c>
    </row>
    <row r="130" spans="1:8" ht="60" customHeight="1" x14ac:dyDescent="0.25">
      <c r="A130" s="8" t="s">
        <v>250</v>
      </c>
      <c r="B130" s="8" t="s">
        <v>37</v>
      </c>
      <c r="C130" s="8" t="s">
        <v>4</v>
      </c>
      <c r="D130" s="8" t="s">
        <v>17</v>
      </c>
      <c r="E130" s="6">
        <v>16.41</v>
      </c>
      <c r="F130" s="8" t="s">
        <v>251</v>
      </c>
      <c r="G130" s="8" t="s">
        <v>37</v>
      </c>
      <c r="H130" s="7" t="s">
        <v>284</v>
      </c>
    </row>
    <row r="131" spans="1:8" ht="60" customHeight="1" x14ac:dyDescent="0.25">
      <c r="A131" s="7" t="s">
        <v>252</v>
      </c>
      <c r="B131" s="7" t="s">
        <v>16</v>
      </c>
      <c r="C131" s="7" t="s">
        <v>4</v>
      </c>
      <c r="D131" s="7" t="s">
        <v>17</v>
      </c>
      <c r="E131" s="5">
        <v>6.99</v>
      </c>
      <c r="F131" s="7" t="s">
        <v>253</v>
      </c>
      <c r="G131" s="7" t="s">
        <v>16</v>
      </c>
      <c r="H131" s="7" t="s">
        <v>284</v>
      </c>
    </row>
    <row r="132" spans="1:8" ht="60" customHeight="1" x14ac:dyDescent="0.25">
      <c r="A132" s="8" t="s">
        <v>252</v>
      </c>
      <c r="B132" s="8" t="s">
        <v>16</v>
      </c>
      <c r="C132" s="8" t="s">
        <v>4</v>
      </c>
      <c r="D132" s="8" t="s">
        <v>17</v>
      </c>
      <c r="E132" s="6">
        <v>9.99</v>
      </c>
      <c r="F132" s="8" t="s">
        <v>254</v>
      </c>
      <c r="G132" s="8" t="s">
        <v>16</v>
      </c>
      <c r="H132" s="7" t="s">
        <v>284</v>
      </c>
    </row>
    <row r="133" spans="1:8" ht="60" customHeight="1" x14ac:dyDescent="0.25">
      <c r="A133" s="7" t="s">
        <v>252</v>
      </c>
      <c r="B133" s="7" t="s">
        <v>16</v>
      </c>
      <c r="C133" s="7" t="s">
        <v>4</v>
      </c>
      <c r="D133" s="7" t="s">
        <v>17</v>
      </c>
      <c r="E133" s="5">
        <v>12.99</v>
      </c>
      <c r="F133" s="7" t="s">
        <v>255</v>
      </c>
      <c r="G133" s="7" t="s">
        <v>16</v>
      </c>
      <c r="H133" s="7" t="s">
        <v>284</v>
      </c>
    </row>
    <row r="134" spans="1:8" ht="60" customHeight="1" x14ac:dyDescent="0.25">
      <c r="A134" s="8" t="s">
        <v>256</v>
      </c>
      <c r="B134" s="8" t="s">
        <v>22</v>
      </c>
      <c r="C134" s="8" t="s">
        <v>4</v>
      </c>
      <c r="D134" s="8" t="s">
        <v>17</v>
      </c>
      <c r="E134" s="6">
        <v>-74.349999999999994</v>
      </c>
      <c r="F134" s="8" t="s">
        <v>23</v>
      </c>
      <c r="G134" s="8" t="s">
        <v>22</v>
      </c>
      <c r="H134" s="8" t="s">
        <v>283</v>
      </c>
    </row>
    <row r="135" spans="1:8" ht="60" customHeight="1" x14ac:dyDescent="0.25">
      <c r="A135" s="7" t="s">
        <v>257</v>
      </c>
      <c r="B135" s="7" t="s">
        <v>16</v>
      </c>
      <c r="C135" s="7" t="s">
        <v>4</v>
      </c>
      <c r="D135" s="7" t="s">
        <v>17</v>
      </c>
      <c r="E135" s="5">
        <v>9.99</v>
      </c>
      <c r="F135" s="7" t="s">
        <v>258</v>
      </c>
      <c r="G135" s="7" t="s">
        <v>16</v>
      </c>
      <c r="H135" s="7" t="s">
        <v>284</v>
      </c>
    </row>
    <row r="136" spans="1:8" ht="60" customHeight="1" x14ac:dyDescent="0.25">
      <c r="A136" s="8" t="s">
        <v>259</v>
      </c>
      <c r="B136" s="8" t="s">
        <v>16</v>
      </c>
      <c r="C136" s="8" t="s">
        <v>4</v>
      </c>
      <c r="D136" s="8" t="s">
        <v>17</v>
      </c>
      <c r="E136" s="6">
        <v>9.99</v>
      </c>
      <c r="F136" s="8" t="s">
        <v>260</v>
      </c>
      <c r="G136" s="8" t="s">
        <v>16</v>
      </c>
      <c r="H136" s="7" t="s">
        <v>284</v>
      </c>
    </row>
    <row r="137" spans="1:8" ht="60" customHeight="1" x14ac:dyDescent="0.25">
      <c r="A137" s="7" t="s">
        <v>259</v>
      </c>
      <c r="B137" s="7" t="s">
        <v>16</v>
      </c>
      <c r="C137" s="7" t="s">
        <v>4</v>
      </c>
      <c r="D137" s="7" t="s">
        <v>17</v>
      </c>
      <c r="E137" s="5">
        <v>10.99</v>
      </c>
      <c r="F137" s="7" t="s">
        <v>261</v>
      </c>
      <c r="G137" s="7" t="s">
        <v>16</v>
      </c>
      <c r="H137" s="7" t="s">
        <v>284</v>
      </c>
    </row>
    <row r="138" spans="1:8" ht="60" customHeight="1" x14ac:dyDescent="0.25">
      <c r="A138" s="8" t="s">
        <v>262</v>
      </c>
      <c r="B138" s="8" t="s">
        <v>16</v>
      </c>
      <c r="C138" s="8" t="s">
        <v>4</v>
      </c>
      <c r="D138" s="8" t="s">
        <v>17</v>
      </c>
      <c r="E138" s="6">
        <v>6.99</v>
      </c>
      <c r="F138" s="8" t="s">
        <v>263</v>
      </c>
      <c r="G138" s="8" t="s">
        <v>16</v>
      </c>
      <c r="H138" s="7" t="s">
        <v>284</v>
      </c>
    </row>
    <row r="139" spans="1:8" ht="60" customHeight="1" x14ac:dyDescent="0.25">
      <c r="A139" s="7" t="s">
        <v>264</v>
      </c>
      <c r="B139" s="7" t="s">
        <v>37</v>
      </c>
      <c r="C139" s="7" t="s">
        <v>4</v>
      </c>
      <c r="D139" s="7" t="s">
        <v>17</v>
      </c>
      <c r="E139" s="5">
        <v>16.41</v>
      </c>
      <c r="F139" s="7" t="s">
        <v>265</v>
      </c>
      <c r="G139" s="7" t="s">
        <v>37</v>
      </c>
      <c r="H139" s="7" t="s">
        <v>284</v>
      </c>
    </row>
    <row r="140" spans="1:8" ht="60" customHeight="1" x14ac:dyDescent="0.25">
      <c r="A140" s="8" t="s">
        <v>266</v>
      </c>
      <c r="B140" s="8" t="s">
        <v>16</v>
      </c>
      <c r="C140" s="8" t="s">
        <v>4</v>
      </c>
      <c r="D140" s="8" t="s">
        <v>17</v>
      </c>
      <c r="E140" s="6">
        <v>12.99</v>
      </c>
      <c r="F140" s="8" t="s">
        <v>267</v>
      </c>
      <c r="G140" s="8" t="s">
        <v>16</v>
      </c>
      <c r="H140" s="7" t="s">
        <v>284</v>
      </c>
    </row>
    <row r="141" spans="1:8" ht="60" customHeight="1" x14ac:dyDescent="0.25">
      <c r="A141" s="7" t="s">
        <v>268</v>
      </c>
      <c r="B141" s="7" t="s">
        <v>22</v>
      </c>
      <c r="C141" s="7" t="s">
        <v>4</v>
      </c>
      <c r="D141" s="7" t="s">
        <v>17</v>
      </c>
      <c r="E141" s="5">
        <v>-142.32</v>
      </c>
      <c r="F141" s="7" t="s">
        <v>23</v>
      </c>
      <c r="G141" s="7" t="s">
        <v>22</v>
      </c>
      <c r="H141" s="7" t="s">
        <v>283</v>
      </c>
    </row>
    <row r="142" spans="1:8" ht="60" customHeight="1" x14ac:dyDescent="0.25">
      <c r="A142" s="8" t="s">
        <v>268</v>
      </c>
      <c r="B142" s="8" t="s">
        <v>16</v>
      </c>
      <c r="C142" s="8" t="s">
        <v>4</v>
      </c>
      <c r="D142" s="8" t="s">
        <v>17</v>
      </c>
      <c r="E142" s="6">
        <v>6.99</v>
      </c>
      <c r="F142" s="8" t="s">
        <v>269</v>
      </c>
      <c r="G142" s="8" t="s">
        <v>16</v>
      </c>
      <c r="H142" s="7" t="s">
        <v>284</v>
      </c>
    </row>
    <row r="143" spans="1:8" ht="60" customHeight="1" x14ac:dyDescent="0.25">
      <c r="A143" s="7" t="s">
        <v>270</v>
      </c>
      <c r="B143" s="7" t="s">
        <v>150</v>
      </c>
      <c r="C143" s="7" t="s">
        <v>4</v>
      </c>
      <c r="D143" s="7" t="s">
        <v>17</v>
      </c>
      <c r="E143" s="5">
        <v>40</v>
      </c>
      <c r="F143" s="7" t="s">
        <v>151</v>
      </c>
      <c r="G143" s="7" t="s">
        <v>150</v>
      </c>
      <c r="H143" s="7" t="s">
        <v>150</v>
      </c>
    </row>
    <row r="144" spans="1:8" ht="60" customHeight="1" x14ac:dyDescent="0.25">
      <c r="A144" s="8" t="s">
        <v>270</v>
      </c>
      <c r="B144" s="8" t="s">
        <v>16</v>
      </c>
      <c r="C144" s="8" t="s">
        <v>4</v>
      </c>
      <c r="D144" s="8" t="s">
        <v>17</v>
      </c>
      <c r="E144" s="6">
        <v>8.99</v>
      </c>
      <c r="F144" s="8" t="s">
        <v>271</v>
      </c>
      <c r="G144" s="8" t="s">
        <v>16</v>
      </c>
      <c r="H144" s="7" t="s">
        <v>284</v>
      </c>
    </row>
    <row r="145" spans="1:8" ht="60" customHeight="1" x14ac:dyDescent="0.25">
      <c r="A145" s="7" t="s">
        <v>272</v>
      </c>
      <c r="B145" s="7" t="s">
        <v>16</v>
      </c>
      <c r="C145" s="7" t="s">
        <v>4</v>
      </c>
      <c r="D145" s="7" t="s">
        <v>17</v>
      </c>
      <c r="E145" s="5">
        <v>9.99</v>
      </c>
      <c r="F145" s="7" t="s">
        <v>273</v>
      </c>
      <c r="G145" s="7" t="s">
        <v>16</v>
      </c>
      <c r="H145" s="7" t="s">
        <v>284</v>
      </c>
    </row>
    <row r="146" spans="1:8" ht="60" customHeight="1" x14ac:dyDescent="0.25">
      <c r="A146" s="8" t="s">
        <v>274</v>
      </c>
      <c r="B146" s="8" t="s">
        <v>16</v>
      </c>
      <c r="C146" s="8" t="s">
        <v>4</v>
      </c>
      <c r="D146" s="8" t="s">
        <v>17</v>
      </c>
      <c r="E146" s="6">
        <v>9.99</v>
      </c>
      <c r="F146" s="8" t="s">
        <v>275</v>
      </c>
      <c r="G146" s="8" t="s">
        <v>16</v>
      </c>
      <c r="H146" s="7" t="s">
        <v>284</v>
      </c>
    </row>
    <row r="147" spans="1:8" ht="60" customHeight="1" x14ac:dyDescent="0.25">
      <c r="A147" s="7" t="s">
        <v>274</v>
      </c>
      <c r="B147" s="7" t="s">
        <v>16</v>
      </c>
      <c r="C147" s="7" t="s">
        <v>4</v>
      </c>
      <c r="D147" s="7" t="s">
        <v>17</v>
      </c>
      <c r="E147" s="5">
        <v>10.99</v>
      </c>
      <c r="F147" s="7" t="s">
        <v>276</v>
      </c>
      <c r="G147" s="7" t="s">
        <v>16</v>
      </c>
      <c r="H147" s="7" t="s">
        <v>284</v>
      </c>
    </row>
    <row r="148" spans="1:8" ht="60" customHeight="1" x14ac:dyDescent="0.25">
      <c r="A148" s="8" t="s">
        <v>277</v>
      </c>
      <c r="B148" s="8" t="s">
        <v>16</v>
      </c>
      <c r="C148" s="8" t="s">
        <v>4</v>
      </c>
      <c r="D148" s="8" t="s">
        <v>17</v>
      </c>
      <c r="E148" s="6">
        <v>6.99</v>
      </c>
      <c r="F148" s="8" t="s">
        <v>278</v>
      </c>
      <c r="G148" s="8" t="s">
        <v>16</v>
      </c>
      <c r="H148" s="7" t="s">
        <v>284</v>
      </c>
    </row>
    <row r="149" spans="1:8" ht="60" customHeight="1" x14ac:dyDescent="0.25">
      <c r="A149" s="7" t="s">
        <v>279</v>
      </c>
      <c r="B149" s="7" t="s">
        <v>37</v>
      </c>
      <c r="C149" s="7" t="s">
        <v>4</v>
      </c>
      <c r="D149" s="7" t="s">
        <v>17</v>
      </c>
      <c r="E149" s="5">
        <v>16.41</v>
      </c>
      <c r="F149" s="7" t="s">
        <v>280</v>
      </c>
      <c r="G149" s="7" t="s">
        <v>37</v>
      </c>
      <c r="H149" s="7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3B41-F9B0-4C31-9BB2-15A31FBB6FBA}">
  <dimension ref="A1:H61"/>
  <sheetViews>
    <sheetView topLeftCell="A39" workbookViewId="0">
      <selection activeCell="I61" sqref="I61"/>
    </sheetView>
  </sheetViews>
  <sheetFormatPr defaultColWidth="26.28515625" defaultRowHeight="15" x14ac:dyDescent="0.25"/>
  <cols>
    <col min="1" max="2" width="26.28515625" style="41"/>
    <col min="3" max="6" width="8.28515625" style="41" customWidth="1"/>
    <col min="7" max="16384" width="26.28515625" style="41"/>
  </cols>
  <sheetData>
    <row r="1" spans="1:8" s="41" customFormat="1" ht="30" x14ac:dyDescent="0.25">
      <c r="A1" s="49" t="s">
        <v>1</v>
      </c>
      <c r="B1" s="49" t="s">
        <v>424</v>
      </c>
    </row>
    <row r="2" spans="1:8" s="41" customFormat="1" x14ac:dyDescent="0.25">
      <c r="A2" s="47" t="s">
        <v>3</v>
      </c>
      <c r="B2" s="47" t="s">
        <v>0</v>
      </c>
    </row>
    <row r="3" spans="1:8" s="41" customFormat="1" x14ac:dyDescent="0.25">
      <c r="A3" s="48" t="s">
        <v>4</v>
      </c>
      <c r="B3" s="48" t="s">
        <v>0</v>
      </c>
    </row>
    <row r="4" spans="1:8" s="41" customFormat="1" x14ac:dyDescent="0.25">
      <c r="A4" s="47" t="s">
        <v>5</v>
      </c>
      <c r="B4" s="47" t="s">
        <v>0</v>
      </c>
    </row>
    <row r="5" spans="1:8" s="41" customFormat="1" x14ac:dyDescent="0.25">
      <c r="A5" s="48" t="s">
        <v>6</v>
      </c>
      <c r="B5" s="48" t="s">
        <v>0</v>
      </c>
    </row>
    <row r="6" spans="1:8" s="41" customFormat="1" x14ac:dyDescent="0.25">
      <c r="A6" s="47" t="s">
        <v>0</v>
      </c>
      <c r="B6" s="47" t="s">
        <v>0</v>
      </c>
    </row>
    <row r="7" spans="1:8" s="41" customFormat="1" ht="45" x14ac:dyDescent="0.25">
      <c r="A7" s="46" t="s">
        <v>7</v>
      </c>
      <c r="B7" s="46" t="s">
        <v>8</v>
      </c>
      <c r="C7" s="46" t="s">
        <v>9</v>
      </c>
      <c r="D7" s="46" t="s">
        <v>10</v>
      </c>
      <c r="E7" s="46" t="s">
        <v>11</v>
      </c>
      <c r="F7" s="46" t="s">
        <v>12</v>
      </c>
      <c r="G7" s="46" t="s">
        <v>13</v>
      </c>
      <c r="H7" s="46" t="s">
        <v>14</v>
      </c>
    </row>
    <row r="8" spans="1:8" s="41" customFormat="1" ht="60" customHeight="1" x14ac:dyDescent="0.25">
      <c r="A8" s="42" t="s">
        <v>422</v>
      </c>
      <c r="B8" s="42" t="s">
        <v>52</v>
      </c>
      <c r="C8" s="42" t="s">
        <v>4</v>
      </c>
      <c r="D8" s="42" t="s">
        <v>17</v>
      </c>
      <c r="E8" s="45">
        <v>35.04</v>
      </c>
      <c r="F8" s="42" t="s">
        <v>423</v>
      </c>
      <c r="G8" s="42" t="s">
        <v>52</v>
      </c>
      <c r="H8" s="42" t="s">
        <v>284</v>
      </c>
    </row>
    <row r="9" spans="1:8" s="41" customFormat="1" ht="60" customHeight="1" x14ac:dyDescent="0.25">
      <c r="A9" s="43" t="s">
        <v>422</v>
      </c>
      <c r="B9" s="43" t="s">
        <v>22</v>
      </c>
      <c r="C9" s="43" t="s">
        <v>4</v>
      </c>
      <c r="D9" s="43" t="s">
        <v>17</v>
      </c>
      <c r="E9" s="44">
        <v>-40.96</v>
      </c>
      <c r="F9" s="43" t="s">
        <v>23</v>
      </c>
      <c r="G9" s="43" t="s">
        <v>22</v>
      </c>
      <c r="H9" s="43" t="s">
        <v>283</v>
      </c>
    </row>
    <row r="10" spans="1:8" s="41" customFormat="1" ht="60" customHeight="1" x14ac:dyDescent="0.25">
      <c r="A10" s="42" t="s">
        <v>421</v>
      </c>
      <c r="B10" s="42" t="s">
        <v>361</v>
      </c>
      <c r="C10" s="42" t="s">
        <v>4</v>
      </c>
      <c r="D10" s="42" t="s">
        <v>17</v>
      </c>
      <c r="E10" s="45">
        <v>12.99</v>
      </c>
      <c r="F10" s="42" t="s">
        <v>420</v>
      </c>
      <c r="G10" s="42" t="s">
        <v>361</v>
      </c>
      <c r="H10" s="42" t="s">
        <v>284</v>
      </c>
    </row>
    <row r="11" spans="1:8" s="41" customFormat="1" ht="60" customHeight="1" x14ac:dyDescent="0.25">
      <c r="A11" s="43" t="s">
        <v>419</v>
      </c>
      <c r="B11" s="43" t="s">
        <v>417</v>
      </c>
      <c r="C11" s="43" t="s">
        <v>4</v>
      </c>
      <c r="D11" s="43" t="s">
        <v>17</v>
      </c>
      <c r="E11" s="44">
        <v>4.99</v>
      </c>
      <c r="F11" s="43" t="s">
        <v>418</v>
      </c>
      <c r="G11" s="43" t="s">
        <v>417</v>
      </c>
      <c r="H11" s="42" t="s">
        <v>284</v>
      </c>
    </row>
    <row r="12" spans="1:8" s="41" customFormat="1" ht="60" customHeight="1" x14ac:dyDescent="0.25">
      <c r="A12" s="42" t="s">
        <v>415</v>
      </c>
      <c r="B12" s="42" t="s">
        <v>361</v>
      </c>
      <c r="C12" s="42" t="s">
        <v>4</v>
      </c>
      <c r="D12" s="42" t="s">
        <v>17</v>
      </c>
      <c r="E12" s="45">
        <v>10.99</v>
      </c>
      <c r="F12" s="42" t="s">
        <v>416</v>
      </c>
      <c r="G12" s="42" t="s">
        <v>361</v>
      </c>
      <c r="H12" s="42" t="s">
        <v>284</v>
      </c>
    </row>
    <row r="13" spans="1:8" s="41" customFormat="1" ht="60" customHeight="1" x14ac:dyDescent="0.25">
      <c r="A13" s="43" t="s">
        <v>415</v>
      </c>
      <c r="B13" s="43" t="s">
        <v>361</v>
      </c>
      <c r="C13" s="43" t="s">
        <v>4</v>
      </c>
      <c r="D13" s="43" t="s">
        <v>17</v>
      </c>
      <c r="E13" s="44">
        <v>11.99</v>
      </c>
      <c r="F13" s="43" t="s">
        <v>414</v>
      </c>
      <c r="G13" s="43" t="s">
        <v>361</v>
      </c>
      <c r="H13" s="42" t="s">
        <v>284</v>
      </c>
    </row>
    <row r="14" spans="1:8" s="41" customFormat="1" ht="60" customHeight="1" x14ac:dyDescent="0.25">
      <c r="A14" s="42" t="s">
        <v>413</v>
      </c>
      <c r="B14" s="42" t="s">
        <v>22</v>
      </c>
      <c r="C14" s="42" t="s">
        <v>4</v>
      </c>
      <c r="D14" s="42" t="s">
        <v>17</v>
      </c>
      <c r="E14" s="45">
        <v>-103.36</v>
      </c>
      <c r="F14" s="42" t="s">
        <v>23</v>
      </c>
      <c r="G14" s="42" t="s">
        <v>22</v>
      </c>
      <c r="H14" s="42" t="s">
        <v>283</v>
      </c>
    </row>
    <row r="15" spans="1:8" s="41" customFormat="1" ht="60" customHeight="1" x14ac:dyDescent="0.25">
      <c r="A15" s="43" t="s">
        <v>412</v>
      </c>
      <c r="B15" s="43" t="s">
        <v>361</v>
      </c>
      <c r="C15" s="43" t="s">
        <v>4</v>
      </c>
      <c r="D15" s="43" t="s">
        <v>17</v>
      </c>
      <c r="E15" s="44">
        <v>6.99</v>
      </c>
      <c r="F15" s="43" t="s">
        <v>411</v>
      </c>
      <c r="G15" s="43" t="s">
        <v>361</v>
      </c>
      <c r="H15" s="42" t="s">
        <v>284</v>
      </c>
    </row>
    <row r="16" spans="1:8" s="41" customFormat="1" ht="60" customHeight="1" x14ac:dyDescent="0.25">
      <c r="A16" s="42" t="s">
        <v>410</v>
      </c>
      <c r="B16" s="42" t="s">
        <v>37</v>
      </c>
      <c r="C16" s="42" t="s">
        <v>4</v>
      </c>
      <c r="D16" s="42" t="s">
        <v>17</v>
      </c>
      <c r="E16" s="45">
        <v>16.45</v>
      </c>
      <c r="F16" s="42" t="s">
        <v>409</v>
      </c>
      <c r="G16" s="42" t="s">
        <v>37</v>
      </c>
      <c r="H16" s="42" t="s">
        <v>284</v>
      </c>
    </row>
    <row r="17" spans="1:8" s="41" customFormat="1" ht="60" customHeight="1" x14ac:dyDescent="0.25">
      <c r="A17" s="43" t="s">
        <v>408</v>
      </c>
      <c r="B17" s="43" t="s">
        <v>361</v>
      </c>
      <c r="C17" s="43" t="s">
        <v>4</v>
      </c>
      <c r="D17" s="43" t="s">
        <v>17</v>
      </c>
      <c r="E17" s="44">
        <v>13.99</v>
      </c>
      <c r="F17" s="43" t="s">
        <v>407</v>
      </c>
      <c r="G17" s="43" t="s">
        <v>361</v>
      </c>
      <c r="H17" s="42" t="s">
        <v>284</v>
      </c>
    </row>
    <row r="18" spans="1:8" s="41" customFormat="1" ht="60" customHeight="1" x14ac:dyDescent="0.25">
      <c r="A18" s="42" t="s">
        <v>406</v>
      </c>
      <c r="B18" s="42" t="s">
        <v>361</v>
      </c>
      <c r="C18" s="42" t="s">
        <v>4</v>
      </c>
      <c r="D18" s="42" t="s">
        <v>17</v>
      </c>
      <c r="E18" s="45">
        <v>7.99</v>
      </c>
      <c r="F18" s="42" t="s">
        <v>405</v>
      </c>
      <c r="G18" s="42" t="s">
        <v>361</v>
      </c>
      <c r="H18" s="42" t="s">
        <v>284</v>
      </c>
    </row>
    <row r="19" spans="1:8" s="41" customFormat="1" ht="60" customHeight="1" x14ac:dyDescent="0.25">
      <c r="A19" s="43" t="s">
        <v>404</v>
      </c>
      <c r="B19" s="43" t="s">
        <v>361</v>
      </c>
      <c r="C19" s="43" t="s">
        <v>4</v>
      </c>
      <c r="D19" s="43" t="s">
        <v>17</v>
      </c>
      <c r="E19" s="44">
        <v>10.99</v>
      </c>
      <c r="F19" s="43" t="s">
        <v>403</v>
      </c>
      <c r="G19" s="43" t="s">
        <v>361</v>
      </c>
      <c r="H19" s="42" t="s">
        <v>284</v>
      </c>
    </row>
    <row r="20" spans="1:8" s="41" customFormat="1" ht="60" customHeight="1" x14ac:dyDescent="0.25">
      <c r="A20" s="42" t="s">
        <v>402</v>
      </c>
      <c r="B20" s="42" t="s">
        <v>361</v>
      </c>
      <c r="C20" s="42" t="s">
        <v>4</v>
      </c>
      <c r="D20" s="42" t="s">
        <v>17</v>
      </c>
      <c r="E20" s="45">
        <v>12.99</v>
      </c>
      <c r="F20" s="42" t="s">
        <v>401</v>
      </c>
      <c r="G20" s="42" t="s">
        <v>361</v>
      </c>
      <c r="H20" s="42" t="s">
        <v>284</v>
      </c>
    </row>
    <row r="21" spans="1:8" s="41" customFormat="1" ht="60" customHeight="1" x14ac:dyDescent="0.25">
      <c r="A21" s="43" t="s">
        <v>400</v>
      </c>
      <c r="B21" s="43" t="s">
        <v>398</v>
      </c>
      <c r="C21" s="43" t="s">
        <v>4</v>
      </c>
      <c r="D21" s="43" t="s">
        <v>17</v>
      </c>
      <c r="E21" s="44">
        <v>4.99</v>
      </c>
      <c r="F21" s="43" t="s">
        <v>399</v>
      </c>
      <c r="G21" s="43" t="s">
        <v>398</v>
      </c>
      <c r="H21" s="42" t="s">
        <v>284</v>
      </c>
    </row>
    <row r="22" spans="1:8" s="41" customFormat="1" ht="60" customHeight="1" x14ac:dyDescent="0.25">
      <c r="A22" s="42" t="s">
        <v>396</v>
      </c>
      <c r="B22" s="42" t="s">
        <v>361</v>
      </c>
      <c r="C22" s="42" t="s">
        <v>4</v>
      </c>
      <c r="D22" s="42" t="s">
        <v>17</v>
      </c>
      <c r="E22" s="45">
        <v>10.99</v>
      </c>
      <c r="F22" s="42" t="s">
        <v>397</v>
      </c>
      <c r="G22" s="42" t="s">
        <v>361</v>
      </c>
      <c r="H22" s="42" t="s">
        <v>284</v>
      </c>
    </row>
    <row r="23" spans="1:8" s="41" customFormat="1" ht="60" customHeight="1" x14ac:dyDescent="0.25">
      <c r="A23" s="43" t="s">
        <v>396</v>
      </c>
      <c r="B23" s="43" t="s">
        <v>361</v>
      </c>
      <c r="C23" s="43" t="s">
        <v>4</v>
      </c>
      <c r="D23" s="43" t="s">
        <v>17</v>
      </c>
      <c r="E23" s="44">
        <v>10.99</v>
      </c>
      <c r="F23" s="43" t="s">
        <v>395</v>
      </c>
      <c r="G23" s="43" t="s">
        <v>361</v>
      </c>
      <c r="H23" s="42" t="s">
        <v>284</v>
      </c>
    </row>
    <row r="24" spans="1:8" s="41" customFormat="1" ht="60" customHeight="1" x14ac:dyDescent="0.25">
      <c r="A24" s="42" t="s">
        <v>394</v>
      </c>
      <c r="B24" s="42" t="s">
        <v>361</v>
      </c>
      <c r="C24" s="42" t="s">
        <v>4</v>
      </c>
      <c r="D24" s="42" t="s">
        <v>17</v>
      </c>
      <c r="E24" s="45">
        <v>6.99</v>
      </c>
      <c r="F24" s="42" t="s">
        <v>393</v>
      </c>
      <c r="G24" s="42" t="s">
        <v>361</v>
      </c>
      <c r="H24" s="42" t="s">
        <v>284</v>
      </c>
    </row>
    <row r="25" spans="1:8" s="41" customFormat="1" ht="60" customHeight="1" x14ac:dyDescent="0.25">
      <c r="A25" s="43" t="s">
        <v>392</v>
      </c>
      <c r="B25" s="43" t="s">
        <v>22</v>
      </c>
      <c r="C25" s="43" t="s">
        <v>4</v>
      </c>
      <c r="D25" s="43" t="s">
        <v>17</v>
      </c>
      <c r="E25" s="44">
        <v>-172.09</v>
      </c>
      <c r="F25" s="43" t="s">
        <v>23</v>
      </c>
      <c r="G25" s="43" t="s">
        <v>22</v>
      </c>
      <c r="H25" s="43" t="s">
        <v>283</v>
      </c>
    </row>
    <row r="26" spans="1:8" s="41" customFormat="1" ht="60" customHeight="1" x14ac:dyDescent="0.25">
      <c r="A26" s="42" t="s">
        <v>391</v>
      </c>
      <c r="B26" s="42" t="s">
        <v>389</v>
      </c>
      <c r="C26" s="42" t="s">
        <v>4</v>
      </c>
      <c r="D26" s="42" t="s">
        <v>17</v>
      </c>
      <c r="E26" s="45">
        <v>122.67</v>
      </c>
      <c r="F26" s="42" t="s">
        <v>390</v>
      </c>
      <c r="G26" s="42" t="s">
        <v>389</v>
      </c>
      <c r="H26" s="42" t="s">
        <v>285</v>
      </c>
    </row>
    <row r="27" spans="1:8" s="41" customFormat="1" ht="60" customHeight="1" x14ac:dyDescent="0.25">
      <c r="A27" s="43" t="s">
        <v>388</v>
      </c>
      <c r="B27" s="43" t="s">
        <v>37</v>
      </c>
      <c r="C27" s="43" t="s">
        <v>4</v>
      </c>
      <c r="D27" s="43" t="s">
        <v>17</v>
      </c>
      <c r="E27" s="44">
        <v>16.45</v>
      </c>
      <c r="F27" s="43" t="s">
        <v>387</v>
      </c>
      <c r="G27" s="43" t="s">
        <v>37</v>
      </c>
      <c r="H27" s="42" t="s">
        <v>284</v>
      </c>
    </row>
    <row r="28" spans="1:8" s="41" customFormat="1" ht="60" customHeight="1" x14ac:dyDescent="0.25">
      <c r="A28" s="42" t="s">
        <v>386</v>
      </c>
      <c r="B28" s="42" t="s">
        <v>361</v>
      </c>
      <c r="C28" s="42" t="s">
        <v>4</v>
      </c>
      <c r="D28" s="42" t="s">
        <v>17</v>
      </c>
      <c r="E28" s="45">
        <v>13.99</v>
      </c>
      <c r="F28" s="42" t="s">
        <v>385</v>
      </c>
      <c r="G28" s="42" t="s">
        <v>361</v>
      </c>
      <c r="H28" s="42" t="s">
        <v>284</v>
      </c>
    </row>
    <row r="29" spans="1:8" s="41" customFormat="1" ht="60" customHeight="1" x14ac:dyDescent="0.25">
      <c r="A29" s="43" t="s">
        <v>384</v>
      </c>
      <c r="B29" s="43" t="s">
        <v>361</v>
      </c>
      <c r="C29" s="43" t="s">
        <v>4</v>
      </c>
      <c r="D29" s="43" t="s">
        <v>17</v>
      </c>
      <c r="E29" s="44">
        <v>7.99</v>
      </c>
      <c r="F29" s="43" t="s">
        <v>383</v>
      </c>
      <c r="G29" s="43" t="s">
        <v>361</v>
      </c>
      <c r="H29" s="42" t="s">
        <v>284</v>
      </c>
    </row>
    <row r="30" spans="1:8" s="41" customFormat="1" ht="60" customHeight="1" x14ac:dyDescent="0.25">
      <c r="A30" s="42" t="s">
        <v>381</v>
      </c>
      <c r="B30" s="42" t="s">
        <v>361</v>
      </c>
      <c r="C30" s="42" t="s">
        <v>4</v>
      </c>
      <c r="D30" s="42" t="s">
        <v>17</v>
      </c>
      <c r="E30" s="45">
        <v>10.99</v>
      </c>
      <c r="F30" s="42" t="s">
        <v>382</v>
      </c>
      <c r="G30" s="42" t="s">
        <v>361</v>
      </c>
      <c r="H30" s="42" t="s">
        <v>284</v>
      </c>
    </row>
    <row r="31" spans="1:8" s="41" customFormat="1" ht="60" customHeight="1" x14ac:dyDescent="0.25">
      <c r="A31" s="43" t="s">
        <v>381</v>
      </c>
      <c r="B31" s="43" t="s">
        <v>22</v>
      </c>
      <c r="C31" s="43" t="s">
        <v>4</v>
      </c>
      <c r="D31" s="43" t="s">
        <v>17</v>
      </c>
      <c r="E31" s="44">
        <v>-1237.3699999999999</v>
      </c>
      <c r="F31" s="43" t="s">
        <v>23</v>
      </c>
      <c r="G31" s="43" t="s">
        <v>22</v>
      </c>
      <c r="H31" s="43" t="s">
        <v>283</v>
      </c>
    </row>
    <row r="32" spans="1:8" s="41" customFormat="1" ht="60" customHeight="1" x14ac:dyDescent="0.25">
      <c r="A32" s="42" t="s">
        <v>380</v>
      </c>
      <c r="B32" s="42" t="s">
        <v>361</v>
      </c>
      <c r="C32" s="42" t="s">
        <v>4</v>
      </c>
      <c r="D32" s="42" t="s">
        <v>17</v>
      </c>
      <c r="E32" s="45">
        <v>12.99</v>
      </c>
      <c r="F32" s="42" t="s">
        <v>379</v>
      </c>
      <c r="G32" s="42" t="s">
        <v>361</v>
      </c>
      <c r="H32" s="42" t="s">
        <v>284</v>
      </c>
    </row>
    <row r="33" spans="1:8" s="41" customFormat="1" ht="60" customHeight="1" x14ac:dyDescent="0.25">
      <c r="A33" s="43" t="s">
        <v>378</v>
      </c>
      <c r="B33" s="43" t="s">
        <v>376</v>
      </c>
      <c r="C33" s="43" t="s">
        <v>4</v>
      </c>
      <c r="D33" s="43" t="s">
        <v>17</v>
      </c>
      <c r="E33" s="44">
        <v>2.99</v>
      </c>
      <c r="F33" s="43" t="s">
        <v>377</v>
      </c>
      <c r="G33" s="43" t="s">
        <v>376</v>
      </c>
      <c r="H33" s="42" t="s">
        <v>284</v>
      </c>
    </row>
    <row r="34" spans="1:8" s="41" customFormat="1" ht="60" customHeight="1" x14ac:dyDescent="0.25">
      <c r="A34" s="42" t="s">
        <v>374</v>
      </c>
      <c r="B34" s="42" t="s">
        <v>361</v>
      </c>
      <c r="C34" s="42" t="s">
        <v>4</v>
      </c>
      <c r="D34" s="42" t="s">
        <v>17</v>
      </c>
      <c r="E34" s="45">
        <v>10.99</v>
      </c>
      <c r="F34" s="42" t="s">
        <v>375</v>
      </c>
      <c r="G34" s="42" t="s">
        <v>361</v>
      </c>
      <c r="H34" s="42" t="s">
        <v>284</v>
      </c>
    </row>
    <row r="35" spans="1:8" s="41" customFormat="1" ht="60" customHeight="1" x14ac:dyDescent="0.25">
      <c r="A35" s="43" t="s">
        <v>374</v>
      </c>
      <c r="B35" s="43" t="s">
        <v>361</v>
      </c>
      <c r="C35" s="43" t="s">
        <v>4</v>
      </c>
      <c r="D35" s="43" t="s">
        <v>17</v>
      </c>
      <c r="E35" s="44">
        <v>10.99</v>
      </c>
      <c r="F35" s="43" t="s">
        <v>373</v>
      </c>
      <c r="G35" s="43" t="s">
        <v>361</v>
      </c>
      <c r="H35" s="42" t="s">
        <v>284</v>
      </c>
    </row>
    <row r="36" spans="1:8" s="41" customFormat="1" ht="60" customHeight="1" x14ac:dyDescent="0.25">
      <c r="A36" s="42" t="s">
        <v>372</v>
      </c>
      <c r="B36" s="42" t="s">
        <v>361</v>
      </c>
      <c r="C36" s="42" t="s">
        <v>4</v>
      </c>
      <c r="D36" s="42" t="s">
        <v>17</v>
      </c>
      <c r="E36" s="45">
        <v>6.99</v>
      </c>
      <c r="F36" s="42" t="s">
        <v>371</v>
      </c>
      <c r="G36" s="42" t="s">
        <v>361</v>
      </c>
      <c r="H36" s="42" t="s">
        <v>284</v>
      </c>
    </row>
    <row r="37" spans="1:8" s="41" customFormat="1" ht="60" customHeight="1" x14ac:dyDescent="0.25">
      <c r="A37" s="43" t="s">
        <v>370</v>
      </c>
      <c r="B37" s="43" t="s">
        <v>39</v>
      </c>
      <c r="C37" s="43" t="s">
        <v>4</v>
      </c>
      <c r="D37" s="43" t="s">
        <v>17</v>
      </c>
      <c r="E37" s="44">
        <v>250</v>
      </c>
      <c r="F37" s="43" t="s">
        <v>369</v>
      </c>
      <c r="G37" s="43" t="s">
        <v>39</v>
      </c>
      <c r="H37" s="43" t="s">
        <v>285</v>
      </c>
    </row>
    <row r="38" spans="1:8" s="41" customFormat="1" ht="60" customHeight="1" x14ac:dyDescent="0.25">
      <c r="A38" s="42" t="s">
        <v>368</v>
      </c>
      <c r="B38" s="42" t="s">
        <v>248</v>
      </c>
      <c r="C38" s="42" t="s">
        <v>4</v>
      </c>
      <c r="D38" s="42" t="s">
        <v>17</v>
      </c>
      <c r="E38" s="45">
        <v>895</v>
      </c>
      <c r="F38" s="42" t="s">
        <v>249</v>
      </c>
      <c r="G38" s="42" t="s">
        <v>248</v>
      </c>
      <c r="H38" s="42" t="s">
        <v>248</v>
      </c>
    </row>
    <row r="39" spans="1:8" s="41" customFormat="1" ht="60" customHeight="1" x14ac:dyDescent="0.25">
      <c r="A39" s="43" t="s">
        <v>367</v>
      </c>
      <c r="B39" s="43" t="s">
        <v>37</v>
      </c>
      <c r="C39" s="43" t="s">
        <v>4</v>
      </c>
      <c r="D39" s="43" t="s">
        <v>17</v>
      </c>
      <c r="E39" s="44">
        <v>16.45</v>
      </c>
      <c r="F39" s="43" t="s">
        <v>366</v>
      </c>
      <c r="G39" s="43" t="s">
        <v>37</v>
      </c>
      <c r="H39" s="42" t="s">
        <v>284</v>
      </c>
    </row>
    <row r="40" spans="1:8" s="41" customFormat="1" ht="60" customHeight="1" x14ac:dyDescent="0.25">
      <c r="A40" s="42" t="s">
        <v>363</v>
      </c>
      <c r="B40" s="42" t="s">
        <v>361</v>
      </c>
      <c r="C40" s="42" t="s">
        <v>4</v>
      </c>
      <c r="D40" s="42" t="s">
        <v>17</v>
      </c>
      <c r="E40" s="45">
        <v>7.99</v>
      </c>
      <c r="F40" s="42" t="s">
        <v>365</v>
      </c>
      <c r="G40" s="42" t="s">
        <v>361</v>
      </c>
      <c r="H40" s="42" t="s">
        <v>284</v>
      </c>
    </row>
    <row r="41" spans="1:8" s="41" customFormat="1" ht="60" customHeight="1" x14ac:dyDescent="0.25">
      <c r="A41" s="43" t="s">
        <v>363</v>
      </c>
      <c r="B41" s="43" t="s">
        <v>361</v>
      </c>
      <c r="C41" s="43" t="s">
        <v>4</v>
      </c>
      <c r="D41" s="43" t="s">
        <v>17</v>
      </c>
      <c r="E41" s="44">
        <v>9.99</v>
      </c>
      <c r="F41" s="43" t="s">
        <v>364</v>
      </c>
      <c r="G41" s="43" t="s">
        <v>361</v>
      </c>
      <c r="H41" s="42" t="s">
        <v>284</v>
      </c>
    </row>
    <row r="42" spans="1:8" s="41" customFormat="1" ht="60" customHeight="1" x14ac:dyDescent="0.25">
      <c r="A42" s="42" t="s">
        <v>363</v>
      </c>
      <c r="B42" s="42" t="s">
        <v>361</v>
      </c>
      <c r="C42" s="42" t="s">
        <v>4</v>
      </c>
      <c r="D42" s="42" t="s">
        <v>17</v>
      </c>
      <c r="E42" s="45">
        <v>12.99</v>
      </c>
      <c r="F42" s="42" t="s">
        <v>362</v>
      </c>
      <c r="G42" s="42" t="s">
        <v>361</v>
      </c>
      <c r="H42" s="42" t="s">
        <v>284</v>
      </c>
    </row>
    <row r="43" spans="1:8" s="41" customFormat="1" ht="60" customHeight="1" x14ac:dyDescent="0.25">
      <c r="A43" s="43" t="s">
        <v>360</v>
      </c>
      <c r="B43" s="43" t="s">
        <v>22</v>
      </c>
      <c r="C43" s="43" t="s">
        <v>4</v>
      </c>
      <c r="D43" s="43" t="s">
        <v>17</v>
      </c>
      <c r="E43" s="44">
        <v>-3103.1</v>
      </c>
      <c r="F43" s="43" t="s">
        <v>23</v>
      </c>
      <c r="G43" s="43" t="s">
        <v>22</v>
      </c>
      <c r="H43" s="43" t="s">
        <v>283</v>
      </c>
    </row>
    <row r="44" spans="1:8" s="41" customFormat="1" ht="60" customHeight="1" x14ac:dyDescent="0.25">
      <c r="A44" s="42" t="s">
        <v>359</v>
      </c>
      <c r="B44" s="42" t="s">
        <v>16</v>
      </c>
      <c r="C44" s="42" t="s">
        <v>4</v>
      </c>
      <c r="D44" s="42" t="s">
        <v>17</v>
      </c>
      <c r="E44" s="45">
        <v>12.99</v>
      </c>
      <c r="F44" s="42" t="s">
        <v>358</v>
      </c>
      <c r="G44" s="42" t="s">
        <v>16</v>
      </c>
      <c r="H44" s="42" t="s">
        <v>284</v>
      </c>
    </row>
    <row r="45" spans="1:8" s="41" customFormat="1" ht="60" customHeight="1" x14ac:dyDescent="0.25">
      <c r="A45" s="43" t="s">
        <v>357</v>
      </c>
      <c r="B45" s="43" t="s">
        <v>355</v>
      </c>
      <c r="C45" s="43" t="s">
        <v>4</v>
      </c>
      <c r="D45" s="43" t="s">
        <v>17</v>
      </c>
      <c r="E45" s="44">
        <v>2.99</v>
      </c>
      <c r="F45" s="43" t="s">
        <v>356</v>
      </c>
      <c r="G45" s="43" t="s">
        <v>355</v>
      </c>
      <c r="H45" s="42" t="s">
        <v>284</v>
      </c>
    </row>
    <row r="46" spans="1:8" s="41" customFormat="1" ht="60" customHeight="1" x14ac:dyDescent="0.25">
      <c r="A46" s="42" t="s">
        <v>353</v>
      </c>
      <c r="B46" s="42" t="s">
        <v>16</v>
      </c>
      <c r="C46" s="42" t="s">
        <v>4</v>
      </c>
      <c r="D46" s="42" t="s">
        <v>17</v>
      </c>
      <c r="E46" s="45">
        <v>10.99</v>
      </c>
      <c r="F46" s="42" t="s">
        <v>354</v>
      </c>
      <c r="G46" s="42" t="s">
        <v>16</v>
      </c>
      <c r="H46" s="42" t="s">
        <v>284</v>
      </c>
    </row>
    <row r="47" spans="1:8" s="41" customFormat="1" ht="60" customHeight="1" x14ac:dyDescent="0.25">
      <c r="A47" s="43" t="s">
        <v>353</v>
      </c>
      <c r="B47" s="43" t="s">
        <v>16</v>
      </c>
      <c r="C47" s="43" t="s">
        <v>4</v>
      </c>
      <c r="D47" s="43" t="s">
        <v>17</v>
      </c>
      <c r="E47" s="44">
        <v>10.99</v>
      </c>
      <c r="F47" s="43" t="s">
        <v>352</v>
      </c>
      <c r="G47" s="43" t="s">
        <v>16</v>
      </c>
      <c r="H47" s="42" t="s">
        <v>284</v>
      </c>
    </row>
    <row r="48" spans="1:8" s="41" customFormat="1" ht="60" customHeight="1" x14ac:dyDescent="0.25">
      <c r="A48" s="42" t="s">
        <v>351</v>
      </c>
      <c r="B48" s="42" t="s">
        <v>16</v>
      </c>
      <c r="C48" s="42" t="s">
        <v>4</v>
      </c>
      <c r="D48" s="42" t="s">
        <v>17</v>
      </c>
      <c r="E48" s="45">
        <v>6.99</v>
      </c>
      <c r="F48" s="42" t="s">
        <v>350</v>
      </c>
      <c r="G48" s="42" t="s">
        <v>16</v>
      </c>
      <c r="H48" s="42" t="s">
        <v>284</v>
      </c>
    </row>
    <row r="49" spans="1:8" s="41" customFormat="1" ht="60" customHeight="1" x14ac:dyDescent="0.25">
      <c r="A49" s="43" t="s">
        <v>349</v>
      </c>
      <c r="B49" s="43" t="s">
        <v>347</v>
      </c>
      <c r="C49" s="43" t="s">
        <v>4</v>
      </c>
      <c r="D49" s="43" t="s">
        <v>17</v>
      </c>
      <c r="E49" s="44">
        <v>3000</v>
      </c>
      <c r="F49" s="43" t="s">
        <v>348</v>
      </c>
      <c r="G49" s="43" t="s">
        <v>347</v>
      </c>
      <c r="H49" s="43" t="s">
        <v>346</v>
      </c>
    </row>
    <row r="50" spans="1:8" s="41" customFormat="1" ht="60" customHeight="1" x14ac:dyDescent="0.25">
      <c r="A50" s="42" t="s">
        <v>345</v>
      </c>
      <c r="B50" s="42" t="s">
        <v>37</v>
      </c>
      <c r="C50" s="42" t="s">
        <v>4</v>
      </c>
      <c r="D50" s="42" t="s">
        <v>17</v>
      </c>
      <c r="E50" s="45">
        <v>16.45</v>
      </c>
      <c r="F50" s="42" t="s">
        <v>344</v>
      </c>
      <c r="G50" s="42" t="s">
        <v>37</v>
      </c>
      <c r="H50" s="42" t="s">
        <v>284</v>
      </c>
    </row>
    <row r="51" spans="1:8" s="41" customFormat="1" ht="60" customHeight="1" x14ac:dyDescent="0.25">
      <c r="A51" s="43" t="s">
        <v>343</v>
      </c>
      <c r="B51" s="43" t="s">
        <v>16</v>
      </c>
      <c r="C51" s="43" t="s">
        <v>4</v>
      </c>
      <c r="D51" s="43" t="s">
        <v>17</v>
      </c>
      <c r="E51" s="44">
        <v>12.99</v>
      </c>
      <c r="F51" s="43" t="s">
        <v>342</v>
      </c>
      <c r="G51" s="43" t="s">
        <v>16</v>
      </c>
      <c r="H51" s="42" t="s">
        <v>284</v>
      </c>
    </row>
    <row r="52" spans="1:8" s="41" customFormat="1" ht="60" customHeight="1" x14ac:dyDescent="0.25">
      <c r="A52" s="42" t="s">
        <v>341</v>
      </c>
      <c r="B52" s="42" t="s">
        <v>16</v>
      </c>
      <c r="C52" s="42" t="s">
        <v>4</v>
      </c>
      <c r="D52" s="42" t="s">
        <v>17</v>
      </c>
      <c r="E52" s="45">
        <v>7.99</v>
      </c>
      <c r="F52" s="42" t="s">
        <v>340</v>
      </c>
      <c r="G52" s="42" t="s">
        <v>16</v>
      </c>
      <c r="H52" s="42" t="s">
        <v>284</v>
      </c>
    </row>
    <row r="53" spans="1:8" s="41" customFormat="1" ht="60" customHeight="1" x14ac:dyDescent="0.25">
      <c r="A53" s="43" t="s">
        <v>339</v>
      </c>
      <c r="B53" s="43" t="s">
        <v>16</v>
      </c>
      <c r="C53" s="43" t="s">
        <v>4</v>
      </c>
      <c r="D53" s="43" t="s">
        <v>17</v>
      </c>
      <c r="E53" s="44">
        <v>9.99</v>
      </c>
      <c r="F53" s="43" t="s">
        <v>338</v>
      </c>
      <c r="G53" s="43" t="s">
        <v>16</v>
      </c>
      <c r="H53" s="42" t="s">
        <v>284</v>
      </c>
    </row>
    <row r="54" spans="1:8" s="41" customFormat="1" ht="60" customHeight="1" x14ac:dyDescent="0.25">
      <c r="A54" s="42" t="s">
        <v>337</v>
      </c>
      <c r="B54" s="42" t="s">
        <v>335</v>
      </c>
      <c r="C54" s="42" t="s">
        <v>4</v>
      </c>
      <c r="D54" s="42" t="s">
        <v>17</v>
      </c>
      <c r="E54" s="45">
        <v>10.73</v>
      </c>
      <c r="F54" s="42" t="s">
        <v>336</v>
      </c>
      <c r="G54" s="42" t="s">
        <v>335</v>
      </c>
      <c r="H54" s="42" t="s">
        <v>285</v>
      </c>
    </row>
    <row r="55" spans="1:8" s="41" customFormat="1" ht="60" customHeight="1" x14ac:dyDescent="0.25">
      <c r="A55" s="43" t="s">
        <v>334</v>
      </c>
      <c r="B55" s="43" t="s">
        <v>22</v>
      </c>
      <c r="C55" s="43" t="s">
        <v>4</v>
      </c>
      <c r="D55" s="43" t="s">
        <v>17</v>
      </c>
      <c r="E55" s="44">
        <v>-92.37</v>
      </c>
      <c r="F55" s="43" t="s">
        <v>23</v>
      </c>
      <c r="G55" s="43" t="s">
        <v>22</v>
      </c>
      <c r="H55" s="43" t="s">
        <v>283</v>
      </c>
    </row>
    <row r="56" spans="1:8" s="41" customFormat="1" ht="60" customHeight="1" x14ac:dyDescent="0.25">
      <c r="A56" s="42" t="s">
        <v>333</v>
      </c>
      <c r="B56" s="42" t="s">
        <v>16</v>
      </c>
      <c r="C56" s="42" t="s">
        <v>4</v>
      </c>
      <c r="D56" s="42" t="s">
        <v>17</v>
      </c>
      <c r="E56" s="45">
        <v>12.99</v>
      </c>
      <c r="F56" s="42" t="s">
        <v>332</v>
      </c>
      <c r="G56" s="42" t="s">
        <v>16</v>
      </c>
      <c r="H56" s="42" t="s">
        <v>284</v>
      </c>
    </row>
    <row r="57" spans="1:8" s="41" customFormat="1" ht="60" customHeight="1" x14ac:dyDescent="0.25">
      <c r="A57" s="43" t="s">
        <v>331</v>
      </c>
      <c r="B57" s="43" t="s">
        <v>329</v>
      </c>
      <c r="C57" s="43" t="s">
        <v>4</v>
      </c>
      <c r="D57" s="43" t="s">
        <v>17</v>
      </c>
      <c r="E57" s="44">
        <v>2.99</v>
      </c>
      <c r="F57" s="43" t="s">
        <v>330</v>
      </c>
      <c r="G57" s="43" t="s">
        <v>329</v>
      </c>
      <c r="H57" s="42" t="s">
        <v>284</v>
      </c>
    </row>
    <row r="58" spans="1:8" s="41" customFormat="1" ht="60" customHeight="1" x14ac:dyDescent="0.25">
      <c r="A58" s="42" t="s">
        <v>327</v>
      </c>
      <c r="B58" s="42" t="s">
        <v>16</v>
      </c>
      <c r="C58" s="42" t="s">
        <v>4</v>
      </c>
      <c r="D58" s="42" t="s">
        <v>17</v>
      </c>
      <c r="E58" s="45">
        <v>10.99</v>
      </c>
      <c r="F58" s="42" t="s">
        <v>328</v>
      </c>
      <c r="G58" s="42" t="s">
        <v>16</v>
      </c>
      <c r="H58" s="42" t="s">
        <v>284</v>
      </c>
    </row>
    <row r="59" spans="1:8" s="41" customFormat="1" ht="60" customHeight="1" x14ac:dyDescent="0.25">
      <c r="A59" s="43" t="s">
        <v>327</v>
      </c>
      <c r="B59" s="43" t="s">
        <v>16</v>
      </c>
      <c r="C59" s="43" t="s">
        <v>4</v>
      </c>
      <c r="D59" s="43" t="s">
        <v>17</v>
      </c>
      <c r="E59" s="44">
        <v>10.99</v>
      </c>
      <c r="F59" s="43" t="s">
        <v>326</v>
      </c>
      <c r="G59" s="43" t="s">
        <v>16</v>
      </c>
      <c r="H59" s="42" t="s">
        <v>284</v>
      </c>
    </row>
    <row r="60" spans="1:8" s="41" customFormat="1" ht="60" customHeight="1" x14ac:dyDescent="0.25">
      <c r="A60" s="42" t="s">
        <v>325</v>
      </c>
      <c r="B60" s="42" t="s">
        <v>16</v>
      </c>
      <c r="C60" s="42" t="s">
        <v>4</v>
      </c>
      <c r="D60" s="42" t="s">
        <v>17</v>
      </c>
      <c r="E60" s="45">
        <v>6.99</v>
      </c>
      <c r="F60" s="42" t="s">
        <v>324</v>
      </c>
      <c r="G60" s="42" t="s">
        <v>16</v>
      </c>
      <c r="H60" s="42" t="s">
        <v>284</v>
      </c>
    </row>
    <row r="61" spans="1:8" s="41" customFormat="1" ht="60" customHeight="1" x14ac:dyDescent="0.25">
      <c r="A61" s="43" t="s">
        <v>323</v>
      </c>
      <c r="B61" s="43" t="s">
        <v>37</v>
      </c>
      <c r="C61" s="43" t="s">
        <v>4</v>
      </c>
      <c r="D61" s="43" t="s">
        <v>17</v>
      </c>
      <c r="E61" s="44">
        <v>16.45</v>
      </c>
      <c r="F61" s="43" t="s">
        <v>322</v>
      </c>
      <c r="G61" s="43" t="s">
        <v>37</v>
      </c>
      <c r="H61" s="4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 Summary</vt:lpstr>
      <vt:lpstr>Monthly Breakdown</vt:lpstr>
      <vt:lpstr>Transaction Details</vt:lpstr>
      <vt:lpstr>Raw Data</vt:lpstr>
      <vt:lpstr>2026_Transaction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2026-06-12T21:36:20Z</dcterms:created>
  <dcterms:modified xsi:type="dcterms:W3CDTF">2026-06-12T22:04:51Z</dcterms:modified>
</cp:coreProperties>
</file>