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hared\00. Staff Desktops\00. Mike Desktop\10. Full Banking Analysis\American Express_Buckets\1. DWG Capital Partners\"/>
    </mc:Choice>
  </mc:AlternateContent>
  <xr:revisionPtr revIDLastSave="0" documentId="8_{B0EB8EAE-7AC8-4C77-85FC-316E146B42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 Summary" sheetId="2" r:id="rId1"/>
    <sheet name="Transaction Details" sheetId="1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C24" i="2" s="1"/>
  <c r="B23" i="2"/>
  <c r="B22" i="2"/>
  <c r="B21" i="2"/>
  <c r="B20" i="2"/>
  <c r="B19" i="2"/>
  <c r="B18" i="2"/>
  <c r="B17" i="2"/>
  <c r="B16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B41" i="2"/>
  <c r="B38" i="2"/>
  <c r="C38" i="2" s="1"/>
  <c r="B35" i="2"/>
  <c r="C35" i="2" s="1"/>
  <c r="B34" i="2"/>
  <c r="C34" i="2" s="1"/>
  <c r="B33" i="2"/>
  <c r="B30" i="2"/>
  <c r="B29" i="2"/>
  <c r="B28" i="2"/>
  <c r="B27" i="2"/>
  <c r="B10" i="2"/>
  <c r="B9" i="2"/>
  <c r="B11" i="2" s="1"/>
  <c r="C22" i="2" l="1"/>
  <c r="C23" i="2"/>
  <c r="B42" i="2"/>
  <c r="C42" i="2" s="1"/>
  <c r="C20" i="2"/>
  <c r="C29" i="2"/>
  <c r="C27" i="2"/>
  <c r="C30" i="2"/>
  <c r="C19" i="2"/>
  <c r="C28" i="2"/>
  <c r="B36" i="2"/>
  <c r="C36" i="2" s="1"/>
  <c r="C17" i="2"/>
  <c r="C18" i="2"/>
  <c r="D55" i="2"/>
  <c r="C25" i="2"/>
  <c r="C33" i="2"/>
  <c r="C16" i="2"/>
  <c r="B31" i="2"/>
  <c r="C31" i="2" s="1"/>
  <c r="B39" i="2"/>
  <c r="C39" i="2" s="1"/>
  <c r="C41" i="2"/>
  <c r="C21" i="2" l="1"/>
  <c r="B43" i="2"/>
  <c r="C43" i="2" s="1"/>
</calcChain>
</file>

<file path=xl/sharedStrings.xml><?xml version="1.0" encoding="utf-8"?>
<sst xmlns="http://schemas.openxmlformats.org/spreadsheetml/2006/main" count="574" uniqueCount="239">
  <si>
    <t/>
  </si>
  <si>
    <t>Transaction Details</t>
  </si>
  <si>
    <t>Prepared for</t>
  </si>
  <si>
    <t>JOHN DUNNING</t>
  </si>
  <si>
    <t>Account Number</t>
  </si>
  <si>
    <t>XXXX-XXXXXX-01004</t>
  </si>
  <si>
    <t>Date</t>
  </si>
  <si>
    <t>Description</t>
  </si>
  <si>
    <t>Amount</t>
  </si>
  <si>
    <t>Extended Details</t>
  </si>
  <si>
    <t>Appears On Your Statement As</t>
  </si>
  <si>
    <t>Category</t>
  </si>
  <si>
    <t>06/30/2026</t>
  </si>
  <si>
    <t>AMAZON MARKEPLACE NA PA</t>
  </si>
  <si>
    <t>XAY4NYV44KC MERCHANDISE
AMAZON MARKETPLACE NA PA
AMZN.COM/BILL
WA
MERCHANDISE</t>
  </si>
  <si>
    <t>AMAZON MARKETPLACE NAMZN.COM/BILL       WA</t>
  </si>
  <si>
    <t>06/29/2026</t>
  </si>
  <si>
    <t>EAI*TRAVIS CO TAX OFAUSTIN              TX</t>
  </si>
  <si>
    <t>20191520102 19566626172
EAI*TRAVIS CO TAX OFFICE TRAVIS COUNTY
AUSTIN
TX
19566626172</t>
  </si>
  <si>
    <t>ONLINE PAYMENT - THANK YOU</t>
  </si>
  <si>
    <t xml:space="preserve">ONLINE PAYMENT - THANK YOU
</t>
  </si>
  <si>
    <t>06/24/2026</t>
  </si>
  <si>
    <t>4WCQCBJVZHA MERCHANDISE
AMAZON MARKETPLACE NA PA
AMZN.COM/BILL
WA
MERCHANDISE</t>
  </si>
  <si>
    <t>SP NOVAPETAL NYC    NEW YORK            NY</t>
  </si>
  <si>
    <t>CH_3TM3REJ1 2122160900
SP NOVAPETAL NYC
NEW YORK
NY
2122160900</t>
  </si>
  <si>
    <t>06/23/2026</t>
  </si>
  <si>
    <t>ANTHROPIC           SAN FRANCISCO       CA</t>
  </si>
  <si>
    <t>CH_3TLAPEAC +14152360599
ANTHROPIC
SAN FRANCISCO
CA
+14152360599</t>
  </si>
  <si>
    <t>CH_3TLZMUAC +14152360599
ANTHROPIC
SAN FRANCISCO
CA
+14152360599</t>
  </si>
  <si>
    <t>CH_3TLA5BAC +14152360599
ANTHROPIC
SAN FRANCISCO
CA
+14152360599</t>
  </si>
  <si>
    <t>CH_3TLAF0AC +14152360599
ANTHROPIC
SAN FRANCISCO
CA
+14152360599</t>
  </si>
  <si>
    <t>ANTHROPIC* CLAUDE SUSAN FRANCISCO       CA</t>
  </si>
  <si>
    <t>CH_3TLXWPAC +14152360599
ANTHROPIC* CLAUDE SUB
SAN FRANCISCO
CA
+14152360599</t>
  </si>
  <si>
    <t>MICROSOFT           MSBILL.INFO</t>
  </si>
  <si>
    <t>Z73WSUU8LSRZ73WSUU8LSR9     98052
MICROSOFT
MSBILL.INFO
Z73WSUU8LSR9     98052</t>
  </si>
  <si>
    <t>06/22/2026</t>
  </si>
  <si>
    <t>AMAZON.COM          AMZN.COM/BILL       WA</t>
  </si>
  <si>
    <t>5PRKG7WMDK1 BOOK STORES
AMAZON.COM
AMZN.COM/BILL
WA
BOOK STORES</t>
  </si>
  <si>
    <t>GRANOLA INC         DOVER               DE</t>
  </si>
  <si>
    <t>CH_3TLBRJAC +13473790174
GRANOLA INC
DOVER
DE
+13473790174</t>
  </si>
  <si>
    <t>MICROSOFT*STORE B2C MSBILL.INFO         WA</t>
  </si>
  <si>
    <t>Z745SSSFLNTZ745SSSFLNTY     90066-
COMPUTER HRDWR/SFTWR
MICROSOFT*STORE B2C MOD
MSBILL.INFO
WA
COMPUTER HRDWR/SFTWR
Z745SSSFLNTY     90066-</t>
  </si>
  <si>
    <t>WISPR               SAN FRANCISCO       CA</t>
  </si>
  <si>
    <t>CH_3TLBGYAC +14154380395
WISPR
SAN FRANCISCO
CA
+14154380395</t>
  </si>
  <si>
    <t>06/20/2026</t>
  </si>
  <si>
    <t>CAMPAIGNER SVC      888-845-4544        CA</t>
  </si>
  <si>
    <t>34214468    EMAIL MARKET
CAMPAIGNER SVC
888-845-4544
CA
EMAIL MARKET</t>
  </si>
  <si>
    <t>SIXT USA POS        FORT LAUDERDALE     FL</t>
  </si>
  <si>
    <t>000000043   AUTOMOBILE RENTAL
Sixt 9611581424
606173SMJ0TOKWYUGR
SIXT USA POS
FORT LAUDERDALE
FL
Sixt 9611581424
606173SMJ0TOKWYUGR
AUTOMOBILE RENTAL</t>
  </si>
  <si>
    <t>UBER</t>
  </si>
  <si>
    <t>0CXB91G0   LRR6GQIC         90066
Uber Trip
help.uber.com
CA
LRR6GQIC         90066</t>
  </si>
  <si>
    <t>Uber Trip           help.uber.com       CA</t>
  </si>
  <si>
    <t>06/19/2026</t>
  </si>
  <si>
    <t>ARGENTIS GLUTEN-FREEAlpharetta          GA</t>
  </si>
  <si>
    <t>7x6s0PMAoJB squareup.com/receipts
ARGENTIS GLUTEN-FREE BAKERY
Alpharetta
GA
squareup.com/receipts</t>
  </si>
  <si>
    <t>ATL TROP SMOOTHIE CAATLANTA             GA</t>
  </si>
  <si>
    <t>######gMlQ1 4043447905 / Contact@
4043447905 / Contact@para
ATL TROP SMOOTHIE CAFE
ATLANTA
GA
4043447905 / Contact@para</t>
  </si>
  <si>
    <t>ATL VINO VOLO       ATLANTA             GA</t>
  </si>
  <si>
    <t>######Nz2aJ 4043447905 / Contact@
4043447905 / Contact@para
ATL VINO VOLO
ATLANTA
GA
4043447905 / Contact@para</t>
  </si>
  <si>
    <t>L&amp;C SUNNY FEET MASSAATLANTA             GA</t>
  </si>
  <si>
    <t>35100001    626-537-6648
L&amp;C SUNNY FEET MASSAGE
ATLANTA
GA
Description : MASSAGE PARLOR Price : 0.00
626-537-6648</t>
  </si>
  <si>
    <t>PMC - PAID PARKING  NASHVILLE           TN</t>
  </si>
  <si>
    <t>CH_3TKHB2BU +16153520415
PMC - PAID PARKING
NASHVILLE
TN
+16153520415</t>
  </si>
  <si>
    <t>Staples Retail FRAMIFRAMINGHAM          MA</t>
  </si>
  <si>
    <t>395640104  6953940220       300228
ORD 6953940220      ;REQ JUDD DUNNING
IT1 SIMPLE PRIN;UPI     189.4500;QTY1
IT2 SIMPLE PRIN;UPI     113.6700;QTY1
FRT         0.00;HDL         0.00;ITM4
Staples Retail FRAMINGHAM   MA
FRAMINGHAM
MA
ORD 6953940220      ;REQ JUDD DUNNING
IT1 SIMPLE PRIN;UPI     189.4500;QTY1
IT2 SIMPLE PRIN;UPI     113.6700;QTY1
FRT         0.00;HDL         0.00;ITM4
6953940220       300228</t>
  </si>
  <si>
    <t>TST* DAILY CHEW 0021ATLANTA             GA</t>
  </si>
  <si>
    <t>21105176171 RESTAURANT
TST* DAILY CHEW 00216292
ATLANTA
GA
RESTAURANT</t>
  </si>
  <si>
    <t>TST* DELBAR MIDDLE EALPHARETTA          GA</t>
  </si>
  <si>
    <t>99999996170 4047776037
TST* DELBAR MIDDLE EASTER 000051329
ALPHARETTA
GA
Description : RESTAURANTS Price : 17.1327
4047776037</t>
  </si>
  <si>
    <t>06/18/2026</t>
  </si>
  <si>
    <t>DELTA AIR LINES     ATLANTA</t>
  </si>
  <si>
    <t>18002211212
EXCESS BAGGAGE
DELTA AIR LINES
ATLANTA
Carrier : DELTA AIR LINES
Passenger Name : DUNNING/JOHNBARKER
Ticket Number : 00642672119412
Additional Info : EXCESS BAGGAGE</t>
  </si>
  <si>
    <t>STAPLES 00560       ALPHARETTA          GA</t>
  </si>
  <si>
    <t>002627723  00560002627723   30022
SS PRINT COLOR
STAPLES 00560
ALPHARETTA
GA
SS PRINT COLOR
00560002627723   30022</t>
  </si>
  <si>
    <t>002627718  00560002627718   30022
SS PRINT COLOR
STAPLES 00560
ALPHARETTA
GA
SS PRINT COLOR
00560002627718   30022</t>
  </si>
  <si>
    <t>000547766  00560000547766   30022
38.8QT LATCH LID PRO GRAY
STAPLES 00560
ALPHARETTA
GA
38.8QT LATCH LID PRO GRAY
00560000547766   30022</t>
  </si>
  <si>
    <t>002627724  00560002627724   30022
SS PRINT COLOR
STAPLES 00560
ALPHARETTA
GA
SS PRINT COLOR
00560002627724   30022</t>
  </si>
  <si>
    <t>000547768  00560000547768   30022
NAME BDG BLUE LBL
CHUNKY TEXTURED SPRL JOURNAL
LIFEWTR 1L
STAPLES 00560
ALPHARETTA
GA
NAME BDG BLUE LBL
CHUNKY TEXTURED SPRL JOURNAL
LIFEWTR 1L
00560000547768   30022</t>
  </si>
  <si>
    <t>000547763  00560000547763   30022
CUSTOM UNBOUND DOCUMENT
STAPLES 00560
ALPHARETTA
GA
CUSTOM UNBOUND DOCUMENT
00560000547763   30022</t>
  </si>
  <si>
    <t>STARBUCKS #204      AUSTELL             GA</t>
  </si>
  <si>
    <t>52694731   9166             30106
RESTAURANT
STARBUCKS #204
AUSTELL
GA
RESTAURANT
9166             30106</t>
  </si>
  <si>
    <t>TFK-ALPHARETTA - IN-ALPHARETTA          GA</t>
  </si>
  <si>
    <t>30977716170 4703361516
TFK-ALPHARETTA - IN-ST 2140 AVALON BOU
ALPHARETTA
GA
Description : NO DATA SUBMITTED Price : 0.00
4703361516</t>
  </si>
  <si>
    <t>1ZWHK3HR   NPR653B3         30009
Uber Trip
help.uber.com
CA
NPR653B3         30009</t>
  </si>
  <si>
    <t>06/17/2026</t>
  </si>
  <si>
    <t>AIR HOST VARONA 5455877-8144102         VA</t>
  </si>
  <si>
    <t>73011546169 ACCOUNTING@TAILWINDCO
ACCOUNTING@TAILWINDCONCES
AIR HOST VARONA 545500001510551
877-8144102
VA
ACCOUNTING@TAILWINDCONCES</t>
  </si>
  <si>
    <t>BANANAREPUBLIC US 51ALPHARETTA          GA</t>
  </si>
  <si>
    <t>051034014250510340142530001 30009
BANANAREPUBLIC US 51
ALPHARETTA
GA
0510340142530001 30009</t>
  </si>
  <si>
    <t>RUMIS KITCHEN - AVALALPHARETTA          GA</t>
  </si>
  <si>
    <t>Check: (5704) Rvc30009
RUMIS KITCHEN - AVALON
ALPHARETTA
GA
Check: (5704) Rvc30009</t>
  </si>
  <si>
    <t>Check: (4115) Rvc30009
RUMIS KITCHEN - AVALON
ALPHARETTA
GA
Check: (4115) Rvc30009</t>
  </si>
  <si>
    <t>STARBUCKS STORE 6322ROANOKE             VA</t>
  </si>
  <si>
    <t>D62D567D6B3 FAST FOOD RESTAURANT
STARBUCKS STORE 6322
ROANOKE
VA
FAST FOOD RESTAURANT</t>
  </si>
  <si>
    <t>STARBUCKS TERM C    ATLANTA             GA</t>
  </si>
  <si>
    <t>50043      50043            30320
STARBUCKS TERM C
ATLANTA
GA
50043            30320</t>
  </si>
  <si>
    <t>Southwest Airlines  DALLAS              TX</t>
  </si>
  <si>
    <t>7900427120  (214) 792 - 4223
SUPPORTED REFUND
Southwest Airlines
DALLAS
TX
Carrier : SOUTHWEST AIRLINES (MASTE
Passenger Name : PAYTONJIAN/MICHAEL
Ticket Number : 5264334670235
Additional Info : SUPPORTED REFUND</t>
  </si>
  <si>
    <t>TEXACO FOOD MART MILALPHARETTA          GA</t>
  </si>
  <si>
    <t>00003054    270-421-0058
TEXACO FOOD MART MILTON
ALPHARETTA
GA
Description : GROCERIES/SUNDRIES Price : 0.00
270-421-0058</t>
  </si>
  <si>
    <t>9K5D5G65   OIOL3IHM         90045
Uber Trip
help.uber.com
CA
OIOL3IHM         90045</t>
  </si>
  <si>
    <t>06/16/2026</t>
  </si>
  <si>
    <t>HERTZ CAR RENTAL    ROANOKE             VA</t>
  </si>
  <si>
    <t xml:space="preserve">R/A# 596922045   +18006544173
HERTZ CAR RENTAL
ROANOKE
VA
</t>
  </si>
  <si>
    <t>STARBUCKS STORE 0651LACY LAKEVIEW       TX</t>
  </si>
  <si>
    <t>1B9FAED9BE7 FAST FOOD RESTAURANT
STARBUCKS STORE 0651
LACY LAKEVIEW
TX
FAST FOOD RESTAURANT</t>
  </si>
  <si>
    <t>7900427035  (214) 792 - 4223
MISC. CHARGE ORDER (MCO)/PREPAID TICKET AUTH.
Southwest Airlines
DALLAS
TX
Carrier : SOUTHWEST AIRLINES (MASTE
Passenger Name : PAYTONJIAN/MICHAEL
Ticket Number : 5264334670235
Additional Info : MISC. CHARGE ORDER (MCO)/PREPAID TICKET AUTH.
From : LOS ANGELES INTERN
To : DENVER INTL APT</t>
  </si>
  <si>
    <t>7900427035  (214) 792 - 4223
MISC. CHARGE ORDER (MCO)/PREPAID TICKET AUTH.
Southwest Airlines
DALLAS
TX
Carrier : SOUTHWEST AIRLINES (MASTE
Passenger Name : PAYTONJIAN/MICHAEL
Ticket Number : 5264334670327
Additional Info : MISC. CHARGE ORDER (MCO)/PREPAID TICKET AUTH.
From : DENVER INTL APT
To : ATLANTA HARTSFIELD</t>
  </si>
  <si>
    <t>7900427035  (214) 792 - 4223
PASSENGER TICKET
Southwest Airlines
DALLAS
TX
Carrier : SOUTHWEST AIRLINES (MASTE
Passenger Name : PAYTONJIAN/MICHAEL
Ticket Number : 5262171081164
Departure Day : 06/17
Additional Info : PASSENGER TICKET
From : LOS ANGELES INTERN
To : DENVER INTL APT
Class : I
From : DENVER INTL APT
To : ATLANTA HARTSFIELD
Class : I</t>
  </si>
  <si>
    <t>THE PROMISSORY HOTELROANOKE             VA</t>
  </si>
  <si>
    <t xml:space="preserve">765444170   +18583455316
LODGING
THE PROMISSORY HOTEL
ROANOKE
VA
</t>
  </si>
  <si>
    <t>TST* 2.0 TACO &amp; TEQUDFW AIRPORT         TX</t>
  </si>
  <si>
    <t>21105176168 RESTAURANT
TST* 2.0 TACO &amp; TEQUILA B 00051600
DFW AIRPORT
TX
RESTAURANT</t>
  </si>
  <si>
    <t>06/15/2026</t>
  </si>
  <si>
    <t>7-ELEVEN 35801 00073AUSTIN              TX</t>
  </si>
  <si>
    <t>650120616 7 512-272-4957
7-ELEVEN 35801 00073580101
AUSTIN
TX
Description : GAS/MSC97  65120101 Price : 0.1029
512-272-4957</t>
  </si>
  <si>
    <t>EXXONMOBIL          AUSTIN              TX</t>
  </si>
  <si>
    <t>00044712    512-272-4957
EXXONMOBIL
AUSTIN
TX
Description : 001 Price : 0.00
512-272-4957</t>
  </si>
  <si>
    <t>HOTEL SAN JOSE AUSKEAUSTIN              TX</t>
  </si>
  <si>
    <t xml:space="preserve">26186731    512-852-2350
LODGING
HOTEL SAN JOSE AUSKE
AUSTIN
TX
</t>
  </si>
  <si>
    <t xml:space="preserve">18579748    512-852-2350
LODGING
HOTEL SAN JOSE AUSKE
AUSTIN
TX
</t>
  </si>
  <si>
    <t>SANTA FE OPTICAL, WEWEST LAKE HIL       TX</t>
  </si>
  <si>
    <t>21105176167 OPTOMETRIST
SANTA FE OPTICAL, WES
WEST LAKE HIL
TX
OPTOMETRIST</t>
  </si>
  <si>
    <t>STARBUCKS STORE 2389HUTTO               TX</t>
  </si>
  <si>
    <t>F0A261580F2 FAST FOOD RESTAURANT
STARBUCKS STORE 2389
HUTTO
TX
FAST FOOD RESTAURANT</t>
  </si>
  <si>
    <t>06/14/2026</t>
  </si>
  <si>
    <t>AMEX HOTEL COLLECTN AmexTravel.com      IL</t>
  </si>
  <si>
    <t xml:space="preserve">THE HAMILTO TRAVEL
LODGING
AMEX HOTEL COLLECTN
AmexTravel.com
IL
</t>
  </si>
  <si>
    <t>AMEX TRAVEL PAY WITH POINTS CREDIT</t>
  </si>
  <si>
    <t xml:space="preserve">AMEX TRAVEL PAY WITH POINTS CREDIT
</t>
  </si>
  <si>
    <t>DFW AIRPORT PARKING DFW AIRPORT         TX</t>
  </si>
  <si>
    <t>877859      PARKING LOT &amp; GARAGE
DFW AIRPORT PARKING
DFW AIRPORT
TX
PARKING LOT &amp; GARAGE</t>
  </si>
  <si>
    <t>HERTZ CAR RENTAL    OKLAHOMA CITY       OK</t>
  </si>
  <si>
    <t xml:space="preserve">R/A# 006547483   +18006544173
HERTZ CAR RENTAL
OKLAHOMA CITY
OK
</t>
  </si>
  <si>
    <t>Platinum Hotel Credit</t>
  </si>
  <si>
    <t xml:space="preserve">AMEX HOTEL COLLECTN
Platinum Hotel Credit
</t>
  </si>
  <si>
    <t>PwP    AMERICAN EXPRPHOENIX             AZ</t>
  </si>
  <si>
    <t>062009      AIRLINE/AIR CARRIER
PASSENGER TICKET
PwP    AMERICAN EXPRESS TRAVEL
PHOENIX
AZ
Carrier : DELTA AIR LINES
Passenger Name : DUNNING/JOHN BARKER
Ticket Number : 00674492524930
Departure Day : 06/17
Additional Info : PASSENGER TICKET
From : ROANOKE
To : ATLANTA HARTSFIELD
Class : L</t>
  </si>
  <si>
    <t>SIXT                FORT LAUDERDALE     FL</t>
  </si>
  <si>
    <t>60614JQGQ0F 8887498227 / customer
8887498227 / customerserv
SIXT
FORT LAUDERDALE
FL
8887498227 / customerserv</t>
  </si>
  <si>
    <t>THE CONTINENTAL CLUBAUSTIN              TX</t>
  </si>
  <si>
    <t>73011916166 SWERT@CONTINENTALCLUB
SWERT@CONTINENTALCLUB.COM
THE CONTINENTAL CLUB 125520048806145
AUSTIN
TX
SWERT@CONTINENTALCLUB.COM</t>
  </si>
  <si>
    <t>TST* BOULDIN CREEK CAUSTIN              TX</t>
  </si>
  <si>
    <t>21105176166 RESTAURANT
TST* BOULDIN CREEK CAFE 00015219
AUSTIN
TX
RESTAURANT</t>
  </si>
  <si>
    <t>06/13/2026</t>
  </si>
  <si>
    <t>PwP    AMEXTRAVEL.CO800-297-2977        WA</t>
  </si>
  <si>
    <t xml:space="preserve">HOTEL SAN J TRAVEL
LODGING
PwP    AMEXTRAVEL.COM
800-297-2977
WA
</t>
  </si>
  <si>
    <t>06/10/2026</t>
  </si>
  <si>
    <t>CH_3TGR0JAC +14152360599
ANTHROPIC
SAN FRANCISCO
CA
+14152360599</t>
  </si>
  <si>
    <t>CH_3TGRCSAC +14152360599
ANTHROPIC
SAN FRANCISCO
CA
+14152360599</t>
  </si>
  <si>
    <t>CH_3TGSGQAC +14152360599
ANTHROPIC
SAN FRANCISCO
CA
+14152360599</t>
  </si>
  <si>
    <t>CH_3TGXA6AC +14152360599
ANTHROPIC
SAN FRANCISCO
CA
+14152360599</t>
  </si>
  <si>
    <t>CH_3TGRDDAC +14152360599
ANTHROPIC
SAN FRANCISCO
CA
+14152360599</t>
  </si>
  <si>
    <t>CH_3TGSOSAC +14152360599
ANTHROPIC
SAN FRANCISCO
CA
+14152360599</t>
  </si>
  <si>
    <t>CH_3TGRRPAC +14152360599
ANTHROPIC
SAN FRANCISCO
CA
+14152360599</t>
  </si>
  <si>
    <t>CH_3TGRLVAC +14152360599
ANTHROPIC
SAN FRANCISCO
CA
+14152360599</t>
  </si>
  <si>
    <t>CH_3TGXMCAC +14152360599
ANTHROPIC
SAN FRANCISCO
CA
+14152360599</t>
  </si>
  <si>
    <t>CH_3TGSRAAC +14152360599
ANTHROPIC
SAN FRANCISCO
CA
+14152360599</t>
  </si>
  <si>
    <t>CH_3TGWFJAC +14152360599
ANTHROPIC
SAN FRANCISCO
CA
+14152360599</t>
  </si>
  <si>
    <t>CH_3TGS8GAC +14152360599
ANTHROPIC
SAN FRANCISCO
CA
+14152360599</t>
  </si>
  <si>
    <t>CH_3TGX1GAC +14152360599
ANTHROPIC
SAN FRANCISCO
CA
+14152360599</t>
  </si>
  <si>
    <t>CH_3TGWYYAC +14152360599
ANTHROPIC
SAN FRANCISCO
CA
+14152360599</t>
  </si>
  <si>
    <t>CH_3TGSEOAC +14152360599
ANTHROPIC
SAN FRANCISCO
CA
+14152360599</t>
  </si>
  <si>
    <t>06/09/2026</t>
  </si>
  <si>
    <t>CH_3TGC51AC +14152360599
ANTHROPIC
SAN FRANCISCO
CA
+14152360599</t>
  </si>
  <si>
    <t>06/07/2026</t>
  </si>
  <si>
    <t>AVIS.COM PREPAY     VIRGINIA BEACH      VA</t>
  </si>
  <si>
    <t xml:space="preserve">17095723    800-352-7900
AVIS.COM PREPAY
VIRGINIA BEACH
VA
</t>
  </si>
  <si>
    <t>WWW.PERPLEXITY.AI   SAN FRANCISCO       CA</t>
  </si>
  <si>
    <t>CH_3TFKTLGZ +15102700840
WWW.PERPLEXITY.AI
SAN FRANCISCO
CA
+15102700840</t>
  </si>
  <si>
    <t>06/04/2026</t>
  </si>
  <si>
    <t>PIPEDRIVE INC       NEW YORK            NY</t>
  </si>
  <si>
    <t>104-0087991 +31202401680 / suppor
+31202401680 / support@pi
PIPEDRIVE INC
NEW YORK
NY
+31202401680 / support@pi</t>
  </si>
  <si>
    <t>06/02/2026</t>
  </si>
  <si>
    <t>INTUIT QUICKBOOKS   800-446-8848        CA</t>
  </si>
  <si>
    <t>T1-43478270 CL.INTUIT.COM
INTUIT QUICKBOOKS
800-446-8848
CA
CL.INTUIT.COM</t>
  </si>
  <si>
    <t>TEXAS PREMIER LOCKSMDALLAS              TX</t>
  </si>
  <si>
    <t>CH_3TE0SZCU 9728630375
TEXAS PREMIER LOCKSMIT
DALLAS
TX
9728630375</t>
  </si>
  <si>
    <t>06/01/2026</t>
  </si>
  <si>
    <t>EUWXZBLSOL4 MERCHANDISE
AMAZON MARKETPLACE NA PA
AMZN.COM/BILL
WA
MERCHANDISE</t>
  </si>
  <si>
    <t>CAMDEN &amp; MERIDEW PC*FISHERS             IN</t>
  </si>
  <si>
    <t>######fgCEyJfjRih2eRTqzDTZev76087
BUSINESS MGT CONSULTATION
CAMDEN &amp; MERIDEW PC*CAMDEN &amp; MERIDEW P
FISHERS
IN
BUSINESS MGT CONSULTATION
JfjRih2eRTqzDTZev76087</t>
  </si>
  <si>
    <t>CKXXFEBB   OF65KSHW         90045
Uber Trip
help.uber.com
CA
OF65KSHW         90045</t>
  </si>
  <si>
    <t>05/31/2026</t>
  </si>
  <si>
    <t>TASKER ON TASKRABBITSAN FRANCISCO       CA</t>
  </si>
  <si>
    <t>CH_3TDGGPC5 +18443408275
TASKER ON TASKRABBIT
SAN FRANCISCO
CA
+18443408275</t>
  </si>
  <si>
    <t>Charges</t>
  </si>
  <si>
    <t>Deal Specific - Austin Iron</t>
  </si>
  <si>
    <t>Amazon</t>
  </si>
  <si>
    <t>Employee MISC</t>
  </si>
  <si>
    <t>AI Subscriptions</t>
  </si>
  <si>
    <t>DWG Operational Subscription</t>
  </si>
  <si>
    <t>Online AMEX Pmt</t>
  </si>
  <si>
    <t>DWG Team Travel</t>
  </si>
  <si>
    <t>TBD Review</t>
  </si>
  <si>
    <t>Refund</t>
  </si>
  <si>
    <t>Deal Specific - MRM/CMG</t>
  </si>
  <si>
    <t>Deal Specific - JAL Southbend</t>
  </si>
  <si>
    <t>DWG Team Travel (Austin, TX)</t>
  </si>
  <si>
    <t>DWG Team Travel (Roanoke, VA)</t>
  </si>
  <si>
    <t>DWG Team Travel (Atlanta, GA)</t>
  </si>
  <si>
    <t>DWG Team Travel (MISC)</t>
  </si>
  <si>
    <t>DWG CAPITAL PARTNERS</t>
  </si>
  <si>
    <t>Amex Business Platinum  |  Statement Summary</t>
  </si>
  <si>
    <t>Account Holder</t>
  </si>
  <si>
    <t>John Dunning</t>
  </si>
  <si>
    <t>Account</t>
  </si>
  <si>
    <t>Statement Period</t>
  </si>
  <si>
    <t>May 29, 2026 – Jun 30, 2026</t>
  </si>
  <si>
    <t>TOTALS</t>
  </si>
  <si>
    <t>Credits &amp; Payments</t>
  </si>
  <si>
    <t>Net Balance</t>
  </si>
  <si>
    <t>SPEND BY CATEGORY</t>
  </si>
  <si>
    <t>% of Charges</t>
  </si>
  <si>
    <t>Team Travel</t>
  </si>
  <si>
    <t>Operating &amp; Subscriptions</t>
  </si>
  <si>
    <t xml:space="preserve">  Subtotal — Operating &amp; Subscriptions</t>
  </si>
  <si>
    <t>Deal Specific</t>
  </si>
  <si>
    <t xml:space="preserve">  Subtotal — Deal Specific</t>
  </si>
  <si>
    <t>Review</t>
  </si>
  <si>
    <t xml:space="preserve">  Subtotal — Review</t>
  </si>
  <si>
    <t>GRAND TOTAL (nets to Net Balance)</t>
  </si>
  <si>
    <t>PAYMENTS, CREDITS &amp; REFUNDS DETAIL</t>
  </si>
  <si>
    <t>Type</t>
  </si>
  <si>
    <t>Online payment received (applied to Austin Iron)</t>
  </si>
  <si>
    <t>Payment</t>
  </si>
  <si>
    <t>Online payment received</t>
  </si>
  <si>
    <t>Southwest Airlines refund (Paytonjian)</t>
  </si>
  <si>
    <t>Amex Travel — Pay with Points credit</t>
  </si>
  <si>
    <t>Points credit</t>
  </si>
  <si>
    <t>Credit</t>
  </si>
  <si>
    <t>Total Credits &amp; Payments</t>
  </si>
  <si>
    <t xml:space="preserve">  Less: Amex Travel Pay with Points (miles)</t>
  </si>
  <si>
    <t xml:space="preserve">  Less: Platinum Hotel Credit</t>
  </si>
  <si>
    <t xml:space="preserve">  Subtotal — Team Travel (net of credits)</t>
  </si>
  <si>
    <t xml:space="preserve">  Less: Southwest Airlines refund</t>
  </si>
  <si>
    <t>Payments</t>
  </si>
  <si>
    <t xml:space="preserve">  Subtotal — Payments</t>
  </si>
  <si>
    <t xml:space="preserve">  DWG Team Travel (Atlanta, GA) —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</si>
</sst>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\(&quot;$&quot;#,##0.00\);&quot;-&quot;"/>
    <numFmt numFmtId="166" formatCode="0.0%"/>
  </numFmts>
  <fonts count="20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1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rgb="FFFFFFFF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8000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10"/>
      <color rgb="FF008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rgb="FFFFFFFF"/>
      <name val="Aptos Narrow"/>
      <family val="2"/>
      <scheme val="minor"/>
    </font>
    <font>
      <b/>
      <sz val="9"/>
      <color rgb="FF6B6B6B"/>
      <name val="Aptos Narrow"/>
      <family val="2"/>
      <scheme val="minor"/>
    </font>
    <font>
      <b/>
      <i/>
      <sz val="9"/>
      <color rgb="FF6B6B6B"/>
      <name val="Aptos Narrow"/>
      <family val="2"/>
      <scheme val="minor"/>
    </font>
    <font>
      <i/>
      <sz val="10"/>
      <color indexed="8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2F2F2"/>
      </patternFill>
    </fill>
    <fill>
      <patternFill patternType="solid">
        <f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E8E8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center" wrapText="1"/>
    </xf>
    <xf numFmtId="2" fontId="5" fillId="3" borderId="3" xfId="0" applyNumberFormat="1" applyFont="1" applyFill="1" applyBorder="1" applyAlignment="1">
      <alignment horizontal="right" wrapText="1"/>
    </xf>
    <xf numFmtId="2" fontId="6" fillId="2" borderId="3" xfId="0" applyNumberFormat="1" applyFont="1" applyFill="1" applyBorder="1" applyAlignment="1">
      <alignment horizontal="right" wrapText="1"/>
    </xf>
    <xf numFmtId="0" fontId="3" fillId="3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8" fillId="0" borderId="0" xfId="0" applyFont="1"/>
    <xf numFmtId="0" fontId="9" fillId="0" borderId="0" xfId="0" applyFont="1"/>
    <xf numFmtId="164" fontId="11" fillId="0" borderId="0" xfId="0" applyNumberFormat="1" applyFont="1"/>
    <xf numFmtId="166" fontId="8" fillId="0" borderId="0" xfId="0" applyNumberFormat="1" applyFont="1"/>
    <xf numFmtId="164" fontId="12" fillId="0" borderId="0" xfId="0" applyNumberFormat="1" applyFont="1"/>
    <xf numFmtId="166" fontId="12" fillId="0" borderId="0" xfId="0" applyNumberFormat="1" applyFont="1"/>
    <xf numFmtId="164" fontId="13" fillId="0" borderId="0" xfId="0" applyNumberFormat="1" applyFont="1"/>
    <xf numFmtId="0" fontId="8" fillId="5" borderId="0" xfId="0" applyFont="1" applyFill="1"/>
    <xf numFmtId="164" fontId="11" fillId="5" borderId="0" xfId="0" applyNumberFormat="1" applyFont="1" applyFill="1"/>
    <xf numFmtId="0" fontId="11" fillId="0" borderId="0" xfId="0" applyFont="1"/>
    <xf numFmtId="0" fontId="8" fillId="6" borderId="0" xfId="0" applyFont="1" applyFill="1"/>
    <xf numFmtId="0" fontId="14" fillId="6" borderId="0" xfId="0" applyFont="1" applyFill="1"/>
    <xf numFmtId="0" fontId="15" fillId="6" borderId="0" xfId="0" applyFont="1" applyFill="1"/>
    <xf numFmtId="0" fontId="16" fillId="0" borderId="0" xfId="0" applyFont="1"/>
    <xf numFmtId="0" fontId="7" fillId="6" borderId="0" xfId="0" applyFont="1" applyFill="1"/>
    <xf numFmtId="0" fontId="16" fillId="0" borderId="0" xfId="0" applyFont="1" applyAlignment="1">
      <alignment horizontal="right"/>
    </xf>
    <xf numFmtId="0" fontId="17" fillId="0" borderId="0" xfId="0" applyFont="1" applyFill="1"/>
    <xf numFmtId="166" fontId="17" fillId="0" borderId="0" xfId="0" applyNumberFormat="1" applyFont="1" applyFill="1"/>
    <xf numFmtId="0" fontId="9" fillId="7" borderId="0" xfId="0" applyFont="1" applyFill="1"/>
    <xf numFmtId="164" fontId="11" fillId="7" borderId="0" xfId="0" applyNumberFormat="1" applyFont="1" applyFill="1"/>
    <xf numFmtId="0" fontId="8" fillId="7" borderId="0" xfId="0" applyFont="1" applyFill="1"/>
    <xf numFmtId="166" fontId="8" fillId="7" borderId="0" xfId="0" applyNumberFormat="1" applyFont="1" applyFill="1"/>
    <xf numFmtId="166" fontId="12" fillId="7" borderId="0" xfId="0" applyNumberFormat="1" applyFont="1" applyFill="1"/>
    <xf numFmtId="164" fontId="13" fillId="7" borderId="0" xfId="0" applyNumberFormat="1" applyFont="1" applyFill="1"/>
    <xf numFmtId="0" fontId="11" fillId="7" borderId="0" xfId="0" applyFont="1" applyFill="1"/>
    <xf numFmtId="0" fontId="9" fillId="8" borderId="0" xfId="0" applyFont="1" applyFill="1"/>
    <xf numFmtId="164" fontId="9" fillId="8" borderId="0" xfId="0" applyNumberFormat="1" applyFont="1" applyFill="1"/>
    <xf numFmtId="0" fontId="9" fillId="8" borderId="4" xfId="0" applyFont="1" applyFill="1" applyBorder="1"/>
    <xf numFmtId="164" fontId="9" fillId="8" borderId="4" xfId="0" applyNumberFormat="1" applyFont="1" applyFill="1" applyBorder="1"/>
    <xf numFmtId="166" fontId="9" fillId="8" borderId="4" xfId="0" applyNumberFormat="1" applyFont="1" applyFill="1" applyBorder="1"/>
    <xf numFmtId="0" fontId="10" fillId="6" borderId="5" xfId="0" applyFont="1" applyFill="1" applyBorder="1"/>
    <xf numFmtId="164" fontId="10" fillId="6" borderId="5" xfId="0" applyNumberFormat="1" applyFont="1" applyFill="1" applyBorder="1"/>
    <xf numFmtId="166" fontId="10" fillId="6" borderId="5" xfId="0" applyNumberFormat="1" applyFont="1" applyFill="1" applyBorder="1"/>
    <xf numFmtId="0" fontId="18" fillId="7" borderId="0" xfId="0" applyFont="1" applyFill="1"/>
    <xf numFmtId="0" fontId="18" fillId="0" borderId="0" xfId="0" applyFont="1"/>
    <xf numFmtId="0" fontId="19" fillId="7" borderId="0" xfId="0" applyFont="1" applyFill="1"/>
    <xf numFmtId="0" fontId="1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DF697E-1168-4590-B40B-C5B979A1B498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e3e7909b-9e9b-4c63-b430-798b30f71c0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"/>
  <sheetViews>
    <sheetView tabSelected="1" workbookViewId="0">
      <selection activeCell="E21" sqref="E21"/>
    </sheetView>
  </sheetViews>
  <sheetFormatPr defaultColWidth="26.28515625" defaultRowHeight="15" x14ac:dyDescent="0.25"/>
  <cols>
    <col min="1" max="1" width="45.7109375" customWidth="1"/>
    <col min="2" max="2" width="40" customWidth="1"/>
    <col min="3" max="3" width="17.140625" customWidth="1"/>
    <col min="4" max="4" width="15.28515625" customWidth="1"/>
  </cols>
  <sheetData>
    <row r="1" spans="1:4" ht="21" x14ac:dyDescent="0.35">
      <c r="A1" s="20" t="s">
        <v>202</v>
      </c>
      <c r="B1" s="19"/>
      <c r="C1" s="19"/>
      <c r="D1" s="19"/>
    </row>
    <row r="2" spans="1:4" x14ac:dyDescent="0.25">
      <c r="A2" s="21" t="s">
        <v>203</v>
      </c>
      <c r="B2" s="19"/>
      <c r="C2" s="19"/>
      <c r="D2" s="19"/>
    </row>
    <row r="3" spans="1:4" x14ac:dyDescent="0.25">
      <c r="A3" s="9"/>
      <c r="B3" s="9"/>
      <c r="C3" s="9"/>
      <c r="D3" s="9"/>
    </row>
    <row r="4" spans="1:4" x14ac:dyDescent="0.25">
      <c r="A4" s="22" t="s">
        <v>204</v>
      </c>
      <c r="B4" s="9" t="s">
        <v>205</v>
      </c>
      <c r="C4" s="9"/>
      <c r="D4" s="9"/>
    </row>
    <row r="5" spans="1:4" x14ac:dyDescent="0.25">
      <c r="A5" s="22" t="s">
        <v>206</v>
      </c>
      <c r="B5" s="9" t="s">
        <v>5</v>
      </c>
      <c r="C5" s="9"/>
      <c r="D5" s="9"/>
    </row>
    <row r="6" spans="1:4" x14ac:dyDescent="0.25">
      <c r="A6" s="22" t="s">
        <v>207</v>
      </c>
      <c r="B6" s="9" t="s">
        <v>208</v>
      </c>
      <c r="C6" s="9"/>
      <c r="D6" s="9"/>
    </row>
    <row r="7" spans="1:4" x14ac:dyDescent="0.25">
      <c r="A7" s="9"/>
      <c r="B7" s="9"/>
      <c r="C7" s="9"/>
      <c r="D7" s="9"/>
    </row>
    <row r="8" spans="1:4" x14ac:dyDescent="0.25">
      <c r="A8" s="23" t="s">
        <v>209</v>
      </c>
      <c r="B8" s="23"/>
      <c r="C8" s="23"/>
      <c r="D8" s="9"/>
    </row>
    <row r="9" spans="1:4" x14ac:dyDescent="0.25">
      <c r="A9" s="27" t="s">
        <v>186</v>
      </c>
      <c r="B9" s="28">
        <f>SUMIF('Transaction Details'!C8:C106,"&gt;0")</f>
        <v>13714.409999999996</v>
      </c>
      <c r="C9" s="29"/>
      <c r="D9" s="9"/>
    </row>
    <row r="10" spans="1:4" x14ac:dyDescent="0.25">
      <c r="A10" s="10" t="s">
        <v>210</v>
      </c>
      <c r="B10" s="11">
        <f>SUMIF('Transaction Details'!C8:C106,"&lt;0")</f>
        <v>-16950.79</v>
      </c>
      <c r="C10" s="9"/>
      <c r="D10" s="9"/>
    </row>
    <row r="11" spans="1:4" x14ac:dyDescent="0.25">
      <c r="A11" s="34" t="s">
        <v>211</v>
      </c>
      <c r="B11" s="35">
        <f>B9+B10</f>
        <v>-3236.3800000000047</v>
      </c>
      <c r="C11" s="34"/>
      <c r="D11" s="9"/>
    </row>
    <row r="12" spans="1:4" x14ac:dyDescent="0.25">
      <c r="A12" s="9"/>
      <c r="B12" s="9"/>
      <c r="C12" s="9"/>
      <c r="D12" s="9"/>
    </row>
    <row r="13" spans="1:4" x14ac:dyDescent="0.25">
      <c r="A13" s="23" t="s">
        <v>212</v>
      </c>
      <c r="B13" s="23"/>
      <c r="C13" s="23"/>
      <c r="D13" s="9"/>
    </row>
    <row r="14" spans="1:4" x14ac:dyDescent="0.25">
      <c r="A14" s="22" t="s">
        <v>11</v>
      </c>
      <c r="B14" s="24" t="s">
        <v>8</v>
      </c>
      <c r="C14" s="24" t="s">
        <v>213</v>
      </c>
      <c r="D14" s="9"/>
    </row>
    <row r="15" spans="1:4" x14ac:dyDescent="0.25">
      <c r="A15" s="25" t="s">
        <v>214</v>
      </c>
      <c r="B15" s="25"/>
      <c r="C15" s="25"/>
      <c r="D15" s="9"/>
    </row>
    <row r="16" spans="1:4" x14ac:dyDescent="0.25">
      <c r="A16" s="9" t="s">
        <v>200</v>
      </c>
      <c r="B16" s="11">
        <f>SUMIFS('Transaction Details'!$C$8:$C$106,'Transaction Details'!$F$8:$F$106,A16)</f>
        <v>5128.5400000000009</v>
      </c>
      <c r="C16" s="12">
        <f>IFERROR(B16/$B$9,0)</f>
        <v>0.37395265272075157</v>
      </c>
      <c r="D16" s="9"/>
    </row>
    <row r="17" spans="1:4" x14ac:dyDescent="0.25">
      <c r="A17" s="42" t="s">
        <v>232</v>
      </c>
      <c r="B17" s="32">
        <f>SUMIFS('Transaction Details'!$C$8:$C$106,'Transaction Details'!$F$8:$F$106,"AMEX TRAVEL PAY WITH POINTS CREDIT")</f>
        <v>-560</v>
      </c>
      <c r="C17" s="30">
        <f>IFERROR(B17/$B$9,0)</f>
        <v>-4.0832963284603577E-2</v>
      </c>
      <c r="D17" s="9"/>
    </row>
    <row r="18" spans="1:4" x14ac:dyDescent="0.25">
      <c r="A18" s="43" t="s">
        <v>233</v>
      </c>
      <c r="B18" s="15">
        <f>SUMIFS('Transaction Details'!$C$8:$C$106,'Transaction Details'!$F$8:$F$106,"Platinum Hotel Credit")</f>
        <v>-300</v>
      </c>
      <c r="C18" s="12">
        <f>IFERROR(B18/$B$9,0)</f>
        <v>-2.1874801759609059E-2</v>
      </c>
      <c r="D18" s="9"/>
    </row>
    <row r="19" spans="1:4" x14ac:dyDescent="0.25">
      <c r="A19" s="42" t="s">
        <v>235</v>
      </c>
      <c r="B19" s="32">
        <f>SUMIFS('Transaction Details'!$C$8:$C$106,'Transaction Details'!$F$8:$F$106,"Refund")</f>
        <v>-29</v>
      </c>
      <c r="C19" s="30">
        <f>IFERROR(B19/$B$9,0)</f>
        <v>-2.1145641700955425E-3</v>
      </c>
      <c r="D19" s="9"/>
    </row>
    <row r="20" spans="1:4" x14ac:dyDescent="0.25">
      <c r="A20" s="43" t="s">
        <v>238</v>
      </c>
      <c r="B20" s="13">
        <f>B16+B17+B18+B19</f>
        <v>4239.5400000000009</v>
      </c>
      <c r="C20" s="12">
        <f>IFERROR(B20/$B$9,0)</f>
        <v>0.30913032350644337</v>
      </c>
      <c r="D20" s="9"/>
    </row>
    <row r="21" spans="1:4" x14ac:dyDescent="0.25">
      <c r="A21" s="44" t="s">
        <v>198</v>
      </c>
      <c r="B21" s="28">
        <f>SUMIFS('Transaction Details'!$C$8:$C$106,'Transaction Details'!$F$8:$F$106,A21)</f>
        <v>619.77</v>
      </c>
      <c r="C21" s="31">
        <f>IFERROR(B21/$B$9,0)</f>
        <v>4.5191152955176353E-2</v>
      </c>
      <c r="D21" s="9"/>
    </row>
    <row r="22" spans="1:4" x14ac:dyDescent="0.25">
      <c r="A22" s="45" t="s">
        <v>199</v>
      </c>
      <c r="B22" s="11">
        <f>SUMIFS('Transaction Details'!$C$8:$C$106,'Transaction Details'!$F$8:$F$106,A22)</f>
        <v>1262.8699999999999</v>
      </c>
      <c r="C22" s="14">
        <f>IFERROR(B22/$B$9,0)</f>
        <v>9.208343632719164E-2</v>
      </c>
      <c r="D22" s="9"/>
    </row>
    <row r="23" spans="1:4" x14ac:dyDescent="0.25">
      <c r="A23" s="44" t="s">
        <v>201</v>
      </c>
      <c r="B23" s="28">
        <f>SUMIFS('Transaction Details'!$C$8:$C$106,'Transaction Details'!$F$8:$F$106,A23)</f>
        <v>31.91</v>
      </c>
      <c r="C23" s="31">
        <f>IFERROR(B23/$B$9,0)</f>
        <v>2.3267497471637505E-3</v>
      </c>
      <c r="D23" s="9"/>
    </row>
    <row r="24" spans="1:4" x14ac:dyDescent="0.25">
      <c r="A24" s="45" t="s">
        <v>193</v>
      </c>
      <c r="B24" s="11">
        <f>SUMIFS('Transaction Details'!$C$8:$C$106,'Transaction Details'!$F$8:$F$106,A24)</f>
        <v>147.66</v>
      </c>
      <c r="C24" s="14">
        <f>IFERROR(B24/$B$9,0)</f>
        <v>1.076677742607958E-2</v>
      </c>
      <c r="D24" s="9"/>
    </row>
    <row r="25" spans="1:4" x14ac:dyDescent="0.25">
      <c r="A25" s="36" t="s">
        <v>234</v>
      </c>
      <c r="B25" s="37">
        <f>B20+B21+B22+B23+B24</f>
        <v>6301.7500000000009</v>
      </c>
      <c r="C25" s="38">
        <f>IFERROR(B25/$B$9,0)</f>
        <v>0.45949843996205469</v>
      </c>
      <c r="D25" s="9"/>
    </row>
    <row r="26" spans="1:4" x14ac:dyDescent="0.25">
      <c r="A26" s="25" t="s">
        <v>215</v>
      </c>
      <c r="B26" s="25"/>
      <c r="C26" s="26"/>
      <c r="D26" s="9"/>
    </row>
    <row r="27" spans="1:4" x14ac:dyDescent="0.25">
      <c r="A27" s="9" t="s">
        <v>191</v>
      </c>
      <c r="B27" s="11">
        <f>SUMIFS('Transaction Details'!$C$8:$C$106,'Transaction Details'!$F$8:$F$106,A27)</f>
        <v>1136.8599999999999</v>
      </c>
      <c r="C27" s="12">
        <f>IFERROR(B27/$B$9,0)</f>
        <v>8.2895290428097179E-2</v>
      </c>
      <c r="D27" s="9"/>
    </row>
    <row r="28" spans="1:4" x14ac:dyDescent="0.25">
      <c r="A28" s="29" t="s">
        <v>190</v>
      </c>
      <c r="B28" s="28">
        <f>SUMIFS('Transaction Details'!$C$8:$C$106,'Transaction Details'!$F$8:$F$106,A28)</f>
        <v>357.48</v>
      </c>
      <c r="C28" s="30">
        <f>IFERROR(B28/$B$9,0)</f>
        <v>2.6066013776750156E-2</v>
      </c>
      <c r="D28" s="9"/>
    </row>
    <row r="29" spans="1:4" x14ac:dyDescent="0.25">
      <c r="A29" s="9" t="s">
        <v>188</v>
      </c>
      <c r="B29" s="11">
        <f>SUMIFS('Transaction Details'!$C$8:$C$106,'Transaction Details'!$F$8:$F$106,A29)</f>
        <v>361.69000000000005</v>
      </c>
      <c r="C29" s="12">
        <f>IFERROR(B29/$B$9,0)</f>
        <v>2.637299016144334E-2</v>
      </c>
      <c r="D29" s="9"/>
    </row>
    <row r="30" spans="1:4" x14ac:dyDescent="0.25">
      <c r="A30" s="29" t="s">
        <v>189</v>
      </c>
      <c r="B30" s="28">
        <f>SUMIFS('Transaction Details'!$C$8:$C$106,'Transaction Details'!$F$8:$F$106,A30)</f>
        <v>461.78999999999996</v>
      </c>
      <c r="C30" s="30">
        <f>IFERROR(B30/$B$9,0)</f>
        <v>3.3671882348566225E-2</v>
      </c>
      <c r="D30" s="9"/>
    </row>
    <row r="31" spans="1:4" x14ac:dyDescent="0.25">
      <c r="A31" s="36" t="s">
        <v>216</v>
      </c>
      <c r="B31" s="37">
        <f>SUM(B27:B30)</f>
        <v>2317.8199999999997</v>
      </c>
      <c r="C31" s="38">
        <f>IFERROR(B31/$B$9,0)</f>
        <v>0.16900617671485688</v>
      </c>
      <c r="D31" s="9"/>
    </row>
    <row r="32" spans="1:4" x14ac:dyDescent="0.25">
      <c r="A32" s="25" t="s">
        <v>217</v>
      </c>
      <c r="B32" s="25"/>
      <c r="C32" s="26"/>
      <c r="D32" s="9"/>
    </row>
    <row r="33" spans="1:4" x14ac:dyDescent="0.25">
      <c r="A33" s="9" t="s">
        <v>187</v>
      </c>
      <c r="B33" s="11">
        <f>SUMIFS('Transaction Details'!$C$8:$C$106,'Transaction Details'!$F$8:$F$106,A33)</f>
        <v>0</v>
      </c>
      <c r="C33" s="12">
        <f>IFERROR(B33/$B$9,0)</f>
        <v>0</v>
      </c>
      <c r="D33" s="9"/>
    </row>
    <row r="34" spans="1:4" x14ac:dyDescent="0.25">
      <c r="A34" s="29" t="s">
        <v>196</v>
      </c>
      <c r="B34" s="28">
        <f>SUMIFS('Transaction Details'!$C$8:$C$106,'Transaction Details'!$F$8:$F$106,A34)</f>
        <v>405.21</v>
      </c>
      <c r="C34" s="30">
        <f>IFERROR(B34/$B$9,0)</f>
        <v>2.9546294736703956E-2</v>
      </c>
      <c r="D34" s="9"/>
    </row>
    <row r="35" spans="1:4" x14ac:dyDescent="0.25">
      <c r="A35" s="9" t="s">
        <v>197</v>
      </c>
      <c r="B35" s="11">
        <f>SUMIFS('Transaction Details'!$C$8:$C$106,'Transaction Details'!$F$8:$F$106,A35)</f>
        <v>2500</v>
      </c>
      <c r="C35" s="12">
        <f>IFERROR(B35/$B$9,0)</f>
        <v>0.18229001466340883</v>
      </c>
      <c r="D35" s="9"/>
    </row>
    <row r="36" spans="1:4" x14ac:dyDescent="0.25">
      <c r="A36" s="36" t="s">
        <v>218</v>
      </c>
      <c r="B36" s="37">
        <f>SUM(B33:B35)</f>
        <v>2905.21</v>
      </c>
      <c r="C36" s="38">
        <f>IFERROR(B36/$B$9,0)</f>
        <v>0.21183630940011278</v>
      </c>
      <c r="D36" s="9"/>
    </row>
    <row r="37" spans="1:4" x14ac:dyDescent="0.25">
      <c r="A37" s="25" t="s">
        <v>219</v>
      </c>
      <c r="B37" s="25"/>
      <c r="C37" s="26"/>
      <c r="D37" s="9"/>
    </row>
    <row r="38" spans="1:4" x14ac:dyDescent="0.25">
      <c r="A38" s="16" t="s">
        <v>194</v>
      </c>
      <c r="B38" s="17">
        <f>SUMIFS('Transaction Details'!$C$8:$C$106,'Transaction Details'!$F$8:$F$106,A38)</f>
        <v>45.15</v>
      </c>
      <c r="C38" s="12">
        <f>IFERROR(B38/$B$9,0)</f>
        <v>3.2921576648211634E-3</v>
      </c>
      <c r="D38" s="9"/>
    </row>
    <row r="39" spans="1:4" x14ac:dyDescent="0.25">
      <c r="A39" s="36" t="s">
        <v>220</v>
      </c>
      <c r="B39" s="37">
        <f>SUM(B38:B38)</f>
        <v>45.15</v>
      </c>
      <c r="C39" s="38">
        <f>IFERROR(B39/$B$9,0)</f>
        <v>3.2921576648211634E-3</v>
      </c>
      <c r="D39" s="9"/>
    </row>
    <row r="40" spans="1:4" x14ac:dyDescent="0.25">
      <c r="A40" s="25" t="s">
        <v>236</v>
      </c>
      <c r="B40" s="25"/>
      <c r="C40" s="26"/>
      <c r="D40" s="9"/>
    </row>
    <row r="41" spans="1:4" x14ac:dyDescent="0.25">
      <c r="A41" s="9" t="s">
        <v>192</v>
      </c>
      <c r="B41" s="11">
        <f>SUMIFS('Transaction Details'!$C$8:$C$106,'Transaction Details'!$F$8:$F$106,A41)</f>
        <v>-14806.310000000001</v>
      </c>
      <c r="C41" s="12">
        <f>IFERROR(B41/$B$9,0)</f>
        <v>-1.0796169868043908</v>
      </c>
      <c r="D41" s="9"/>
    </row>
    <row r="42" spans="1:4" ht="15.75" thickBot="1" x14ac:dyDescent="0.3">
      <c r="A42" s="36" t="s">
        <v>237</v>
      </c>
      <c r="B42" s="37">
        <f>SUM(B41:B41)</f>
        <v>-14806.310000000001</v>
      </c>
      <c r="C42" s="38">
        <f>IFERROR(B42/$B$9,0)</f>
        <v>-1.0796169868043908</v>
      </c>
      <c r="D42" s="9"/>
    </row>
    <row r="43" spans="1:4" ht="15.75" thickTop="1" x14ac:dyDescent="0.25">
      <c r="A43" s="39" t="s">
        <v>221</v>
      </c>
      <c r="B43" s="40">
        <f>B25+B31+B36+B39+B42</f>
        <v>-3236.3800000000028</v>
      </c>
      <c r="C43" s="41">
        <f>IFERROR(B43/$B$9,0)</f>
        <v>-0.23598390306254544</v>
      </c>
      <c r="D43" s="9"/>
    </row>
    <row r="44" spans="1:4" x14ac:dyDescent="0.25">
      <c r="A44" s="9"/>
      <c r="B44" s="9"/>
      <c r="C44" s="9"/>
      <c r="D44" s="9"/>
    </row>
    <row r="45" spans="1:4" x14ac:dyDescent="0.25">
      <c r="A45" s="23" t="s">
        <v>222</v>
      </c>
      <c r="B45" s="23"/>
      <c r="C45" s="23"/>
      <c r="D45" s="23"/>
    </row>
    <row r="46" spans="1:4" x14ac:dyDescent="0.25">
      <c r="A46" s="22" t="s">
        <v>6</v>
      </c>
      <c r="B46" s="22" t="s">
        <v>7</v>
      </c>
      <c r="C46" s="22" t="s">
        <v>223</v>
      </c>
      <c r="D46" s="24" t="s">
        <v>8</v>
      </c>
    </row>
    <row r="47" spans="1:4" x14ac:dyDescent="0.25">
      <c r="A47" s="18" t="str">
        <f>'Transaction Details'!A10</f>
        <v>06/29/2026</v>
      </c>
      <c r="B47" s="9" t="s">
        <v>224</v>
      </c>
      <c r="C47" s="9" t="s">
        <v>225</v>
      </c>
      <c r="D47" s="11">
        <f>'Transaction Details'!C10</f>
        <v>-1255.48</v>
      </c>
    </row>
    <row r="48" spans="1:4" x14ac:dyDescent="0.25">
      <c r="A48" s="33" t="str">
        <f>'Transaction Details'!A22</f>
        <v>06/22/2026</v>
      </c>
      <c r="B48" s="29" t="s">
        <v>226</v>
      </c>
      <c r="C48" s="29" t="s">
        <v>225</v>
      </c>
      <c r="D48" s="28">
        <f>'Transaction Details'!C22</f>
        <v>-3000</v>
      </c>
    </row>
    <row r="49" spans="1:4" x14ac:dyDescent="0.25">
      <c r="A49" s="18" t="str">
        <f>'Transaction Details'!A36</f>
        <v>06/18/2026</v>
      </c>
      <c r="B49" s="9" t="s">
        <v>226</v>
      </c>
      <c r="C49" s="9" t="s">
        <v>225</v>
      </c>
      <c r="D49" s="11">
        <f>'Transaction Details'!C36</f>
        <v>-5000</v>
      </c>
    </row>
    <row r="50" spans="1:4" x14ac:dyDescent="0.25">
      <c r="A50" s="33" t="str">
        <f>'Transaction Details'!A52</f>
        <v>06/17/2026</v>
      </c>
      <c r="B50" s="29" t="s">
        <v>227</v>
      </c>
      <c r="C50" s="29" t="s">
        <v>195</v>
      </c>
      <c r="D50" s="28">
        <f>'Transaction Details'!C52</f>
        <v>-29</v>
      </c>
    </row>
    <row r="51" spans="1:4" x14ac:dyDescent="0.25">
      <c r="A51" s="18" t="str">
        <f>'Transaction Details'!A69</f>
        <v>06/14/2026</v>
      </c>
      <c r="B51" s="9" t="s">
        <v>228</v>
      </c>
      <c r="C51" s="9" t="s">
        <v>229</v>
      </c>
      <c r="D51" s="11">
        <f>'Transaction Details'!C69</f>
        <v>-350</v>
      </c>
    </row>
    <row r="52" spans="1:4" x14ac:dyDescent="0.25">
      <c r="A52" s="33" t="str">
        <f>'Transaction Details'!A72</f>
        <v>06/14/2026</v>
      </c>
      <c r="B52" s="29" t="s">
        <v>134</v>
      </c>
      <c r="C52" s="29" t="s">
        <v>230</v>
      </c>
      <c r="D52" s="28">
        <f>'Transaction Details'!C72</f>
        <v>-300</v>
      </c>
    </row>
    <row r="53" spans="1:4" x14ac:dyDescent="0.25">
      <c r="A53" s="18" t="str">
        <f>'Transaction Details'!A79</f>
        <v>06/13/2026</v>
      </c>
      <c r="B53" s="9" t="s">
        <v>228</v>
      </c>
      <c r="C53" s="9" t="s">
        <v>229</v>
      </c>
      <c r="D53" s="11">
        <f>'Transaction Details'!C79</f>
        <v>-210</v>
      </c>
    </row>
    <row r="54" spans="1:4" x14ac:dyDescent="0.25">
      <c r="A54" s="33" t="str">
        <f>'Transaction Details'!A96</f>
        <v>06/10/2026</v>
      </c>
      <c r="B54" s="29" t="s">
        <v>226</v>
      </c>
      <c r="C54" s="29" t="s">
        <v>225</v>
      </c>
      <c r="D54" s="28">
        <f>'Transaction Details'!C96</f>
        <v>-6806.31</v>
      </c>
    </row>
    <row r="55" spans="1:4" x14ac:dyDescent="0.25">
      <c r="A55" s="36" t="s">
        <v>231</v>
      </c>
      <c r="B55" s="36"/>
      <c r="C55" s="36"/>
      <c r="D55" s="37">
        <f>SUM(D47:D54)</f>
        <v>-16950.79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"/>
  <sheetViews>
    <sheetView topLeftCell="A43" workbookViewId="0">
      <selection activeCell="B50" sqref="B50"/>
    </sheetView>
  </sheetViews>
  <sheetFormatPr defaultColWidth="26.28515625" defaultRowHeight="15" x14ac:dyDescent="0.25"/>
  <cols>
    <col min="2" max="2" width="33.140625" customWidth="1"/>
    <col min="3" max="3" width="15.85546875" customWidth="1"/>
    <col min="6" max="6" width="31.85546875" customWidth="1"/>
  </cols>
  <sheetData>
    <row r="1" spans="1:6" x14ac:dyDescent="0.25">
      <c r="A1" s="1" t="s">
        <v>1</v>
      </c>
    </row>
    <row r="2" spans="1:6" x14ac:dyDescent="0.25">
      <c r="A2" s="2" t="s">
        <v>2</v>
      </c>
    </row>
    <row r="3" spans="1:6" x14ac:dyDescent="0.25">
      <c r="A3" s="3" t="s">
        <v>3</v>
      </c>
    </row>
    <row r="4" spans="1:6" x14ac:dyDescent="0.25">
      <c r="A4" s="2" t="s">
        <v>4</v>
      </c>
    </row>
    <row r="5" spans="1:6" x14ac:dyDescent="0.25">
      <c r="A5" s="3" t="s">
        <v>5</v>
      </c>
    </row>
    <row r="6" spans="1:6" x14ac:dyDescent="0.25">
      <c r="A6" s="2" t="s">
        <v>0</v>
      </c>
    </row>
    <row r="7" spans="1:6" ht="30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</row>
    <row r="8" spans="1:6" ht="60" customHeight="1" x14ac:dyDescent="0.25">
      <c r="A8" s="8" t="s">
        <v>12</v>
      </c>
      <c r="B8" s="8" t="s">
        <v>13</v>
      </c>
      <c r="C8" s="6">
        <v>130.80000000000001</v>
      </c>
      <c r="D8" s="8" t="s">
        <v>14</v>
      </c>
      <c r="E8" s="8" t="s">
        <v>15</v>
      </c>
      <c r="F8" s="8" t="s">
        <v>188</v>
      </c>
    </row>
    <row r="9" spans="1:6" ht="60" customHeight="1" x14ac:dyDescent="0.25">
      <c r="A9" s="7" t="s">
        <v>16</v>
      </c>
      <c r="B9" s="7" t="s">
        <v>17</v>
      </c>
      <c r="C9" s="5">
        <v>1255.48</v>
      </c>
      <c r="D9" s="7" t="s">
        <v>18</v>
      </c>
      <c r="E9" s="7" t="s">
        <v>17</v>
      </c>
      <c r="F9" s="7" t="s">
        <v>187</v>
      </c>
    </row>
    <row r="10" spans="1:6" ht="60" customHeight="1" x14ac:dyDescent="0.25">
      <c r="A10" s="8" t="s">
        <v>16</v>
      </c>
      <c r="B10" s="8" t="s">
        <v>19</v>
      </c>
      <c r="C10" s="6">
        <v>-1255.48</v>
      </c>
      <c r="D10" s="8" t="s">
        <v>20</v>
      </c>
      <c r="E10" s="8" t="s">
        <v>19</v>
      </c>
      <c r="F10" s="8" t="s">
        <v>187</v>
      </c>
    </row>
    <row r="11" spans="1:6" ht="60" customHeight="1" x14ac:dyDescent="0.25">
      <c r="A11" s="7" t="s">
        <v>21</v>
      </c>
      <c r="B11" s="7" t="s">
        <v>13</v>
      </c>
      <c r="C11" s="5">
        <v>76.48</v>
      </c>
      <c r="D11" s="7" t="s">
        <v>22</v>
      </c>
      <c r="E11" s="7" t="s">
        <v>15</v>
      </c>
      <c r="F11" s="7" t="s">
        <v>188</v>
      </c>
    </row>
    <row r="12" spans="1:6" ht="60" customHeight="1" x14ac:dyDescent="0.25">
      <c r="A12" s="8" t="s">
        <v>21</v>
      </c>
      <c r="B12" s="8" t="s">
        <v>23</v>
      </c>
      <c r="C12" s="6">
        <v>240.98</v>
      </c>
      <c r="D12" s="8" t="s">
        <v>24</v>
      </c>
      <c r="E12" s="8" t="s">
        <v>23</v>
      </c>
      <c r="F12" s="8" t="s">
        <v>189</v>
      </c>
    </row>
    <row r="13" spans="1:6" ht="60" customHeight="1" x14ac:dyDescent="0.25">
      <c r="A13" s="7" t="s">
        <v>25</v>
      </c>
      <c r="B13" s="7" t="s">
        <v>26</v>
      </c>
      <c r="C13" s="5">
        <v>10.6</v>
      </c>
      <c r="D13" s="7" t="s">
        <v>27</v>
      </c>
      <c r="E13" s="7" t="s">
        <v>26</v>
      </c>
      <c r="F13" s="7" t="s">
        <v>190</v>
      </c>
    </row>
    <row r="14" spans="1:6" ht="60" customHeight="1" x14ac:dyDescent="0.25">
      <c r="A14" s="8" t="s">
        <v>25</v>
      </c>
      <c r="B14" s="8" t="s">
        <v>26</v>
      </c>
      <c r="C14" s="6">
        <v>10.62</v>
      </c>
      <c r="D14" s="8" t="s">
        <v>28</v>
      </c>
      <c r="E14" s="8" t="s">
        <v>26</v>
      </c>
      <c r="F14" s="8" t="s">
        <v>190</v>
      </c>
    </row>
    <row r="15" spans="1:6" ht="60" customHeight="1" x14ac:dyDescent="0.25">
      <c r="A15" s="7" t="s">
        <v>25</v>
      </c>
      <c r="B15" s="7" t="s">
        <v>26</v>
      </c>
      <c r="C15" s="5">
        <v>11.35</v>
      </c>
      <c r="D15" s="7" t="s">
        <v>29</v>
      </c>
      <c r="E15" s="7" t="s">
        <v>26</v>
      </c>
      <c r="F15" s="7" t="s">
        <v>190</v>
      </c>
    </row>
    <row r="16" spans="1:6" ht="60" customHeight="1" x14ac:dyDescent="0.25">
      <c r="A16" s="8" t="s">
        <v>25</v>
      </c>
      <c r="B16" s="8" t="s">
        <v>26</v>
      </c>
      <c r="C16" s="6">
        <v>12.16</v>
      </c>
      <c r="D16" s="8" t="s">
        <v>30</v>
      </c>
      <c r="E16" s="8" t="s">
        <v>26</v>
      </c>
      <c r="F16" s="8" t="s">
        <v>190</v>
      </c>
    </row>
    <row r="17" spans="1:6" ht="60" customHeight="1" x14ac:dyDescent="0.25">
      <c r="A17" s="7" t="s">
        <v>25</v>
      </c>
      <c r="B17" s="7" t="s">
        <v>31</v>
      </c>
      <c r="C17" s="5">
        <v>105.4</v>
      </c>
      <c r="D17" s="7" t="s">
        <v>32</v>
      </c>
      <c r="E17" s="7" t="s">
        <v>31</v>
      </c>
      <c r="F17" s="7" t="s">
        <v>190</v>
      </c>
    </row>
    <row r="18" spans="1:6" ht="60" customHeight="1" x14ac:dyDescent="0.25">
      <c r="A18" s="8" t="s">
        <v>25</v>
      </c>
      <c r="B18" s="8" t="s">
        <v>33</v>
      </c>
      <c r="C18" s="6">
        <v>0.99</v>
      </c>
      <c r="D18" s="8" t="s">
        <v>34</v>
      </c>
      <c r="E18" s="8" t="s">
        <v>33</v>
      </c>
      <c r="F18" s="8" t="s">
        <v>191</v>
      </c>
    </row>
    <row r="19" spans="1:6" ht="60" customHeight="1" x14ac:dyDescent="0.25">
      <c r="A19" s="7" t="s">
        <v>35</v>
      </c>
      <c r="B19" s="7" t="s">
        <v>36</v>
      </c>
      <c r="C19" s="5">
        <v>23.13</v>
      </c>
      <c r="D19" s="7" t="s">
        <v>37</v>
      </c>
      <c r="E19" s="7" t="s">
        <v>36</v>
      </c>
      <c r="F19" s="7" t="s">
        <v>188</v>
      </c>
    </row>
    <row r="20" spans="1:6" ht="60" customHeight="1" x14ac:dyDescent="0.25">
      <c r="A20" s="8" t="s">
        <v>35</v>
      </c>
      <c r="B20" s="8" t="s">
        <v>38</v>
      </c>
      <c r="C20" s="6">
        <v>44.27</v>
      </c>
      <c r="D20" s="8" t="s">
        <v>39</v>
      </c>
      <c r="E20" s="8" t="s">
        <v>38</v>
      </c>
      <c r="F20" s="8" t="s">
        <v>191</v>
      </c>
    </row>
    <row r="21" spans="1:6" ht="60" customHeight="1" x14ac:dyDescent="0.25">
      <c r="A21" s="7" t="s">
        <v>35</v>
      </c>
      <c r="B21" s="7" t="s">
        <v>40</v>
      </c>
      <c r="C21" s="5">
        <v>19.989999999999998</v>
      </c>
      <c r="D21" s="7" t="s">
        <v>41</v>
      </c>
      <c r="E21" s="7" t="s">
        <v>40</v>
      </c>
      <c r="F21" s="8" t="s">
        <v>191</v>
      </c>
    </row>
    <row r="22" spans="1:6" ht="60" customHeight="1" x14ac:dyDescent="0.25">
      <c r="A22" s="8" t="s">
        <v>35</v>
      </c>
      <c r="B22" s="8" t="s">
        <v>19</v>
      </c>
      <c r="C22" s="6">
        <v>-3000</v>
      </c>
      <c r="D22" s="8" t="s">
        <v>20</v>
      </c>
      <c r="E22" s="8" t="s">
        <v>19</v>
      </c>
      <c r="F22" s="8" t="s">
        <v>192</v>
      </c>
    </row>
    <row r="23" spans="1:6" ht="60" customHeight="1" x14ac:dyDescent="0.25">
      <c r="A23" s="7" t="s">
        <v>35</v>
      </c>
      <c r="B23" s="7" t="s">
        <v>42</v>
      </c>
      <c r="C23" s="5">
        <v>144</v>
      </c>
      <c r="D23" s="7" t="s">
        <v>43</v>
      </c>
      <c r="E23" s="7" t="s">
        <v>42</v>
      </c>
      <c r="F23" s="8" t="s">
        <v>191</v>
      </c>
    </row>
    <row r="24" spans="1:6" ht="60" customHeight="1" x14ac:dyDescent="0.25">
      <c r="A24" s="8" t="s">
        <v>44</v>
      </c>
      <c r="B24" s="8" t="s">
        <v>45</v>
      </c>
      <c r="C24" s="6">
        <v>584</v>
      </c>
      <c r="D24" s="8" t="s">
        <v>46</v>
      </c>
      <c r="E24" s="8" t="s">
        <v>45</v>
      </c>
      <c r="F24" s="8" t="s">
        <v>191</v>
      </c>
    </row>
    <row r="25" spans="1:6" ht="60" customHeight="1" x14ac:dyDescent="0.25">
      <c r="A25" s="7" t="s">
        <v>44</v>
      </c>
      <c r="B25" s="7" t="s">
        <v>47</v>
      </c>
      <c r="C25" s="5">
        <v>378.23</v>
      </c>
      <c r="D25" s="7" t="s">
        <v>48</v>
      </c>
      <c r="E25" s="7" t="s">
        <v>47</v>
      </c>
      <c r="F25" s="7" t="s">
        <v>200</v>
      </c>
    </row>
    <row r="26" spans="1:6" ht="60" customHeight="1" x14ac:dyDescent="0.25">
      <c r="A26" s="8" t="s">
        <v>44</v>
      </c>
      <c r="B26" s="8" t="s">
        <v>49</v>
      </c>
      <c r="C26" s="6">
        <v>94.2</v>
      </c>
      <c r="D26" s="8" t="s">
        <v>50</v>
      </c>
      <c r="E26" s="8" t="s">
        <v>51</v>
      </c>
      <c r="F26" s="7" t="s">
        <v>200</v>
      </c>
    </row>
    <row r="27" spans="1:6" ht="60" customHeight="1" x14ac:dyDescent="0.25">
      <c r="A27" s="7" t="s">
        <v>52</v>
      </c>
      <c r="B27" s="7" t="s">
        <v>53</v>
      </c>
      <c r="C27" s="5">
        <v>5.23</v>
      </c>
      <c r="D27" s="7" t="s">
        <v>54</v>
      </c>
      <c r="E27" s="7" t="s">
        <v>53</v>
      </c>
      <c r="F27" s="7" t="s">
        <v>200</v>
      </c>
    </row>
    <row r="28" spans="1:6" ht="60" customHeight="1" x14ac:dyDescent="0.25">
      <c r="A28" s="8" t="s">
        <v>52</v>
      </c>
      <c r="B28" s="8" t="s">
        <v>55</v>
      </c>
      <c r="C28" s="6">
        <v>18.96</v>
      </c>
      <c r="D28" s="8" t="s">
        <v>56</v>
      </c>
      <c r="E28" s="8" t="s">
        <v>55</v>
      </c>
      <c r="F28" s="7" t="s">
        <v>200</v>
      </c>
    </row>
    <row r="29" spans="1:6" ht="60" customHeight="1" x14ac:dyDescent="0.25">
      <c r="A29" s="7" t="s">
        <v>52</v>
      </c>
      <c r="B29" s="7" t="s">
        <v>57</v>
      </c>
      <c r="C29" s="5">
        <v>61.57</v>
      </c>
      <c r="D29" s="7" t="s">
        <v>58</v>
      </c>
      <c r="E29" s="7" t="s">
        <v>57</v>
      </c>
      <c r="F29" s="7" t="s">
        <v>200</v>
      </c>
    </row>
    <row r="30" spans="1:6" ht="60" customHeight="1" x14ac:dyDescent="0.25">
      <c r="A30" s="8" t="s">
        <v>52</v>
      </c>
      <c r="B30" s="8" t="s">
        <v>59</v>
      </c>
      <c r="C30" s="6">
        <v>266.5</v>
      </c>
      <c r="D30" s="8" t="s">
        <v>60</v>
      </c>
      <c r="E30" s="8" t="s">
        <v>59</v>
      </c>
      <c r="F30" s="7" t="s">
        <v>200</v>
      </c>
    </row>
    <row r="31" spans="1:6" ht="60" customHeight="1" x14ac:dyDescent="0.25">
      <c r="A31" s="7" t="s">
        <v>52</v>
      </c>
      <c r="B31" s="7" t="s">
        <v>61</v>
      </c>
      <c r="C31" s="5">
        <v>105.15</v>
      </c>
      <c r="D31" s="7" t="s">
        <v>62</v>
      </c>
      <c r="E31" s="7" t="s">
        <v>61</v>
      </c>
      <c r="F31" s="7" t="s">
        <v>200</v>
      </c>
    </row>
    <row r="32" spans="1:6" ht="60" customHeight="1" x14ac:dyDescent="0.25">
      <c r="A32" s="8" t="s">
        <v>52</v>
      </c>
      <c r="B32" s="8" t="s">
        <v>63</v>
      </c>
      <c r="C32" s="6">
        <v>424.6</v>
      </c>
      <c r="D32" s="8" t="s">
        <v>64</v>
      </c>
      <c r="E32" s="8" t="s">
        <v>63</v>
      </c>
      <c r="F32" s="7" t="s">
        <v>200</v>
      </c>
    </row>
    <row r="33" spans="1:6" ht="60" customHeight="1" x14ac:dyDescent="0.25">
      <c r="A33" s="7" t="s">
        <v>52</v>
      </c>
      <c r="B33" s="7" t="s">
        <v>65</v>
      </c>
      <c r="C33" s="5">
        <v>77.34</v>
      </c>
      <c r="D33" s="7" t="s">
        <v>66</v>
      </c>
      <c r="E33" s="7" t="s">
        <v>65</v>
      </c>
      <c r="F33" s="7" t="s">
        <v>200</v>
      </c>
    </row>
    <row r="34" spans="1:6" ht="60" customHeight="1" x14ac:dyDescent="0.25">
      <c r="A34" s="8" t="s">
        <v>52</v>
      </c>
      <c r="B34" s="8" t="s">
        <v>67</v>
      </c>
      <c r="C34" s="6">
        <v>1713.27</v>
      </c>
      <c r="D34" s="8" t="s">
        <v>68</v>
      </c>
      <c r="E34" s="8" t="s">
        <v>67</v>
      </c>
      <c r="F34" s="7" t="s">
        <v>200</v>
      </c>
    </row>
    <row r="35" spans="1:6" ht="60" customHeight="1" x14ac:dyDescent="0.25">
      <c r="A35" s="7" t="s">
        <v>69</v>
      </c>
      <c r="B35" s="7" t="s">
        <v>70</v>
      </c>
      <c r="C35" s="5">
        <v>45</v>
      </c>
      <c r="D35" s="7" t="s">
        <v>71</v>
      </c>
      <c r="E35" s="7" t="s">
        <v>70</v>
      </c>
      <c r="F35" s="7" t="s">
        <v>200</v>
      </c>
    </row>
    <row r="36" spans="1:6" ht="60" customHeight="1" x14ac:dyDescent="0.25">
      <c r="A36" s="8" t="s">
        <v>69</v>
      </c>
      <c r="B36" s="8" t="s">
        <v>19</v>
      </c>
      <c r="C36" s="6">
        <v>-5000</v>
      </c>
      <c r="D36" s="8" t="s">
        <v>20</v>
      </c>
      <c r="E36" s="8" t="s">
        <v>19</v>
      </c>
      <c r="F36" s="8" t="s">
        <v>192</v>
      </c>
    </row>
    <row r="37" spans="1:6" ht="60" customHeight="1" x14ac:dyDescent="0.25">
      <c r="A37" s="7" t="s">
        <v>69</v>
      </c>
      <c r="B37" s="7" t="s">
        <v>72</v>
      </c>
      <c r="C37" s="5">
        <v>13.09</v>
      </c>
      <c r="D37" s="7" t="s">
        <v>73</v>
      </c>
      <c r="E37" s="7" t="s">
        <v>72</v>
      </c>
      <c r="F37" s="7" t="s">
        <v>200</v>
      </c>
    </row>
    <row r="38" spans="1:6" ht="60" customHeight="1" x14ac:dyDescent="0.25">
      <c r="A38" s="8" t="s">
        <v>69</v>
      </c>
      <c r="B38" s="8" t="s">
        <v>72</v>
      </c>
      <c r="C38" s="6">
        <v>24.35</v>
      </c>
      <c r="D38" s="8" t="s">
        <v>74</v>
      </c>
      <c r="E38" s="8" t="s">
        <v>72</v>
      </c>
      <c r="F38" s="7" t="s">
        <v>200</v>
      </c>
    </row>
    <row r="39" spans="1:6" ht="60" customHeight="1" x14ac:dyDescent="0.25">
      <c r="A39" s="7" t="s">
        <v>69</v>
      </c>
      <c r="B39" s="7" t="s">
        <v>72</v>
      </c>
      <c r="C39" s="5">
        <v>26.93</v>
      </c>
      <c r="D39" s="7" t="s">
        <v>75</v>
      </c>
      <c r="E39" s="7" t="s">
        <v>72</v>
      </c>
      <c r="F39" s="7" t="s">
        <v>200</v>
      </c>
    </row>
    <row r="40" spans="1:6" ht="60" customHeight="1" x14ac:dyDescent="0.25">
      <c r="A40" s="8" t="s">
        <v>69</v>
      </c>
      <c r="B40" s="8" t="s">
        <v>72</v>
      </c>
      <c r="C40" s="6">
        <v>29.25</v>
      </c>
      <c r="D40" s="8" t="s">
        <v>76</v>
      </c>
      <c r="E40" s="8" t="s">
        <v>72</v>
      </c>
      <c r="F40" s="7" t="s">
        <v>200</v>
      </c>
    </row>
    <row r="41" spans="1:6" ht="60" customHeight="1" x14ac:dyDescent="0.25">
      <c r="A41" s="7" t="s">
        <v>69</v>
      </c>
      <c r="B41" s="7" t="s">
        <v>72</v>
      </c>
      <c r="C41" s="5">
        <v>30.52</v>
      </c>
      <c r="D41" s="7" t="s">
        <v>77</v>
      </c>
      <c r="E41" s="7" t="s">
        <v>72</v>
      </c>
      <c r="F41" s="7" t="s">
        <v>200</v>
      </c>
    </row>
    <row r="42" spans="1:6" ht="60" customHeight="1" x14ac:dyDescent="0.25">
      <c r="A42" s="8" t="s">
        <v>69</v>
      </c>
      <c r="B42" s="8" t="s">
        <v>72</v>
      </c>
      <c r="C42" s="6">
        <v>53.34</v>
      </c>
      <c r="D42" s="8" t="s">
        <v>78</v>
      </c>
      <c r="E42" s="8" t="s">
        <v>72</v>
      </c>
      <c r="F42" s="7" t="s">
        <v>200</v>
      </c>
    </row>
    <row r="43" spans="1:6" ht="60" customHeight="1" x14ac:dyDescent="0.25">
      <c r="A43" s="7" t="s">
        <v>69</v>
      </c>
      <c r="B43" s="7" t="s">
        <v>79</v>
      </c>
      <c r="C43" s="5">
        <v>8.9</v>
      </c>
      <c r="D43" s="7" t="s">
        <v>80</v>
      </c>
      <c r="E43" s="7" t="s">
        <v>79</v>
      </c>
      <c r="F43" s="7" t="s">
        <v>200</v>
      </c>
    </row>
    <row r="44" spans="1:6" ht="60" customHeight="1" x14ac:dyDescent="0.25">
      <c r="A44" s="8" t="s">
        <v>69</v>
      </c>
      <c r="B44" s="8" t="s">
        <v>81</v>
      </c>
      <c r="C44" s="6">
        <v>75.23</v>
      </c>
      <c r="D44" s="8" t="s">
        <v>82</v>
      </c>
      <c r="E44" s="8" t="s">
        <v>81</v>
      </c>
      <c r="F44" s="7" t="s">
        <v>200</v>
      </c>
    </row>
    <row r="45" spans="1:6" ht="60" customHeight="1" x14ac:dyDescent="0.25">
      <c r="A45" s="7" t="s">
        <v>69</v>
      </c>
      <c r="B45" s="7" t="s">
        <v>49</v>
      </c>
      <c r="C45" s="5">
        <v>84.26</v>
      </c>
      <c r="D45" s="7" t="s">
        <v>83</v>
      </c>
      <c r="E45" s="7" t="s">
        <v>51</v>
      </c>
      <c r="F45" s="7" t="s">
        <v>200</v>
      </c>
    </row>
    <row r="46" spans="1:6" ht="60" customHeight="1" x14ac:dyDescent="0.25">
      <c r="A46" s="8" t="s">
        <v>84</v>
      </c>
      <c r="B46" s="8" t="s">
        <v>85</v>
      </c>
      <c r="C46" s="6">
        <v>45.15</v>
      </c>
      <c r="D46" s="8" t="s">
        <v>86</v>
      </c>
      <c r="E46" s="8" t="s">
        <v>85</v>
      </c>
      <c r="F46" s="8" t="s">
        <v>194</v>
      </c>
    </row>
    <row r="47" spans="1:6" ht="60" customHeight="1" x14ac:dyDescent="0.25">
      <c r="A47" s="7" t="s">
        <v>84</v>
      </c>
      <c r="B47" s="7" t="s">
        <v>87</v>
      </c>
      <c r="C47" s="5">
        <v>188.55</v>
      </c>
      <c r="D47" s="7" t="s">
        <v>88</v>
      </c>
      <c r="E47" s="7" t="s">
        <v>87</v>
      </c>
      <c r="F47" s="7" t="s">
        <v>200</v>
      </c>
    </row>
    <row r="48" spans="1:6" ht="60" customHeight="1" x14ac:dyDescent="0.25">
      <c r="A48" s="8" t="s">
        <v>84</v>
      </c>
      <c r="B48" s="8" t="s">
        <v>89</v>
      </c>
      <c r="C48" s="6">
        <v>15.09</v>
      </c>
      <c r="D48" s="8" t="s">
        <v>90</v>
      </c>
      <c r="E48" s="8" t="s">
        <v>89</v>
      </c>
      <c r="F48" s="7" t="s">
        <v>200</v>
      </c>
    </row>
    <row r="49" spans="1:6" ht="60" customHeight="1" x14ac:dyDescent="0.25">
      <c r="A49" s="7" t="s">
        <v>84</v>
      </c>
      <c r="B49" s="7" t="s">
        <v>89</v>
      </c>
      <c r="C49" s="5">
        <v>180.62</v>
      </c>
      <c r="D49" s="7" t="s">
        <v>91</v>
      </c>
      <c r="E49" s="7" t="s">
        <v>89</v>
      </c>
      <c r="F49" s="7" t="s">
        <v>200</v>
      </c>
    </row>
    <row r="50" spans="1:6" ht="60" customHeight="1" x14ac:dyDescent="0.25">
      <c r="A50" s="8" t="s">
        <v>84</v>
      </c>
      <c r="B50" s="8" t="s">
        <v>92</v>
      </c>
      <c r="C50" s="6">
        <v>7.83</v>
      </c>
      <c r="D50" s="8" t="s">
        <v>93</v>
      </c>
      <c r="E50" s="8" t="s">
        <v>92</v>
      </c>
      <c r="F50" s="7" t="s">
        <v>200</v>
      </c>
    </row>
    <row r="51" spans="1:6" ht="60" customHeight="1" x14ac:dyDescent="0.25">
      <c r="A51" s="7" t="s">
        <v>84</v>
      </c>
      <c r="B51" s="7" t="s">
        <v>94</v>
      </c>
      <c r="C51" s="5">
        <v>7.34</v>
      </c>
      <c r="D51" s="7" t="s">
        <v>95</v>
      </c>
      <c r="E51" s="7" t="s">
        <v>94</v>
      </c>
      <c r="F51" s="7" t="s">
        <v>200</v>
      </c>
    </row>
    <row r="52" spans="1:6" ht="60" customHeight="1" x14ac:dyDescent="0.25">
      <c r="A52" s="8" t="s">
        <v>84</v>
      </c>
      <c r="B52" s="8" t="s">
        <v>96</v>
      </c>
      <c r="C52" s="6">
        <v>-29</v>
      </c>
      <c r="D52" s="8" t="s">
        <v>97</v>
      </c>
      <c r="E52" s="8" t="s">
        <v>96</v>
      </c>
      <c r="F52" s="8" t="s">
        <v>195</v>
      </c>
    </row>
    <row r="53" spans="1:6" ht="60" customHeight="1" x14ac:dyDescent="0.25">
      <c r="A53" s="7" t="s">
        <v>84</v>
      </c>
      <c r="B53" s="7" t="s">
        <v>98</v>
      </c>
      <c r="C53" s="5">
        <v>6.24</v>
      </c>
      <c r="D53" s="7" t="s">
        <v>99</v>
      </c>
      <c r="E53" s="7" t="s">
        <v>98</v>
      </c>
      <c r="F53" s="7" t="s">
        <v>200</v>
      </c>
    </row>
    <row r="54" spans="1:6" ht="60" customHeight="1" x14ac:dyDescent="0.25">
      <c r="A54" s="8" t="s">
        <v>84</v>
      </c>
      <c r="B54" s="8" t="s">
        <v>49</v>
      </c>
      <c r="C54" s="6">
        <v>32.25</v>
      </c>
      <c r="D54" s="8" t="s">
        <v>100</v>
      </c>
      <c r="E54" s="8" t="s">
        <v>51</v>
      </c>
      <c r="F54" s="8" t="s">
        <v>200</v>
      </c>
    </row>
    <row r="55" spans="1:6" ht="60" customHeight="1" x14ac:dyDescent="0.25">
      <c r="A55" s="7" t="s">
        <v>101</v>
      </c>
      <c r="B55" s="7" t="s">
        <v>102</v>
      </c>
      <c r="C55" s="5">
        <v>97.15</v>
      </c>
      <c r="D55" s="7" t="s">
        <v>103</v>
      </c>
      <c r="E55" s="7" t="s">
        <v>102</v>
      </c>
      <c r="F55" s="7" t="s">
        <v>199</v>
      </c>
    </row>
    <row r="56" spans="1:6" ht="60" customHeight="1" x14ac:dyDescent="0.25">
      <c r="A56" s="8" t="s">
        <v>101</v>
      </c>
      <c r="B56" s="8" t="s">
        <v>104</v>
      </c>
      <c r="C56" s="6">
        <v>7.77</v>
      </c>
      <c r="D56" s="8" t="s">
        <v>105</v>
      </c>
      <c r="E56" s="8" t="s">
        <v>104</v>
      </c>
      <c r="F56" s="8" t="s">
        <v>198</v>
      </c>
    </row>
    <row r="57" spans="1:6" ht="60" customHeight="1" x14ac:dyDescent="0.25">
      <c r="A57" s="7" t="s">
        <v>101</v>
      </c>
      <c r="B57" s="7" t="s">
        <v>96</v>
      </c>
      <c r="C57" s="5">
        <v>29</v>
      </c>
      <c r="D57" s="7" t="s">
        <v>106</v>
      </c>
      <c r="E57" s="7" t="s">
        <v>96</v>
      </c>
      <c r="F57" s="7" t="s">
        <v>200</v>
      </c>
    </row>
    <row r="58" spans="1:6" ht="60" customHeight="1" x14ac:dyDescent="0.25">
      <c r="A58" s="8" t="s">
        <v>101</v>
      </c>
      <c r="B58" s="8" t="s">
        <v>96</v>
      </c>
      <c r="C58" s="6">
        <v>34</v>
      </c>
      <c r="D58" s="8" t="s">
        <v>107</v>
      </c>
      <c r="E58" s="8" t="s">
        <v>96</v>
      </c>
      <c r="F58" s="8" t="s">
        <v>200</v>
      </c>
    </row>
    <row r="59" spans="1:6" ht="60" customHeight="1" x14ac:dyDescent="0.25">
      <c r="A59" s="7" t="s">
        <v>101</v>
      </c>
      <c r="B59" s="7" t="s">
        <v>96</v>
      </c>
      <c r="C59" s="5">
        <v>365.2</v>
      </c>
      <c r="D59" s="7" t="s">
        <v>108</v>
      </c>
      <c r="E59" s="7" t="s">
        <v>96</v>
      </c>
      <c r="F59" s="7" t="s">
        <v>200</v>
      </c>
    </row>
    <row r="60" spans="1:6" ht="60" customHeight="1" x14ac:dyDescent="0.25">
      <c r="A60" s="8" t="s">
        <v>101</v>
      </c>
      <c r="B60" s="8" t="s">
        <v>109</v>
      </c>
      <c r="C60" s="6">
        <v>32.49</v>
      </c>
      <c r="D60" s="8" t="s">
        <v>110</v>
      </c>
      <c r="E60" s="8" t="s">
        <v>109</v>
      </c>
      <c r="F60" s="8" t="s">
        <v>199</v>
      </c>
    </row>
    <row r="61" spans="1:6" ht="60" customHeight="1" x14ac:dyDescent="0.25">
      <c r="A61" s="7" t="s">
        <v>101</v>
      </c>
      <c r="B61" s="7" t="s">
        <v>111</v>
      </c>
      <c r="C61" s="5">
        <v>41.24</v>
      </c>
      <c r="D61" s="7" t="s">
        <v>112</v>
      </c>
      <c r="E61" s="7" t="s">
        <v>111</v>
      </c>
      <c r="F61" s="7" t="s">
        <v>198</v>
      </c>
    </row>
    <row r="62" spans="1:6" ht="60" customHeight="1" x14ac:dyDescent="0.25">
      <c r="A62" s="8" t="s">
        <v>113</v>
      </c>
      <c r="B62" s="8" t="s">
        <v>114</v>
      </c>
      <c r="C62" s="6">
        <v>10.29</v>
      </c>
      <c r="D62" s="8" t="s">
        <v>115</v>
      </c>
      <c r="E62" s="8" t="s">
        <v>114</v>
      </c>
      <c r="F62" s="8" t="s">
        <v>198</v>
      </c>
    </row>
    <row r="63" spans="1:6" ht="60" customHeight="1" x14ac:dyDescent="0.25">
      <c r="A63" s="7" t="s">
        <v>113</v>
      </c>
      <c r="B63" s="7" t="s">
        <v>116</v>
      </c>
      <c r="C63" s="5">
        <v>46.5</v>
      </c>
      <c r="D63" s="7" t="s">
        <v>117</v>
      </c>
      <c r="E63" s="7" t="s">
        <v>116</v>
      </c>
      <c r="F63" s="7" t="s">
        <v>198</v>
      </c>
    </row>
    <row r="64" spans="1:6" ht="60" customHeight="1" x14ac:dyDescent="0.25">
      <c r="A64" s="8" t="s">
        <v>113</v>
      </c>
      <c r="B64" s="8" t="s">
        <v>118</v>
      </c>
      <c r="C64" s="6">
        <v>22.74</v>
      </c>
      <c r="D64" s="8" t="s">
        <v>119</v>
      </c>
      <c r="E64" s="8" t="s">
        <v>118</v>
      </c>
      <c r="F64" s="8" t="s">
        <v>198</v>
      </c>
    </row>
    <row r="65" spans="1:6" ht="60" customHeight="1" x14ac:dyDescent="0.25">
      <c r="A65" s="7" t="s">
        <v>113</v>
      </c>
      <c r="B65" s="7" t="s">
        <v>118</v>
      </c>
      <c r="C65" s="5">
        <v>32.479999999999997</v>
      </c>
      <c r="D65" s="7" t="s">
        <v>120</v>
      </c>
      <c r="E65" s="7" t="s">
        <v>118</v>
      </c>
      <c r="F65" s="7" t="s">
        <v>198</v>
      </c>
    </row>
    <row r="66" spans="1:6" ht="60" customHeight="1" x14ac:dyDescent="0.25">
      <c r="A66" s="8" t="s">
        <v>113</v>
      </c>
      <c r="B66" s="8" t="s">
        <v>121</v>
      </c>
      <c r="C66" s="6">
        <v>108.25</v>
      </c>
      <c r="D66" s="8" t="s">
        <v>122</v>
      </c>
      <c r="E66" s="8" t="s">
        <v>121</v>
      </c>
      <c r="F66" s="8" t="s">
        <v>198</v>
      </c>
    </row>
    <row r="67" spans="1:6" ht="60" customHeight="1" x14ac:dyDescent="0.25">
      <c r="A67" s="7" t="s">
        <v>113</v>
      </c>
      <c r="B67" s="7" t="s">
        <v>123</v>
      </c>
      <c r="C67" s="5">
        <v>8.9</v>
      </c>
      <c r="D67" s="7" t="s">
        <v>124</v>
      </c>
      <c r="E67" s="7" t="s">
        <v>123</v>
      </c>
      <c r="F67" s="7" t="s">
        <v>198</v>
      </c>
    </row>
    <row r="68" spans="1:6" ht="60" customHeight="1" x14ac:dyDescent="0.25">
      <c r="A68" s="8" t="s">
        <v>125</v>
      </c>
      <c r="B68" s="8" t="s">
        <v>126</v>
      </c>
      <c r="C68" s="6">
        <v>726.5</v>
      </c>
      <c r="D68" s="8" t="s">
        <v>127</v>
      </c>
      <c r="E68" s="8" t="s">
        <v>126</v>
      </c>
      <c r="F68" s="8" t="s">
        <v>200</v>
      </c>
    </row>
    <row r="69" spans="1:6" ht="60" customHeight="1" x14ac:dyDescent="0.25">
      <c r="A69" s="7" t="s">
        <v>125</v>
      </c>
      <c r="B69" s="7" t="s">
        <v>128</v>
      </c>
      <c r="C69" s="5">
        <v>-350</v>
      </c>
      <c r="D69" s="7" t="s">
        <v>129</v>
      </c>
      <c r="E69" s="7" t="s">
        <v>128</v>
      </c>
      <c r="F69" s="7" t="s">
        <v>128</v>
      </c>
    </row>
    <row r="70" spans="1:6" ht="60" customHeight="1" x14ac:dyDescent="0.25">
      <c r="A70" s="8" t="s">
        <v>125</v>
      </c>
      <c r="B70" s="8" t="s">
        <v>130</v>
      </c>
      <c r="C70" s="6">
        <v>2</v>
      </c>
      <c r="D70" s="8" t="s">
        <v>131</v>
      </c>
      <c r="E70" s="8" t="s">
        <v>130</v>
      </c>
      <c r="F70" s="8" t="s">
        <v>199</v>
      </c>
    </row>
    <row r="71" spans="1:6" ht="60" customHeight="1" x14ac:dyDescent="0.25">
      <c r="A71" s="7" t="s">
        <v>125</v>
      </c>
      <c r="B71" s="7" t="s">
        <v>132</v>
      </c>
      <c r="C71" s="5">
        <v>90.74</v>
      </c>
      <c r="D71" s="7" t="s">
        <v>133</v>
      </c>
      <c r="E71" s="7" t="s">
        <v>132</v>
      </c>
      <c r="F71" s="7" t="s">
        <v>199</v>
      </c>
    </row>
    <row r="72" spans="1:6" ht="60" customHeight="1" x14ac:dyDescent="0.25">
      <c r="A72" s="8" t="s">
        <v>125</v>
      </c>
      <c r="B72" s="8" t="s">
        <v>134</v>
      </c>
      <c r="C72" s="6">
        <v>-300</v>
      </c>
      <c r="D72" s="8" t="s">
        <v>135</v>
      </c>
      <c r="E72" s="8" t="s">
        <v>134</v>
      </c>
      <c r="F72" s="8" t="s">
        <v>134</v>
      </c>
    </row>
    <row r="73" spans="1:6" ht="60" customHeight="1" x14ac:dyDescent="0.25">
      <c r="A73" s="7" t="s">
        <v>125</v>
      </c>
      <c r="B73" s="7" t="s">
        <v>136</v>
      </c>
      <c r="C73" s="5">
        <v>503.4</v>
      </c>
      <c r="D73" s="7" t="s">
        <v>137</v>
      </c>
      <c r="E73" s="7" t="s">
        <v>136</v>
      </c>
      <c r="F73" s="7" t="s">
        <v>199</v>
      </c>
    </row>
    <row r="74" spans="1:6" ht="60" customHeight="1" x14ac:dyDescent="0.25">
      <c r="A74" s="8" t="s">
        <v>125</v>
      </c>
      <c r="B74" s="8" t="s">
        <v>138</v>
      </c>
      <c r="C74" s="6">
        <v>287.97000000000003</v>
      </c>
      <c r="D74" s="8" t="s">
        <v>139</v>
      </c>
      <c r="E74" s="8" t="s">
        <v>138</v>
      </c>
      <c r="F74" s="8" t="s">
        <v>199</v>
      </c>
    </row>
    <row r="75" spans="1:6" ht="60" customHeight="1" x14ac:dyDescent="0.25">
      <c r="A75" s="7" t="s">
        <v>125</v>
      </c>
      <c r="B75" s="7" t="s">
        <v>140</v>
      </c>
      <c r="C75" s="5">
        <v>36.25</v>
      </c>
      <c r="D75" s="7" t="s">
        <v>141</v>
      </c>
      <c r="E75" s="7" t="s">
        <v>140</v>
      </c>
      <c r="F75" s="7" t="s">
        <v>198</v>
      </c>
    </row>
    <row r="76" spans="1:6" ht="60" customHeight="1" x14ac:dyDescent="0.25">
      <c r="A76" s="8" t="s">
        <v>125</v>
      </c>
      <c r="B76" s="8" t="s">
        <v>109</v>
      </c>
      <c r="C76" s="6">
        <v>8</v>
      </c>
      <c r="D76" s="8" t="s">
        <v>110</v>
      </c>
      <c r="E76" s="8" t="s">
        <v>109</v>
      </c>
      <c r="F76" s="8" t="s">
        <v>199</v>
      </c>
    </row>
    <row r="77" spans="1:6" ht="60" customHeight="1" x14ac:dyDescent="0.25">
      <c r="A77" s="7" t="s">
        <v>125</v>
      </c>
      <c r="B77" s="7" t="s">
        <v>109</v>
      </c>
      <c r="C77" s="5">
        <v>241.12</v>
      </c>
      <c r="D77" s="7" t="s">
        <v>110</v>
      </c>
      <c r="E77" s="7" t="s">
        <v>109</v>
      </c>
      <c r="F77" s="7" t="s">
        <v>199</v>
      </c>
    </row>
    <row r="78" spans="1:6" ht="60" customHeight="1" x14ac:dyDescent="0.25">
      <c r="A78" s="8" t="s">
        <v>125</v>
      </c>
      <c r="B78" s="8" t="s">
        <v>142</v>
      </c>
      <c r="C78" s="6">
        <v>32.619999999999997</v>
      </c>
      <c r="D78" s="8" t="s">
        <v>143</v>
      </c>
      <c r="E78" s="8" t="s">
        <v>142</v>
      </c>
      <c r="F78" s="8" t="s">
        <v>198</v>
      </c>
    </row>
    <row r="79" spans="1:6" ht="60" customHeight="1" x14ac:dyDescent="0.25">
      <c r="A79" s="7" t="s">
        <v>144</v>
      </c>
      <c r="B79" s="7" t="s">
        <v>128</v>
      </c>
      <c r="C79" s="5">
        <v>-210</v>
      </c>
      <c r="D79" s="7" t="s">
        <v>129</v>
      </c>
      <c r="E79" s="7" t="s">
        <v>128</v>
      </c>
      <c r="F79" s="7" t="s">
        <v>128</v>
      </c>
    </row>
    <row r="80" spans="1:6" ht="60" customHeight="1" x14ac:dyDescent="0.25">
      <c r="A80" s="8" t="s">
        <v>144</v>
      </c>
      <c r="B80" s="8" t="s">
        <v>145</v>
      </c>
      <c r="C80" s="6">
        <v>272.73</v>
      </c>
      <c r="D80" s="8" t="s">
        <v>146</v>
      </c>
      <c r="E80" s="8" t="s">
        <v>145</v>
      </c>
      <c r="F80" s="8" t="s">
        <v>198</v>
      </c>
    </row>
    <row r="81" spans="1:6" ht="60" customHeight="1" x14ac:dyDescent="0.25">
      <c r="A81" s="7" t="s">
        <v>147</v>
      </c>
      <c r="B81" s="7" t="s">
        <v>26</v>
      </c>
      <c r="C81" s="5">
        <v>10.65</v>
      </c>
      <c r="D81" s="7" t="s">
        <v>148</v>
      </c>
      <c r="E81" s="7" t="s">
        <v>26</v>
      </c>
      <c r="F81" s="7" t="s">
        <v>190</v>
      </c>
    </row>
    <row r="82" spans="1:6" ht="60" customHeight="1" x14ac:dyDescent="0.25">
      <c r="A82" s="8" t="s">
        <v>147</v>
      </c>
      <c r="B82" s="8" t="s">
        <v>26</v>
      </c>
      <c r="C82" s="6">
        <v>10.7</v>
      </c>
      <c r="D82" s="8" t="s">
        <v>149</v>
      </c>
      <c r="E82" s="8" t="s">
        <v>26</v>
      </c>
      <c r="F82" s="8" t="s">
        <v>190</v>
      </c>
    </row>
    <row r="83" spans="1:6" ht="60" customHeight="1" x14ac:dyDescent="0.25">
      <c r="A83" s="7" t="s">
        <v>147</v>
      </c>
      <c r="B83" s="7" t="s">
        <v>26</v>
      </c>
      <c r="C83" s="5">
        <v>10.72</v>
      </c>
      <c r="D83" s="7" t="s">
        <v>150</v>
      </c>
      <c r="E83" s="7" t="s">
        <v>26</v>
      </c>
      <c r="F83" s="7" t="s">
        <v>190</v>
      </c>
    </row>
    <row r="84" spans="1:6" ht="60" customHeight="1" x14ac:dyDescent="0.25">
      <c r="A84" s="8" t="s">
        <v>147</v>
      </c>
      <c r="B84" s="8" t="s">
        <v>26</v>
      </c>
      <c r="C84" s="6">
        <v>10.73</v>
      </c>
      <c r="D84" s="8" t="s">
        <v>151</v>
      </c>
      <c r="E84" s="8" t="s">
        <v>26</v>
      </c>
      <c r="F84" s="8" t="s">
        <v>190</v>
      </c>
    </row>
    <row r="85" spans="1:6" ht="60" customHeight="1" x14ac:dyDescent="0.25">
      <c r="A85" s="7" t="s">
        <v>147</v>
      </c>
      <c r="B85" s="7" t="s">
        <v>26</v>
      </c>
      <c r="C85" s="5">
        <v>10.75</v>
      </c>
      <c r="D85" s="7" t="s">
        <v>152</v>
      </c>
      <c r="E85" s="7" t="s">
        <v>26</v>
      </c>
      <c r="F85" s="7" t="s">
        <v>190</v>
      </c>
    </row>
    <row r="86" spans="1:6" ht="60" customHeight="1" x14ac:dyDescent="0.25">
      <c r="A86" s="8" t="s">
        <v>147</v>
      </c>
      <c r="B86" s="8" t="s">
        <v>26</v>
      </c>
      <c r="C86" s="6">
        <v>10.96</v>
      </c>
      <c r="D86" s="8" t="s">
        <v>153</v>
      </c>
      <c r="E86" s="8" t="s">
        <v>26</v>
      </c>
      <c r="F86" s="8" t="s">
        <v>190</v>
      </c>
    </row>
    <row r="87" spans="1:6" ht="60" customHeight="1" x14ac:dyDescent="0.25">
      <c r="A87" s="7" t="s">
        <v>147</v>
      </c>
      <c r="B87" s="7" t="s">
        <v>26</v>
      </c>
      <c r="C87" s="5">
        <v>11.04</v>
      </c>
      <c r="D87" s="7" t="s">
        <v>154</v>
      </c>
      <c r="E87" s="7" t="s">
        <v>26</v>
      </c>
      <c r="F87" s="7" t="s">
        <v>190</v>
      </c>
    </row>
    <row r="88" spans="1:6" ht="60" customHeight="1" x14ac:dyDescent="0.25">
      <c r="A88" s="8" t="s">
        <v>147</v>
      </c>
      <c r="B88" s="8" t="s">
        <v>26</v>
      </c>
      <c r="C88" s="6">
        <v>11.09</v>
      </c>
      <c r="D88" s="8" t="s">
        <v>155</v>
      </c>
      <c r="E88" s="8" t="s">
        <v>26</v>
      </c>
      <c r="F88" s="8" t="s">
        <v>190</v>
      </c>
    </row>
    <row r="89" spans="1:6" ht="60" customHeight="1" x14ac:dyDescent="0.25">
      <c r="A89" s="7" t="s">
        <v>147</v>
      </c>
      <c r="B89" s="7" t="s">
        <v>26</v>
      </c>
      <c r="C89" s="5">
        <v>11.47</v>
      </c>
      <c r="D89" s="7" t="s">
        <v>156</v>
      </c>
      <c r="E89" s="7" t="s">
        <v>26</v>
      </c>
      <c r="F89" s="7" t="s">
        <v>190</v>
      </c>
    </row>
    <row r="90" spans="1:6" ht="60" customHeight="1" x14ac:dyDescent="0.25">
      <c r="A90" s="8" t="s">
        <v>147</v>
      </c>
      <c r="B90" s="8" t="s">
        <v>26</v>
      </c>
      <c r="C90" s="6">
        <v>11.49</v>
      </c>
      <c r="D90" s="8" t="s">
        <v>157</v>
      </c>
      <c r="E90" s="8" t="s">
        <v>26</v>
      </c>
      <c r="F90" s="8" t="s">
        <v>190</v>
      </c>
    </row>
    <row r="91" spans="1:6" ht="60" customHeight="1" x14ac:dyDescent="0.25">
      <c r="A91" s="7" t="s">
        <v>147</v>
      </c>
      <c r="B91" s="7" t="s">
        <v>26</v>
      </c>
      <c r="C91" s="5">
        <v>11.98</v>
      </c>
      <c r="D91" s="7" t="s">
        <v>158</v>
      </c>
      <c r="E91" s="7" t="s">
        <v>26</v>
      </c>
      <c r="F91" s="7" t="s">
        <v>190</v>
      </c>
    </row>
    <row r="92" spans="1:6" ht="60" customHeight="1" x14ac:dyDescent="0.25">
      <c r="A92" s="8" t="s">
        <v>147</v>
      </c>
      <c r="B92" s="8" t="s">
        <v>26</v>
      </c>
      <c r="C92" s="6">
        <v>12.33</v>
      </c>
      <c r="D92" s="8" t="s">
        <v>159</v>
      </c>
      <c r="E92" s="8" t="s">
        <v>26</v>
      </c>
      <c r="F92" s="8" t="s">
        <v>190</v>
      </c>
    </row>
    <row r="93" spans="1:6" ht="60" customHeight="1" x14ac:dyDescent="0.25">
      <c r="A93" s="7" t="s">
        <v>147</v>
      </c>
      <c r="B93" s="7" t="s">
        <v>26</v>
      </c>
      <c r="C93" s="5">
        <v>12.44</v>
      </c>
      <c r="D93" s="7" t="s">
        <v>160</v>
      </c>
      <c r="E93" s="7" t="s">
        <v>26</v>
      </c>
      <c r="F93" s="7" t="s">
        <v>190</v>
      </c>
    </row>
    <row r="94" spans="1:6" ht="60" customHeight="1" x14ac:dyDescent="0.25">
      <c r="A94" s="8" t="s">
        <v>147</v>
      </c>
      <c r="B94" s="8" t="s">
        <v>26</v>
      </c>
      <c r="C94" s="6">
        <v>13.5</v>
      </c>
      <c r="D94" s="8" t="s">
        <v>161</v>
      </c>
      <c r="E94" s="8" t="s">
        <v>26</v>
      </c>
      <c r="F94" s="8" t="s">
        <v>190</v>
      </c>
    </row>
    <row r="95" spans="1:6" ht="60" customHeight="1" x14ac:dyDescent="0.25">
      <c r="A95" s="7" t="s">
        <v>147</v>
      </c>
      <c r="B95" s="7" t="s">
        <v>26</v>
      </c>
      <c r="C95" s="5">
        <v>15.61</v>
      </c>
      <c r="D95" s="7" t="s">
        <v>162</v>
      </c>
      <c r="E95" s="7" t="s">
        <v>26</v>
      </c>
      <c r="F95" s="7" t="s">
        <v>190</v>
      </c>
    </row>
    <row r="96" spans="1:6" ht="60" customHeight="1" x14ac:dyDescent="0.25">
      <c r="A96" s="8" t="s">
        <v>147</v>
      </c>
      <c r="B96" s="8" t="s">
        <v>19</v>
      </c>
      <c r="C96" s="6">
        <v>-6806.31</v>
      </c>
      <c r="D96" s="8" t="s">
        <v>20</v>
      </c>
      <c r="E96" s="8" t="s">
        <v>19</v>
      </c>
      <c r="F96" s="8" t="s">
        <v>192</v>
      </c>
    </row>
    <row r="97" spans="1:6" ht="60" customHeight="1" x14ac:dyDescent="0.25">
      <c r="A97" s="7" t="s">
        <v>163</v>
      </c>
      <c r="B97" s="7" t="s">
        <v>26</v>
      </c>
      <c r="C97" s="5">
        <v>10.61</v>
      </c>
      <c r="D97" s="7" t="s">
        <v>164</v>
      </c>
      <c r="E97" s="7" t="s">
        <v>26</v>
      </c>
      <c r="F97" s="7" t="s">
        <v>190</v>
      </c>
    </row>
    <row r="98" spans="1:6" ht="60" customHeight="1" x14ac:dyDescent="0.25">
      <c r="A98" s="8" t="s">
        <v>165</v>
      </c>
      <c r="B98" s="8" t="s">
        <v>166</v>
      </c>
      <c r="C98" s="6">
        <v>147.66</v>
      </c>
      <c r="D98" s="8" t="s">
        <v>167</v>
      </c>
      <c r="E98" s="8" t="s">
        <v>166</v>
      </c>
      <c r="F98" s="8" t="s">
        <v>193</v>
      </c>
    </row>
    <row r="99" spans="1:6" ht="60" customHeight="1" x14ac:dyDescent="0.25">
      <c r="A99" s="7" t="s">
        <v>165</v>
      </c>
      <c r="B99" s="7" t="s">
        <v>168</v>
      </c>
      <c r="C99" s="5">
        <v>21.28</v>
      </c>
      <c r="D99" s="7" t="s">
        <v>169</v>
      </c>
      <c r="E99" s="7" t="s">
        <v>168</v>
      </c>
      <c r="F99" s="7" t="s">
        <v>190</v>
      </c>
    </row>
    <row r="100" spans="1:6" ht="60" customHeight="1" x14ac:dyDescent="0.25">
      <c r="A100" s="8" t="s">
        <v>170</v>
      </c>
      <c r="B100" s="8" t="s">
        <v>171</v>
      </c>
      <c r="C100" s="6">
        <v>249.8</v>
      </c>
      <c r="D100" s="8" t="s">
        <v>172</v>
      </c>
      <c r="E100" s="8" t="s">
        <v>171</v>
      </c>
      <c r="F100" s="8" t="s">
        <v>191</v>
      </c>
    </row>
    <row r="101" spans="1:6" ht="60" customHeight="1" x14ac:dyDescent="0.25">
      <c r="A101" s="7" t="s">
        <v>173</v>
      </c>
      <c r="B101" s="7" t="s">
        <v>174</v>
      </c>
      <c r="C101" s="5">
        <v>93.81</v>
      </c>
      <c r="D101" s="7" t="s">
        <v>175</v>
      </c>
      <c r="E101" s="7" t="s">
        <v>174</v>
      </c>
      <c r="F101" s="7" t="s">
        <v>191</v>
      </c>
    </row>
    <row r="102" spans="1:6" ht="60" customHeight="1" x14ac:dyDescent="0.25">
      <c r="A102" s="8" t="s">
        <v>173</v>
      </c>
      <c r="B102" s="8" t="s">
        <v>176</v>
      </c>
      <c r="C102" s="6">
        <v>405.21</v>
      </c>
      <c r="D102" s="8" t="s">
        <v>177</v>
      </c>
      <c r="E102" s="8" t="s">
        <v>176</v>
      </c>
      <c r="F102" s="8" t="s">
        <v>196</v>
      </c>
    </row>
    <row r="103" spans="1:6" ht="60" customHeight="1" x14ac:dyDescent="0.25">
      <c r="A103" s="7" t="s">
        <v>178</v>
      </c>
      <c r="B103" s="7" t="s">
        <v>13</v>
      </c>
      <c r="C103" s="5">
        <v>131.28</v>
      </c>
      <c r="D103" s="7" t="s">
        <v>179</v>
      </c>
      <c r="E103" s="7" t="s">
        <v>15</v>
      </c>
      <c r="F103" s="7" t="s">
        <v>188</v>
      </c>
    </row>
    <row r="104" spans="1:6" ht="60" customHeight="1" x14ac:dyDescent="0.25">
      <c r="A104" s="8" t="s">
        <v>178</v>
      </c>
      <c r="B104" s="8" t="s">
        <v>180</v>
      </c>
      <c r="C104" s="6">
        <v>2500</v>
      </c>
      <c r="D104" s="8" t="s">
        <v>181</v>
      </c>
      <c r="E104" s="8" t="s">
        <v>180</v>
      </c>
      <c r="F104" s="8" t="s">
        <v>197</v>
      </c>
    </row>
    <row r="105" spans="1:6" ht="60" customHeight="1" x14ac:dyDescent="0.25">
      <c r="A105" s="7" t="s">
        <v>178</v>
      </c>
      <c r="B105" s="7" t="s">
        <v>49</v>
      </c>
      <c r="C105" s="5">
        <v>31.91</v>
      </c>
      <c r="D105" s="7" t="s">
        <v>182</v>
      </c>
      <c r="E105" s="7" t="s">
        <v>51</v>
      </c>
      <c r="F105" s="7" t="s">
        <v>201</v>
      </c>
    </row>
    <row r="106" spans="1:6" ht="60" customHeight="1" x14ac:dyDescent="0.25">
      <c r="A106" s="8" t="s">
        <v>183</v>
      </c>
      <c r="B106" s="8" t="s">
        <v>184</v>
      </c>
      <c r="C106" s="6">
        <v>220.81</v>
      </c>
      <c r="D106" s="8" t="s">
        <v>185</v>
      </c>
      <c r="E106" s="8" t="s">
        <v>184</v>
      </c>
      <c r="F106" s="8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Summary</vt:lpstr>
      <vt:lpstr>Transaction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Judd Dunning</cp:lastModifiedBy>
  <dcterms:created xsi:type="dcterms:W3CDTF">2026-07-07T23:50:31Z</dcterms:created>
  <dcterms:modified xsi:type="dcterms:W3CDTF">2026-07-08T22:10:01Z</dcterms:modified>
</cp:coreProperties>
</file>